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pas" sheetId="1" state="visible" r:id="rId3"/>
    <sheet name="Tiempo" sheetId="2" state="visible" r:id="rId4"/>
    <sheet name="Selecc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<sst xmlns="http://schemas.openxmlformats.org/spreadsheetml/2006/main" count="66" uniqueCount="62">
  <si>
    <t xml:space="preserve">Barrido vertical por capas y factor de recuperación</t>
  </si>
  <si>
    <t xml:space="preserve">Modelo de 20 capas con desplazamiento tipo pistón y sin flujo cruzado. Ejemplo didáctico.</t>
  </si>
  <si>
    <t xml:space="preserve">Parámetro</t>
  </si>
  <si>
    <t xml:space="preserve">Valor</t>
  </si>
  <si>
    <t xml:space="preserve">Unidad</t>
  </si>
  <si>
    <t xml:space="preserve">Heterogeneidad Dykstra-Parsons V</t>
  </si>
  <si>
    <t xml:space="preserve">0 a 0,9</t>
  </si>
  <si>
    <t xml:space="preserve">Viscosidad del agua inyectada</t>
  </si>
  <si>
    <t xml:space="preserve">cP</t>
  </si>
  <si>
    <t xml:space="preserve">Viscosidad del petróleo</t>
  </si>
  <si>
    <t xml:space="preserve">Permeabilidad relativa final del agua krw0</t>
  </si>
  <si>
    <t xml:space="preserve">Permeabilidad relativa final del petróleo kro0</t>
  </si>
  <si>
    <t xml:space="preserve">Saturación de agua connata Swc</t>
  </si>
  <si>
    <t xml:space="preserve">Saturación de petróleo residual Sor</t>
  </si>
  <si>
    <t xml:space="preserve">Corte de agua límite</t>
  </si>
  <si>
    <t xml:space="preserve">σ de ln k = −ln(1 − V)</t>
  </si>
  <si>
    <t xml:space="preserve">Razón de movilidad M</t>
  </si>
  <si>
    <t xml:space="preserve">Eficiencia de desplazamiento Ed</t>
  </si>
  <si>
    <t xml:space="preserve">Barrido vertical Ev al corte límite</t>
  </si>
  <si>
    <t xml:space="preserve">Factor de recuperación = Ev × Ed (barrido areal supuesto 100 %)</t>
  </si>
  <si>
    <t xml:space="preserve">Si M &gt; 1 el desplazamiento es desfavorable. Un polímero baja M al subir la viscosidad del agua; un tensioactivo o un gas miscible bajan Sor. Los cálculos por capa están en la hoja Tiempo.</t>
  </si>
  <si>
    <t xml:space="preserve">Posición del frente por capa a lo largo del tiempo</t>
  </si>
  <si>
    <t xml:space="preserve">Filas 6–25: posición x del frente (1 = ya irrumpió). Filas 28–47: caudal relativo de cada capa.</t>
  </si>
  <si>
    <t xml:space="preserve">Capa</t>
  </si>
  <si>
    <t xml:space="preserve">k relativa</t>
  </si>
  <si>
    <t xml:space="preserve">Irrupción (tb)</t>
  </si>
  <si>
    <t xml:space="preserve">Tiempo</t>
  </si>
  <si>
    <t xml:space="preserve">Corte de agua</t>
  </si>
  <si>
    <t xml:space="preserve">Barrido vertical Ev</t>
  </si>
  <si>
    <t xml:space="preserve">¿Alcanzó el límite?</t>
  </si>
  <si>
    <t xml:space="preserve">Guía para completar con datos de un campo</t>
  </si>
  <si>
    <t xml:space="preserve">Criterios cualitativos de partida. Los rangos numéricos de referencia se consultan en Taber, Martin y Seright (1997) y se validan con laboratorio, simulación y piloto.</t>
  </si>
  <si>
    <t xml:space="preserve">Método</t>
  </si>
  <si>
    <t xml:space="preserve">Palanca principal</t>
  </si>
  <si>
    <t xml:space="preserve">Eficiencia que mejora</t>
  </si>
  <si>
    <t xml:space="preserve">Principales restricciones</t>
  </si>
  <si>
    <t xml:space="preserve">Dato del campo (completar)</t>
  </si>
  <si>
    <t xml:space="preserve">Inyección de agua</t>
  </si>
  <si>
    <t xml:space="preserve">Mantener presión y desplazar</t>
  </si>
  <si>
    <t xml:space="preserve">Areal y vertical</t>
  </si>
  <si>
    <t xml:space="preserve">Razón de movilidad, heterogeneidad</t>
  </si>
  <si>
    <t xml:space="preserve">Polímero</t>
  </si>
  <si>
    <t xml:space="preserve">Sube la viscosidad del agua</t>
  </si>
  <si>
    <t xml:space="preserve">Salinidad, dureza, temperatura, cizalla</t>
  </si>
  <si>
    <t xml:space="preserve">Tensioactivo / ASP</t>
  </si>
  <si>
    <t xml:space="preserve">Baja la tensión interfacial</t>
  </si>
  <si>
    <t xml:space="preserve">Desplazamiento</t>
  </si>
  <si>
    <t xml:space="preserve">Salinidad, adsorción, costo del químico</t>
  </si>
  <si>
    <t xml:space="preserve">Gas inmiscible</t>
  </si>
  <si>
    <t xml:space="preserve">Empuje y presión</t>
  </si>
  <si>
    <t xml:space="preserve">Desplazamiento parcial</t>
  </si>
  <si>
    <t xml:space="preserve">Digitación, segregación gravitacional</t>
  </si>
  <si>
    <t xml:space="preserve">Gas miscible / CO₂</t>
  </si>
  <si>
    <t xml:space="preserve">Elimina la tensión interfacial</t>
  </si>
  <si>
    <t xml:space="preserve">Presión mínima de miscibilidad, fuente de gas</t>
  </si>
  <si>
    <t xml:space="preserve">Vapor</t>
  </si>
  <si>
    <t xml:space="preserve">Baja la viscosidad</t>
  </si>
  <si>
    <t xml:space="preserve">Movilidad</t>
  </si>
  <si>
    <t xml:space="preserve">Profundidad, espesor, agua y energía</t>
  </si>
  <si>
    <t xml:space="preserve">Combustión in situ</t>
  </si>
  <si>
    <t xml:space="preserve">Calor generado en el reservorio</t>
  </si>
  <si>
    <t xml:space="preserve">Control y riesgo operativo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</si>
</sst>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A3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A30"/>
        <bgColor rgb="FF000000"/>
      </patternFill>
    </fill>
    <fill>
      <patternFill patternType="solid">
        <fgColor rgb="FFFFF8DC"/>
        <bgColor rgb="FFFFFFFF"/>
      </patternFill>
    </fill>
    <fill>
      <patternFill patternType="solid">
        <fgColor rgb="FFE3F7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3F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1A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4" t="n">
        <v>0.7</v>
      </c>
      <c r="C5" s="2" t="s">
        <v>6</v>
      </c>
    </row>
    <row r="6" customFormat="false" ht="15" hidden="false" customHeight="false" outlineLevel="0" collapsed="false">
      <c r="A6" s="0" t="s">
        <v>7</v>
      </c>
      <c r="B6" s="5" t="n">
        <v>0.5</v>
      </c>
      <c r="C6" s="2" t="s">
        <v>8</v>
      </c>
    </row>
    <row r="7" customFormat="false" ht="15" hidden="false" customHeight="false" outlineLevel="0" collapsed="false">
      <c r="A7" s="0" t="s">
        <v>9</v>
      </c>
      <c r="B7" s="5" t="n">
        <v>6</v>
      </c>
      <c r="C7" s="2" t="s">
        <v>8</v>
      </c>
    </row>
    <row r="8" customFormat="false" ht="15" hidden="false" customHeight="false" outlineLevel="0" collapsed="false">
      <c r="A8" s="0" t="s">
        <v>10</v>
      </c>
      <c r="B8" s="4" t="n">
        <v>0.35</v>
      </c>
      <c r="C8" s="2"/>
    </row>
    <row r="9" customFormat="false" ht="15" hidden="false" customHeight="false" outlineLevel="0" collapsed="false">
      <c r="A9" s="0" t="s">
        <v>11</v>
      </c>
      <c r="B9" s="4" t="n">
        <v>0.9</v>
      </c>
      <c r="C9" s="2"/>
    </row>
    <row r="10" customFormat="false" ht="15" hidden="false" customHeight="false" outlineLevel="0" collapsed="false">
      <c r="A10" s="0" t="s">
        <v>12</v>
      </c>
      <c r="B10" s="4" t="n">
        <v>0.2</v>
      </c>
      <c r="C10" s="2"/>
    </row>
    <row r="11" customFormat="false" ht="15" hidden="false" customHeight="false" outlineLevel="0" collapsed="false">
      <c r="A11" s="0" t="s">
        <v>13</v>
      </c>
      <c r="B11" s="4" t="n">
        <v>0.3</v>
      </c>
      <c r="C11" s="2"/>
    </row>
    <row r="12" customFormat="false" ht="15" hidden="false" customHeight="false" outlineLevel="0" collapsed="false">
      <c r="A12" s="0" t="s">
        <v>14</v>
      </c>
      <c r="B12" s="4" t="n">
        <v>0.95</v>
      </c>
      <c r="C12" s="2"/>
    </row>
    <row r="14" customFormat="false" ht="15" hidden="false" customHeight="false" outlineLevel="0" collapsed="false">
      <c r="A14" s="0" t="s">
        <v>15</v>
      </c>
      <c r="B14" s="6" t="n">
        <f aca="false">IF(B5=0,0,-LN(1-B5))</f>
        <v>1.20397280432594</v>
      </c>
    </row>
    <row r="15" customFormat="false" ht="15" hidden="false" customHeight="false" outlineLevel="0" collapsed="false">
      <c r="A15" s="0" t="s">
        <v>16</v>
      </c>
      <c r="B15" s="7" t="n">
        <f aca="false">(B8/B6)/(B9/B7)</f>
        <v>4.66666666666667</v>
      </c>
    </row>
    <row r="16" customFormat="false" ht="15" hidden="false" customHeight="false" outlineLevel="0" collapsed="false">
      <c r="A16" s="0" t="s">
        <v>17</v>
      </c>
      <c r="B16" s="7" t="n">
        <f aca="false">(1-B10-B11)/(1-B10)</f>
        <v>0.625</v>
      </c>
    </row>
    <row r="17" customFormat="false" ht="15" hidden="false" customHeight="false" outlineLevel="0" collapsed="false">
      <c r="A17" s="0" t="s">
        <v>18</v>
      </c>
      <c r="B17" s="7" t="n">
        <f aca="false">INDEX(Tiempo!D50:BK50,MATCH(1,Tiempo!D51:BK51,0))</f>
        <v>0.919618177545152</v>
      </c>
    </row>
    <row r="18" customFormat="false" ht="15" hidden="false" customHeight="false" outlineLevel="0" collapsed="false">
      <c r="A18" s="0" t="s">
        <v>19</v>
      </c>
      <c r="B18" s="7" t="n">
        <f aca="false">B17*B16</f>
        <v>0.57476136096572</v>
      </c>
    </row>
    <row r="20" customFormat="false" ht="15" hidden="false" customHeight="false" outlineLevel="0" collapsed="false">
      <c r="A20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63" min="4" style="0" width="8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15" hidden="false" customHeight="false" outlineLevel="0" collapsed="false">
      <c r="A4" s="3" t="s">
        <v>23</v>
      </c>
      <c r="B4" s="3" t="s">
        <v>24</v>
      </c>
      <c r="C4" s="3" t="s">
        <v>25</v>
      </c>
      <c r="D4" s="8" t="n">
        <v>1</v>
      </c>
      <c r="E4" s="8" t="n">
        <v>2</v>
      </c>
      <c r="F4" s="8" t="n">
        <v>3</v>
      </c>
      <c r="G4" s="8" t="n">
        <v>4</v>
      </c>
      <c r="H4" s="8" t="n">
        <v>5</v>
      </c>
      <c r="I4" s="8" t="n">
        <v>6</v>
      </c>
      <c r="J4" s="8" t="n">
        <v>7</v>
      </c>
      <c r="K4" s="8" t="n">
        <v>8</v>
      </c>
      <c r="L4" s="8" t="n">
        <v>9</v>
      </c>
      <c r="M4" s="8" t="n">
        <v>10</v>
      </c>
      <c r="N4" s="8" t="n">
        <v>11</v>
      </c>
      <c r="O4" s="8" t="n">
        <v>12</v>
      </c>
      <c r="P4" s="8" t="n">
        <v>13</v>
      </c>
      <c r="Q4" s="8" t="n">
        <v>14</v>
      </c>
      <c r="R4" s="8" t="n">
        <v>15</v>
      </c>
      <c r="S4" s="8" t="n">
        <v>16</v>
      </c>
      <c r="T4" s="8" t="n">
        <v>17</v>
      </c>
      <c r="U4" s="8" t="n">
        <v>18</v>
      </c>
      <c r="V4" s="8" t="n">
        <v>19</v>
      </c>
      <c r="W4" s="8" t="n">
        <v>20</v>
      </c>
      <c r="X4" s="8" t="n">
        <v>21</v>
      </c>
      <c r="Y4" s="8" t="n">
        <v>22</v>
      </c>
      <c r="Z4" s="8" t="n">
        <v>23</v>
      </c>
      <c r="AA4" s="8" t="n">
        <v>24</v>
      </c>
      <c r="AB4" s="8" t="n">
        <v>25</v>
      </c>
      <c r="AC4" s="8" t="n">
        <v>26</v>
      </c>
      <c r="AD4" s="8" t="n">
        <v>27</v>
      </c>
      <c r="AE4" s="8" t="n">
        <v>28</v>
      </c>
      <c r="AF4" s="8" t="n">
        <v>29</v>
      </c>
      <c r="AG4" s="8" t="n">
        <v>30</v>
      </c>
      <c r="AH4" s="8" t="n">
        <v>31</v>
      </c>
      <c r="AI4" s="8" t="n">
        <v>32</v>
      </c>
      <c r="AJ4" s="8" t="n">
        <v>33</v>
      </c>
      <c r="AK4" s="8" t="n">
        <v>34</v>
      </c>
      <c r="AL4" s="8" t="n">
        <v>35</v>
      </c>
      <c r="AM4" s="8" t="n">
        <v>36</v>
      </c>
      <c r="AN4" s="8" t="n">
        <v>37</v>
      </c>
      <c r="AO4" s="8" t="n">
        <v>38</v>
      </c>
      <c r="AP4" s="8" t="n">
        <v>39</v>
      </c>
      <c r="AQ4" s="8" t="n">
        <v>40</v>
      </c>
      <c r="AR4" s="8" t="n">
        <v>41</v>
      </c>
      <c r="AS4" s="8" t="n">
        <v>42</v>
      </c>
      <c r="AT4" s="8" t="n">
        <v>43</v>
      </c>
      <c r="AU4" s="8" t="n">
        <v>44</v>
      </c>
      <c r="AV4" s="8" t="n">
        <v>45</v>
      </c>
      <c r="AW4" s="8" t="n">
        <v>46</v>
      </c>
      <c r="AX4" s="8" t="n">
        <v>47</v>
      </c>
      <c r="AY4" s="8" t="n">
        <v>48</v>
      </c>
      <c r="AZ4" s="8" t="n">
        <v>49</v>
      </c>
      <c r="BA4" s="8" t="n">
        <v>50</v>
      </c>
      <c r="BB4" s="8" t="n">
        <v>51</v>
      </c>
      <c r="BC4" s="8" t="n">
        <v>52</v>
      </c>
      <c r="BD4" s="8" t="n">
        <v>53</v>
      </c>
      <c r="BE4" s="8" t="n">
        <v>54</v>
      </c>
      <c r="BF4" s="8" t="n">
        <v>55</v>
      </c>
      <c r="BG4" s="8" t="n">
        <v>56</v>
      </c>
      <c r="BH4" s="8" t="n">
        <v>57</v>
      </c>
      <c r="BI4" s="8" t="n">
        <v>58</v>
      </c>
      <c r="BJ4" s="8" t="n">
        <v>59</v>
      </c>
      <c r="BK4" s="8" t="n">
        <v>60</v>
      </c>
    </row>
    <row r="5" customFormat="false" ht="15" hidden="false" customHeight="false" outlineLevel="0" collapsed="false">
      <c r="A5" s="0" t="s">
        <v>26</v>
      </c>
      <c r="D5" s="9" t="n">
        <f aca="false">MIN($C$6:$C$25)*0.2*(MAX($C$6:$C$25)*3/(MIN($C$6:$C$25)*0.2))^(0/59)</f>
        <v>0.053518527723141</v>
      </c>
      <c r="E5" s="9" t="n">
        <f aca="false">MIN($C$6:$C$25)*0.2*(MAX($C$6:$C$25)*3/(MIN($C$6:$C$25)*0.2))^(1/59)</f>
        <v>0.0606984621184161</v>
      </c>
      <c r="F5" s="9" t="n">
        <f aca="false">MIN($C$6:$C$25)*0.2*(MAX($C$6:$C$25)*3/(MIN($C$6:$C$25)*0.2))^(2/59)</f>
        <v>0.068841641582523</v>
      </c>
      <c r="G5" s="9" t="n">
        <f aca="false">MIN($C$6:$C$25)*0.2*(MAX($C$6:$C$25)*3/(MIN($C$6:$C$25)*0.2))^(3/59)</f>
        <v>0.078077293070967</v>
      </c>
      <c r="H5" s="9" t="n">
        <f aca="false">MIN($C$6:$C$25)*0.2*(MAX($C$6:$C$25)*3/(MIN($C$6:$C$25)*0.2))^(4/59)</f>
        <v>0.0885519803588951</v>
      </c>
      <c r="I5" s="9" t="n">
        <f aca="false">MIN($C$6:$C$25)*0.2*(MAX($C$6:$C$25)*3/(MIN($C$6:$C$25)*0.2))^(5/59)</f>
        <v>0.10043192991277</v>
      </c>
      <c r="J5" s="9" t="n">
        <f aca="false">MIN($C$6:$C$25)*0.2*(MAX($C$6:$C$25)*3/(MIN($C$6:$C$25)*0.2))^(6/59)</f>
        <v>0.11390566879615</v>
      </c>
      <c r="K5" s="9" t="n">
        <f aca="false">MIN($C$6:$C$25)*0.2*(MAX($C$6:$C$25)*3/(MIN($C$6:$C$25)*0.2))^(7/59)</f>
        <v>0.129187016471428</v>
      </c>
      <c r="L5" s="9" t="n">
        <f aca="false">MIN($C$6:$C$25)*0.2*(MAX($C$6:$C$25)*3/(MIN($C$6:$C$25)*0.2))^(8/59)</f>
        <v>0.146518477975461</v>
      </c>
      <c r="M5" s="9" t="n">
        <f aca="false">MIN($C$6:$C$25)*0.2*(MAX($C$6:$C$25)*3/(MIN($C$6:$C$25)*0.2))^(9/59)</f>
        <v>0.166175092316601</v>
      </c>
      <c r="N5" s="9" t="n">
        <f aca="false">MIN($C$6:$C$25)*0.2*(MAX($C$6:$C$25)*3/(MIN($C$6:$C$25)*0.2))^(10/59)</f>
        <v>0.188468797164652</v>
      </c>
      <c r="O5" s="9" t="n">
        <f aca="false">MIN($C$6:$C$25)*0.2*(MAX($C$6:$C$25)*3/(MIN($C$6:$C$25)*0.2))^(11/59)</f>
        <v>0.213753379098574</v>
      </c>
      <c r="P5" s="9" t="n">
        <f aca="false">MIN($C$6:$C$25)*0.2*(MAX($C$6:$C$25)*3/(MIN($C$6:$C$25)*0.2))^(12/59)</f>
        <v>0.242430087969108</v>
      </c>
      <c r="Q5" s="9" t="n">
        <f aca="false">MIN($C$6:$C$25)*0.2*(MAX($C$6:$C$25)*3/(MIN($C$6:$C$25)*0.2))^(13/59)</f>
        <v>0.274954004472632</v>
      </c>
      <c r="R5" s="9" t="n">
        <f aca="false">MIN($C$6:$C$25)*0.2*(MAX($C$6:$C$25)*3/(MIN($C$6:$C$25)*0.2))^(14/59)</f>
        <v>0.311841261985474</v>
      </c>
      <c r="S5" s="9" t="n">
        <f aca="false">MIN($C$6:$C$25)*0.2*(MAX($C$6:$C$25)*3/(MIN($C$6:$C$25)*0.2))^(15/59)</f>
        <v>0.353677237264506</v>
      </c>
      <c r="T5" s="9" t="n">
        <f aca="false">MIN($C$6:$C$25)*0.2*(MAX($C$6:$C$25)*3/(MIN($C$6:$C$25)*0.2))^(16/59)</f>
        <v>0.401125839995095</v>
      </c>
      <c r="U5" s="9" t="n">
        <f aca="false">MIN($C$6:$C$25)*0.2*(MAX($C$6:$C$25)*3/(MIN($C$6:$C$25)*0.2))^(17/59)</f>
        <v>0.454940048605491</v>
      </c>
      <c r="V5" s="9" t="n">
        <f aca="false">MIN($C$6:$C$25)*0.2*(MAX($C$6:$C$25)*3/(MIN($C$6:$C$25)*0.2))^(18/59)</f>
        <v>0.515973859544171</v>
      </c>
      <c r="W5" s="9" t="n">
        <f aca="false">MIN($C$6:$C$25)*0.2*(MAX($C$6:$C$25)*3/(MIN($C$6:$C$25)*0.2))^(19/59)</f>
        <v>0.585195839647375</v>
      </c>
      <c r="X5" s="9" t="n">
        <f aca="false">MIN($C$6:$C$25)*0.2*(MAX($C$6:$C$25)*3/(MIN($C$6:$C$25)*0.2))^(20/59)</f>
        <v>0.663704496664099</v>
      </c>
      <c r="Y5" s="9" t="n">
        <f aca="false">MIN($C$6:$C$25)*0.2*(MAX($C$6:$C$25)*3/(MIN($C$6:$C$25)*0.2))^(21/59)</f>
        <v>0.752745711858754</v>
      </c>
      <c r="Z5" s="9" t="n">
        <f aca="false">MIN($C$6:$C$25)*0.2*(MAX($C$6:$C$25)*3/(MIN($C$6:$C$25)*0.2))^(22/59)</f>
        <v>0.853732511335556</v>
      </c>
      <c r="AA5" s="9" t="n">
        <f aca="false">MIN($C$6:$C$25)*0.2*(MAX($C$6:$C$25)*3/(MIN($C$6:$C$25)*0.2))^(23/59)</f>
        <v>0.968267489842677</v>
      </c>
      <c r="AB5" s="9" t="n">
        <f aca="false">MIN($C$6:$C$25)*0.2*(MAX($C$6:$C$25)*3/(MIN($C$6:$C$25)*0.2))^(24/59)</f>
        <v>1.09816824290734</v>
      </c>
      <c r="AC5" s="9" t="n">
        <f aca="false">MIN($C$6:$C$25)*0.2*(MAX($C$6:$C$25)*3/(MIN($C$6:$C$25)*0.2))^(25/59)</f>
        <v>1.24549621089328</v>
      </c>
      <c r="AD5" s="9" t="n">
        <f aca="false">MIN($C$6:$C$25)*0.2*(MAX($C$6:$C$25)*3/(MIN($C$6:$C$25)*0.2))^(26/59)</f>
        <v>1.41258939271694</v>
      </c>
      <c r="AE5" s="9" t="n">
        <f aca="false">MIN($C$6:$C$25)*0.2*(MAX($C$6:$C$25)*3/(MIN($C$6:$C$25)*0.2))^(27/59)</f>
        <v>1.60209944836788</v>
      </c>
      <c r="AF5" s="9" t="n">
        <f aca="false">MIN($C$6:$C$25)*0.2*(MAX($C$6:$C$25)*3/(MIN($C$6:$C$25)*0.2))^(28/59)</f>
        <v>1.81703377902612</v>
      </c>
      <c r="AG5" s="9" t="n">
        <f aca="false">MIN($C$6:$C$25)*0.2*(MAX($C$6:$C$25)*3/(MIN($C$6:$C$25)*0.2))^(29/59)</f>
        <v>2.06080325256053</v>
      </c>
      <c r="AH5" s="9" t="n">
        <f aca="false">MIN($C$6:$C$25)*0.2*(MAX($C$6:$C$25)*3/(MIN($C$6:$C$25)*0.2))^(30/59)</f>
        <v>2.33727633178083</v>
      </c>
      <c r="AI5" s="9" t="n">
        <f aca="false">MIN($C$6:$C$25)*0.2*(MAX($C$6:$C$25)*3/(MIN($C$6:$C$25)*0.2))^(31/59)</f>
        <v>2.65084046442343</v>
      </c>
      <c r="AJ5" s="9" t="n">
        <f aca="false">MIN($C$6:$C$25)*0.2*(MAX($C$6:$C$25)*3/(MIN($C$6:$C$25)*0.2))^(32/59)</f>
        <v>3.00647170908996</v>
      </c>
      <c r="AK5" s="9" t="n">
        <f aca="false">MIN($C$6:$C$25)*0.2*(MAX($C$6:$C$25)*3/(MIN($C$6:$C$25)*0.2))^(33/59)</f>
        <v>3.40981370205706</v>
      </c>
      <c r="AL5" s="9" t="n">
        <f aca="false">MIN($C$6:$C$25)*0.2*(MAX($C$6:$C$25)*3/(MIN($C$6:$C$25)*0.2))^(34/59)</f>
        <v>3.86726721810911</v>
      </c>
      <c r="AM5" s="9" t="n">
        <f aca="false">MIN($C$6:$C$25)*0.2*(MAX($C$6:$C$25)*3/(MIN($C$6:$C$25)*0.2))^(35/59)</f>
        <v>4.38609174666607</v>
      </c>
      <c r="AN5" s="9" t="n">
        <f aca="false">MIN($C$6:$C$25)*0.2*(MAX($C$6:$C$25)*3/(MIN($C$6:$C$25)*0.2))^(36/59)</f>
        <v>4.97452069515344</v>
      </c>
      <c r="AO5" s="9" t="n">
        <f aca="false">MIN($C$6:$C$25)*0.2*(MAX($C$6:$C$25)*3/(MIN($C$6:$C$25)*0.2))^(37/59)</f>
        <v>5.64189204781672</v>
      </c>
      <c r="AP5" s="9" t="n">
        <f aca="false">MIN($C$6:$C$25)*0.2*(MAX($C$6:$C$25)*3/(MIN($C$6:$C$25)*0.2))^(38/59)</f>
        <v>6.39879655345081</v>
      </c>
      <c r="AQ5" s="9" t="n">
        <f aca="false">MIN($C$6:$C$25)*0.2*(MAX($C$6:$C$25)*3/(MIN($C$6:$C$25)*0.2))^(39/59)</f>
        <v>7.25724579368699</v>
      </c>
      <c r="AR5" s="9" t="n">
        <f aca="false">MIN($C$6:$C$25)*0.2*(MAX($C$6:$C$25)*3/(MIN($C$6:$C$25)*0.2))^(40/59)</f>
        <v>8.23086279897184</v>
      </c>
      <c r="AS5" s="9" t="n">
        <f aca="false">MIN($C$6:$C$25)*0.2*(MAX($C$6:$C$25)*3/(MIN($C$6:$C$25)*0.2))^(41/59)</f>
        <v>9.33509823718954</v>
      </c>
      <c r="AT5" s="9" t="n">
        <f aca="false">MIN($C$6:$C$25)*0.2*(MAX($C$6:$C$25)*3/(MIN($C$6:$C$25)*0.2))^(42/59)</f>
        <v>10.5874756057001</v>
      </c>
      <c r="AU5" s="9" t="n">
        <f aca="false">MIN($C$6:$C$25)*0.2*(MAX($C$6:$C$25)*3/(MIN($C$6:$C$25)*0.2))^(43/59)</f>
        <v>12.007869317832</v>
      </c>
      <c r="AV5" s="9" t="n">
        <f aca="false">MIN($C$6:$C$25)*0.2*(MAX($C$6:$C$25)*3/(MIN($C$6:$C$25)*0.2))^(44/59)</f>
        <v>13.6188200968795</v>
      </c>
      <c r="AW5" s="9" t="n">
        <f aca="false">MIN($C$6:$C$25)*0.2*(MAX($C$6:$C$25)*3/(MIN($C$6:$C$25)*0.2))^(45/59)</f>
        <v>15.4458926827042</v>
      </c>
      <c r="AX5" s="9" t="n">
        <f aca="false">MIN($C$6:$C$25)*0.2*(MAX($C$6:$C$25)*3/(MIN($C$6:$C$25)*0.2))^(46/59)</f>
        <v>17.5180815275091</v>
      </c>
      <c r="AY5" s="9" t="n">
        <f aca="false">MIN($C$6:$C$25)*0.2*(MAX($C$6:$C$25)*3/(MIN($C$6:$C$25)*0.2))^(47/59)</f>
        <v>19.8682709189151</v>
      </c>
      <c r="AZ5" s="9" t="n">
        <f aca="false">MIN($C$6:$C$25)*0.2*(MAX($C$6:$C$25)*3/(MIN($C$6:$C$25)*0.2))^(48/59)</f>
        <v>22.5337568321922</v>
      </c>
      <c r="BA5" s="9" t="n">
        <f aca="false">MIN($C$6:$C$25)*0.2*(MAX($C$6:$C$25)*3/(MIN($C$6:$C$25)*0.2))^(49/59)</f>
        <v>25.556838793101</v>
      </c>
      <c r="BB5" s="9" t="n">
        <f aca="false">MIN($C$6:$C$25)*0.2*(MAX($C$6:$C$25)*3/(MIN($C$6:$C$25)*0.2))^(50/59)</f>
        <v>28.9854911438222</v>
      </c>
      <c r="BC5" s="9" t="n">
        <f aca="false">MIN($C$6:$C$25)*0.2*(MAX($C$6:$C$25)*3/(MIN($C$6:$C$25)*0.2))^(51/59)</f>
        <v>32.8741243645281</v>
      </c>
      <c r="BD5" s="9" t="n">
        <f aca="false">MIN($C$6:$C$25)*0.2*(MAX($C$6:$C$25)*3/(MIN($C$6:$C$25)*0.2))^(52/59)</f>
        <v>37.2844485322717</v>
      </c>
      <c r="BE5" s="9" t="n">
        <f aca="false">MIN($C$6:$C$25)*0.2*(MAX($C$6:$C$25)*3/(MIN($C$6:$C$25)*0.2))^(53/59)</f>
        <v>42.2864526197266</v>
      </c>
      <c r="BF5" s="9" t="n">
        <f aca="false">MIN($C$6:$C$25)*0.2*(MAX($C$6:$C$25)*3/(MIN($C$6:$C$25)*0.2))^(54/59)</f>
        <v>47.9595151746083</v>
      </c>
      <c r="BG5" s="9" t="n">
        <f aca="false">MIN($C$6:$C$25)*0.2*(MAX($C$6:$C$25)*3/(MIN($C$6:$C$25)*0.2))^(55/59)</f>
        <v>54.3936640055372</v>
      </c>
      <c r="BH5" s="9" t="n">
        <f aca="false">MIN($C$6:$C$25)*0.2*(MAX($C$6:$C$25)*3/(MIN($C$6:$C$25)*0.2))^(56/59)</f>
        <v>61.6910048647389</v>
      </c>
      <c r="BI5" s="9" t="n">
        <f aca="false">MIN($C$6:$C$25)*0.2*(MAX($C$6:$C$25)*3/(MIN($C$6:$C$25)*0.2))^(57/59)</f>
        <v>69.967341799843</v>
      </c>
      <c r="BJ5" s="9" t="n">
        <f aca="false">MIN($C$6:$C$25)*0.2*(MAX($C$6:$C$25)*3/(MIN($C$6:$C$25)*0.2))^(58/59)</f>
        <v>79.3540148887114</v>
      </c>
      <c r="BK5" s="9" t="n">
        <f aca="false">MIN($C$6:$C$25)*0.2*(MAX($C$6:$C$25)*3/(MIN($C$6:$C$25)*0.2))^(59/59)</f>
        <v>89.999984520949</v>
      </c>
    </row>
    <row r="6" customFormat="false" ht="15" hidden="false" customHeight="false" outlineLevel="0" collapsed="false">
      <c r="A6" s="0" t="n">
        <v>1</v>
      </c>
      <c r="B6" s="10" t="n">
        <f aca="false">EXP(Capas!$B$14*NORMSINV((A6-0.5)/20))</f>
        <v>0.0944444606878958</v>
      </c>
      <c r="C6" s="9" t="n">
        <f aca="false">(Capas!$B$15+1)/(2*B6)</f>
        <v>29.9999948403163</v>
      </c>
      <c r="D6" s="9" t="n">
        <f aca="false">IF(D$5&gt;=$C6,1,IF(ABS(Capas!$B$15-1)&lt;0.000001,$B6*D$5,(-1+SQRT(1+2*(Capas!$B$15-1)*$B6*D$5))/(Capas!$B$15-1)))</f>
        <v>0.0050085384817956</v>
      </c>
      <c r="E6" s="9" t="n">
        <f aca="false">IF(E$5&gt;=$C6,1,IF(ABS(Capas!$B$15-1)&lt;0.000001,$B6*E$5,(-1+SQRT(1+2*(Capas!$B$15-1)*$B6*E$5))/(Capas!$B$15-1)))</f>
        <v>0.00567361861435964</v>
      </c>
      <c r="F6" s="9" t="n">
        <f aca="false">IF(F$5&gt;=$C6,1,IF(ABS(Capas!$B$15-1)&lt;0.000001,$B6*F$5,(-1+SQRT(1+2*(Capas!$B$15-1)*$B6*F$5))/(Capas!$B$15-1)))</f>
        <v>0.00642600684485228</v>
      </c>
      <c r="G6" s="9" t="n">
        <f aca="false">IF(G$5&gt;=$C6,1,IF(ABS(Capas!$B$15-1)&lt;0.000001,$B6*G$5,(-1+SQRT(1+2*(Capas!$B$15-1)*$B6*G$5))/(Capas!$B$15-1)))</f>
        <v>0.0072768871765933</v>
      </c>
      <c r="H6" s="9" t="n">
        <f aca="false">IF(H$5&gt;=$C6,1,IF(ABS(Capas!$B$15-1)&lt;0.000001,$B6*H$5,(-1+SQRT(1+2*(Capas!$B$15-1)*$B6*H$5))/(Capas!$B$15-1)))</f>
        <v>0.00823880130834397</v>
      </c>
      <c r="I6" s="9" t="n">
        <f aca="false">IF(I$5&gt;=$C6,1,IF(ABS(Capas!$B$15-1)&lt;0.000001,$B6*I$5,(-1+SQRT(1+2*(Capas!$B$15-1)*$B6*I$5))/(Capas!$B$15-1)))</f>
        <v>0.00932579367248293</v>
      </c>
      <c r="J6" s="9" t="n">
        <f aca="false">IF(J$5&gt;=$C6,1,IF(ABS(Capas!$B$15-1)&lt;0.000001,$B6*J$5,(-1+SQRT(1+2*(Capas!$B$15-1)*$B6*J$5))/(Capas!$B$15-1)))</f>
        <v>0.0105535668735307</v>
      </c>
      <c r="K6" s="9" t="n">
        <f aca="false">IF(K$5&gt;=$C6,1,IF(ABS(Capas!$B$15-1)&lt;0.000001,$B6*K$5,(-1+SQRT(1+2*(Capas!$B$15-1)*$B6*K$5))/(Capas!$B$15-1)))</f>
        <v>0.0119396469546205</v>
      </c>
      <c r="L6" s="9" t="n">
        <f aca="false">IF(L$5&gt;=$C6,1,IF(ABS(Capas!$B$15-1)&lt;0.000001,$B6*L$5,(-1+SQRT(1+2*(Capas!$B$15-1)*$B6*L$5))/(Capas!$B$15-1)))</f>
        <v>0.0135035575131027</v>
      </c>
      <c r="M6" s="9" t="n">
        <f aca="false">IF(M$5&gt;=$C6,1,IF(ABS(Capas!$B$15-1)&lt;0.000001,$B6*M$5,(-1+SQRT(1+2*(Capas!$B$15-1)*$B6*M$5))/(Capas!$B$15-1)))</f>
        <v>0.0152670012094015</v>
      </c>
      <c r="N6" s="9" t="n">
        <f aca="false">IF(N$5&gt;=$C6,1,IF(ABS(Capas!$B$15-1)&lt;0.000001,$B6*N$5,(-1+SQRT(1+2*(Capas!$B$15-1)*$B6*N$5))/(Capas!$B$15-1)))</f>
        <v>0.0172540466726453</v>
      </c>
      <c r="O6" s="9" t="n">
        <f aca="false">IF(O$5&gt;=$C6,1,IF(ABS(Capas!$B$15-1)&lt;0.000001,$B6*O$5,(-1+SQRT(1+2*(Capas!$B$15-1)*$B6*O$5))/(Capas!$B$15-1)))</f>
        <v>0.0194913182183815</v>
      </c>
      <c r="P6" s="9" t="n">
        <f aca="false">IF(P$5&gt;=$C6,1,IF(ABS(Capas!$B$15-1)&lt;0.000001,$B6*P$5,(-1+SQRT(1+2*(Capas!$B$15-1)*$B6*P$5))/(Capas!$B$15-1)))</f>
        <v>0.0220081851850092</v>
      </c>
      <c r="Q6" s="9" t="n">
        <f aca="false">IF(Q$5&gt;=$C6,1,IF(ABS(Capas!$B$15-1)&lt;0.000001,$B6*Q$5,(-1+SQRT(1+2*(Capas!$B$15-1)*$B6*Q$5))/(Capas!$B$15-1)))</f>
        <v>0.024836947106819</v>
      </c>
      <c r="R6" s="9" t="n">
        <f aca="false">IF(R$5&gt;=$C6,1,IF(ABS(Capas!$B$15-1)&lt;0.000001,$B6*R$5,(-1+SQRT(1+2*(Capas!$B$15-1)*$B6*R$5))/(Capas!$B$15-1)))</f>
        <v>0.0280130104275578</v>
      </c>
      <c r="S6" s="9" t="n">
        <f aca="false">IF(S$5&gt;=$C6,1,IF(ABS(Capas!$B$15-1)&lt;0.000001,$B6*S$5,(-1+SQRT(1+2*(Capas!$B$15-1)*$B6*S$5))/(Capas!$B$15-1)))</f>
        <v>0.0315750520880341</v>
      </c>
      <c r="T6" s="9" t="n">
        <f aca="false">IF(T$5&gt;=$C6,1,IF(ABS(Capas!$B$15-1)&lt;0.000001,$B6*T$5,(-1+SQRT(1+2*(Capas!$B$15-1)*$B6*T$5))/(Capas!$B$15-1)))</f>
        <v>0.0355651651742215</v>
      </c>
      <c r="U6" s="9" t="n">
        <f aca="false">IF(U$5&gt;=$C6,1,IF(ABS(Capas!$B$15-1)&lt;0.000001,$B6*U$5,(-1+SQRT(1+2*(Capas!$B$15-1)*$B6*U$5))/(Capas!$B$15-1)))</f>
        <v>0.0400289819732153</v>
      </c>
      <c r="V6" s="9" t="n">
        <f aca="false">IF(V$5&gt;=$C6,1,IF(ABS(Capas!$B$15-1)&lt;0.000001,$B6*V$5,(-1+SQRT(1+2*(Capas!$B$15-1)*$B6*V$5))/(Capas!$B$15-1)))</f>
        <v>0.0450157703328284</v>
      </c>
      <c r="W6" s="9" t="n">
        <f aca="false">IF(W$5&gt;=$C6,1,IF(ABS(Capas!$B$15-1)&lt;0.000001,$B6*W$5,(-1+SQRT(1+2*(Capas!$B$15-1)*$B6*W$5))/(Capas!$B$15-1)))</f>
        <v>0.0505785002177829</v>
      </c>
      <c r="X6" s="9" t="n">
        <f aca="false">IF(X$5&gt;=$C6,1,IF(ABS(Capas!$B$15-1)&lt;0.000001,$B6*X$5,(-1+SQRT(1+2*(Capas!$B$15-1)*$B6*X$5))/(Capas!$B$15-1)))</f>
        <v>0.0567738788286197</v>
      </c>
      <c r="Y6" s="9" t="n">
        <f aca="false">IF(Y$5&gt;=$C6,1,IF(ABS(Capas!$B$15-1)&lt;0.000001,$B6*Y$5,(-1+SQRT(1+2*(Capas!$B$15-1)*$B6*Y$5))/(Capas!$B$15-1)))</f>
        <v>0.0636623545762693</v>
      </c>
      <c r="Z6" s="9" t="n">
        <f aca="false">IF(Z$5&gt;=$C6,1,IF(ABS(Capas!$B$15-1)&lt;0.000001,$B6*Z$5,(-1+SQRT(1+2*(Capas!$B$15-1)*$B6*Z$5))/(Capas!$B$15-1)))</f>
        <v>0.0713080925017153</v>
      </c>
      <c r="AA6" s="9" t="n">
        <f aca="false">IF(AA$5&gt;=$C6,1,IF(ABS(Capas!$B$15-1)&lt;0.000001,$B6*AA$5,(-1+SQRT(1+2*(Capas!$B$15-1)*$B6*AA$5))/(Capas!$B$15-1)))</f>
        <v>0.0797789262460353</v>
      </c>
      <c r="AB6" s="9" t="n">
        <f aca="false">IF(AB$5&gt;=$C6,1,IF(ABS(Capas!$B$15-1)&lt;0.000001,$B6*AB$5,(-1+SQRT(1+2*(Capas!$B$15-1)*$B6*AB$5))/(Capas!$B$15-1)))</f>
        <v>0.0891462942012845</v>
      </c>
      <c r="AC6" s="9" t="n">
        <f aca="false">IF(AC$5&gt;=$C6,1,IF(ABS(Capas!$B$15-1)&lt;0.000001,$B6*AC$5,(-1+SQRT(1+2*(Capas!$B$15-1)*$B6*AC$5))/(Capas!$B$15-1)))</f>
        <v>0.0994851697570523</v>
      </c>
      <c r="AD6" s="9" t="n">
        <f aca="false">IF(AD$5&gt;=$C6,1,IF(ABS(Capas!$B$15-1)&lt;0.000001,$B6*AD$5,(-1+SQRT(1+2*(Capas!$B$15-1)*$B6*AD$5))/(Capas!$B$15-1)))</f>
        <v>0.110873997342833</v>
      </c>
      <c r="AE6" s="9" t="n">
        <f aca="false">IF(AE$5&gt;=$C6,1,IF(ABS(Capas!$B$15-1)&lt;0.000001,$B6*AE$5,(-1+SQRT(1+2*(Capas!$B$15-1)*$B6*AE$5))/(Capas!$B$15-1)))</f>
        <v>0.123394647025942</v>
      </c>
      <c r="AF6" s="9" t="n">
        <f aca="false">IF(AF$5&gt;=$C6,1,IF(ABS(Capas!$B$15-1)&lt;0.000001,$B6*AF$5,(-1+SQRT(1+2*(Capas!$B$15-1)*$B6*AF$5))/(Capas!$B$15-1)))</f>
        <v>0.1371324006037</v>
      </c>
      <c r="AG6" s="9" t="n">
        <f aca="false">IF(AG$5&gt;=$C6,1,IF(ABS(Capas!$B$15-1)&lt;0.000001,$B6*AG$5,(-1+SQRT(1+2*(Capas!$B$15-1)*$B6*AG$5))/(Capas!$B$15-1)))</f>
        <v>0.152175981374974</v>
      </c>
      <c r="AH6" s="9" t="n">
        <f aca="false">IF(AH$5&gt;=$C6,1,IF(ABS(Capas!$B$15-1)&lt;0.000001,$B6*AH$5,(-1+SQRT(1+2*(Capas!$B$15-1)*$B6*AH$5))/(Capas!$B$15-1)))</f>
        <v>0.168617638155522</v>
      </c>
      <c r="AI6" s="9" t="n">
        <f aca="false">IF(AI$5&gt;=$C6,1,IF(ABS(Capas!$B$15-1)&lt;0.000001,$B6*AI$5,(-1+SQRT(1+2*(Capas!$B$15-1)*$B6*AI$5))/(Capas!$B$15-1)))</f>
        <v>0.186553291789822</v>
      </c>
      <c r="AJ6" s="9" t="n">
        <f aca="false">IF(AJ$5&gt;=$C6,1,IF(ABS(Capas!$B$15-1)&lt;0.000001,$B6*AJ$5,(-1+SQRT(1+2*(Capas!$B$15-1)*$B6*AJ$5))/(Capas!$B$15-1)))</f>
        <v>0.206082749668432</v>
      </c>
      <c r="AK6" s="9" t="n">
        <f aca="false">IF(AK$5&gt;=$C6,1,IF(ABS(Capas!$B$15-1)&lt;0.000001,$B6*AK$5,(-1+SQRT(1+2*(Capas!$B$15-1)*$B6*AK$5))/(Capas!$B$15-1)))</f>
        <v>0.227309990884485</v>
      </c>
      <c r="AL6" s="9" t="n">
        <f aca="false">IF(AL$5&gt;=$C6,1,IF(ABS(Capas!$B$15-1)&lt;0.000001,$B6*AL$5,(-1+SQRT(1+2*(Capas!$B$15-1)*$B6*AL$5))/(Capas!$B$15-1)))</f>
        <v>0.250343521949664</v>
      </c>
      <c r="AM6" s="9" t="n">
        <f aca="false">IF(AM$5&gt;=$C6,1,IF(ABS(Capas!$B$15-1)&lt;0.000001,$B6*AM$5,(-1+SQRT(1+2*(Capas!$B$15-1)*$B6*AM$5))/(Capas!$B$15-1)))</f>
        <v>0.275296800684808</v>
      </c>
      <c r="AN6" s="9" t="n">
        <f aca="false">IF(AN$5&gt;=$C6,1,IF(ABS(Capas!$B$15-1)&lt;0.000001,$B6*AN$5,(-1+SQRT(1+2*(Capas!$B$15-1)*$B6*AN$5))/(Capas!$B$15-1)))</f>
        <v>0.302288724171871</v>
      </c>
      <c r="AO6" s="9" t="n">
        <f aca="false">IF(AO$5&gt;=$C6,1,IF(ABS(Capas!$B$15-1)&lt;0.000001,$B6*AO$5,(-1+SQRT(1+2*(Capas!$B$15-1)*$B6*AO$5))/(Capas!$B$15-1)))</f>
        <v>0.331444175582054</v>
      </c>
      <c r="AP6" s="9" t="n">
        <f aca="false">IF(AP$5&gt;=$C6,1,IF(ABS(Capas!$B$15-1)&lt;0.000001,$B6*AP$5,(-1+SQRT(1+2*(Capas!$B$15-1)*$B6*AP$5))/(Capas!$B$15-1)))</f>
        <v>0.36289462427491</v>
      </c>
      <c r="AQ6" s="9" t="n">
        <f aca="false">IF(AQ$5&gt;=$C6,1,IF(ABS(Capas!$B$15-1)&lt;0.000001,$B6*AQ$5,(-1+SQRT(1+2*(Capas!$B$15-1)*$B6*AQ$5))/(Capas!$B$15-1)))</f>
        <v>0.396778773722946</v>
      </c>
      <c r="AR6" s="9" t="n">
        <f aca="false">IF(AR$5&gt;=$C6,1,IF(ABS(Capas!$B$15-1)&lt;0.000001,$B6*AR$5,(-1+SQRT(1+2*(Capas!$B$15-1)*$B6*AR$5))/(Capas!$B$15-1)))</f>
        <v>0.433243252439812</v>
      </c>
      <c r="AS6" s="9" t="n">
        <f aca="false">IF(AS$5&gt;=$C6,1,IF(ABS(Capas!$B$15-1)&lt;0.000001,$B6*AS$5,(-1+SQRT(1+2*(Capas!$B$15-1)*$B6*AS$5))/(Capas!$B$15-1)))</f>
        <v>0.472443344042115</v>
      </c>
      <c r="AT6" s="9" t="n">
        <f aca="false">IF(AT$5&gt;=$C6,1,IF(ABS(Capas!$B$15-1)&lt;0.000001,$B6*AT$5,(-1+SQRT(1+2*(Capas!$B$15-1)*$B6*AT$5))/(Capas!$B$15-1)))</f>
        <v>0.514543753721424</v>
      </c>
      <c r="AU6" s="9" t="n">
        <f aca="false">IF(AU$5&gt;=$C6,1,IF(ABS(Capas!$B$15-1)&lt;0.000001,$B6*AU$5,(-1+SQRT(1+2*(Capas!$B$15-1)*$B6*AU$5))/(Capas!$B$15-1)))</f>
        <v>0.559719409626621</v>
      </c>
      <c r="AV6" s="9" t="n">
        <f aca="false">IF(AV$5&gt;=$C6,1,IF(ABS(Capas!$B$15-1)&lt;0.000001,$B6*AV$5,(-1+SQRT(1+2*(Capas!$B$15-1)*$B6*AV$5))/(Capas!$B$15-1)))</f>
        <v>0.608156298865033</v>
      </c>
      <c r="AW6" s="9" t="n">
        <f aca="false">IF(AW$5&gt;=$C6,1,IF(ABS(Capas!$B$15-1)&lt;0.000001,$B6*AW$5,(-1+SQRT(1+2*(Capas!$B$15-1)*$B6*AW$5))/(Capas!$B$15-1)))</f>
        <v>0.660052338958754</v>
      </c>
      <c r="AX6" s="9" t="n">
        <f aca="false">IF(AX$5&gt;=$C6,1,IF(ABS(Capas!$B$15-1)&lt;0.000001,$B6*AX$5,(-1+SQRT(1+2*(Capas!$B$15-1)*$B6*AX$5))/(Capas!$B$15-1)))</f>
        <v>0.715618286601545</v>
      </c>
      <c r="AY6" s="9" t="n">
        <f aca="false">IF(AY$5&gt;=$C6,1,IF(ABS(Capas!$B$15-1)&lt;0.000001,$B6*AY$5,(-1+SQRT(1+2*(Capas!$B$15-1)*$B6*AY$5))/(Capas!$B$15-1)))</f>
        <v>0.775078686434731</v>
      </c>
      <c r="AZ6" s="9" t="n">
        <f aca="false">IF(AZ$5&gt;=$C6,1,IF(ABS(Capas!$B$15-1)&lt;0.000001,$B6*AZ$5,(-1+SQRT(1+2*(Capas!$B$15-1)*$B6*AZ$5))/(Capas!$B$15-1)))</f>
        <v>0.838672863297443</v>
      </c>
      <c r="BA6" s="9" t="n">
        <f aca="false">IF(BA$5&gt;=$C6,1,IF(ABS(Capas!$B$15-1)&lt;0.000001,$B6*BA$5,(-1+SQRT(1+2*(Capas!$B$15-1)*$B6*BA$5))/(Capas!$B$15-1)))</f>
        <v>0.906655962018496</v>
      </c>
      <c r="BB6" s="9" t="n">
        <f aca="false">IF(BB$5&gt;=$C6,1,IF(ABS(Capas!$B$15-1)&lt;0.000001,$B6*BB$5,(-1+SQRT(1+2*(Capas!$B$15-1)*$B6*BB$5))/(Capas!$B$15-1)))</f>
        <v>0.979300039322132</v>
      </c>
      <c r="BC6" s="9" t="n">
        <f aca="false">IF(BC$5&gt;=$C6,1,IF(ABS(Capas!$B$15-1)&lt;0.000001,$B6*BC$5,(-1+SQRT(1+2*(Capas!$B$15-1)*$B6*BC$5))/(Capas!$B$15-1)))</f>
        <v>1</v>
      </c>
      <c r="BD6" s="9" t="n">
        <f aca="false">IF(BD$5&gt;=$C6,1,IF(ABS(Capas!$B$15-1)&lt;0.000001,$B6*BD$5,(-1+SQRT(1+2*(Capas!$B$15-1)*$B6*BD$5))/(Capas!$B$15-1)))</f>
        <v>1</v>
      </c>
      <c r="BE6" s="9" t="n">
        <f aca="false">IF(BE$5&gt;=$C6,1,IF(ABS(Capas!$B$15-1)&lt;0.000001,$B6*BE$5,(-1+SQRT(1+2*(Capas!$B$15-1)*$B6*BE$5))/(Capas!$B$15-1)))</f>
        <v>1</v>
      </c>
      <c r="BF6" s="9" t="n">
        <f aca="false">IF(BF$5&gt;=$C6,1,IF(ABS(Capas!$B$15-1)&lt;0.000001,$B6*BF$5,(-1+SQRT(1+2*(Capas!$B$15-1)*$B6*BF$5))/(Capas!$B$15-1)))</f>
        <v>1</v>
      </c>
      <c r="BG6" s="9" t="n">
        <f aca="false">IF(BG$5&gt;=$C6,1,IF(ABS(Capas!$B$15-1)&lt;0.000001,$B6*BG$5,(-1+SQRT(1+2*(Capas!$B$15-1)*$B6*BG$5))/(Capas!$B$15-1)))</f>
        <v>1</v>
      </c>
      <c r="BH6" s="9" t="n">
        <f aca="false">IF(BH$5&gt;=$C6,1,IF(ABS(Capas!$B$15-1)&lt;0.000001,$B6*BH$5,(-1+SQRT(1+2*(Capas!$B$15-1)*$B6*BH$5))/(Capas!$B$15-1)))</f>
        <v>1</v>
      </c>
      <c r="BI6" s="9" t="n">
        <f aca="false">IF(BI$5&gt;=$C6,1,IF(ABS(Capas!$B$15-1)&lt;0.000001,$B6*BI$5,(-1+SQRT(1+2*(Capas!$B$15-1)*$B6*BI$5))/(Capas!$B$15-1)))</f>
        <v>1</v>
      </c>
      <c r="BJ6" s="9" t="n">
        <f aca="false">IF(BJ$5&gt;=$C6,1,IF(ABS(Capas!$B$15-1)&lt;0.000001,$B6*BJ$5,(-1+SQRT(1+2*(Capas!$B$15-1)*$B6*BJ$5))/(Capas!$B$15-1)))</f>
        <v>1</v>
      </c>
      <c r="BK6" s="9" t="n">
        <f aca="false">IF(BK$5&gt;=$C6,1,IF(ABS(Capas!$B$15-1)&lt;0.000001,$B6*BK$5,(-1+SQRT(1+2*(Capas!$B$15-1)*$B6*BK$5))/(Capas!$B$15-1)))</f>
        <v>1</v>
      </c>
    </row>
    <row r="7" customFormat="false" ht="15" hidden="false" customHeight="false" outlineLevel="0" collapsed="false">
      <c r="A7" s="0" t="n">
        <v>2</v>
      </c>
      <c r="B7" s="10" t="n">
        <f aca="false">EXP(Capas!$B$14*NORMSINV((A7-0.5)/20))</f>
        <v>0.176725651222912</v>
      </c>
      <c r="C7" s="9" t="n">
        <f aca="false">(Capas!$B$15+1)/(2*B7)</f>
        <v>16.0323830396275</v>
      </c>
      <c r="D7" s="9" t="n">
        <f aca="false">IF(D$5&gt;=$C7,1,IF(ABS(Capas!$B$15-1)&lt;0.000001,$B7*D$5,(-1+SQRT(1+2*(Capas!$B$15-1)*$B7*D$5))/(Capas!$B$15-1)))</f>
        <v>0.00929954710761774</v>
      </c>
      <c r="E7" s="9" t="n">
        <f aca="false">IF(E$5&gt;=$C7,1,IF(ABS(Capas!$B$15-1)&lt;0.000001,$B7*E$5,(-1+SQRT(1+2*(Capas!$B$15-1)*$B7*E$5))/(Capas!$B$15-1)))</f>
        <v>0.0105239279696057</v>
      </c>
      <c r="F7" s="9" t="n">
        <f aca="false">IF(F$5&gt;=$C7,1,IF(ABS(Capas!$B$15-1)&lt;0.000001,$B7*F$5,(-1+SQRT(1+2*(Capas!$B$15-1)*$B7*F$5))/(Capas!$B$15-1)))</f>
        <v>0.0119061952182066</v>
      </c>
      <c r="G7" s="9" t="n">
        <f aca="false">IF(G$5&gt;=$C7,1,IF(ABS(Capas!$B$15-1)&lt;0.000001,$B7*G$5,(-1+SQRT(1+2*(Capas!$B$15-1)*$B7*G$5))/(Capas!$B$15-1)))</f>
        <v>0.0134658249856893</v>
      </c>
      <c r="H7" s="9" t="n">
        <f aca="false">IF(H$5&gt;=$C7,1,IF(ABS(Capas!$B$15-1)&lt;0.000001,$B7*H$5,(-1+SQRT(1+2*(Capas!$B$15-1)*$B7*H$5))/(Capas!$B$15-1)))</f>
        <v>0.0152244682669816</v>
      </c>
      <c r="I7" s="9" t="n">
        <f aca="false">IF(I$5&gt;=$C7,1,IF(ABS(Capas!$B$15-1)&lt;0.000001,$B7*I$5,(-1+SQRT(1+2*(Capas!$B$15-1)*$B7*I$5))/(Capas!$B$15-1)))</f>
        <v>0.0172061377289069</v>
      </c>
      <c r="J7" s="9" t="n">
        <f aca="false">IF(J$5&gt;=$C7,1,IF(ABS(Capas!$B$15-1)&lt;0.000001,$B7*J$5,(-1+SQRT(1+2*(Capas!$B$15-1)*$B7*J$5))/(Capas!$B$15-1)))</f>
        <v>0.0194373973970977</v>
      </c>
      <c r="K7" s="9" t="n">
        <f aca="false">IF(K$5&gt;=$C7,1,IF(ABS(Capas!$B$15-1)&lt;0.000001,$B7*K$5,(-1+SQRT(1+2*(Capas!$B$15-1)*$B7*K$5))/(Capas!$B$15-1)))</f>
        <v>0.0219475520410358</v>
      </c>
      <c r="L7" s="9" t="n">
        <f aca="false">IF(L$5&gt;=$C7,1,IF(ABS(Capas!$B$15-1)&lt;0.000001,$B7*L$5,(-1+SQRT(1+2*(Capas!$B$15-1)*$B7*L$5))/(Capas!$B$15-1)))</f>
        <v>0.0247688324879106</v>
      </c>
      <c r="M7" s="9" t="n">
        <f aca="false">IF(M$5&gt;=$C7,1,IF(ABS(Capas!$B$15-1)&lt;0.000001,$B7*M$5,(-1+SQRT(1+2*(Capas!$B$15-1)*$B7*M$5))/(Capas!$B$15-1)))</f>
        <v>0.0279365725796038</v>
      </c>
      <c r="N7" s="9" t="n">
        <f aca="false">IF(N$5&gt;=$C7,1,IF(ABS(Capas!$B$15-1)&lt;0.000001,$B7*N$5,(-1+SQRT(1+2*(Capas!$B$15-1)*$B7*N$5))/(Capas!$B$15-1)))</f>
        <v>0.0314893731125795</v>
      </c>
      <c r="O7" s="9" t="n">
        <f aca="false">IF(O$5&gt;=$C7,1,IF(ABS(Capas!$B$15-1)&lt;0.000001,$B7*O$5,(-1+SQRT(1+2*(Capas!$B$15-1)*$B7*O$5))/(Capas!$B$15-1)))</f>
        <v>0.0354692479473801</v>
      </c>
      <c r="P7" s="9" t="n">
        <f aca="false">IF(P$5&gt;=$C7,1,IF(ABS(Capas!$B$15-1)&lt;0.000001,$B7*P$5,(-1+SQRT(1+2*(Capas!$B$15-1)*$B7*P$5))/(Capas!$B$15-1)))</f>
        <v>0.0399217476273894</v>
      </c>
      <c r="Q7" s="9" t="n">
        <f aca="false">IF(Q$5&gt;=$C7,1,IF(ABS(Capas!$B$15-1)&lt;0.000001,$B7*Q$5,(-1+SQRT(1+2*(Capas!$B$15-1)*$B7*Q$5))/(Capas!$B$15-1)))</f>
        <v>0.0448960563853526</v>
      </c>
      <c r="R7" s="9" t="n">
        <f aca="false">IF(R$5&gt;=$C7,1,IF(ABS(Capas!$B$15-1)&lt;0.000001,$B7*R$5,(-1+SQRT(1+2*(Capas!$B$15-1)*$B7*R$5))/(Capas!$B$15-1)))</f>
        <v>0.0504450594026415</v>
      </c>
      <c r="S7" s="9" t="n">
        <f aca="false">IF(S$5&gt;=$C7,1,IF(ABS(Capas!$B$15-1)&lt;0.000001,$B7*S$5,(-1+SQRT(1+2*(Capas!$B$15-1)*$B7*S$5))/(Capas!$B$15-1)))</f>
        <v>0.0566253786486097</v>
      </c>
      <c r="T7" s="9" t="n">
        <f aca="false">IF(T$5&gt;=$C7,1,IF(ABS(Capas!$B$15-1)&lt;0.000001,$B7*T$5,(-1+SQRT(1+2*(Capas!$B$15-1)*$B7*T$5))/(Capas!$B$15-1)))</f>
        <v>0.0634973775445686</v>
      </c>
      <c r="U7" s="9" t="n">
        <f aca="false">IF(U$5&gt;=$C7,1,IF(ABS(Capas!$B$15-1)&lt;0.000001,$B7*U$5,(-1+SQRT(1+2*(Capas!$B$15-1)*$B7*U$5))/(Capas!$B$15-1)))</f>
        <v>0.0711251369864074</v>
      </c>
      <c r="V7" s="9" t="n">
        <f aca="false">IF(V$5&gt;=$C7,1,IF(ABS(Capas!$B$15-1)&lt;0.000001,$B7*V$5,(-1+SQRT(1+2*(Capas!$B$15-1)*$B7*V$5))/(Capas!$B$15-1)))</f>
        <v>0.0795764077728781</v>
      </c>
      <c r="W7" s="9" t="n">
        <f aca="false">IF(W$5&gt;=$C7,1,IF(ABS(Capas!$B$15-1)&lt;0.000001,$B7*W$5,(-1+SQRT(1+2*(Capas!$B$15-1)*$B7*W$5))/(Capas!$B$15-1)))</f>
        <v>0.0889225470142136</v>
      </c>
      <c r="X7" s="9" t="n">
        <f aca="false">IF(X$5&gt;=$C7,1,IF(ABS(Capas!$B$15-1)&lt;0.000001,$B7*X$5,(-1+SQRT(1+2*(Capas!$B$15-1)*$B7*X$5))/(Capas!$B$15-1)))</f>
        <v>0.0992384483885122</v>
      </c>
      <c r="Y7" s="9" t="n">
        <f aca="false">IF(Y$5&gt;=$C7,1,IF(ABS(Capas!$B$15-1)&lt;0.000001,$B7*Y$5,(-1+SQRT(1+2*(Capas!$B$15-1)*$B7*Y$5))/(Capas!$B$15-1)))</f>
        <v>0.110602477912704</v>
      </c>
      <c r="Z7" s="9" t="n">
        <f aca="false">IF(Z$5&gt;=$C7,1,IF(ABS(Capas!$B$15-1)&lt;0.000001,$B7*Z$5,(-1+SQRT(1+2*(Capas!$B$15-1)*$B7*Z$5))/(Capas!$B$15-1)))</f>
        <v>0.123096427973098</v>
      </c>
      <c r="AA7" s="9" t="n">
        <f aca="false">IF(AA$5&gt;=$C7,1,IF(ABS(Capas!$B$15-1)&lt;0.000001,$B7*AA$5,(-1+SQRT(1+2*(Capas!$B$15-1)*$B7*AA$5))/(Capas!$B$15-1)))</f>
        <v>0.136805502560543</v>
      </c>
      <c r="AB7" s="9" t="n">
        <f aca="false">IF(AB$5&gt;=$C7,1,IF(ABS(Capas!$B$15-1)&lt;0.000001,$B7*AB$5,(-1+SQRT(1+2*(Capas!$B$15-1)*$B7*AB$5))/(Capas!$B$15-1)))</f>
        <v>0.151818345922569</v>
      </c>
      <c r="AC7" s="9" t="n">
        <f aca="false">IF(AC$5&gt;=$C7,1,IF(ABS(Capas!$B$15-1)&lt;0.000001,$B7*AC$5,(-1+SQRT(1+2*(Capas!$B$15-1)*$B7*AC$5))/(Capas!$B$15-1)))</f>
        <v>0.168227125242375</v>
      </c>
      <c r="AD7" s="9" t="n">
        <f aca="false">IF(AD$5&gt;=$C7,1,IF(ABS(Capas!$B$15-1)&lt;0.000001,$B7*AD$5,(-1+SQRT(1+2*(Capas!$B$15-1)*$B7*AD$5))/(Capas!$B$15-1)))</f>
        <v>0.186127675655873</v>
      </c>
      <c r="AE7" s="9" t="n">
        <f aca="false">IF(AE$5&gt;=$C7,1,IF(ABS(Capas!$B$15-1)&lt;0.000001,$B7*AE$5,(-1+SQRT(1+2*(Capas!$B$15-1)*$B7*AE$5))/(Capas!$B$15-1)))</f>
        <v>0.205619713180913</v>
      </c>
      <c r="AF7" s="9" t="n">
        <f aca="false">IF(AF$5&gt;=$C7,1,IF(ABS(Capas!$B$15-1)&lt;0.000001,$B7*AF$5,(-1+SQRT(1+2*(Capas!$B$15-1)*$B7*AF$5))/(Capas!$B$15-1)))</f>
        <v>0.226807118257003</v>
      </c>
      <c r="AG7" s="9" t="n">
        <f aca="false">IF(AG$5&gt;=$C7,1,IF(ABS(Capas!$B$15-1)&lt;0.000001,$B7*AG$5,(-1+SQRT(1+2*(Capas!$B$15-1)*$B7*AG$5))/(Capas!$B$15-1)))</f>
        <v>0.249798289873878</v>
      </c>
      <c r="AH7" s="9" t="n">
        <f aca="false">IF(AH$5&gt;=$C7,1,IF(ABS(Capas!$B$15-1)&lt;0.000001,$B7*AH$5,(-1+SQRT(1+2*(Capas!$B$15-1)*$B7*AH$5))/(Capas!$B$15-1)))</f>
        <v>0.274706567950635</v>
      </c>
      <c r="AI7" s="9" t="n">
        <f aca="false">IF(AI$5&gt;=$C7,1,IF(ABS(Capas!$B$15-1)&lt;0.000001,$B7*AI$5,(-1+SQRT(1+2*(Capas!$B$15-1)*$B7*AI$5))/(Capas!$B$15-1)))</f>
        <v>0.301650719884299</v>
      </c>
      <c r="AJ7" s="9" t="n">
        <f aca="false">IF(AJ$5&gt;=$C7,1,IF(ABS(Capas!$B$15-1)&lt;0.000001,$B7*AJ$5,(-1+SQRT(1+2*(Capas!$B$15-1)*$B7*AJ$5))/(Capas!$B$15-1)))</f>
        <v>0.330755486099652</v>
      </c>
      <c r="AK7" s="9" t="n">
        <f aca="false">IF(AK$5&gt;=$C7,1,IF(ABS(Capas!$B$15-1)&lt;0.000001,$B7*AK$5,(-1+SQRT(1+2*(Capas!$B$15-1)*$B7*AK$5))/(Capas!$B$15-1)))</f>
        <v>0.362152178997861</v>
      </c>
      <c r="AL7" s="9" t="n">
        <f aca="false">IF(AL$5&gt;=$C7,1,IF(ABS(Capas!$B$15-1)&lt;0.000001,$B7*AL$5,(-1+SQRT(1+2*(Capas!$B$15-1)*$B7*AL$5))/(Capas!$B$15-1)))</f>
        <v>0.395979329849123</v>
      </c>
      <c r="AM7" s="9" t="n">
        <f aca="false">IF(AM$5&gt;=$C7,1,IF(ABS(Capas!$B$15-1)&lt;0.000001,$B7*AM$5,(-1+SQRT(1+2*(Capas!$B$15-1)*$B7*AM$5))/(Capas!$B$15-1)))</f>
        <v>0.43238337878907</v>
      </c>
      <c r="AN7" s="9" t="n">
        <f aca="false">IF(AN$5&gt;=$C7,1,IF(ABS(Capas!$B$15-1)&lt;0.000001,$B7*AN$5,(-1+SQRT(1+2*(Capas!$B$15-1)*$B7*AN$5))/(Capas!$B$15-1)))</f>
        <v>0.471519404024637</v>
      </c>
      <c r="AO7" s="9" t="n">
        <f aca="false">IF(AO$5&gt;=$C7,1,IF(ABS(Capas!$B$15-1)&lt;0.000001,$B7*AO$5,(-1+SQRT(1+2*(Capas!$B$15-1)*$B7*AO$5))/(Capas!$B$15-1)))</f>
        <v>0.513551887498597</v>
      </c>
      <c r="AP7" s="9" t="n">
        <f aca="false">IF(AP$5&gt;=$C7,1,IF(ABS(Capas!$B$15-1)&lt;0.000001,$B7*AP$5,(-1+SQRT(1+2*(Capas!$B$15-1)*$B7*AP$5))/(Capas!$B$15-1)))</f>
        <v>0.558655515484956</v>
      </c>
      <c r="AQ7" s="9" t="n">
        <f aca="false">IF(AQ$5&gt;=$C7,1,IF(ABS(Capas!$B$15-1)&lt;0.000001,$B7*AQ$5,(-1+SQRT(1+2*(Capas!$B$15-1)*$B7*AQ$5))/(Capas!$B$15-1)))</f>
        <v>0.607016013796816</v>
      </c>
      <c r="AR7" s="9" t="n">
        <f aca="false">IF(AR$5&gt;=$C7,1,IF(ABS(Capas!$B$15-1)&lt;0.000001,$B7*AR$5,(-1+SQRT(1+2*(Capas!$B$15-1)*$B7*AR$5))/(Capas!$B$15-1)))</f>
        <v>0.65883101841867</v>
      </c>
      <c r="AS7" s="9" t="n">
        <f aca="false">IF(AS$5&gt;=$C7,1,IF(ABS(Capas!$B$15-1)&lt;0.000001,$B7*AS$5,(-1+SQRT(1+2*(Capas!$B$15-1)*$B7*AS$5))/(Capas!$B$15-1)))</f>
        <v>0.714310983387034</v>
      </c>
      <c r="AT7" s="9" t="n">
        <f aca="false">IF(AT$5&gt;=$C7,1,IF(ABS(Capas!$B$15-1)&lt;0.000001,$B7*AT$5,(-1+SQRT(1+2*(Capas!$B$15-1)*$B7*AT$5))/(Capas!$B$15-1)))</f>
        <v>0.773680128619489</v>
      </c>
      <c r="AU7" s="9" t="n">
        <f aca="false">IF(AU$5&gt;=$C7,1,IF(ABS(Capas!$B$15-1)&lt;0.000001,$B7*AU$5,(-1+SQRT(1+2*(Capas!$B$15-1)*$B7*AU$5))/(Capas!$B$15-1)))</f>
        <v>0.837177431132178</v>
      </c>
      <c r="AV7" s="9" t="n">
        <f aca="false">IF(AV$5&gt;=$C7,1,IF(ABS(Capas!$B$15-1)&lt;0.000001,$B7*AV$5,(-1+SQRT(1+2*(Capas!$B$15-1)*$B7*AV$5))/(Capas!$B$15-1)))</f>
        <v>0.905057663700352</v>
      </c>
      <c r="AW7" s="9" t="n">
        <f aca="false">IF(AW$5&gt;=$C7,1,IF(ABS(Capas!$B$15-1)&lt;0.000001,$B7*AW$5,(-1+SQRT(1+2*(Capas!$B$15-1)*$B7*AW$5))/(Capas!$B$15-1)))</f>
        <v>0.977592485523771</v>
      </c>
      <c r="AX7" s="9" t="n">
        <f aca="false">IF(AX$5&gt;=$C7,1,IF(ABS(Capas!$B$15-1)&lt;0.000001,$B7*AX$5,(-1+SQRT(1+2*(Capas!$B$15-1)*$B7*AX$5))/(Capas!$B$15-1)))</f>
        <v>1</v>
      </c>
      <c r="AY7" s="9" t="n">
        <f aca="false">IF(AY$5&gt;=$C7,1,IF(ABS(Capas!$B$15-1)&lt;0.000001,$B7*AY$5,(-1+SQRT(1+2*(Capas!$B$15-1)*$B7*AY$5))/(Capas!$B$15-1)))</f>
        <v>1</v>
      </c>
      <c r="AZ7" s="9" t="n">
        <f aca="false">IF(AZ$5&gt;=$C7,1,IF(ABS(Capas!$B$15-1)&lt;0.000001,$B7*AZ$5,(-1+SQRT(1+2*(Capas!$B$15-1)*$B7*AZ$5))/(Capas!$B$15-1)))</f>
        <v>1</v>
      </c>
      <c r="BA7" s="9" t="n">
        <f aca="false">IF(BA$5&gt;=$C7,1,IF(ABS(Capas!$B$15-1)&lt;0.000001,$B7*BA$5,(-1+SQRT(1+2*(Capas!$B$15-1)*$B7*BA$5))/(Capas!$B$15-1)))</f>
        <v>1</v>
      </c>
      <c r="BB7" s="9" t="n">
        <f aca="false">IF(BB$5&gt;=$C7,1,IF(ABS(Capas!$B$15-1)&lt;0.000001,$B7*BB$5,(-1+SQRT(1+2*(Capas!$B$15-1)*$B7*BB$5))/(Capas!$B$15-1)))</f>
        <v>1</v>
      </c>
      <c r="BC7" s="9" t="n">
        <f aca="false">IF(BC$5&gt;=$C7,1,IF(ABS(Capas!$B$15-1)&lt;0.000001,$B7*BC$5,(-1+SQRT(1+2*(Capas!$B$15-1)*$B7*BC$5))/(Capas!$B$15-1)))</f>
        <v>1</v>
      </c>
      <c r="BD7" s="9" t="n">
        <f aca="false">IF(BD$5&gt;=$C7,1,IF(ABS(Capas!$B$15-1)&lt;0.000001,$B7*BD$5,(-1+SQRT(1+2*(Capas!$B$15-1)*$B7*BD$5))/(Capas!$B$15-1)))</f>
        <v>1</v>
      </c>
      <c r="BE7" s="9" t="n">
        <f aca="false">IF(BE$5&gt;=$C7,1,IF(ABS(Capas!$B$15-1)&lt;0.000001,$B7*BE$5,(-1+SQRT(1+2*(Capas!$B$15-1)*$B7*BE$5))/(Capas!$B$15-1)))</f>
        <v>1</v>
      </c>
      <c r="BF7" s="9" t="n">
        <f aca="false">IF(BF$5&gt;=$C7,1,IF(ABS(Capas!$B$15-1)&lt;0.000001,$B7*BF$5,(-1+SQRT(1+2*(Capas!$B$15-1)*$B7*BF$5))/(Capas!$B$15-1)))</f>
        <v>1</v>
      </c>
      <c r="BG7" s="9" t="n">
        <f aca="false">IF(BG$5&gt;=$C7,1,IF(ABS(Capas!$B$15-1)&lt;0.000001,$B7*BG$5,(-1+SQRT(1+2*(Capas!$B$15-1)*$B7*BG$5))/(Capas!$B$15-1)))</f>
        <v>1</v>
      </c>
      <c r="BH7" s="9" t="n">
        <f aca="false">IF(BH$5&gt;=$C7,1,IF(ABS(Capas!$B$15-1)&lt;0.000001,$B7*BH$5,(-1+SQRT(1+2*(Capas!$B$15-1)*$B7*BH$5))/(Capas!$B$15-1)))</f>
        <v>1</v>
      </c>
      <c r="BI7" s="9" t="n">
        <f aca="false">IF(BI$5&gt;=$C7,1,IF(ABS(Capas!$B$15-1)&lt;0.000001,$B7*BI$5,(-1+SQRT(1+2*(Capas!$B$15-1)*$B7*BI$5))/(Capas!$B$15-1)))</f>
        <v>1</v>
      </c>
      <c r="BJ7" s="9" t="n">
        <f aca="false">IF(BJ$5&gt;=$C7,1,IF(ABS(Capas!$B$15-1)&lt;0.000001,$B7*BJ$5,(-1+SQRT(1+2*(Capas!$B$15-1)*$B7*BJ$5))/(Capas!$B$15-1)))</f>
        <v>1</v>
      </c>
      <c r="BK7" s="9" t="n">
        <f aca="false">IF(BK$5&gt;=$C7,1,IF(ABS(Capas!$B$15-1)&lt;0.000001,$B7*BK$5,(-1+SQRT(1+2*(Capas!$B$15-1)*$B7*BK$5))/(Capas!$B$15-1)))</f>
        <v>1</v>
      </c>
    </row>
    <row r="8" customFormat="false" ht="15" hidden="false" customHeight="false" outlineLevel="0" collapsed="false">
      <c r="A8" s="0" t="n">
        <v>3</v>
      </c>
      <c r="B8" s="10" t="n">
        <f aca="false">EXP(Capas!$B$14*NORMSINV((A8-0.5)/20))</f>
        <v>0.250326460886536</v>
      </c>
      <c r="C8" s="9" t="n">
        <f aca="false">(Capas!$B$15+1)/(2*B8)</f>
        <v>11.3185530738502</v>
      </c>
      <c r="D8" s="9" t="n">
        <f aca="false">IF(D$5&gt;=$C8,1,IF(ABS(Capas!$B$15-1)&lt;0.000001,$B8*D$5,(-1+SQRT(1+2*(Capas!$B$15-1)*$B8*D$5))/(Capas!$B$15-1)))</f>
        <v>0.0130832875462587</v>
      </c>
      <c r="E8" s="9" t="n">
        <f aca="false">IF(E$5&gt;=$C8,1,IF(ABS(Capas!$B$15-1)&lt;0.000001,$B8*E$5,(-1+SQRT(1+2*(Capas!$B$15-1)*$B8*E$5))/(Capas!$B$15-1)))</f>
        <v>0.0147932254197716</v>
      </c>
      <c r="F8" s="9" t="n">
        <f aca="false">IF(F$5&gt;=$C8,1,IF(ABS(Capas!$B$15-1)&lt;0.000001,$B8*F$5,(-1+SQRT(1+2*(Capas!$B$15-1)*$B8*F$5))/(Capas!$B$15-1)))</f>
        <v>0.0167203399257147</v>
      </c>
      <c r="G8" s="9" t="n">
        <f aca="false">IF(G$5&gt;=$C8,1,IF(ABS(Capas!$B$15-1)&lt;0.000001,$B8*G$5,(-1+SQRT(1+2*(Capas!$B$15-1)*$B8*G$5))/(Capas!$B$15-1)))</f>
        <v>0.018890580087324</v>
      </c>
      <c r="H8" s="9" t="n">
        <f aca="false">IF(H$5&gt;=$C8,1,IF(ABS(Capas!$B$15-1)&lt;0.000001,$B8*H$5,(-1+SQRT(1+2*(Capas!$B$15-1)*$B8*H$5))/(Capas!$B$15-1)))</f>
        <v>0.0213325915039034</v>
      </c>
      <c r="I8" s="9" t="n">
        <f aca="false">IF(I$5&gt;=$C8,1,IF(ABS(Capas!$B$15-1)&lt;0.000001,$B8*I$5,(-1+SQRT(1+2*(Capas!$B$15-1)*$B8*I$5))/(Capas!$B$15-1)))</f>
        <v>0.0240779029860266</v>
      </c>
      <c r="J8" s="9" t="n">
        <f aca="false">IF(J$5&gt;=$C8,1,IF(ABS(Capas!$B$15-1)&lt;0.000001,$B8*J$5,(-1+SQRT(1+2*(Capas!$B$15-1)*$B8*J$5))/(Capas!$B$15-1)))</f>
        <v>0.027161105878341</v>
      </c>
      <c r="K8" s="9" t="n">
        <f aca="false">IF(K$5&gt;=$C8,1,IF(ABS(Capas!$B$15-1)&lt;0.000001,$B8*K$5,(-1+SQRT(1+2*(Capas!$B$15-1)*$B8*K$5))/(Capas!$B$15-1)))</f>
        <v>0.0306200214807351</v>
      </c>
      <c r="L8" s="9" t="n">
        <f aca="false">IF(L$5&gt;=$C8,1,IF(ABS(Capas!$B$15-1)&lt;0.000001,$B8*L$5,(-1+SQRT(1+2*(Capas!$B$15-1)*$B8*L$5))/(Capas!$B$15-1)))</f>
        <v>0.0344958517661174</v>
      </c>
      <c r="M8" s="9" t="n">
        <f aca="false">IF(M$5&gt;=$C8,1,IF(ABS(Capas!$B$15-1)&lt;0.000001,$B8*M$5,(-1+SQRT(1+2*(Capas!$B$15-1)*$B8*M$5))/(Capas!$B$15-1)))</f>
        <v>0.0388333086667602</v>
      </c>
      <c r="N8" s="9" t="n">
        <f aca="false">IF(N$5&gt;=$C8,1,IF(ABS(Capas!$B$15-1)&lt;0.000001,$B8*N$5,(-1+SQRT(1+2*(Capas!$B$15-1)*$B8*N$5))/(Capas!$B$15-1)))</f>
        <v>0.0436807176431058</v>
      </c>
      <c r="O8" s="9" t="n">
        <f aca="false">IF(O$5&gt;=$C8,1,IF(ABS(Capas!$B$15-1)&lt;0.000001,$B8*O$5,(-1+SQRT(1+2*(Capas!$B$15-1)*$B8*O$5))/(Capas!$B$15-1)))</f>
        <v>0.0490900921264764</v>
      </c>
      <c r="P8" s="9" t="n">
        <f aca="false">IF(P$5&gt;=$C8,1,IF(ABS(Capas!$B$15-1)&lt;0.000001,$B8*P$5,(-1+SQRT(1+2*(Capas!$B$15-1)*$B8*P$5))/(Capas!$B$15-1)))</f>
        <v>0.0551171767778003</v>
      </c>
      <c r="Q8" s="9" t="n">
        <f aca="false">IF(Q$5&gt;=$C8,1,IF(ABS(Capas!$B$15-1)&lt;0.000001,$B8*Q$5,(-1+SQRT(1+2*(Capas!$B$15-1)*$B8*Q$5))/(Capas!$B$15-1)))</f>
        <v>0.0618214593200393</v>
      </c>
      <c r="R8" s="9" t="n">
        <f aca="false">IF(R$5&gt;=$C8,1,IF(ABS(Capas!$B$15-1)&lt;0.000001,$B8*R$5,(-1+SQRT(1+2*(Capas!$B$15-1)*$B8*R$5))/(Capas!$B$15-1)))</f>
        <v>0.0692661529151598</v>
      </c>
      <c r="S8" s="9" t="n">
        <f aca="false">IF(S$5&gt;=$C8,1,IF(ABS(Capas!$B$15-1)&lt;0.000001,$B8*S$5,(-1+SQRT(1+2*(Capas!$B$15-1)*$B8*S$5))/(Capas!$B$15-1)))</f>
        <v>0.0775181535338416</v>
      </c>
      <c r="T8" s="9" t="n">
        <f aca="false">IF(T$5&gt;=$C8,1,IF(ABS(Capas!$B$15-1)&lt;0.000001,$B8*T$5,(-1+SQRT(1+2*(Capas!$B$15-1)*$B8*T$5))/(Capas!$B$15-1)))</f>
        <v>0.0866479793116564</v>
      </c>
      <c r="U8" s="9" t="n">
        <f aca="false">IF(U$5&gt;=$C8,1,IF(ABS(Capas!$B$15-1)&lt;0.000001,$B8*U$5,(-1+SQRT(1+2*(Capas!$B$15-1)*$B8*U$5))/(Capas!$B$15-1)))</f>
        <v>0.0967297012567309</v>
      </c>
      <c r="V8" s="9" t="n">
        <f aca="false">IF(V$5&gt;=$C8,1,IF(ABS(Capas!$B$15-1)&lt;0.000001,$B8*V$5,(-1+SQRT(1+2*(Capas!$B$15-1)*$B8*V$5))/(Capas!$B$15-1)))</f>
        <v>0.107840876611171</v>
      </c>
      <c r="W8" s="9" t="n">
        <f aca="false">IF(W$5&gt;=$C8,1,IF(ABS(Capas!$B$15-1)&lt;0.000001,$B8*W$5,(-1+SQRT(1+2*(Capas!$B$15-1)*$B8*W$5))/(Capas!$B$15-1)))</f>
        <v>0.120062497433043</v>
      </c>
      <c r="X8" s="9" t="n">
        <f aca="false">IF(X$5&gt;=$C8,1,IF(ABS(Capas!$B$15-1)&lt;0.000001,$B8*X$5,(-1+SQRT(1+2*(Capas!$B$15-1)*$B8*X$5))/(Capas!$B$15-1)))</f>
        <v>0.133478967380591</v>
      </c>
      <c r="Y8" s="9" t="n">
        <f aca="false">IF(Y$5&gt;=$C8,1,IF(ABS(Capas!$B$15-1)&lt;0.000001,$B8*Y$5,(-1+SQRT(1+2*(Capas!$B$15-1)*$B8*Y$5))/(Capas!$B$15-1)))</f>
        <v>0.148178119165071</v>
      </c>
      <c r="Z8" s="9" t="n">
        <f aca="false">IF(Z$5&gt;=$C8,1,IF(ABS(Capas!$B$15-1)&lt;0.000001,$B8*Z$5,(-1+SQRT(1+2*(Capas!$B$15-1)*$B8*Z$5))/(Capas!$B$15-1)))</f>
        <v>0.164251283728121</v>
      </c>
      <c r="AA8" s="9" t="n">
        <f aca="false">IF(AA$5&gt;=$C8,1,IF(ABS(Capas!$B$15-1)&lt;0.000001,$B8*AA$5,(-1+SQRT(1+2*(Capas!$B$15-1)*$B8*AA$5))/(Capas!$B$15-1)))</f>
        <v>0.18179342004346</v>
      </c>
      <c r="AB8" s="9" t="n">
        <f aca="false">IF(AB$5&gt;=$C8,1,IF(ABS(Capas!$B$15-1)&lt;0.000001,$B8*AB$5,(-1+SQRT(1+2*(Capas!$B$15-1)*$B8*AB$5))/(Capas!$B$15-1)))</f>
        <v>0.200903311782302</v>
      </c>
      <c r="AC8" s="9" t="n">
        <f aca="false">IF(AC$5&gt;=$C8,1,IF(ABS(Capas!$B$15-1)&lt;0.000001,$B8*AC$5,(-1+SQRT(1+2*(Capas!$B$15-1)*$B8*AC$5))/(Capas!$B$15-1)))</f>
        <v>0.22168383421115</v>
      </c>
      <c r="AD8" s="9" t="n">
        <f aca="false">IF(AD$5&gt;=$C8,1,IF(ABS(Capas!$B$15-1)&lt;0.000001,$B8*AD$5,(-1+SQRT(1+2*(Capas!$B$15-1)*$B8*AD$5))/(Capas!$B$15-1)))</f>
        <v>0.244242291909666</v>
      </c>
      <c r="AE8" s="9" t="n">
        <f aca="false">IF(AE$5&gt;=$C8,1,IF(ABS(Capas!$B$15-1)&lt;0.000001,$B8*AE$5,(-1+SQRT(1+2*(Capas!$B$15-1)*$B8*AE$5))/(Capas!$B$15-1)))</f>
        <v>0.268690825466639</v>
      </c>
      <c r="AF8" s="9" t="n">
        <f aca="false">IF(AF$5&gt;=$C8,1,IF(ABS(Capas!$B$15-1)&lt;0.000001,$B8*AF$5,(-1+SQRT(1+2*(Capas!$B$15-1)*$B8*AF$5))/(Capas!$B$15-1)))</f>
        <v>0.295146883424118</v>
      </c>
      <c r="AG8" s="9" t="n">
        <f aca="false">IF(AG$5&gt;=$C8,1,IF(ABS(Capas!$B$15-1)&lt;0.000001,$B8*AG$5,(-1+SQRT(1+2*(Capas!$B$15-1)*$B8*AG$5))/(Capas!$B$15-1)))</f>
        <v>0.323733754496365</v>
      </c>
      <c r="AH8" s="9" t="n">
        <f aca="false">IF(AH$5&gt;=$C8,1,IF(ABS(Capas!$B$15-1)&lt;0.000001,$B8*AH$5,(-1+SQRT(1+2*(Capas!$B$15-1)*$B8*AH$5))/(Capas!$B$15-1)))</f>
        <v>0.354581154507193</v>
      </c>
      <c r="AI8" s="9" t="n">
        <f aca="false">IF(AI$5&gt;=$C8,1,IF(ABS(Capas!$B$15-1)&lt;0.000001,$B8*AI$5,(-1+SQRT(1+2*(Capas!$B$15-1)*$B8*AI$5))/(Capas!$B$15-1)))</f>
        <v>0.387825862509707</v>
      </c>
      <c r="AJ8" s="9" t="n">
        <f aca="false">IF(AJ$5&gt;=$C8,1,IF(ABS(Capas!$B$15-1)&lt;0.000001,$B8*AJ$5,(-1+SQRT(1+2*(Capas!$B$15-1)*$B8*AJ$5))/(Capas!$B$15-1)))</f>
        <v>0.423612401069263</v>
      </c>
      <c r="AK8" s="9" t="n">
        <f aca="false">IF(AK$5&gt;=$C8,1,IF(ABS(Capas!$B$15-1)&lt;0.000001,$B8*AK$5,(-1+SQRT(1+2*(Capas!$B$15-1)*$B8*AK$5))/(Capas!$B$15-1)))</f>
        <v>0.462093756571202</v>
      </c>
      <c r="AL8" s="9" t="n">
        <f aca="false">IF(AL$5&gt;=$C8,1,IF(ABS(Capas!$B$15-1)&lt;0.000001,$B8*AL$5,(-1+SQRT(1+2*(Capas!$B$15-1)*$B8*AL$5))/(Capas!$B$15-1)))</f>
        <v>0.503432136523432</v>
      </c>
      <c r="AM8" s="9" t="n">
        <f aca="false">IF(AM$5&gt;=$C8,1,IF(ABS(Capas!$B$15-1)&lt;0.000001,$B8*AM$5,(-1+SQRT(1+2*(Capas!$B$15-1)*$B8*AM$5))/(Capas!$B$15-1)))</f>
        <v>0.547799762037644</v>
      </c>
      <c r="AN8" s="9" t="n">
        <f aca="false">IF(AN$5&gt;=$C8,1,IF(ABS(Capas!$B$15-1)&lt;0.000001,$B8*AN$5,(-1+SQRT(1+2*(Capas!$B$15-1)*$B8*AN$5))/(Capas!$B$15-1)))</f>
        <v>0.595379694892468</v>
      </c>
      <c r="AO8" s="9" t="n">
        <f aca="false">IF(AO$5&gt;=$C8,1,IF(ABS(Capas!$B$15-1)&lt;0.000001,$B8*AO$5,(-1+SQRT(1+2*(Capas!$B$15-1)*$B8*AO$5))/(Capas!$B$15-1)))</f>
        <v>0.646366699735179</v>
      </c>
      <c r="AP8" s="9" t="n">
        <f aca="false">IF(AP$5&gt;=$C8,1,IF(ABS(Capas!$B$15-1)&lt;0.000001,$B8*AP$5,(-1+SQRT(1+2*(Capas!$B$15-1)*$B8*AP$5))/(Capas!$B$15-1)))</f>
        <v>0.700968143020552</v>
      </c>
      <c r="AQ8" s="9" t="n">
        <f aca="false">IF(AQ$5&gt;=$C8,1,IF(ABS(Capas!$B$15-1)&lt;0.000001,$B8*AQ$5,(-1+SQRT(1+2*(Capas!$B$15-1)*$B8*AQ$5))/(Capas!$B$15-1)))</f>
        <v>0.759404931194034</v>
      </c>
      <c r="AR8" s="9" t="n">
        <f aca="false">IF(AR$5&gt;=$C8,1,IF(ABS(Capas!$B$15-1)&lt;0.000001,$B8*AR$5,(-1+SQRT(1+2*(Capas!$B$15-1)*$B8*AR$5))/(Capas!$B$15-1)))</f>
        <v>0.82191249139762</v>
      </c>
      <c r="AS8" s="9" t="n">
        <f aca="false">IF(AS$5&gt;=$C8,1,IF(ABS(Capas!$B$15-1)&lt;0.000001,$B8*AS$5,(-1+SQRT(1+2*(Capas!$B$15-1)*$B8*AS$5))/(Capas!$B$15-1)))</f>
        <v>0.888741798619425</v>
      </c>
      <c r="AT8" s="9" t="n">
        <f aca="false">IF(AT$5&gt;=$C8,1,IF(ABS(Capas!$B$15-1)&lt;0.000001,$B8*AT$5,(-1+SQRT(1+2*(Capas!$B$15-1)*$B8*AT$5))/(Capas!$B$15-1)))</f>
        <v>0.960160453738394</v>
      </c>
      <c r="AU8" s="9" t="n">
        <f aca="false">IF(AU$5&gt;=$C8,1,IF(ABS(Capas!$B$15-1)&lt;0.000001,$B8*AU$5,(-1+SQRT(1+2*(Capas!$B$15-1)*$B8*AU$5))/(Capas!$B$15-1)))</f>
        <v>1</v>
      </c>
      <c r="AV8" s="9" t="n">
        <f aca="false">IF(AV$5&gt;=$C8,1,IF(ABS(Capas!$B$15-1)&lt;0.000001,$B8*AV$5,(-1+SQRT(1+2*(Capas!$B$15-1)*$B8*AV$5))/(Capas!$B$15-1)))</f>
        <v>1</v>
      </c>
      <c r="AW8" s="9" t="n">
        <f aca="false">IF(AW$5&gt;=$C8,1,IF(ABS(Capas!$B$15-1)&lt;0.000001,$B8*AW$5,(-1+SQRT(1+2*(Capas!$B$15-1)*$B8*AW$5))/(Capas!$B$15-1)))</f>
        <v>1</v>
      </c>
      <c r="AX8" s="9" t="n">
        <f aca="false">IF(AX$5&gt;=$C8,1,IF(ABS(Capas!$B$15-1)&lt;0.000001,$B8*AX$5,(-1+SQRT(1+2*(Capas!$B$15-1)*$B8*AX$5))/(Capas!$B$15-1)))</f>
        <v>1</v>
      </c>
      <c r="AY8" s="9" t="n">
        <f aca="false">IF(AY$5&gt;=$C8,1,IF(ABS(Capas!$B$15-1)&lt;0.000001,$B8*AY$5,(-1+SQRT(1+2*(Capas!$B$15-1)*$B8*AY$5))/(Capas!$B$15-1)))</f>
        <v>1</v>
      </c>
      <c r="AZ8" s="9" t="n">
        <f aca="false">IF(AZ$5&gt;=$C8,1,IF(ABS(Capas!$B$15-1)&lt;0.000001,$B8*AZ$5,(-1+SQRT(1+2*(Capas!$B$15-1)*$B8*AZ$5))/(Capas!$B$15-1)))</f>
        <v>1</v>
      </c>
      <c r="BA8" s="9" t="n">
        <f aca="false">IF(BA$5&gt;=$C8,1,IF(ABS(Capas!$B$15-1)&lt;0.000001,$B8*BA$5,(-1+SQRT(1+2*(Capas!$B$15-1)*$B8*BA$5))/(Capas!$B$15-1)))</f>
        <v>1</v>
      </c>
      <c r="BB8" s="9" t="n">
        <f aca="false">IF(BB$5&gt;=$C8,1,IF(ABS(Capas!$B$15-1)&lt;0.000001,$B8*BB$5,(-1+SQRT(1+2*(Capas!$B$15-1)*$B8*BB$5))/(Capas!$B$15-1)))</f>
        <v>1</v>
      </c>
      <c r="BC8" s="9" t="n">
        <f aca="false">IF(BC$5&gt;=$C8,1,IF(ABS(Capas!$B$15-1)&lt;0.000001,$B8*BC$5,(-1+SQRT(1+2*(Capas!$B$15-1)*$B8*BC$5))/(Capas!$B$15-1)))</f>
        <v>1</v>
      </c>
      <c r="BD8" s="9" t="n">
        <f aca="false">IF(BD$5&gt;=$C8,1,IF(ABS(Capas!$B$15-1)&lt;0.000001,$B8*BD$5,(-1+SQRT(1+2*(Capas!$B$15-1)*$B8*BD$5))/(Capas!$B$15-1)))</f>
        <v>1</v>
      </c>
      <c r="BE8" s="9" t="n">
        <f aca="false">IF(BE$5&gt;=$C8,1,IF(ABS(Capas!$B$15-1)&lt;0.000001,$B8*BE$5,(-1+SQRT(1+2*(Capas!$B$15-1)*$B8*BE$5))/(Capas!$B$15-1)))</f>
        <v>1</v>
      </c>
      <c r="BF8" s="9" t="n">
        <f aca="false">IF(BF$5&gt;=$C8,1,IF(ABS(Capas!$B$15-1)&lt;0.000001,$B8*BF$5,(-1+SQRT(1+2*(Capas!$B$15-1)*$B8*BF$5))/(Capas!$B$15-1)))</f>
        <v>1</v>
      </c>
      <c r="BG8" s="9" t="n">
        <f aca="false">IF(BG$5&gt;=$C8,1,IF(ABS(Capas!$B$15-1)&lt;0.000001,$B8*BG$5,(-1+SQRT(1+2*(Capas!$B$15-1)*$B8*BG$5))/(Capas!$B$15-1)))</f>
        <v>1</v>
      </c>
      <c r="BH8" s="9" t="n">
        <f aca="false">IF(BH$5&gt;=$C8,1,IF(ABS(Capas!$B$15-1)&lt;0.000001,$B8*BH$5,(-1+SQRT(1+2*(Capas!$B$15-1)*$B8*BH$5))/(Capas!$B$15-1)))</f>
        <v>1</v>
      </c>
      <c r="BI8" s="9" t="n">
        <f aca="false">IF(BI$5&gt;=$C8,1,IF(ABS(Capas!$B$15-1)&lt;0.000001,$B8*BI$5,(-1+SQRT(1+2*(Capas!$B$15-1)*$B8*BI$5))/(Capas!$B$15-1)))</f>
        <v>1</v>
      </c>
      <c r="BJ8" s="9" t="n">
        <f aca="false">IF(BJ$5&gt;=$C8,1,IF(ABS(Capas!$B$15-1)&lt;0.000001,$B8*BJ$5,(-1+SQRT(1+2*(Capas!$B$15-1)*$B8*BJ$5))/(Capas!$B$15-1)))</f>
        <v>1</v>
      </c>
      <c r="BK8" s="9" t="n">
        <f aca="false">IF(BK$5&gt;=$C8,1,IF(ABS(Capas!$B$15-1)&lt;0.000001,$B8*BK$5,(-1+SQRT(1+2*(Capas!$B$15-1)*$B8*BK$5))/(Capas!$B$15-1)))</f>
        <v>1</v>
      </c>
    </row>
    <row r="9" customFormat="false" ht="15" hidden="false" customHeight="false" outlineLevel="0" collapsed="false">
      <c r="A9" s="0" t="n">
        <v>4</v>
      </c>
      <c r="B9" s="10" t="n">
        <f aca="false">EXP(Capas!$B$14*NORMSINV((A9-0.5)/20))</f>
        <v>0.324581022567425</v>
      </c>
      <c r="C9" s="9" t="n">
        <f aca="false">(Capas!$B$15+1)/(2*B9)</f>
        <v>8.72920206770488</v>
      </c>
      <c r="D9" s="9" t="n">
        <f aca="false">IF(D$5&gt;=$C9,1,IF(ABS(Capas!$B$15-1)&lt;0.000001,$B9*D$5,(-1+SQRT(1+2*(Capas!$B$15-1)*$B9*D$5))/(Capas!$B$15-1)))</f>
        <v>0.0168505404782627</v>
      </c>
      <c r="E9" s="9" t="n">
        <f aca="false">IF(E$5&gt;=$C9,1,IF(ABS(Capas!$B$15-1)&lt;0.000001,$B9*E$5,(-1+SQRT(1+2*(Capas!$B$15-1)*$B9*E$5))/(Capas!$B$15-1)))</f>
        <v>0.0190371452537434</v>
      </c>
      <c r="F9" s="9" t="n">
        <f aca="false">IF(F$5&gt;=$C9,1,IF(ABS(Capas!$B$15-1)&lt;0.000001,$B9*F$5,(-1+SQRT(1+2*(Capas!$B$15-1)*$B9*F$5))/(Capas!$B$15-1)))</f>
        <v>0.0214974343346275</v>
      </c>
      <c r="G9" s="9" t="n">
        <f aca="false">IF(G$5&gt;=$C9,1,IF(ABS(Capas!$B$15-1)&lt;0.000001,$B9*G$5,(-1+SQRT(1+2*(Capas!$B$15-1)*$B9*G$5))/(Capas!$B$15-1)))</f>
        <v>0.0242631256371807</v>
      </c>
      <c r="H9" s="9" t="n">
        <f aca="false">IF(H$5&gt;=$C9,1,IF(ABS(Capas!$B$15-1)&lt;0.000001,$B9*H$5,(-1+SQRT(1+2*(Capas!$B$15-1)*$B9*H$5))/(Capas!$B$15-1)))</f>
        <v>0.0273690106390954</v>
      </c>
      <c r="I9" s="9" t="n">
        <f aca="false">IF(I$5&gt;=$C9,1,IF(ABS(Capas!$B$15-1)&lt;0.000001,$B9*I$5,(-1+SQRT(1+2*(Capas!$B$15-1)*$B9*I$5))/(Capas!$B$15-1)))</f>
        <v>0.0308531208842891</v>
      </c>
      <c r="J9" s="9" t="n">
        <f aca="false">IF(J$5&gt;=$C9,1,IF(ABS(Capas!$B$15-1)&lt;0.000001,$B9*J$5,(-1+SQRT(1+2*(Capas!$B$15-1)*$B9*J$5))/(Capas!$B$15-1)))</f>
        <v>0.0347568774786294</v>
      </c>
      <c r="K9" s="9" t="n">
        <f aca="false">IF(K$5&gt;=$C9,1,IF(ABS(Capas!$B$15-1)&lt;0.000001,$B9*K$5,(-1+SQRT(1+2*(Capas!$B$15-1)*$B9*K$5))/(Capas!$B$15-1)))</f>
        <v>0.0391252188648264</v>
      </c>
      <c r="L9" s="9" t="n">
        <f aca="false">IF(L$5&gt;=$C9,1,IF(ABS(Capas!$B$15-1)&lt;0.000001,$B9*L$5,(-1+SQRT(1+2*(Capas!$B$15-1)*$B9*L$5))/(Capas!$B$15-1)))</f>
        <v>0.0440067026325502</v>
      </c>
      <c r="M9" s="9" t="n">
        <f aca="false">IF(M$5&gt;=$C9,1,IF(ABS(Capas!$B$15-1)&lt;0.000001,$B9*M$5,(-1+SQRT(1+2*(Capas!$B$15-1)*$B9*M$5))/(Capas!$B$15-1)))</f>
        <v>0.049453578026683</v>
      </c>
      <c r="N9" s="9" t="n">
        <f aca="false">IF(N$5&gt;=$C9,1,IF(ABS(Capas!$B$15-1)&lt;0.000001,$B9*N$5,(-1+SQRT(1+2*(Capas!$B$15-1)*$B9*N$5))/(Capas!$B$15-1)))</f>
        <v>0.0555218271975961</v>
      </c>
      <c r="O9" s="9" t="n">
        <f aca="false">IF(O$5&gt;=$C9,1,IF(ABS(Capas!$B$15-1)&lt;0.000001,$B9*O$5,(-1+SQRT(1+2*(Capas!$B$15-1)*$B9*O$5))/(Capas!$B$15-1)))</f>
        <v>0.0622711750808226</v>
      </c>
      <c r="P9" s="9" t="n">
        <f aca="false">IF(P$5&gt;=$C9,1,IF(ABS(Capas!$B$15-1)&lt;0.000001,$B9*P$5,(-1+SQRT(1+2*(Capas!$B$15-1)*$B9*P$5))/(Capas!$B$15-1)))</f>
        <v>0.0697650700280817</v>
      </c>
      <c r="Q9" s="9" t="n">
        <f aca="false">IF(Q$5&gt;=$C9,1,IF(ABS(Capas!$B$15-1)&lt;0.000001,$B9*Q$5,(-1+SQRT(1+2*(Capas!$B$15-1)*$B9*Q$5))/(Capas!$B$15-1)))</f>
        <v>0.0780706397997173</v>
      </c>
      <c r="R9" s="9" t="n">
        <f aca="false">IF(R$5&gt;=$C9,1,IF(ABS(Capas!$B$15-1)&lt;0.000001,$B9*R$5,(-1+SQRT(1+2*(Capas!$B$15-1)*$B9*R$5))/(Capas!$B$15-1)))</f>
        <v>0.0872586300706497</v>
      </c>
      <c r="S9" s="9" t="n">
        <f aca="false">IF(S$5&gt;=$C9,1,IF(ABS(Capas!$B$15-1)&lt;0.000001,$B9*S$5,(-1+SQRT(1+2*(Capas!$B$15-1)*$B9*S$5))/(Capas!$B$15-1)))</f>
        <v>0.0974033349533908</v>
      </c>
      <c r="T9" s="9" t="n">
        <f aca="false">IF(T$5&gt;=$C9,1,IF(ABS(Capas!$B$15-1)&lt;0.000001,$B9*T$5,(-1+SQRT(1+2*(Capas!$B$15-1)*$B9*T$5))/(Capas!$B$15-1)))</f>
        <v>0.108582530942891</v>
      </c>
      <c r="U9" s="9" t="n">
        <f aca="false">IF(U$5&gt;=$C9,1,IF(ABS(Capas!$B$15-1)&lt;0.000001,$B9*U$5,(-1+SQRT(1+2*(Capas!$B$15-1)*$B9*U$5))/(Capas!$B$15-1)))</f>
        <v>0.120877426902986</v>
      </c>
      <c r="V9" s="9" t="n">
        <f aca="false">IF(V$5&gt;=$C9,1,IF(ABS(Capas!$B$15-1)&lt;0.000001,$B9*V$5,(-1+SQRT(1+2*(Capas!$B$15-1)*$B9*V$5))/(Capas!$B$15-1)))</f>
        <v>0.134372643071301</v>
      </c>
      <c r="W9" s="9" t="n">
        <f aca="false">IF(W$5&gt;=$C9,1,IF(ABS(Capas!$B$15-1)&lt;0.000001,$B9*W$5,(-1+SQRT(1+2*(Capas!$B$15-1)*$B9*W$5))/(Capas!$B$15-1)))</f>
        <v>0.149156231485088</v>
      </c>
      <c r="X9" s="9" t="n">
        <f aca="false">IF(X$5&gt;=$C9,1,IF(ABS(Capas!$B$15-1)&lt;0.000001,$B9*X$5,(-1+SQRT(1+2*(Capas!$B$15-1)*$B9*X$5))/(Capas!$B$15-1)))</f>
        <v>0.165319748767079</v>
      </c>
      <c r="Y9" s="9" t="n">
        <f aca="false">IF(Y$5&gt;=$C9,1,IF(ABS(Capas!$B$15-1)&lt;0.000001,$B9*Y$5,(-1+SQRT(1+2*(Capas!$B$15-1)*$B9*Y$5))/(Capas!$B$15-1)))</f>
        <v>0.182958390014448</v>
      </c>
      <c r="Z9" s="9" t="n">
        <f aca="false">IF(Z$5&gt;=$C9,1,IF(ABS(Capas!$B$15-1)&lt;0.000001,$B9*Z$5,(-1+SQRT(1+2*(Capas!$B$15-1)*$B9*Z$5))/(Capas!$B$15-1)))</f>
        <v>0.202171189851062</v>
      </c>
      <c r="AA9" s="9" t="n">
        <f aca="false">IF(AA$5&gt;=$C9,1,IF(ABS(Capas!$B$15-1)&lt;0.000001,$B9*AA$5,(-1+SQRT(1+2*(Capas!$B$15-1)*$B9*AA$5))/(Capas!$B$15-1)))</f>
        <v>0.223061293829572</v>
      </c>
      <c r="AB9" s="9" t="n">
        <f aca="false">IF(AB$5&gt;=$C9,1,IF(ABS(Capas!$B$15-1)&lt;0.000001,$B9*AB$5,(-1+SQRT(1+2*(Capas!$B$15-1)*$B9*AB$5))/(Capas!$B$15-1)))</f>
        <v>0.245736300603973</v>
      </c>
      <c r="AC9" s="9" t="n">
        <f aca="false">IF(AC$5&gt;=$C9,1,IF(ABS(Capas!$B$15-1)&lt;0.000001,$B9*AC$5,(-1+SQRT(1+2*(Capas!$B$15-1)*$B9*AC$5))/(Capas!$B$15-1)))</f>
        <v>0.270308672893221</v>
      </c>
      <c r="AD9" s="9" t="n">
        <f aca="false">IF(AD$5&gt;=$C9,1,IF(ABS(Capas!$B$15-1)&lt;0.000001,$B9*AD$5,(-1+SQRT(1+2*(Capas!$B$15-1)*$B9*AD$5))/(Capas!$B$15-1)))</f>
        <v>0.296896213407336</v>
      </c>
      <c r="AE9" s="9" t="n">
        <f aca="false">IF(AE$5&gt;=$C9,1,IF(ABS(Capas!$B$15-1)&lt;0.000001,$B9*AE$5,(-1+SQRT(1+2*(Capas!$B$15-1)*$B9*AE$5))/(Capas!$B$15-1)))</f>
        <v>0.325622600706289</v>
      </c>
      <c r="AF9" s="9" t="n">
        <f aca="false">IF(AF$5&gt;=$C9,1,IF(ABS(Capas!$B$15-1)&lt;0.000001,$B9*AF$5,(-1+SQRT(1+2*(Capas!$B$15-1)*$B9*AF$5))/(Capas!$B$15-1)))</f>
        <v>0.356617979419529</v>
      </c>
      <c r="AG9" s="9" t="n">
        <f aca="false">IF(AG$5&gt;=$C9,1,IF(ABS(Capas!$B$15-1)&lt;0.000001,$B9*AG$5,(-1+SQRT(1+2*(Capas!$B$15-1)*$B9*AG$5))/(Capas!$B$15-1)))</f>
        <v>0.390019599309518</v>
      </c>
      <c r="AH9" s="9" t="n">
        <f aca="false">IF(AH$5&gt;=$C9,1,IF(ABS(Capas!$B$15-1)&lt;0.000001,$B9*AH$5,(-1+SQRT(1+2*(Capas!$B$15-1)*$B9*AH$5))/(Capas!$B$15-1)))</f>
        <v>0.425972498206645</v>
      </c>
      <c r="AI9" s="9" t="n">
        <f aca="false">IF(AI$5&gt;=$C9,1,IF(ABS(Capas!$B$15-1)&lt;0.000001,$B9*AI$5,(-1+SQRT(1+2*(Capas!$B$15-1)*$B9*AI$5))/(Capas!$B$15-1)))</f>
        <v>0.464630224742011</v>
      </c>
      <c r="AJ9" s="9" t="n">
        <f aca="false">IF(AJ$5&gt;=$C9,1,IF(ABS(Capas!$B$15-1)&lt;0.000001,$B9*AJ$5,(-1+SQRT(1+2*(Capas!$B$15-1)*$B9*AJ$5))/(Capas!$B$15-1)))</f>
        <v>0.506155597923236</v>
      </c>
      <c r="AK9" s="9" t="n">
        <f aca="false">IF(AK$5&gt;=$C9,1,IF(ABS(Capas!$B$15-1)&lt;0.000001,$B9*AK$5,(-1+SQRT(1+2*(Capas!$B$15-1)*$B9*AK$5))/(Capas!$B$15-1)))</f>
        <v>0.550721501815195</v>
      </c>
      <c r="AL9" s="9" t="n">
        <f aca="false">IF(AL$5&gt;=$C9,1,IF(ABS(Capas!$B$15-1)&lt;0.000001,$B9*AL$5,(-1+SQRT(1+2*(Capas!$B$15-1)*$B9*AL$5))/(Capas!$B$15-1)))</f>
        <v>0.598511714804738</v>
      </c>
      <c r="AM9" s="9" t="n">
        <f aca="false">IF(AM$5&gt;=$C9,1,IF(ABS(Capas!$B$15-1)&lt;0.000001,$B9*AM$5,(-1+SQRT(1+2*(Capas!$B$15-1)*$B9*AM$5))/(Capas!$B$15-1)))</f>
        <v>0.649721774075773</v>
      </c>
      <c r="AN9" s="9" t="n">
        <f aca="false">IF(AN$5&gt;=$C9,1,IF(ABS(Capas!$B$15-1)&lt;0.000001,$B9*AN$5,(-1+SQRT(1+2*(Capas!$B$15-1)*$B9*AN$5))/(Capas!$B$15-1)))</f>
        <v>0.704559876955049</v>
      </c>
      <c r="AO9" s="9" t="n">
        <f aca="false">IF(AO$5&gt;=$C9,1,IF(ABS(Capas!$B$15-1)&lt;0.000001,$B9*AO$5,(-1+SQRT(1+2*(Capas!$B$15-1)*$B9*AO$5))/(Capas!$B$15-1)))</f>
        <v>0.763247821688791</v>
      </c>
      <c r="AP9" s="9" t="n">
        <f aca="false">IF(AP$5&gt;=$C9,1,IF(ABS(Capas!$B$15-1)&lt;0.000001,$B9*AP$5,(-1+SQRT(1+2*(Capas!$B$15-1)*$B9*AP$5))/(Capas!$B$15-1)))</f>
        <v>0.826021990973037</v>
      </c>
      <c r="AQ9" s="9" t="n">
        <f aca="false">IF(AQ$5&gt;=$C9,1,IF(ABS(Capas!$B$15-1)&lt;0.000001,$B9*AQ$5,(-1+SQRT(1+2*(Capas!$B$15-1)*$B9*AQ$5))/(Capas!$B$15-1)))</f>
        <v>0.893134382195434</v>
      </c>
      <c r="AR9" s="9" t="n">
        <f aca="false">IF(AR$5&gt;=$C9,1,IF(ABS(Capas!$B$15-1)&lt;0.000001,$B9*AR$5,(-1+SQRT(1+2*(Capas!$B$15-1)*$B9*AR$5))/(Capas!$B$15-1)))</f>
        <v>0.964853688870303</v>
      </c>
      <c r="AS9" s="9" t="n">
        <f aca="false">IF(AS$5&gt;=$C9,1,IF(ABS(Capas!$B$15-1)&lt;0.000001,$B9*AS$5,(-1+SQRT(1+2*(Capas!$B$15-1)*$B9*AS$5))/(Capas!$B$15-1)))</f>
        <v>1</v>
      </c>
      <c r="AT9" s="9" t="n">
        <f aca="false">IF(AT$5&gt;=$C9,1,IF(ABS(Capas!$B$15-1)&lt;0.000001,$B9*AT$5,(-1+SQRT(1+2*(Capas!$B$15-1)*$B9*AT$5))/(Capas!$B$15-1)))</f>
        <v>1</v>
      </c>
      <c r="AU9" s="9" t="n">
        <f aca="false">IF(AU$5&gt;=$C9,1,IF(ABS(Capas!$B$15-1)&lt;0.000001,$B9*AU$5,(-1+SQRT(1+2*(Capas!$B$15-1)*$B9*AU$5))/(Capas!$B$15-1)))</f>
        <v>1</v>
      </c>
      <c r="AV9" s="9" t="n">
        <f aca="false">IF(AV$5&gt;=$C9,1,IF(ABS(Capas!$B$15-1)&lt;0.000001,$B9*AV$5,(-1+SQRT(1+2*(Capas!$B$15-1)*$B9*AV$5))/(Capas!$B$15-1)))</f>
        <v>1</v>
      </c>
      <c r="AW9" s="9" t="n">
        <f aca="false">IF(AW$5&gt;=$C9,1,IF(ABS(Capas!$B$15-1)&lt;0.000001,$B9*AW$5,(-1+SQRT(1+2*(Capas!$B$15-1)*$B9*AW$5))/(Capas!$B$15-1)))</f>
        <v>1</v>
      </c>
      <c r="AX9" s="9" t="n">
        <f aca="false">IF(AX$5&gt;=$C9,1,IF(ABS(Capas!$B$15-1)&lt;0.000001,$B9*AX$5,(-1+SQRT(1+2*(Capas!$B$15-1)*$B9*AX$5))/(Capas!$B$15-1)))</f>
        <v>1</v>
      </c>
      <c r="AY9" s="9" t="n">
        <f aca="false">IF(AY$5&gt;=$C9,1,IF(ABS(Capas!$B$15-1)&lt;0.000001,$B9*AY$5,(-1+SQRT(1+2*(Capas!$B$15-1)*$B9*AY$5))/(Capas!$B$15-1)))</f>
        <v>1</v>
      </c>
      <c r="AZ9" s="9" t="n">
        <f aca="false">IF(AZ$5&gt;=$C9,1,IF(ABS(Capas!$B$15-1)&lt;0.000001,$B9*AZ$5,(-1+SQRT(1+2*(Capas!$B$15-1)*$B9*AZ$5))/(Capas!$B$15-1)))</f>
        <v>1</v>
      </c>
      <c r="BA9" s="9" t="n">
        <f aca="false">IF(BA$5&gt;=$C9,1,IF(ABS(Capas!$B$15-1)&lt;0.000001,$B9*BA$5,(-1+SQRT(1+2*(Capas!$B$15-1)*$B9*BA$5))/(Capas!$B$15-1)))</f>
        <v>1</v>
      </c>
      <c r="BB9" s="9" t="n">
        <f aca="false">IF(BB$5&gt;=$C9,1,IF(ABS(Capas!$B$15-1)&lt;0.000001,$B9*BB$5,(-1+SQRT(1+2*(Capas!$B$15-1)*$B9*BB$5))/(Capas!$B$15-1)))</f>
        <v>1</v>
      </c>
      <c r="BC9" s="9" t="n">
        <f aca="false">IF(BC$5&gt;=$C9,1,IF(ABS(Capas!$B$15-1)&lt;0.000001,$B9*BC$5,(-1+SQRT(1+2*(Capas!$B$15-1)*$B9*BC$5))/(Capas!$B$15-1)))</f>
        <v>1</v>
      </c>
      <c r="BD9" s="9" t="n">
        <f aca="false">IF(BD$5&gt;=$C9,1,IF(ABS(Capas!$B$15-1)&lt;0.000001,$B9*BD$5,(-1+SQRT(1+2*(Capas!$B$15-1)*$B9*BD$5))/(Capas!$B$15-1)))</f>
        <v>1</v>
      </c>
      <c r="BE9" s="9" t="n">
        <f aca="false">IF(BE$5&gt;=$C9,1,IF(ABS(Capas!$B$15-1)&lt;0.000001,$B9*BE$5,(-1+SQRT(1+2*(Capas!$B$15-1)*$B9*BE$5))/(Capas!$B$15-1)))</f>
        <v>1</v>
      </c>
      <c r="BF9" s="9" t="n">
        <f aca="false">IF(BF$5&gt;=$C9,1,IF(ABS(Capas!$B$15-1)&lt;0.000001,$B9*BF$5,(-1+SQRT(1+2*(Capas!$B$15-1)*$B9*BF$5))/(Capas!$B$15-1)))</f>
        <v>1</v>
      </c>
      <c r="BG9" s="9" t="n">
        <f aca="false">IF(BG$5&gt;=$C9,1,IF(ABS(Capas!$B$15-1)&lt;0.000001,$B9*BG$5,(-1+SQRT(1+2*(Capas!$B$15-1)*$B9*BG$5))/(Capas!$B$15-1)))</f>
        <v>1</v>
      </c>
      <c r="BH9" s="9" t="n">
        <f aca="false">IF(BH$5&gt;=$C9,1,IF(ABS(Capas!$B$15-1)&lt;0.000001,$B9*BH$5,(-1+SQRT(1+2*(Capas!$B$15-1)*$B9*BH$5))/(Capas!$B$15-1)))</f>
        <v>1</v>
      </c>
      <c r="BI9" s="9" t="n">
        <f aca="false">IF(BI$5&gt;=$C9,1,IF(ABS(Capas!$B$15-1)&lt;0.000001,$B9*BI$5,(-1+SQRT(1+2*(Capas!$B$15-1)*$B9*BI$5))/(Capas!$B$15-1)))</f>
        <v>1</v>
      </c>
      <c r="BJ9" s="9" t="n">
        <f aca="false">IF(BJ$5&gt;=$C9,1,IF(ABS(Capas!$B$15-1)&lt;0.000001,$B9*BJ$5,(-1+SQRT(1+2*(Capas!$B$15-1)*$B9*BJ$5))/(Capas!$B$15-1)))</f>
        <v>1</v>
      </c>
      <c r="BK9" s="9" t="n">
        <f aca="false">IF(BK$5&gt;=$C9,1,IF(ABS(Capas!$B$15-1)&lt;0.000001,$B9*BK$5,(-1+SQRT(1+2*(Capas!$B$15-1)*$B9*BK$5))/(Capas!$B$15-1)))</f>
        <v>1</v>
      </c>
    </row>
    <row r="10" customFormat="false" ht="15" hidden="false" customHeight="false" outlineLevel="0" collapsed="false">
      <c r="A10" s="0" t="n">
        <v>5</v>
      </c>
      <c r="B10" s="10" t="n">
        <f aca="false">EXP(Capas!$B$14*NORMSINV((A10-0.5)/20))</f>
        <v>0.402725879705776</v>
      </c>
      <c r="C10" s="9" t="n">
        <f aca="false">(Capas!$B$15+1)/(2*B10)</f>
        <v>7.03538927124156</v>
      </c>
      <c r="D10" s="9" t="n">
        <f aca="false">IF(D$5&gt;=$C10,1,IF(ABS(Capas!$B$15-1)&lt;0.000001,$B10*D$5,(-1+SQRT(1+2*(Capas!$B$15-1)*$B10*D$5))/(Capas!$B$15-1)))</f>
        <v>0.0207629462717408</v>
      </c>
      <c r="E10" s="9" t="n">
        <f aca="false">IF(E$5&gt;=$C10,1,IF(ABS(Capas!$B$15-1)&lt;0.000001,$B10*E$5,(-1+SQRT(1+2*(Capas!$B$15-1)*$B10*E$5))/(Capas!$B$15-1)))</f>
        <v>0.0234377407829139</v>
      </c>
      <c r="F10" s="9" t="n">
        <f aca="false">IF(F$5&gt;=$C10,1,IF(ABS(Capas!$B$15-1)&lt;0.000001,$B10*F$5,(-1+SQRT(1+2*(Capas!$B$15-1)*$B10*F$5))/(Capas!$B$15-1)))</f>
        <v>0.0264424392457274</v>
      </c>
      <c r="G10" s="9" t="n">
        <f aca="false">IF(G$5&gt;=$C10,1,IF(ABS(Capas!$B$15-1)&lt;0.000001,$B10*G$5,(-1+SQRT(1+2*(Capas!$B$15-1)*$B10*G$5))/(Capas!$B$15-1)))</f>
        <v>0.0298141290081116</v>
      </c>
      <c r="H10" s="9" t="n">
        <f aca="false">IF(H$5&gt;=$C10,1,IF(ABS(Capas!$B$15-1)&lt;0.000001,$B10*H$5,(-1+SQRT(1+2*(Capas!$B$15-1)*$B10*H$5))/(Capas!$B$15-1)))</f>
        <v>0.0335932461770822</v>
      </c>
      <c r="I10" s="9" t="n">
        <f aca="false">IF(I$5&gt;=$C10,1,IF(ABS(Capas!$B$15-1)&lt;0.000001,$B10*I$5,(-1+SQRT(1+2*(Capas!$B$15-1)*$B10*I$5))/(Capas!$B$15-1)))</f>
        <v>0.0378237100773126</v>
      </c>
      <c r="J10" s="9" t="n">
        <f aca="false">IF(J$5&gt;=$C10,1,IF(ABS(Capas!$B$15-1)&lt;0.000001,$B10*J$5,(-1+SQRT(1+2*(Capas!$B$15-1)*$B10*J$5))/(Capas!$B$15-1)))</f>
        <v>0.0425530328881134</v>
      </c>
      <c r="K10" s="9" t="n">
        <f aca="false">IF(K$5&gt;=$C10,1,IF(ABS(Capas!$B$15-1)&lt;0.000001,$B10*K$5,(-1+SQRT(1+2*(Capas!$B$15-1)*$B10*K$5))/(Capas!$B$15-1)))</f>
        <v>0.0478324008143089</v>
      </c>
      <c r="L10" s="9" t="n">
        <f aca="false">IF(L$5&gt;=$C10,1,IF(ABS(Capas!$B$15-1)&lt;0.000001,$B10*L$5,(-1+SQRT(1+2*(Capas!$B$15-1)*$B10*L$5))/(Capas!$B$15-1)))</f>
        <v>0.0537167243905305</v>
      </c>
      <c r="M10" s="9" t="n">
        <f aca="false">IF(M$5&gt;=$C10,1,IF(ABS(Capas!$B$15-1)&lt;0.000001,$B10*M$5,(-1+SQRT(1+2*(Capas!$B$15-1)*$B10*M$5))/(Capas!$B$15-1)))</f>
        <v>0.0602646572339321</v>
      </c>
      <c r="N10" s="9" t="n">
        <f aca="false">IF(N$5&gt;=$C10,1,IF(ABS(Capas!$B$15-1)&lt;0.000001,$B10*N$5,(-1+SQRT(1+2*(Capas!$B$15-1)*$B10*N$5))/(Capas!$B$15-1)))</f>
        <v>0.0675385846940254</v>
      </c>
      <c r="O10" s="9" t="n">
        <f aca="false">IF(O$5&gt;=$C10,1,IF(ABS(Capas!$B$15-1)&lt;0.000001,$B10*O$5,(-1+SQRT(1+2*(Capas!$B$15-1)*$B10*O$5))/(Capas!$B$15-1)))</f>
        <v>0.0756045862817047</v>
      </c>
      <c r="P10" s="9" t="n">
        <f aca="false">IF(P$5&gt;=$C10,1,IF(ABS(Capas!$B$15-1)&lt;0.000001,$B10*P$5,(-1+SQRT(1+2*(Capas!$B$15-1)*$B10*P$5))/(Capas!$B$15-1)))</f>
        <v>0.0845323783095995</v>
      </c>
      <c r="Q10" s="9" t="n">
        <f aca="false">IF(Q$5&gt;=$C10,1,IF(ABS(Capas!$B$15-1)&lt;0.000001,$B10*Q$5,(-1+SQRT(1+2*(Capas!$B$15-1)*$B10*Q$5))/(Capas!$B$15-1)))</f>
        <v>0.0943952456084778</v>
      </c>
      <c r="R10" s="9" t="n">
        <f aca="false">IF(R$5&gt;=$C10,1,IF(ABS(Capas!$B$15-1)&lt;0.000001,$B10*R$5,(-1+SQRT(1+2*(Capas!$B$15-1)*$B10*R$5))/(Capas!$B$15-1)))</f>
        <v>0.105269973240542</v>
      </c>
      <c r="S10" s="9" t="n">
        <f aca="false">IF(S$5&gt;=$C10,1,IF(ABS(Capas!$B$15-1)&lt;0.000001,$B10*S$5,(-1+SQRT(1+2*(Capas!$B$15-1)*$B10*S$5))/(Capas!$B$15-1)))</f>
        <v>0.117236790563105</v>
      </c>
      <c r="T10" s="9" t="n">
        <f aca="false">IF(T$5&gt;=$C10,1,IF(ABS(Capas!$B$15-1)&lt;0.000001,$B10*T$5,(-1+SQRT(1+2*(Capas!$B$15-1)*$B10*T$5))/(Capas!$B$15-1)))</f>
        <v>0.130379340611305</v>
      </c>
      <c r="U10" s="9" t="n">
        <f aca="false">IF(U$5&gt;=$C10,1,IF(ABS(Capas!$B$15-1)&lt;0.000001,$B10*U$5,(-1+SQRT(1+2*(Capas!$B$15-1)*$B10*U$5))/(Capas!$B$15-1)))</f>
        <v>0.144784687461788</v>
      </c>
      <c r="V10" s="9" t="n">
        <f aca="false">IF(V$5&gt;=$C10,1,IF(ABS(Capas!$B$15-1)&lt;0.000001,$B10*V$5,(-1+SQRT(1+2*(Capas!$B$15-1)*$B10*V$5))/(Capas!$B$15-1)))</f>
        <v>0.160543373019332</v>
      </c>
      <c r="W10" s="9" t="n">
        <f aca="false">IF(W$5&gt;=$C10,1,IF(ABS(Capas!$B$15-1)&lt;0.000001,$B10*W$5,(-1+SQRT(1+2*(Capas!$B$15-1)*$B10*W$5))/(Capas!$B$15-1)))</f>
        <v>0.17774953266036</v>
      </c>
      <c r="X10" s="9" t="n">
        <f aca="false">IF(X$5&gt;=$C10,1,IF(ABS(Capas!$B$15-1)&lt;0.000001,$B10*X$5,(-1+SQRT(1+2*(Capas!$B$15-1)*$B10*X$5))/(Capas!$B$15-1)))</f>
        <v>0.196501076594945</v>
      </c>
      <c r="Y10" s="9" t="n">
        <f aca="false">IF(Y$5&gt;=$C10,1,IF(ABS(Capas!$B$15-1)&lt;0.000001,$B10*Y$5,(-1+SQRT(1+2*(Capas!$B$15-1)*$B10*Y$5))/(Capas!$B$15-1)))</f>
        <v>0.216899940958648</v>
      </c>
      <c r="Z10" s="9" t="n">
        <f aca="false">IF(Z$5&gt;=$C10,1,IF(ABS(Capas!$B$15-1)&lt;0.000001,$B10*Z$5,(-1+SQRT(1+2*(Capas!$B$15-1)*$B10*Z$5))/(Capas!$B$15-1)))</f>
        <v>0.239052409819819</v>
      </c>
      <c r="AA10" s="9" t="n">
        <f aca="false">IF(AA$5&gt;=$C10,1,IF(ABS(Capas!$B$15-1)&lt;0.000001,$B10*AA$5,(-1+SQRT(1+2*(Capas!$B$15-1)*$B10*AA$5))/(Capas!$B$15-1)))</f>
        <v>0.263069506760673</v>
      </c>
      <c r="AB10" s="9" t="n">
        <f aca="false">IF(AB$5&gt;=$C10,1,IF(ABS(Capas!$B$15-1)&lt;0.000001,$B10*AB$5,(-1+SQRT(1+2*(Capas!$B$15-1)*$B10*AB$5))/(Capas!$B$15-1)))</f>
        <v>0.289067452669554</v>
      </c>
      <c r="AC10" s="9" t="n">
        <f aca="false">IF(AC$5&gt;=$C10,1,IF(ABS(Capas!$B$15-1)&lt;0.000001,$B10*AC$5,(-1+SQRT(1+2*(Capas!$B$15-1)*$B10*AC$5))/(Capas!$B$15-1)))</f>
        <v>0.317168184990375</v>
      </c>
      <c r="AD10" s="9" t="n">
        <f aca="false">IF(AD$5&gt;=$C10,1,IF(ABS(Capas!$B$15-1)&lt;0.000001,$B10*AD$5,(-1+SQRT(1+2*(Capas!$B$15-1)*$B10*AD$5))/(Capas!$B$15-1)))</f>
        <v>0.347499932947586</v>
      </c>
      <c r="AE10" s="9" t="n">
        <f aca="false">IF(AE$5&gt;=$C10,1,IF(ABS(Capas!$B$15-1)&lt;0.000001,$B10*AE$5,(-1+SQRT(1+2*(Capas!$B$15-1)*$B10*AE$5))/(Capas!$B$15-1)))</f>
        <v>0.380197843158739</v>
      </c>
      <c r="AF10" s="9" t="n">
        <f aca="false">IF(AF$5&gt;=$C10,1,IF(ABS(Capas!$B$15-1)&lt;0.000001,$B10*AF$5,(-1+SQRT(1+2*(Capas!$B$15-1)*$B10*AF$5))/(Capas!$B$15-1)))</f>
        <v>0.415404650463877</v>
      </c>
      <c r="AG10" s="9" t="n">
        <f aca="false">IF(AG$5&gt;=$C10,1,IF(ABS(Capas!$B$15-1)&lt;0.000001,$B10*AG$5,(-1+SQRT(1+2*(Capas!$B$15-1)*$B10*AG$5))/(Capas!$B$15-1)))</f>
        <v>0.453271389612441</v>
      </c>
      <c r="AH10" s="9" t="n">
        <f aca="false">IF(AH$5&gt;=$C10,1,IF(ABS(Capas!$B$15-1)&lt;0.000001,$B10*AH$5,(-1+SQRT(1+2*(Capas!$B$15-1)*$B10*AH$5))/(Capas!$B$15-1)))</f>
        <v>0.49395814451748</v>
      </c>
      <c r="AI10" s="9" t="n">
        <f aca="false">IF(AI$5&gt;=$C10,1,IF(ABS(Capas!$B$15-1)&lt;0.000001,$B10*AI$5,(-1+SQRT(1+2*(Capas!$B$15-1)*$B10*AI$5))/(Capas!$B$15-1)))</f>
        <v>0.53763483298672</v>
      </c>
      <c r="AJ10" s="9" t="n">
        <f aca="false">IF(AJ$5&gt;=$C10,1,IF(ABS(Capas!$B$15-1)&lt;0.000001,$B10*AJ$5,(-1+SQRT(1+2*(Capas!$B$15-1)*$B10*AJ$5))/(Capas!$B$15-1)))</f>
        <v>0.584482026065487</v>
      </c>
      <c r="AK10" s="9" t="n">
        <f aca="false">IF(AK$5&gt;=$C10,1,IF(ABS(Capas!$B$15-1)&lt;0.000001,$B10*AK$5,(-1+SQRT(1+2*(Capas!$B$15-1)*$B10*AK$5))/(Capas!$B$15-1)))</f>
        <v>0.634691802299368</v>
      </c>
      <c r="AL10" s="9" t="n">
        <f aca="false">IF(AL$5&gt;=$C10,1,IF(ABS(Capas!$B$15-1)&lt;0.000001,$B10*AL$5,(-1+SQRT(1+2*(Capas!$B$15-1)*$B10*AL$5))/(Capas!$B$15-1)))</f>
        <v>0.688468638293974</v>
      </c>
      <c r="AM10" s="9" t="n">
        <f aca="false">IF(AM$5&gt;=$C10,1,IF(ABS(Capas!$B$15-1)&lt;0.000001,$B10*AM$5,(-1+SQRT(1+2*(Capas!$B$15-1)*$B10*AM$5))/(Capas!$B$15-1)))</f>
        <v>0.746030337888352</v>
      </c>
      <c r="AN10" s="9" t="n">
        <f aca="false">IF(AN$5&gt;=$C10,1,IF(ABS(Capas!$B$15-1)&lt;0.000001,$B10*AN$5,(-1+SQRT(1+2*(Capas!$B$15-1)*$B10*AN$5))/(Capas!$B$15-1)))</f>
        <v>0.807609003060097</v>
      </c>
      <c r="AO10" s="9" t="n">
        <f aca="false">IF(AO$5&gt;=$C10,1,IF(ABS(Capas!$B$15-1)&lt;0.000001,$B10*AO$5,(-1+SQRT(1+2*(Capas!$B$15-1)*$B10*AO$5))/(Capas!$B$15-1)))</f>
        <v>0.873452050350209</v>
      </c>
      <c r="AP10" s="9" t="n">
        <f aca="false">IF(AP$5&gt;=$C10,1,IF(ABS(Capas!$B$15-1)&lt;0.000001,$B10*AP$5,(-1+SQRT(1+2*(Capas!$B$15-1)*$B10*AP$5))/(Capas!$B$15-1)))</f>
        <v>0.94382327714958</v>
      </c>
      <c r="AQ10" s="9" t="n">
        <f aca="false">IF(AQ$5&gt;=$C10,1,IF(ABS(Capas!$B$15-1)&lt;0.000001,$B10*AQ$5,(-1+SQRT(1+2*(Capas!$B$15-1)*$B10*AQ$5))/(Capas!$B$15-1)))</f>
        <v>1</v>
      </c>
      <c r="AR10" s="9" t="n">
        <f aca="false">IF(AR$5&gt;=$C10,1,IF(ABS(Capas!$B$15-1)&lt;0.000001,$B10*AR$5,(-1+SQRT(1+2*(Capas!$B$15-1)*$B10*AR$5))/(Capas!$B$15-1)))</f>
        <v>1</v>
      </c>
      <c r="AS10" s="9" t="n">
        <f aca="false">IF(AS$5&gt;=$C10,1,IF(ABS(Capas!$B$15-1)&lt;0.000001,$B10*AS$5,(-1+SQRT(1+2*(Capas!$B$15-1)*$B10*AS$5))/(Capas!$B$15-1)))</f>
        <v>1</v>
      </c>
      <c r="AT10" s="9" t="n">
        <f aca="false">IF(AT$5&gt;=$C10,1,IF(ABS(Capas!$B$15-1)&lt;0.000001,$B10*AT$5,(-1+SQRT(1+2*(Capas!$B$15-1)*$B10*AT$5))/(Capas!$B$15-1)))</f>
        <v>1</v>
      </c>
      <c r="AU10" s="9" t="n">
        <f aca="false">IF(AU$5&gt;=$C10,1,IF(ABS(Capas!$B$15-1)&lt;0.000001,$B10*AU$5,(-1+SQRT(1+2*(Capas!$B$15-1)*$B10*AU$5))/(Capas!$B$15-1)))</f>
        <v>1</v>
      </c>
      <c r="AV10" s="9" t="n">
        <f aca="false">IF(AV$5&gt;=$C10,1,IF(ABS(Capas!$B$15-1)&lt;0.000001,$B10*AV$5,(-1+SQRT(1+2*(Capas!$B$15-1)*$B10*AV$5))/(Capas!$B$15-1)))</f>
        <v>1</v>
      </c>
      <c r="AW10" s="9" t="n">
        <f aca="false">IF(AW$5&gt;=$C10,1,IF(ABS(Capas!$B$15-1)&lt;0.000001,$B10*AW$5,(-1+SQRT(1+2*(Capas!$B$15-1)*$B10*AW$5))/(Capas!$B$15-1)))</f>
        <v>1</v>
      </c>
      <c r="AX10" s="9" t="n">
        <f aca="false">IF(AX$5&gt;=$C10,1,IF(ABS(Capas!$B$15-1)&lt;0.000001,$B10*AX$5,(-1+SQRT(1+2*(Capas!$B$15-1)*$B10*AX$5))/(Capas!$B$15-1)))</f>
        <v>1</v>
      </c>
      <c r="AY10" s="9" t="n">
        <f aca="false">IF(AY$5&gt;=$C10,1,IF(ABS(Capas!$B$15-1)&lt;0.000001,$B10*AY$5,(-1+SQRT(1+2*(Capas!$B$15-1)*$B10*AY$5))/(Capas!$B$15-1)))</f>
        <v>1</v>
      </c>
      <c r="AZ10" s="9" t="n">
        <f aca="false">IF(AZ$5&gt;=$C10,1,IF(ABS(Capas!$B$15-1)&lt;0.000001,$B10*AZ$5,(-1+SQRT(1+2*(Capas!$B$15-1)*$B10*AZ$5))/(Capas!$B$15-1)))</f>
        <v>1</v>
      </c>
      <c r="BA10" s="9" t="n">
        <f aca="false">IF(BA$5&gt;=$C10,1,IF(ABS(Capas!$B$15-1)&lt;0.000001,$B10*BA$5,(-1+SQRT(1+2*(Capas!$B$15-1)*$B10*BA$5))/(Capas!$B$15-1)))</f>
        <v>1</v>
      </c>
      <c r="BB10" s="9" t="n">
        <f aca="false">IF(BB$5&gt;=$C10,1,IF(ABS(Capas!$B$15-1)&lt;0.000001,$B10*BB$5,(-1+SQRT(1+2*(Capas!$B$15-1)*$B10*BB$5))/(Capas!$B$15-1)))</f>
        <v>1</v>
      </c>
      <c r="BC10" s="9" t="n">
        <f aca="false">IF(BC$5&gt;=$C10,1,IF(ABS(Capas!$B$15-1)&lt;0.000001,$B10*BC$5,(-1+SQRT(1+2*(Capas!$B$15-1)*$B10*BC$5))/(Capas!$B$15-1)))</f>
        <v>1</v>
      </c>
      <c r="BD10" s="9" t="n">
        <f aca="false">IF(BD$5&gt;=$C10,1,IF(ABS(Capas!$B$15-1)&lt;0.000001,$B10*BD$5,(-1+SQRT(1+2*(Capas!$B$15-1)*$B10*BD$5))/(Capas!$B$15-1)))</f>
        <v>1</v>
      </c>
      <c r="BE10" s="9" t="n">
        <f aca="false">IF(BE$5&gt;=$C10,1,IF(ABS(Capas!$B$15-1)&lt;0.000001,$B10*BE$5,(-1+SQRT(1+2*(Capas!$B$15-1)*$B10*BE$5))/(Capas!$B$15-1)))</f>
        <v>1</v>
      </c>
      <c r="BF10" s="9" t="n">
        <f aca="false">IF(BF$5&gt;=$C10,1,IF(ABS(Capas!$B$15-1)&lt;0.000001,$B10*BF$5,(-1+SQRT(1+2*(Capas!$B$15-1)*$B10*BF$5))/(Capas!$B$15-1)))</f>
        <v>1</v>
      </c>
      <c r="BG10" s="9" t="n">
        <f aca="false">IF(BG$5&gt;=$C10,1,IF(ABS(Capas!$B$15-1)&lt;0.000001,$B10*BG$5,(-1+SQRT(1+2*(Capas!$B$15-1)*$B10*BG$5))/(Capas!$B$15-1)))</f>
        <v>1</v>
      </c>
      <c r="BH10" s="9" t="n">
        <f aca="false">IF(BH$5&gt;=$C10,1,IF(ABS(Capas!$B$15-1)&lt;0.000001,$B10*BH$5,(-1+SQRT(1+2*(Capas!$B$15-1)*$B10*BH$5))/(Capas!$B$15-1)))</f>
        <v>1</v>
      </c>
      <c r="BI10" s="9" t="n">
        <f aca="false">IF(BI$5&gt;=$C10,1,IF(ABS(Capas!$B$15-1)&lt;0.000001,$B10*BI$5,(-1+SQRT(1+2*(Capas!$B$15-1)*$B10*BI$5))/(Capas!$B$15-1)))</f>
        <v>1</v>
      </c>
      <c r="BJ10" s="9" t="n">
        <f aca="false">IF(BJ$5&gt;=$C10,1,IF(ABS(Capas!$B$15-1)&lt;0.000001,$B10*BJ$5,(-1+SQRT(1+2*(Capas!$B$15-1)*$B10*BJ$5))/(Capas!$B$15-1)))</f>
        <v>1</v>
      </c>
      <c r="BK10" s="9" t="n">
        <f aca="false">IF(BK$5&gt;=$C10,1,IF(ABS(Capas!$B$15-1)&lt;0.000001,$B10*BK$5,(-1+SQRT(1+2*(Capas!$B$15-1)*$B10*BK$5))/(Capas!$B$15-1)))</f>
        <v>1</v>
      </c>
    </row>
    <row r="11" customFormat="false" ht="15" hidden="false" customHeight="false" outlineLevel="0" collapsed="false">
      <c r="A11" s="0" t="n">
        <v>6</v>
      </c>
      <c r="B11" s="10" t="n">
        <f aca="false">EXP(Capas!$B$14*NORMSINV((A11-0.5)/20))</f>
        <v>0.486904664781377</v>
      </c>
      <c r="C11" s="9" t="n">
        <f aca="false">(Capas!$B$15+1)/(2*B11)</f>
        <v>5.81907206538166</v>
      </c>
      <c r="D11" s="9" t="n">
        <f aca="false">IF(D$5&gt;=$C11,1,IF(ABS(Capas!$B$15-1)&lt;0.000001,$B11*D$5,(-1+SQRT(1+2*(Capas!$B$15-1)*$B11*D$5))/(Capas!$B$15-1)))</f>
        <v>0.0249199166804663</v>
      </c>
      <c r="E11" s="9" t="n">
        <f aca="false">IF(E$5&gt;=$C11,1,IF(ABS(Capas!$B$15-1)&lt;0.000001,$B11*E$5,(-1+SQRT(1+2*(Capas!$B$15-1)*$B11*E$5))/(Capas!$B$15-1)))</f>
        <v>0.0281061158157263</v>
      </c>
      <c r="F11" s="9" t="n">
        <f aca="false">IF(F$5&gt;=$C11,1,IF(ABS(Capas!$B$15-1)&lt;0.000001,$B11*F$5,(-1+SQRT(1+2*(Capas!$B$15-1)*$B11*F$5))/(Capas!$B$15-1)))</f>
        <v>0.0316794104941057</v>
      </c>
      <c r="G11" s="9" t="n">
        <f aca="false">IF(G$5&gt;=$C11,1,IF(ABS(Capas!$B$15-1)&lt;0.000001,$B11*G$5,(-1+SQRT(1+2*(Capas!$B$15-1)*$B11*G$5))/(Capas!$B$15-1)))</f>
        <v>0.0356819901097388</v>
      </c>
      <c r="H11" s="9" t="n">
        <f aca="false">IF(H$5&gt;=$C11,1,IF(ABS(Capas!$B$15-1)&lt;0.000001,$B11*H$5,(-1+SQRT(1+2*(Capas!$B$15-1)*$B11*H$5))/(Capas!$B$15-1)))</f>
        <v>0.0401595862977614</v>
      </c>
      <c r="I11" s="9" t="n">
        <f aca="false">IF(I$5&gt;=$C11,1,IF(ABS(Capas!$B$15-1)&lt;0.000001,$B11*I$5,(-1+SQRT(1+2*(Capas!$B$15-1)*$B11*I$5))/(Capas!$B$15-1)))</f>
        <v>0.045161568506</v>
      </c>
      <c r="J11" s="9" t="n">
        <f aca="false">IF(J$5&gt;=$C11,1,IF(ABS(Capas!$B$15-1)&lt;0.000001,$B11*J$5,(-1+SQRT(1+2*(Capas!$B$15-1)*$B11*J$5))/(Capas!$B$15-1)))</f>
        <v>0.0507410096960932</v>
      </c>
      <c r="K11" s="9" t="n">
        <f aca="false">IF(K$5&gt;=$C11,1,IF(ABS(Capas!$B$15-1)&lt;0.000001,$B11*K$5,(-1+SQRT(1+2*(Capas!$B$15-1)*$B11*K$5))/(Capas!$B$15-1)))</f>
        <v>0.0569547205875769</v>
      </c>
      <c r="L11" s="9" t="n">
        <f aca="false">IF(L$5&gt;=$C11,1,IF(ABS(Capas!$B$15-1)&lt;0.000001,$B11*L$5,(-1+SQRT(1+2*(Capas!$B$15-1)*$B11*L$5))/(Capas!$B$15-1)))</f>
        <v>0.0638632527969417</v>
      </c>
      <c r="M11" s="9" t="n">
        <f aca="false">IF(M$5&gt;=$C11,1,IF(ABS(Capas!$B$15-1)&lt;0.000001,$B11*M$5,(-1+SQRT(1+2*(Capas!$B$15-1)*$B11*M$5))/(Capas!$B$15-1)))</f>
        <v>0.0715308735285423</v>
      </c>
      <c r="N11" s="9" t="n">
        <f aca="false">IF(N$5&gt;=$C11,1,IF(ABS(Capas!$B$15-1)&lt;0.000001,$B11*N$5,(-1+SQRT(1+2*(Capas!$B$15-1)*$B11*N$5))/(Capas!$B$15-1)))</f>
        <v>0.0800255169934201</v>
      </c>
      <c r="O11" s="9" t="n">
        <f aca="false">IF(O$5&gt;=$C11,1,IF(ABS(Capas!$B$15-1)&lt;0.000001,$B11*O$5,(-1+SQRT(1+2*(Capas!$B$15-1)*$B11*O$5))/(Capas!$B$15-1)))</f>
        <v>0.089418720254097</v>
      </c>
      <c r="P11" s="9" t="n">
        <f aca="false">IF(P$5&gt;=$C11,1,IF(ABS(Capas!$B$15-1)&lt;0.000001,$B11*P$5,(-1+SQRT(1+2*(Capas!$B$15-1)*$B11*P$5))/(Capas!$B$15-1)))</f>
        <v>0.0997855534673954</v>
      </c>
      <c r="Q11" s="9" t="n">
        <f aca="false">IF(Q$5&gt;=$C11,1,IF(ABS(Capas!$B$15-1)&lt;0.000001,$B11*Q$5,(-1+SQRT(1+2*(Capas!$B$15-1)*$B11*Q$5))/(Capas!$B$15-1)))</f>
        <v>0.111204556265381</v>
      </c>
      <c r="R11" s="9" t="n">
        <f aca="false">IF(R$5&gt;=$C11,1,IF(ABS(Capas!$B$15-1)&lt;0.000001,$B11*R$5,(-1+SQRT(1+2*(Capas!$B$15-1)*$B11*R$5))/(Capas!$B$15-1)))</f>
        <v>0.123757693051444</v>
      </c>
      <c r="S11" s="9" t="n">
        <f aca="false">IF(S$5&gt;=$C11,1,IF(ABS(Capas!$B$15-1)&lt;0.000001,$B11*S$5,(-1+SQRT(1+2*(Capas!$B$15-1)*$B11*S$5))/(Capas!$B$15-1)))</f>
        <v>0.137530340141906</v>
      </c>
      <c r="T11" s="9" t="n">
        <f aca="false">IF(T$5&gt;=$C11,1,IF(ABS(Capas!$B$15-1)&lt;0.000001,$B11*T$5,(-1+SQRT(1+2*(Capas!$B$15-1)*$B11*T$5))/(Capas!$B$15-1)))</f>
        <v>0.152611316904519</v>
      </c>
      <c r="U11" s="9" t="n">
        <f aca="false">IF(U$5&gt;=$C11,1,IF(ABS(Capas!$B$15-1)&lt;0.000001,$B11*U$5,(-1+SQRT(1+2*(Capas!$B$15-1)*$B11*U$5))/(Capas!$B$15-1)))</f>
        <v>0.169092971402632</v>
      </c>
      <c r="V11" s="9" t="n">
        <f aca="false">IF(V$5&gt;=$C11,1,IF(ABS(Capas!$B$15-1)&lt;0.000001,$B11*V$5,(-1+SQRT(1+2*(Capas!$B$15-1)*$B11*V$5))/(Capas!$B$15-1)))</f>
        <v>0.187071328726339</v>
      </c>
      <c r="W11" s="9" t="n">
        <f aca="false">IF(W$5&gt;=$C11,1,IF(ABS(Capas!$B$15-1)&lt;0.000001,$B11*W$5,(-1+SQRT(1+2*(Capas!$B$15-1)*$B11*W$5))/(Capas!$B$15-1)))</f>
        <v>0.206646307440504</v>
      </c>
      <c r="X11" s="9" t="n">
        <f aca="false">IF(X$5&gt;=$C11,1,IF(ABS(Capas!$B$15-1)&lt;0.000001,$B11*X$5,(-1+SQRT(1+2*(Capas!$B$15-1)*$B11*X$5))/(Capas!$B$15-1)))</f>
        <v>0.227922006704816</v>
      </c>
      <c r="Y11" s="9" t="n">
        <f aca="false">IF(Y$5&gt;=$C11,1,IF(ABS(Capas!$B$15-1)&lt;0.000001,$B11*Y$5,(-1+SQRT(1+2*(Capas!$B$15-1)*$B11*Y$5))/(Capas!$B$15-1)))</f>
        <v>0.251007063916017</v>
      </c>
      <c r="Z11" s="9" t="n">
        <f aca="false">IF(Z$5&gt;=$C11,1,IF(ABS(Capas!$B$15-1)&lt;0.000001,$B11*Z$5,(-1+SQRT(1+2*(Capas!$B$15-1)*$B11*Z$5))/(Capas!$B$15-1)))</f>
        <v>0.276015080431345</v>
      </c>
      <c r="AA11" s="9" t="n">
        <f aca="false">IF(AA$5&gt;=$C11,1,IF(ABS(Capas!$B$15-1)&lt;0.000001,$B11*AA$5,(-1+SQRT(1+2*(Capas!$B$15-1)*$B11*AA$5))/(Capas!$B$15-1)))</f>
        <v>0.303065111221312</v>
      </c>
      <c r="AB11" s="9" t="n">
        <f aca="false">IF(AB$5&gt;=$C11,1,IF(ABS(Capas!$B$15-1)&lt;0.000001,$B11*AB$5,(-1+SQRT(1+2*(Capas!$B$15-1)*$B11*AB$5))/(Capas!$B$15-1)))</f>
        <v>0.33228221324644</v>
      </c>
      <c r="AC11" s="9" t="n">
        <f aca="false">IF(AC$5&gt;=$C11,1,IF(ABS(Capas!$B$15-1)&lt;0.000001,$B11*AC$5,(-1+SQRT(1+2*(Capas!$B$15-1)*$B11*AC$5))/(Capas!$B$15-1)))</f>
        <v>0.363798046949844</v>
      </c>
      <c r="AD11" s="9" t="n">
        <f aca="false">IF(AD$5&gt;=$C11,1,IF(ABS(Capas!$B$15-1)&lt;0.000001,$B11*AD$5,(-1+SQRT(1+2*(Capas!$B$15-1)*$B11*AD$5))/(Capas!$B$15-1)))</f>
        <v>0.397751525431804</v>
      </c>
      <c r="AE11" s="9" t="n">
        <f aca="false">IF(AE$5&gt;=$C11,1,IF(ABS(Capas!$B$15-1)&lt;0.000001,$B11*AE$5,(-1+SQRT(1+2*(Capas!$B$15-1)*$B11*AE$5))/(Capas!$B$15-1)))</f>
        <v>0.434289506506931</v>
      </c>
      <c r="AF11" s="9" t="n">
        <f aca="false">IF(AF$5&gt;=$C11,1,IF(ABS(Capas!$B$15-1)&lt;0.000001,$B11*AF$5,(-1+SQRT(1+2*(Capas!$B$15-1)*$B11*AF$5))/(Capas!$B$15-1)))</f>
        <v>0.473567523803668</v>
      </c>
      <c r="AG11" s="9" t="n">
        <f aca="false">IF(AG$5&gt;=$C11,1,IF(ABS(Capas!$B$15-1)&lt;0.000001,$B11*AG$5,(-1+SQRT(1+2*(Capas!$B$15-1)*$B11*AG$5))/(Capas!$B$15-1)))</f>
        <v>0.515750554215937</v>
      </c>
      <c r="AH11" s="9" t="n">
        <f aca="false">IF(AH$5&gt;=$C11,1,IF(ABS(Capas!$B$15-1)&lt;0.000001,$B11*AH$5,(-1+SQRT(1+2*(Capas!$B$15-1)*$B11*AH$5))/(Capas!$B$15-1)))</f>
        <v>0.561013820241095</v>
      </c>
      <c r="AI11" s="9" t="n">
        <f aca="false">IF(AI$5&gt;=$C11,1,IF(ABS(Capas!$B$15-1)&lt;0.000001,$B11*AI$5,(-1+SQRT(1+2*(Capas!$B$15-1)*$B11*AI$5))/(Capas!$B$15-1)))</f>
        <v>0.609543626945108</v>
      </c>
      <c r="AJ11" s="9" t="n">
        <f aca="false">IF(AJ$5&gt;=$C11,1,IF(ABS(Capas!$B$15-1)&lt;0.000001,$B11*AJ$5,(-1+SQRT(1+2*(Capas!$B$15-1)*$B11*AJ$5))/(Capas!$B$15-1)))</f>
        <v>0.661538234420974</v>
      </c>
      <c r="AK11" s="9" t="n">
        <f aca="false">IF(AK$5&gt;=$C11,1,IF(ABS(Capas!$B$15-1)&lt;0.000001,$B11*AK$5,(-1+SQRT(1+2*(Capas!$B$15-1)*$B11*AK$5))/(Capas!$B$15-1)))</f>
        <v>0.717208767611792</v>
      </c>
      <c r="AL11" s="9" t="n">
        <f aca="false">IF(AL$5&gt;=$C11,1,IF(ABS(Capas!$B$15-1)&lt;0.000001,$B11*AL$5,(-1+SQRT(1+2*(Capas!$B$15-1)*$B11*AL$5))/(Capas!$B$15-1)))</f>
        <v>0.776780166239059</v>
      </c>
      <c r="AM11" s="9" t="n">
        <f aca="false">IF(AM$5&gt;=$C11,1,IF(ABS(Capas!$B$15-1)&lt;0.000001,$B11*AM$5,(-1+SQRT(1+2*(Capas!$B$15-1)*$B11*AM$5))/(Capas!$B$15-1)))</f>
        <v>0.840492178310068</v>
      </c>
      <c r="AN11" s="9" t="n">
        <f aca="false">IF(AN$5&gt;=$C11,1,IF(ABS(Capas!$B$15-1)&lt;0.000001,$B11*AN$5,(-1+SQRT(1+2*(Capas!$B$15-1)*$B11*AN$5))/(Capas!$B$15-1)))</f>
        <v>0.908600401287015</v>
      </c>
      <c r="AO11" s="9" t="n">
        <f aca="false">IF(AO$5&gt;=$C11,1,IF(ABS(Capas!$B$15-1)&lt;0.000001,$B11*AO$5,(-1+SQRT(1+2*(Capas!$B$15-1)*$B11*AO$5))/(Capas!$B$15-1)))</f>
        <v>0.981377375502666</v>
      </c>
      <c r="AP11" s="9" t="n">
        <f aca="false">IF(AP$5&gt;=$C11,1,IF(ABS(Capas!$B$15-1)&lt;0.000001,$B11*AP$5,(-1+SQRT(1+2*(Capas!$B$15-1)*$B11*AP$5))/(Capas!$B$15-1)))</f>
        <v>1</v>
      </c>
      <c r="AQ11" s="9" t="n">
        <f aca="false">IF(AQ$5&gt;=$C11,1,IF(ABS(Capas!$B$15-1)&lt;0.000001,$B11*AQ$5,(-1+SQRT(1+2*(Capas!$B$15-1)*$B11*AQ$5))/(Capas!$B$15-1)))</f>
        <v>1</v>
      </c>
      <c r="AR11" s="9" t="n">
        <f aca="false">IF(AR$5&gt;=$C11,1,IF(ABS(Capas!$B$15-1)&lt;0.000001,$B11*AR$5,(-1+SQRT(1+2*(Capas!$B$15-1)*$B11*AR$5))/(Capas!$B$15-1)))</f>
        <v>1</v>
      </c>
      <c r="AS11" s="9" t="n">
        <f aca="false">IF(AS$5&gt;=$C11,1,IF(ABS(Capas!$B$15-1)&lt;0.000001,$B11*AS$5,(-1+SQRT(1+2*(Capas!$B$15-1)*$B11*AS$5))/(Capas!$B$15-1)))</f>
        <v>1</v>
      </c>
      <c r="AT11" s="9" t="n">
        <f aca="false">IF(AT$5&gt;=$C11,1,IF(ABS(Capas!$B$15-1)&lt;0.000001,$B11*AT$5,(-1+SQRT(1+2*(Capas!$B$15-1)*$B11*AT$5))/(Capas!$B$15-1)))</f>
        <v>1</v>
      </c>
      <c r="AU11" s="9" t="n">
        <f aca="false">IF(AU$5&gt;=$C11,1,IF(ABS(Capas!$B$15-1)&lt;0.000001,$B11*AU$5,(-1+SQRT(1+2*(Capas!$B$15-1)*$B11*AU$5))/(Capas!$B$15-1)))</f>
        <v>1</v>
      </c>
      <c r="AV11" s="9" t="n">
        <f aca="false">IF(AV$5&gt;=$C11,1,IF(ABS(Capas!$B$15-1)&lt;0.000001,$B11*AV$5,(-1+SQRT(1+2*(Capas!$B$15-1)*$B11*AV$5))/(Capas!$B$15-1)))</f>
        <v>1</v>
      </c>
      <c r="AW11" s="9" t="n">
        <f aca="false">IF(AW$5&gt;=$C11,1,IF(ABS(Capas!$B$15-1)&lt;0.000001,$B11*AW$5,(-1+SQRT(1+2*(Capas!$B$15-1)*$B11*AW$5))/(Capas!$B$15-1)))</f>
        <v>1</v>
      </c>
      <c r="AX11" s="9" t="n">
        <f aca="false">IF(AX$5&gt;=$C11,1,IF(ABS(Capas!$B$15-1)&lt;0.000001,$B11*AX$5,(-1+SQRT(1+2*(Capas!$B$15-1)*$B11*AX$5))/(Capas!$B$15-1)))</f>
        <v>1</v>
      </c>
      <c r="AY11" s="9" t="n">
        <f aca="false">IF(AY$5&gt;=$C11,1,IF(ABS(Capas!$B$15-1)&lt;0.000001,$B11*AY$5,(-1+SQRT(1+2*(Capas!$B$15-1)*$B11*AY$5))/(Capas!$B$15-1)))</f>
        <v>1</v>
      </c>
      <c r="AZ11" s="9" t="n">
        <f aca="false">IF(AZ$5&gt;=$C11,1,IF(ABS(Capas!$B$15-1)&lt;0.000001,$B11*AZ$5,(-1+SQRT(1+2*(Capas!$B$15-1)*$B11*AZ$5))/(Capas!$B$15-1)))</f>
        <v>1</v>
      </c>
      <c r="BA11" s="9" t="n">
        <f aca="false">IF(BA$5&gt;=$C11,1,IF(ABS(Capas!$B$15-1)&lt;0.000001,$B11*BA$5,(-1+SQRT(1+2*(Capas!$B$15-1)*$B11*BA$5))/(Capas!$B$15-1)))</f>
        <v>1</v>
      </c>
      <c r="BB11" s="9" t="n">
        <f aca="false">IF(BB$5&gt;=$C11,1,IF(ABS(Capas!$B$15-1)&lt;0.000001,$B11*BB$5,(-1+SQRT(1+2*(Capas!$B$15-1)*$B11*BB$5))/(Capas!$B$15-1)))</f>
        <v>1</v>
      </c>
      <c r="BC11" s="9" t="n">
        <f aca="false">IF(BC$5&gt;=$C11,1,IF(ABS(Capas!$B$15-1)&lt;0.000001,$B11*BC$5,(-1+SQRT(1+2*(Capas!$B$15-1)*$B11*BC$5))/(Capas!$B$15-1)))</f>
        <v>1</v>
      </c>
      <c r="BD11" s="9" t="n">
        <f aca="false">IF(BD$5&gt;=$C11,1,IF(ABS(Capas!$B$15-1)&lt;0.000001,$B11*BD$5,(-1+SQRT(1+2*(Capas!$B$15-1)*$B11*BD$5))/(Capas!$B$15-1)))</f>
        <v>1</v>
      </c>
      <c r="BE11" s="9" t="n">
        <f aca="false">IF(BE$5&gt;=$C11,1,IF(ABS(Capas!$B$15-1)&lt;0.000001,$B11*BE$5,(-1+SQRT(1+2*(Capas!$B$15-1)*$B11*BE$5))/(Capas!$B$15-1)))</f>
        <v>1</v>
      </c>
      <c r="BF11" s="9" t="n">
        <f aca="false">IF(BF$5&gt;=$C11,1,IF(ABS(Capas!$B$15-1)&lt;0.000001,$B11*BF$5,(-1+SQRT(1+2*(Capas!$B$15-1)*$B11*BF$5))/(Capas!$B$15-1)))</f>
        <v>1</v>
      </c>
      <c r="BG11" s="9" t="n">
        <f aca="false">IF(BG$5&gt;=$C11,1,IF(ABS(Capas!$B$15-1)&lt;0.000001,$B11*BG$5,(-1+SQRT(1+2*(Capas!$B$15-1)*$B11*BG$5))/(Capas!$B$15-1)))</f>
        <v>1</v>
      </c>
      <c r="BH11" s="9" t="n">
        <f aca="false">IF(BH$5&gt;=$C11,1,IF(ABS(Capas!$B$15-1)&lt;0.000001,$B11*BH$5,(-1+SQRT(1+2*(Capas!$B$15-1)*$B11*BH$5))/(Capas!$B$15-1)))</f>
        <v>1</v>
      </c>
      <c r="BI11" s="9" t="n">
        <f aca="false">IF(BI$5&gt;=$C11,1,IF(ABS(Capas!$B$15-1)&lt;0.000001,$B11*BI$5,(-1+SQRT(1+2*(Capas!$B$15-1)*$B11*BI$5))/(Capas!$B$15-1)))</f>
        <v>1</v>
      </c>
      <c r="BJ11" s="9" t="n">
        <f aca="false">IF(BJ$5&gt;=$C11,1,IF(ABS(Capas!$B$15-1)&lt;0.000001,$B11*BJ$5,(-1+SQRT(1+2*(Capas!$B$15-1)*$B11*BJ$5))/(Capas!$B$15-1)))</f>
        <v>1</v>
      </c>
      <c r="BK11" s="9" t="n">
        <f aca="false">IF(BK$5&gt;=$C11,1,IF(ABS(Capas!$B$15-1)&lt;0.000001,$B11*BK$5,(-1+SQRT(1+2*(Capas!$B$15-1)*$B11*BK$5))/(Capas!$B$15-1)))</f>
        <v>1</v>
      </c>
    </row>
    <row r="12" customFormat="false" ht="15" hidden="false" customHeight="false" outlineLevel="0" collapsed="false">
      <c r="A12" s="0" t="n">
        <v>7</v>
      </c>
      <c r="B12" s="10" t="n">
        <f aca="false">EXP(Capas!$B$14*NORMSINV((A12-0.5)/20))</f>
        <v>0.579078439439634</v>
      </c>
      <c r="C12" s="9" t="n">
        <f aca="false">(Capas!$B$15+1)/(2*B12)</f>
        <v>4.89283167937509</v>
      </c>
      <c r="D12" s="9" t="n">
        <f aca="false">IF(D$5&gt;=$C12,1,IF(ABS(Capas!$B$15-1)&lt;0.000001,$B12*D$5,(-1+SQRT(1+2*(Capas!$B$15-1)*$B12*D$5))/(Capas!$B$15-1)))</f>
        <v>0.0294061071011428</v>
      </c>
      <c r="E12" s="9" t="n">
        <f aca="false">IF(E$5&gt;=$C12,1,IF(ABS(Capas!$B$15-1)&lt;0.000001,$B12*E$5,(-1+SQRT(1+2*(Capas!$B$15-1)*$B12*E$5))/(Capas!$B$15-1)))</f>
        <v>0.0331361612222489</v>
      </c>
      <c r="F12" s="9" t="n">
        <f aca="false">IF(F$5&gt;=$C12,1,IF(ABS(Capas!$B$15-1)&lt;0.000001,$B12*F$5,(-1+SQRT(1+2*(Capas!$B$15-1)*$B12*F$5))/(Capas!$B$15-1)))</f>
        <v>0.0373123259808803</v>
      </c>
      <c r="G12" s="9" t="n">
        <f aca="false">IF(G$5&gt;=$C12,1,IF(ABS(Capas!$B$15-1)&lt;0.000001,$B12*G$5,(-1+SQRT(1+2*(Capas!$B$15-1)*$B12*G$5))/(Capas!$B$15-1)))</f>
        <v>0.041981695331827</v>
      </c>
      <c r="H12" s="9" t="n">
        <f aca="false">IF(H$5&gt;=$C12,1,IF(ABS(Capas!$B$15-1)&lt;0.000001,$B12*H$5,(-1+SQRT(1+2*(Capas!$B$15-1)*$B12*H$5))/(Capas!$B$15-1)))</f>
        <v>0.0471950294529068</v>
      </c>
      <c r="I12" s="9" t="n">
        <f aca="false">IF(I$5&gt;=$C12,1,IF(ABS(Capas!$B$15-1)&lt;0.000001,$B12*I$5,(-1+SQRT(1+2*(Capas!$B$15-1)*$B12*I$5))/(Capas!$B$15-1)))</f>
        <v>0.053006808673297</v>
      </c>
      <c r="J12" s="9" t="n">
        <f aca="false">IF(J$5&gt;=$C12,1,IF(ABS(Capas!$B$15-1)&lt;0.000001,$B12*J$5,(-1+SQRT(1+2*(Capas!$B$15-1)*$B12*J$5))/(Capas!$B$15-1)))</f>
        <v>0.0594752558275824</v>
      </c>
      <c r="K12" s="9" t="n">
        <f aca="false">IF(K$5&gt;=$C12,1,IF(ABS(Capas!$B$15-1)&lt;0.000001,$B12*K$5,(-1+SQRT(1+2*(Capas!$B$15-1)*$B12*K$5))/(Capas!$B$15-1)))</f>
        <v>0.0666623282205355</v>
      </c>
      <c r="L12" s="9" t="n">
        <f aca="false">IF(L$5&gt;=$C12,1,IF(ABS(Capas!$B$15-1)&lt;0.000001,$B12*L$5,(-1+SQRT(1+2*(Capas!$B$15-1)*$B12*L$5))/(Capas!$B$15-1)))</f>
        <v>0.0746336827946874</v>
      </c>
      <c r="M12" s="9" t="n">
        <f aca="false">IF(M$5&gt;=$C12,1,IF(ABS(Capas!$B$15-1)&lt;0.000001,$B12*M$5,(-1+SQRT(1+2*(Capas!$B$15-1)*$B12*M$5))/(Capas!$B$15-1)))</f>
        <v>0.0834586206405309</v>
      </c>
      <c r="N12" s="9" t="n">
        <f aca="false">IF(N$5&gt;=$C12,1,IF(ABS(Capas!$B$15-1)&lt;0.000001,$B12*N$5,(-1+SQRT(1+2*(Capas!$B$15-1)*$B12*N$5))/(Capas!$B$15-1)))</f>
        <v>0.0932100194483192</v>
      </c>
      <c r="O12" s="9" t="n">
        <f aca="false">IF(O$5&gt;=$C12,1,IF(ABS(Capas!$B$15-1)&lt;0.000001,$B12*O$5,(-1+SQRT(1+2*(Capas!$B$15-1)*$B12*O$5))/(Capas!$B$15-1)))</f>
        <v>0.103964264613044</v>
      </c>
      <c r="P12" s="9" t="n">
        <f aca="false">IF(P$5&gt;=$C12,1,IF(ABS(Capas!$B$15-1)&lt;0.000001,$B12*P$5,(-1+SQRT(1+2*(Capas!$B$15-1)*$B12*P$5))/(Capas!$B$15-1)))</f>
        <v>0.115801191219825</v>
      </c>
      <c r="Q12" s="9" t="n">
        <f aca="false">IF(Q$5&gt;=$C12,1,IF(ABS(Capas!$B$15-1)&lt;0.000001,$B12*Q$5,(-1+SQRT(1+2*(Capas!$B$15-1)*$B12*Q$5))/(Capas!$B$15-1)))</f>
        <v>0.128804049853483</v>
      </c>
      <c r="R12" s="9" t="n">
        <f aca="false">IF(R$5&gt;=$C12,1,IF(ABS(Capas!$B$15-1)&lt;0.000001,$B12*R$5,(-1+SQRT(1+2*(Capas!$B$15-1)*$B12*R$5))/(Capas!$B$15-1)))</f>
        <v>0.143059508977269</v>
      </c>
      <c r="S12" s="9" t="n">
        <f aca="false">IF(S$5&gt;=$C12,1,IF(ABS(Capas!$B$15-1)&lt;0.000001,$B12*S$5,(-1+SQRT(1+2*(Capas!$B$15-1)*$B12*S$5))/(Capas!$B$15-1)))</f>
        <v>0.158657705506632</v>
      </c>
      <c r="T12" s="9" t="n">
        <f aca="false">IF(T$5&gt;=$C12,1,IF(ABS(Capas!$B$15-1)&lt;0.000001,$B12*T$5,(-1+SQRT(1+2*(Capas!$B$15-1)*$B12*T$5))/(Capas!$B$15-1)))</f>
        <v>0.175692353276749</v>
      </c>
      <c r="U12" s="9" t="n">
        <f aca="false">IF(U$5&gt;=$C12,1,IF(ABS(Capas!$B$15-1)&lt;0.000001,$B12*U$5,(-1+SQRT(1+2*(Capas!$B$15-1)*$B12*U$5))/(Capas!$B$15-1)))</f>
        <v>0.194260916581444</v>
      </c>
      <c r="V12" s="9" t="n">
        <f aca="false">IF(V$5&gt;=$C12,1,IF(ABS(Capas!$B$15-1)&lt;0.000001,$B12*V$5,(-1+SQRT(1+2*(Capas!$B$15-1)*$B12*V$5))/(Capas!$B$15-1)))</f>
        <v>0.214464853127211</v>
      </c>
      <c r="W12" s="9" t="n">
        <f aca="false">IF(W$5&gt;=$C12,1,IF(ABS(Capas!$B$15-1)&lt;0.000001,$B12*W$5,(-1+SQRT(1+2*(Capas!$B$15-1)*$B12*W$5))/(Capas!$B$15-1)))</f>
        <v>0.236409927902758</v>
      </c>
      <c r="X12" s="9" t="n">
        <f aca="false">IF(X$5&gt;=$C12,1,IF(ABS(Capas!$B$15-1)&lt;0.000001,$B12*X$5,(-1+SQRT(1+2*(Capas!$B$15-1)*$B12*X$5))/(Capas!$B$15-1)))</f>
        <v>0.260206596890687</v>
      </c>
      <c r="Y12" s="9" t="n">
        <f aca="false">IF(Y$5&gt;=$C12,1,IF(ABS(Capas!$B$15-1)&lt;0.000001,$B12*Y$5,(-1+SQRT(1+2*(Capas!$B$15-1)*$B12*Y$5))/(Capas!$B$15-1)))</f>
        <v>0.285970457460778</v>
      </c>
      <c r="Z12" s="9" t="n">
        <f aca="false">IF(Z$5&gt;=$C12,1,IF(ABS(Capas!$B$15-1)&lt;0.000001,$B12*Z$5,(-1+SQRT(1+2*(Capas!$B$15-1)*$B12*Z$5))/(Capas!$B$15-1)))</f>
        <v>0.313822760817124</v>
      </c>
      <c r="AA12" s="9" t="n">
        <f aca="false">IF(AA$5&gt;=$C12,1,IF(ABS(Capas!$B$15-1)&lt;0.000001,$B12*AA$5,(-1+SQRT(1+2*(Capas!$B$15-1)*$B12*AA$5))/(Capas!$B$15-1)))</f>
        <v>0.343890981068173</v>
      </c>
      <c r="AB12" s="9" t="n">
        <f aca="false">IF(AB$5&gt;=$C12,1,IF(ABS(Capas!$B$15-1)&lt;0.000001,$B12*AB$5,(-1+SQRT(1+2*(Capas!$B$15-1)*$B12*AB$5))/(Capas!$B$15-1)))</f>
        <v>0.376309435315116</v>
      </c>
      <c r="AC12" s="9" t="n">
        <f aca="false">IF(AC$5&gt;=$C12,1,IF(ABS(Capas!$B$15-1)&lt;0.000001,$B12*AC$5,(-1+SQRT(1+2*(Capas!$B$15-1)*$B12*AC$5))/(Capas!$B$15-1)))</f>
        <v>0.411219949517128</v>
      </c>
      <c r="AD12" s="9" t="n">
        <f aca="false">IF(AD$5&gt;=$C12,1,IF(ABS(Capas!$B$15-1)&lt;0.000001,$B12*AD$5,(-1+SQRT(1+2*(Capas!$B$15-1)*$B12*AD$5))/(Capas!$B$15-1)))</f>
        <v>0.448772565665127</v>
      </c>
      <c r="AE12" s="9" t="n">
        <f aca="false">IF(AE$5&gt;=$C12,1,IF(ABS(Capas!$B$15-1)&lt;0.000001,$B12*AE$5,(-1+SQRT(1+2*(Capas!$B$15-1)*$B12*AE$5))/(Capas!$B$15-1)))</f>
        <v>0.489126286841855</v>
      </c>
      <c r="AF12" s="9" t="n">
        <f aca="false">IF(AF$5&gt;=$C12,1,IF(ABS(Capas!$B$15-1)&lt;0.000001,$B12*AF$5,(-1+SQRT(1+2*(Capas!$B$15-1)*$B12*AF$5))/(Capas!$B$15-1)))</f>
        <v>0.532449857936709</v>
      </c>
      <c r="AG12" s="9" t="n">
        <f aca="false">IF(AG$5&gt;=$C12,1,IF(ABS(Capas!$B$15-1)&lt;0.000001,$B12*AG$5,(-1+SQRT(1+2*(Capas!$B$15-1)*$B12*AG$5))/(Capas!$B$15-1)))</f>
        <v>0.578922581010702</v>
      </c>
      <c r="AH12" s="9" t="n">
        <f aca="false">IF(AH$5&gt;=$C12,1,IF(ABS(Capas!$B$15-1)&lt;0.000001,$B12*AH$5,(-1+SQRT(1+2*(Capas!$B$15-1)*$B12*AH$5))/(Capas!$B$15-1)))</f>
        <v>0.628735165488987</v>
      </c>
      <c r="AI12" s="9" t="n">
        <f aca="false">IF(AI$5&gt;=$C12,1,IF(ABS(Capas!$B$15-1)&lt;0.000001,$B12*AI$5,(-1+SQRT(1+2*(Capas!$B$15-1)*$B12*AI$5))/(Capas!$B$15-1)))</f>
        <v>0.682090614441525</v>
      </c>
      <c r="AJ12" s="9" t="n">
        <f aca="false">IF(AJ$5&gt;=$C12,1,IF(ABS(Capas!$B$15-1)&lt;0.000001,$B12*AJ$5,(-1+SQRT(1+2*(Capas!$B$15-1)*$B12*AJ$5))/(Capas!$B$15-1)))</f>
        <v>0.739205149167372</v>
      </c>
      <c r="AK12" s="9" t="n">
        <f aca="false">IF(AK$5&gt;=$C12,1,IF(ABS(Capas!$B$15-1)&lt;0.000001,$B12*AK$5,(-1+SQRT(1+2*(Capas!$B$15-1)*$B12*AK$5))/(Capas!$B$15-1)))</f>
        <v>0.800309175115285</v>
      </c>
      <c r="AL12" s="9" t="n">
        <f aca="false">IF(AL$5&gt;=$C12,1,IF(ABS(Capas!$B$15-1)&lt;0.000001,$B12*AL$5,(-1+SQRT(1+2*(Capas!$B$15-1)*$B12*AL$5))/(Capas!$B$15-1)))</f>
        <v>0.865648292857856</v>
      </c>
      <c r="AM12" s="9" t="n">
        <f aca="false">IF(AM$5&gt;=$C12,1,IF(ABS(Capas!$B$15-1)&lt;0.000001,$B12*AM$5,(-1+SQRT(1+2*(Capas!$B$15-1)*$B12*AM$5))/(Capas!$B$15-1)))</f>
        <v>0.935484358402597</v>
      </c>
      <c r="AN12" s="9" t="n">
        <f aca="false">IF(AN$5&gt;=$C12,1,IF(ABS(Capas!$B$15-1)&lt;0.000001,$B12*AN$5,(-1+SQRT(1+2*(Capas!$B$15-1)*$B12*AN$5))/(Capas!$B$15-1)))</f>
        <v>1</v>
      </c>
      <c r="AO12" s="9" t="n">
        <f aca="false">IF(AO$5&gt;=$C12,1,IF(ABS(Capas!$B$15-1)&lt;0.000001,$B12*AO$5,(-1+SQRT(1+2*(Capas!$B$15-1)*$B12*AO$5))/(Capas!$B$15-1)))</f>
        <v>1</v>
      </c>
      <c r="AP12" s="9" t="n">
        <f aca="false">IF(AP$5&gt;=$C12,1,IF(ABS(Capas!$B$15-1)&lt;0.000001,$B12*AP$5,(-1+SQRT(1+2*(Capas!$B$15-1)*$B12*AP$5))/(Capas!$B$15-1)))</f>
        <v>1</v>
      </c>
      <c r="AQ12" s="9" t="n">
        <f aca="false">IF(AQ$5&gt;=$C12,1,IF(ABS(Capas!$B$15-1)&lt;0.000001,$B12*AQ$5,(-1+SQRT(1+2*(Capas!$B$15-1)*$B12*AQ$5))/(Capas!$B$15-1)))</f>
        <v>1</v>
      </c>
      <c r="AR12" s="9" t="n">
        <f aca="false">IF(AR$5&gt;=$C12,1,IF(ABS(Capas!$B$15-1)&lt;0.000001,$B12*AR$5,(-1+SQRT(1+2*(Capas!$B$15-1)*$B12*AR$5))/(Capas!$B$15-1)))</f>
        <v>1</v>
      </c>
      <c r="AS12" s="9" t="n">
        <f aca="false">IF(AS$5&gt;=$C12,1,IF(ABS(Capas!$B$15-1)&lt;0.000001,$B12*AS$5,(-1+SQRT(1+2*(Capas!$B$15-1)*$B12*AS$5))/(Capas!$B$15-1)))</f>
        <v>1</v>
      </c>
      <c r="AT12" s="9" t="n">
        <f aca="false">IF(AT$5&gt;=$C12,1,IF(ABS(Capas!$B$15-1)&lt;0.000001,$B12*AT$5,(-1+SQRT(1+2*(Capas!$B$15-1)*$B12*AT$5))/(Capas!$B$15-1)))</f>
        <v>1</v>
      </c>
      <c r="AU12" s="9" t="n">
        <f aca="false">IF(AU$5&gt;=$C12,1,IF(ABS(Capas!$B$15-1)&lt;0.000001,$B12*AU$5,(-1+SQRT(1+2*(Capas!$B$15-1)*$B12*AU$5))/(Capas!$B$15-1)))</f>
        <v>1</v>
      </c>
      <c r="AV12" s="9" t="n">
        <f aca="false">IF(AV$5&gt;=$C12,1,IF(ABS(Capas!$B$15-1)&lt;0.000001,$B12*AV$5,(-1+SQRT(1+2*(Capas!$B$15-1)*$B12*AV$5))/(Capas!$B$15-1)))</f>
        <v>1</v>
      </c>
      <c r="AW12" s="9" t="n">
        <f aca="false">IF(AW$5&gt;=$C12,1,IF(ABS(Capas!$B$15-1)&lt;0.000001,$B12*AW$5,(-1+SQRT(1+2*(Capas!$B$15-1)*$B12*AW$5))/(Capas!$B$15-1)))</f>
        <v>1</v>
      </c>
      <c r="AX12" s="9" t="n">
        <f aca="false">IF(AX$5&gt;=$C12,1,IF(ABS(Capas!$B$15-1)&lt;0.000001,$B12*AX$5,(-1+SQRT(1+2*(Capas!$B$15-1)*$B12*AX$5))/(Capas!$B$15-1)))</f>
        <v>1</v>
      </c>
      <c r="AY12" s="9" t="n">
        <f aca="false">IF(AY$5&gt;=$C12,1,IF(ABS(Capas!$B$15-1)&lt;0.000001,$B12*AY$5,(-1+SQRT(1+2*(Capas!$B$15-1)*$B12*AY$5))/(Capas!$B$15-1)))</f>
        <v>1</v>
      </c>
      <c r="AZ12" s="9" t="n">
        <f aca="false">IF(AZ$5&gt;=$C12,1,IF(ABS(Capas!$B$15-1)&lt;0.000001,$B12*AZ$5,(-1+SQRT(1+2*(Capas!$B$15-1)*$B12*AZ$5))/(Capas!$B$15-1)))</f>
        <v>1</v>
      </c>
      <c r="BA12" s="9" t="n">
        <f aca="false">IF(BA$5&gt;=$C12,1,IF(ABS(Capas!$B$15-1)&lt;0.000001,$B12*BA$5,(-1+SQRT(1+2*(Capas!$B$15-1)*$B12*BA$5))/(Capas!$B$15-1)))</f>
        <v>1</v>
      </c>
      <c r="BB12" s="9" t="n">
        <f aca="false">IF(BB$5&gt;=$C12,1,IF(ABS(Capas!$B$15-1)&lt;0.000001,$B12*BB$5,(-1+SQRT(1+2*(Capas!$B$15-1)*$B12*BB$5))/(Capas!$B$15-1)))</f>
        <v>1</v>
      </c>
      <c r="BC12" s="9" t="n">
        <f aca="false">IF(BC$5&gt;=$C12,1,IF(ABS(Capas!$B$15-1)&lt;0.000001,$B12*BC$5,(-1+SQRT(1+2*(Capas!$B$15-1)*$B12*BC$5))/(Capas!$B$15-1)))</f>
        <v>1</v>
      </c>
      <c r="BD12" s="9" t="n">
        <f aca="false">IF(BD$5&gt;=$C12,1,IF(ABS(Capas!$B$15-1)&lt;0.000001,$B12*BD$5,(-1+SQRT(1+2*(Capas!$B$15-1)*$B12*BD$5))/(Capas!$B$15-1)))</f>
        <v>1</v>
      </c>
      <c r="BE12" s="9" t="n">
        <f aca="false">IF(BE$5&gt;=$C12,1,IF(ABS(Capas!$B$15-1)&lt;0.000001,$B12*BE$5,(-1+SQRT(1+2*(Capas!$B$15-1)*$B12*BE$5))/(Capas!$B$15-1)))</f>
        <v>1</v>
      </c>
      <c r="BF12" s="9" t="n">
        <f aca="false">IF(BF$5&gt;=$C12,1,IF(ABS(Capas!$B$15-1)&lt;0.000001,$B12*BF$5,(-1+SQRT(1+2*(Capas!$B$15-1)*$B12*BF$5))/(Capas!$B$15-1)))</f>
        <v>1</v>
      </c>
      <c r="BG12" s="9" t="n">
        <f aca="false">IF(BG$5&gt;=$C12,1,IF(ABS(Capas!$B$15-1)&lt;0.000001,$B12*BG$5,(-1+SQRT(1+2*(Capas!$B$15-1)*$B12*BG$5))/(Capas!$B$15-1)))</f>
        <v>1</v>
      </c>
      <c r="BH12" s="9" t="n">
        <f aca="false">IF(BH$5&gt;=$C12,1,IF(ABS(Capas!$B$15-1)&lt;0.000001,$B12*BH$5,(-1+SQRT(1+2*(Capas!$B$15-1)*$B12*BH$5))/(Capas!$B$15-1)))</f>
        <v>1</v>
      </c>
      <c r="BI12" s="9" t="n">
        <f aca="false">IF(BI$5&gt;=$C12,1,IF(ABS(Capas!$B$15-1)&lt;0.000001,$B12*BI$5,(-1+SQRT(1+2*(Capas!$B$15-1)*$B12*BI$5))/(Capas!$B$15-1)))</f>
        <v>1</v>
      </c>
      <c r="BJ12" s="9" t="n">
        <f aca="false">IF(BJ$5&gt;=$C12,1,IF(ABS(Capas!$B$15-1)&lt;0.000001,$B12*BJ$5,(-1+SQRT(1+2*(Capas!$B$15-1)*$B12*BJ$5))/(Capas!$B$15-1)))</f>
        <v>1</v>
      </c>
      <c r="BK12" s="9" t="n">
        <f aca="false">IF(BK$5&gt;=$C12,1,IF(ABS(Capas!$B$15-1)&lt;0.000001,$B12*BK$5,(-1+SQRT(1+2*(Capas!$B$15-1)*$B12*BK$5))/(Capas!$B$15-1)))</f>
        <v>1</v>
      </c>
    </row>
    <row r="13" customFormat="false" ht="15" hidden="false" customHeight="false" outlineLevel="0" collapsed="false">
      <c r="A13" s="0" t="n">
        <v>8</v>
      </c>
      <c r="B13" s="10" t="n">
        <f aca="false">EXP(Capas!$B$14*NORMSINV((A13-0.5)/20))</f>
        <v>0.681381360663181</v>
      </c>
      <c r="C13" s="9" t="n">
        <f aca="false">(Capas!$B$15+1)/(2*B13)</f>
        <v>4.15821960638266</v>
      </c>
      <c r="D13" s="9" t="n">
        <f aca="false">IF(D$5&gt;=$C13,1,IF(ABS(Capas!$B$15-1)&lt;0.000001,$B13*D$5,(-1+SQRT(1+2*(Capas!$B$15-1)*$B13*D$5))/(Capas!$B$15-1)))</f>
        <v>0.0343085530807741</v>
      </c>
      <c r="E13" s="9" t="n">
        <f aca="false">IF(E$5&gt;=$C13,1,IF(ABS(Capas!$B$15-1)&lt;0.000001,$B13*E$5,(-1+SQRT(1+2*(Capas!$B$15-1)*$B13*E$5))/(Capas!$B$15-1)))</f>
        <v>0.0386238331487246</v>
      </c>
      <c r="F13" s="9" t="n">
        <f aca="false">IF(F$5&gt;=$C13,1,IF(ABS(Capas!$B$15-1)&lt;0.000001,$B13*F$5,(-1+SQRT(1+2*(Capas!$B$15-1)*$B13*F$5))/(Capas!$B$15-1)))</f>
        <v>0.0434467712094831</v>
      </c>
      <c r="G13" s="9" t="n">
        <f aca="false">IF(G$5&gt;=$C13,1,IF(ABS(Capas!$B$15-1)&lt;0.000001,$B13*G$5,(-1+SQRT(1+2*(Capas!$B$15-1)*$B13*G$5))/(Capas!$B$15-1)))</f>
        <v>0.0488292105507439</v>
      </c>
      <c r="H13" s="9" t="n">
        <f aca="false">IF(H$5&gt;=$C13,1,IF(ABS(Capas!$B$15-1)&lt;0.000001,$B13*H$5,(-1+SQRT(1+2*(Capas!$B$15-1)*$B13*H$5))/(Capas!$B$15-1)))</f>
        <v>0.0548267244007508</v>
      </c>
      <c r="I13" s="9" t="n">
        <f aca="false">IF(I$5&gt;=$C13,1,IF(ABS(Capas!$B$15-1)&lt;0.000001,$B13*I$5,(-1+SQRT(1+2*(Capas!$B$15-1)*$B13*I$5))/(Capas!$B$15-1)))</f>
        <v>0.0614986291754771</v>
      </c>
      <c r="J13" s="9" t="n">
        <f aca="false">IF(J$5&gt;=$C13,1,IF(ABS(Capas!$B$15-1)&lt;0.000001,$B13*J$5,(-1+SQRT(1+2*(Capas!$B$15-1)*$B13*J$5))/(Capas!$B$15-1)))</f>
        <v>0.0689079681272813</v>
      </c>
      <c r="K13" s="9" t="n">
        <f aca="false">IF(K$5&gt;=$C13,1,IF(ABS(Capas!$B$15-1)&lt;0.000001,$B13*K$5,(-1+SQRT(1+2*(Capas!$B$15-1)*$B13*K$5))/(Capas!$B$15-1)))</f>
        <v>0.0771214697265491</v>
      </c>
      <c r="L13" s="9" t="n">
        <f aca="false">IF(L$5&gt;=$C13,1,IF(ABS(Capas!$B$15-1)&lt;0.000001,$B13*L$5,(-1+SQRT(1+2*(Capas!$B$15-1)*$B13*L$5))/(Capas!$B$15-1)))</f>
        <v>0.0862094876552779</v>
      </c>
      <c r="M13" s="9" t="n">
        <f aca="false">IF(M$5&gt;=$C13,1,IF(ABS(Capas!$B$15-1)&lt;0.000001,$B13*M$5,(-1+SQRT(1+2*(Capas!$B$15-1)*$B13*M$5))/(Capas!$B$15-1)))</f>
        <v>0.0962459316765047</v>
      </c>
      <c r="N13" s="9" t="n">
        <f aca="false">IF(N$5&gt;=$C13,1,IF(ABS(Capas!$B$15-1)&lt;0.000001,$B13*N$5,(-1+SQRT(1+2*(Capas!$B$15-1)*$B13*N$5))/(Capas!$B$15-1)))</f>
        <v>0.107308200606162</v>
      </c>
      <c r="O13" s="9" t="n">
        <f aca="false">IF(O$5&gt;=$C13,1,IF(ABS(Capas!$B$15-1)&lt;0.000001,$B13*O$5,(-1+SQRT(1+2*(Capas!$B$15-1)*$B13*O$5))/(Capas!$B$15-1)))</f>
        <v>0.119477129913754</v>
      </c>
      <c r="P13" s="9" t="n">
        <f aca="false">IF(P$5&gt;=$C13,1,IF(ABS(Capas!$B$15-1)&lt;0.000001,$B13*P$5,(-1+SQRT(1+2*(Capas!$B$15-1)*$B13*P$5))/(Capas!$B$15-1)))</f>
        <v>0.132836966934677</v>
      </c>
      <c r="Q13" s="9" t="n">
        <f aca="false">IF(Q$5&gt;=$C13,1,IF(ABS(Capas!$B$15-1)&lt;0.000001,$B13*Q$5,(-1+SQRT(1+2*(Capas!$B$15-1)*$B13*Q$5))/(Capas!$B$15-1)))</f>
        <v>0.147475386204423</v>
      </c>
      <c r="R13" s="9" t="n">
        <f aca="false">IF(R$5&gt;=$C13,1,IF(ABS(Capas!$B$15-1)&lt;0.000001,$B13*R$5,(-1+SQRT(1+2*(Capas!$B$15-1)*$B13*R$5))/(Capas!$B$15-1)))</f>
        <v>0.163483556053046</v>
      </c>
      <c r="S13" s="9" t="n">
        <f aca="false">IF(S$5&gt;=$C13,1,IF(ABS(Capas!$B$15-1)&lt;0.000001,$B13*S$5,(-1+SQRT(1+2*(Capas!$B$15-1)*$B13*S$5))/(Capas!$B$15-1)))</f>
        <v>0.180956265471599</v>
      </c>
      <c r="T13" s="9" t="n">
        <f aca="false">IF(T$5&gt;=$C13,1,IF(ABS(Capas!$B$15-1)&lt;0.000001,$B13*T$5,(-1+SQRT(1+2*(Capas!$B$15-1)*$B13*T$5))/(Capas!$B$15-1)))</f>
        <v>0.199992117618718</v>
      </c>
      <c r="U13" s="9" t="n">
        <f aca="false">IF(U$5&gt;=$C13,1,IF(ABS(Capas!$B$15-1)&lt;0.000001,$B13*U$5,(-1+SQRT(1+2*(Capas!$B$15-1)*$B13*U$5))/(Capas!$B$15-1)))</f>
        <v>0.220693793467783</v>
      </c>
      <c r="V13" s="9" t="n">
        <f aca="false">IF(V$5&gt;=$C13,1,IF(ABS(Capas!$B$15-1)&lt;0.000001,$B13*V$5,(-1+SQRT(1+2*(Capas!$B$15-1)*$B13*V$5))/(Capas!$B$15-1)))</f>
        <v>0.243168386303862</v>
      </c>
      <c r="W13" s="9" t="n">
        <f aca="false">IF(W$5&gt;=$C13,1,IF(ABS(Capas!$B$15-1)&lt;0.000001,$B13*W$5,(-1+SQRT(1+2*(Capas!$B$15-1)*$B13*W$5))/(Capas!$B$15-1)))</f>
        <v>0.267527805329042</v>
      </c>
      <c r="X13" s="9" t="n">
        <f aca="false">IF(X$5&gt;=$C13,1,IF(ABS(Capas!$B$15-1)&lt;0.000001,$B13*X$5,(-1+SQRT(1+2*(Capas!$B$15-1)*$B13*X$5))/(Capas!$B$15-1)))</f>
        <v>0.293889244719079</v>
      </c>
      <c r="Y13" s="9" t="n">
        <f aca="false">IF(Y$5&gt;=$C13,1,IF(ABS(Capas!$B$15-1)&lt;0.000001,$B13*Y$5,(-1+SQRT(1+2*(Capas!$B$15-1)*$B13*Y$5))/(Capas!$B$15-1)))</f>
        <v>0.322375713200371</v>
      </c>
      <c r="Z13" s="9" t="n">
        <f aca="false">IF(Z$5&gt;=$C13,1,IF(ABS(Capas!$B$15-1)&lt;0.000001,$B13*Z$5,(-1+SQRT(1+2*(Capas!$B$15-1)*$B13*Z$5))/(Capas!$B$15-1)))</f>
        <v>0.353116618603691</v>
      </c>
      <c r="AA13" s="9" t="n">
        <f aca="false">IF(AA$5&gt;=$C13,1,IF(ABS(Capas!$B$15-1)&lt;0.000001,$B13*AA$5,(-1+SQRT(1+2*(Capas!$B$15-1)*$B13*AA$5))/(Capas!$B$15-1)))</f>
        <v>0.386248401845936</v>
      </c>
      <c r="AB13" s="9" t="n">
        <f aca="false">IF(AB$5&gt;=$C13,1,IF(ABS(Capas!$B$15-1)&lt;0.000001,$B13*AB$5,(-1+SQRT(1+2*(Capas!$B$15-1)*$B13*AB$5))/(Capas!$B$15-1)))</f>
        <v>0.421915215288071</v>
      </c>
      <c r="AC13" s="9" t="n">
        <f aca="false">IF(AC$5&gt;=$C13,1,IF(ABS(Capas!$B$15-1)&lt;0.000001,$B13*AC$5,(-1+SQRT(1+2*(Capas!$B$15-1)*$B13*AC$5))/(Capas!$B$15-1)))</f>
        <v>0.460269641284438</v>
      </c>
      <c r="AD13" s="9" t="n">
        <f aca="false">IF(AD$5&gt;=$C13,1,IF(ABS(Capas!$B$15-1)&lt;0.000001,$B13*AD$5,(-1+SQRT(1+2*(Capas!$B$15-1)*$B13*AD$5))/(Capas!$B$15-1)))</f>
        <v>0.501473447839598</v>
      </c>
      <c r="AE13" s="9" t="n">
        <f aca="false">IF(AE$5&gt;=$C13,1,IF(ABS(Capas!$B$15-1)&lt;0.000001,$B13*AE$5,(-1+SQRT(1+2*(Capas!$B$15-1)*$B13*AE$5))/(Capas!$B$15-1)))</f>
        <v>0.545698379500092</v>
      </c>
      <c r="AF13" s="9" t="n">
        <f aca="false">IF(AF$5&gt;=$C13,1,IF(ABS(Capas!$B$15-1)&lt;0.000001,$B13*AF$5,(-1+SQRT(1+2*(Capas!$B$15-1)*$B13*AF$5))/(Capas!$B$15-1)))</f>
        <v>0.593126982829553</v>
      </c>
      <c r="AG13" s="9" t="n">
        <f aca="false">IF(AG$5&gt;=$C13,1,IF(ABS(Capas!$B$15-1)&lt;0.000001,$B13*AG$5,(-1+SQRT(1+2*(Capas!$B$15-1)*$B13*AG$5))/(Capas!$B$15-1)))</f>
        <v>0.643953466973138</v>
      </c>
      <c r="AH13" s="9" t="n">
        <f aca="false">IF(AH$5&gt;=$C13,1,IF(ABS(Capas!$B$15-1)&lt;0.000001,$B13*AH$5,(-1+SQRT(1+2*(Capas!$B$15-1)*$B13*AH$5))/(Capas!$B$15-1)))</f>
        <v>0.698384600864954</v>
      </c>
      <c r="AI13" s="9" t="n">
        <f aca="false">IF(AI$5&gt;=$C13,1,IF(ABS(Capas!$B$15-1)&lt;0.000001,$B13*AI$5,(-1+SQRT(1+2*(Capas!$B$15-1)*$B13*AI$5))/(Capas!$B$15-1)))</f>
        <v>0.756640649547052</v>
      </c>
      <c r="AJ13" s="9" t="n">
        <f aca="false">IF(AJ$5&gt;=$C13,1,IF(ABS(Capas!$B$15-1)&lt;0.000001,$B13*AJ$5,(-1+SQRT(1+2*(Capas!$B$15-1)*$B13*AJ$5))/(Capas!$B$15-1)))</f>
        <v>0.818956352845976</v>
      </c>
      <c r="AK13" s="9" t="n">
        <f aca="false">IF(AK$5&gt;=$C13,1,IF(ABS(Capas!$B$15-1)&lt;0.000001,$B13*AK$5,(-1+SQRT(1+2*(Capas!$B$15-1)*$B13*AK$5))/(Capas!$B$15-1)))</f>
        <v>0.885581950300978</v>
      </c>
      <c r="AL13" s="9" t="n">
        <f aca="false">IF(AL$5&gt;=$C13,1,IF(ABS(Capas!$B$15-1)&lt;0.000001,$B13*AL$5,(-1+SQRT(1+2*(Capas!$B$15-1)*$B13*AL$5))/(Capas!$B$15-1)))</f>
        <v>0.956784256773241</v>
      </c>
      <c r="AM13" s="9" t="n">
        <f aca="false">IF(AM$5&gt;=$C13,1,IF(ABS(Capas!$B$15-1)&lt;0.000001,$B13*AM$5,(-1+SQRT(1+2*(Capas!$B$15-1)*$B13*AM$5))/(Capas!$B$15-1)))</f>
        <v>1</v>
      </c>
      <c r="AN13" s="9" t="n">
        <f aca="false">IF(AN$5&gt;=$C13,1,IF(ABS(Capas!$B$15-1)&lt;0.000001,$B13*AN$5,(-1+SQRT(1+2*(Capas!$B$15-1)*$B13*AN$5))/(Capas!$B$15-1)))</f>
        <v>1</v>
      </c>
      <c r="AO13" s="9" t="n">
        <f aca="false">IF(AO$5&gt;=$C13,1,IF(ABS(Capas!$B$15-1)&lt;0.000001,$B13*AO$5,(-1+SQRT(1+2*(Capas!$B$15-1)*$B13*AO$5))/(Capas!$B$15-1)))</f>
        <v>1</v>
      </c>
      <c r="AP13" s="9" t="n">
        <f aca="false">IF(AP$5&gt;=$C13,1,IF(ABS(Capas!$B$15-1)&lt;0.000001,$B13*AP$5,(-1+SQRT(1+2*(Capas!$B$15-1)*$B13*AP$5))/(Capas!$B$15-1)))</f>
        <v>1</v>
      </c>
      <c r="AQ13" s="9" t="n">
        <f aca="false">IF(AQ$5&gt;=$C13,1,IF(ABS(Capas!$B$15-1)&lt;0.000001,$B13*AQ$5,(-1+SQRT(1+2*(Capas!$B$15-1)*$B13*AQ$5))/(Capas!$B$15-1)))</f>
        <v>1</v>
      </c>
      <c r="AR13" s="9" t="n">
        <f aca="false">IF(AR$5&gt;=$C13,1,IF(ABS(Capas!$B$15-1)&lt;0.000001,$B13*AR$5,(-1+SQRT(1+2*(Capas!$B$15-1)*$B13*AR$5))/(Capas!$B$15-1)))</f>
        <v>1</v>
      </c>
      <c r="AS13" s="9" t="n">
        <f aca="false">IF(AS$5&gt;=$C13,1,IF(ABS(Capas!$B$15-1)&lt;0.000001,$B13*AS$5,(-1+SQRT(1+2*(Capas!$B$15-1)*$B13*AS$5))/(Capas!$B$15-1)))</f>
        <v>1</v>
      </c>
      <c r="AT13" s="9" t="n">
        <f aca="false">IF(AT$5&gt;=$C13,1,IF(ABS(Capas!$B$15-1)&lt;0.000001,$B13*AT$5,(-1+SQRT(1+2*(Capas!$B$15-1)*$B13*AT$5))/(Capas!$B$15-1)))</f>
        <v>1</v>
      </c>
      <c r="AU13" s="9" t="n">
        <f aca="false">IF(AU$5&gt;=$C13,1,IF(ABS(Capas!$B$15-1)&lt;0.000001,$B13*AU$5,(-1+SQRT(1+2*(Capas!$B$15-1)*$B13*AU$5))/(Capas!$B$15-1)))</f>
        <v>1</v>
      </c>
      <c r="AV13" s="9" t="n">
        <f aca="false">IF(AV$5&gt;=$C13,1,IF(ABS(Capas!$B$15-1)&lt;0.000001,$B13*AV$5,(-1+SQRT(1+2*(Capas!$B$15-1)*$B13*AV$5))/(Capas!$B$15-1)))</f>
        <v>1</v>
      </c>
      <c r="AW13" s="9" t="n">
        <f aca="false">IF(AW$5&gt;=$C13,1,IF(ABS(Capas!$B$15-1)&lt;0.000001,$B13*AW$5,(-1+SQRT(1+2*(Capas!$B$15-1)*$B13*AW$5))/(Capas!$B$15-1)))</f>
        <v>1</v>
      </c>
      <c r="AX13" s="9" t="n">
        <f aca="false">IF(AX$5&gt;=$C13,1,IF(ABS(Capas!$B$15-1)&lt;0.000001,$B13*AX$5,(-1+SQRT(1+2*(Capas!$B$15-1)*$B13*AX$5))/(Capas!$B$15-1)))</f>
        <v>1</v>
      </c>
      <c r="AY13" s="9" t="n">
        <f aca="false">IF(AY$5&gt;=$C13,1,IF(ABS(Capas!$B$15-1)&lt;0.000001,$B13*AY$5,(-1+SQRT(1+2*(Capas!$B$15-1)*$B13*AY$5))/(Capas!$B$15-1)))</f>
        <v>1</v>
      </c>
      <c r="AZ13" s="9" t="n">
        <f aca="false">IF(AZ$5&gt;=$C13,1,IF(ABS(Capas!$B$15-1)&lt;0.000001,$B13*AZ$5,(-1+SQRT(1+2*(Capas!$B$15-1)*$B13*AZ$5))/(Capas!$B$15-1)))</f>
        <v>1</v>
      </c>
      <c r="BA13" s="9" t="n">
        <f aca="false">IF(BA$5&gt;=$C13,1,IF(ABS(Capas!$B$15-1)&lt;0.000001,$B13*BA$5,(-1+SQRT(1+2*(Capas!$B$15-1)*$B13*BA$5))/(Capas!$B$15-1)))</f>
        <v>1</v>
      </c>
      <c r="BB13" s="9" t="n">
        <f aca="false">IF(BB$5&gt;=$C13,1,IF(ABS(Capas!$B$15-1)&lt;0.000001,$B13*BB$5,(-1+SQRT(1+2*(Capas!$B$15-1)*$B13*BB$5))/(Capas!$B$15-1)))</f>
        <v>1</v>
      </c>
      <c r="BC13" s="9" t="n">
        <f aca="false">IF(BC$5&gt;=$C13,1,IF(ABS(Capas!$B$15-1)&lt;0.000001,$B13*BC$5,(-1+SQRT(1+2*(Capas!$B$15-1)*$B13*BC$5))/(Capas!$B$15-1)))</f>
        <v>1</v>
      </c>
      <c r="BD13" s="9" t="n">
        <f aca="false">IF(BD$5&gt;=$C13,1,IF(ABS(Capas!$B$15-1)&lt;0.000001,$B13*BD$5,(-1+SQRT(1+2*(Capas!$B$15-1)*$B13*BD$5))/(Capas!$B$15-1)))</f>
        <v>1</v>
      </c>
      <c r="BE13" s="9" t="n">
        <f aca="false">IF(BE$5&gt;=$C13,1,IF(ABS(Capas!$B$15-1)&lt;0.000001,$B13*BE$5,(-1+SQRT(1+2*(Capas!$B$15-1)*$B13*BE$5))/(Capas!$B$15-1)))</f>
        <v>1</v>
      </c>
      <c r="BF13" s="9" t="n">
        <f aca="false">IF(BF$5&gt;=$C13,1,IF(ABS(Capas!$B$15-1)&lt;0.000001,$B13*BF$5,(-1+SQRT(1+2*(Capas!$B$15-1)*$B13*BF$5))/(Capas!$B$15-1)))</f>
        <v>1</v>
      </c>
      <c r="BG13" s="9" t="n">
        <f aca="false">IF(BG$5&gt;=$C13,1,IF(ABS(Capas!$B$15-1)&lt;0.000001,$B13*BG$5,(-1+SQRT(1+2*(Capas!$B$15-1)*$B13*BG$5))/(Capas!$B$15-1)))</f>
        <v>1</v>
      </c>
      <c r="BH13" s="9" t="n">
        <f aca="false">IF(BH$5&gt;=$C13,1,IF(ABS(Capas!$B$15-1)&lt;0.000001,$B13*BH$5,(-1+SQRT(1+2*(Capas!$B$15-1)*$B13*BH$5))/(Capas!$B$15-1)))</f>
        <v>1</v>
      </c>
      <c r="BI13" s="9" t="n">
        <f aca="false">IF(BI$5&gt;=$C13,1,IF(ABS(Capas!$B$15-1)&lt;0.000001,$B13*BI$5,(-1+SQRT(1+2*(Capas!$B$15-1)*$B13*BI$5))/(Capas!$B$15-1)))</f>
        <v>1</v>
      </c>
      <c r="BJ13" s="9" t="n">
        <f aca="false">IF(BJ$5&gt;=$C13,1,IF(ABS(Capas!$B$15-1)&lt;0.000001,$B13*BJ$5,(-1+SQRT(1+2*(Capas!$B$15-1)*$B13*BJ$5))/(Capas!$B$15-1)))</f>
        <v>1</v>
      </c>
      <c r="BK13" s="9" t="n">
        <f aca="false">IF(BK$5&gt;=$C13,1,IF(ABS(Capas!$B$15-1)&lt;0.000001,$B13*BK$5,(-1+SQRT(1+2*(Capas!$B$15-1)*$B13*BK$5))/(Capas!$B$15-1)))</f>
        <v>1</v>
      </c>
    </row>
    <row r="14" customFormat="false" ht="15" hidden="false" customHeight="false" outlineLevel="0" collapsed="false">
      <c r="A14" s="0" t="n">
        <v>9</v>
      </c>
      <c r="B14" s="10" t="n">
        <f aca="false">EXP(Capas!$B$14*NORMSINV((A14-0.5)/20))</f>
        <v>0.796368355485747</v>
      </c>
      <c r="C14" s="9" t="n">
        <f aca="false">(Capas!$B$15+1)/(2*B14)</f>
        <v>3.55781757752684</v>
      </c>
      <c r="D14" s="9" t="n">
        <f aca="false">IF(D$5&gt;=$C14,1,IF(ABS(Capas!$B$15-1)&lt;0.000001,$B14*D$5,(-1+SQRT(1+2*(Capas!$B$15-1)*$B14*D$5))/(Capas!$B$15-1)))</f>
        <v>0.039727027879915</v>
      </c>
      <c r="E14" s="9" t="n">
        <f aca="false">IF(E$5&gt;=$C14,1,IF(ABS(Capas!$B$15-1)&lt;0.000001,$B14*E$5,(-1+SQRT(1+2*(Capas!$B$15-1)*$B14*E$5))/(Capas!$B$15-1)))</f>
        <v>0.0446786653692629</v>
      </c>
      <c r="F14" s="9" t="n">
        <f aca="false">IF(F$5&gt;=$C14,1,IF(ABS(Capas!$B$15-1)&lt;0.000001,$B14*F$5,(-1+SQRT(1+2*(Capas!$B$15-1)*$B14*F$5))/(Capas!$B$15-1)))</f>
        <v>0.0502027291951671</v>
      </c>
      <c r="G14" s="9" t="n">
        <f aca="false">IF(G$5&gt;=$C14,1,IF(ABS(Capas!$B$15-1)&lt;0.000001,$B14*G$5,(-1+SQRT(1+2*(Capas!$B$15-1)*$B14*G$5))/(Capas!$B$15-1)))</f>
        <v>0.0563556860155241</v>
      </c>
      <c r="H14" s="9" t="n">
        <f aca="false">IF(H$5&gt;=$C14,1,IF(ABS(Capas!$B$15-1)&lt;0.000001,$B14*H$5,(-1+SQRT(1+2*(Capas!$B$15-1)*$B14*H$5))/(Capas!$B$15-1)))</f>
        <v>0.0631977443419231</v>
      </c>
      <c r="I14" s="9" t="n">
        <f aca="false">IF(I$5&gt;=$C14,1,IF(ABS(Capas!$B$15-1)&lt;0.000001,$B14*I$5,(-1+SQRT(1+2*(Capas!$B$15-1)*$B14*I$5))/(Capas!$B$15-1)))</f>
        <v>0.0707928316677408</v>
      </c>
      <c r="J14" s="9" t="n">
        <f aca="false">IF(J$5&gt;=$C14,1,IF(ABS(Capas!$B$15-1)&lt;0.000001,$B14*J$5,(-1+SQRT(1+2*(Capas!$B$15-1)*$B14*J$5))/(Capas!$B$15-1)))</f>
        <v>0.0792085477415868</v>
      </c>
      <c r="K14" s="9" t="n">
        <f aca="false">IF(K$5&gt;=$C14,1,IF(ABS(Capas!$B$15-1)&lt;0.000001,$B14*K$5,(-1+SQRT(1+2*(Capas!$B$15-1)*$B14*K$5))/(Capas!$B$15-1)))</f>
        <v>0.0885161014587817</v>
      </c>
      <c r="L14" s="9" t="n">
        <f aca="false">IF(L$5&gt;=$C14,1,IF(ABS(Capas!$B$15-1)&lt;0.000001,$B14*L$5,(-1+SQRT(1+2*(Capas!$B$15-1)*$B14*L$5))/(Capas!$B$15-1)))</f>
        <v>0.0987902411512637</v>
      </c>
      <c r="M14" s="9" t="n">
        <f aca="false">IF(M$5&gt;=$C14,1,IF(ABS(Capas!$B$15-1)&lt;0.000001,$B14*M$5,(-1+SQRT(1+2*(Capas!$B$15-1)*$B14*M$5))/(Capas!$B$15-1)))</f>
        <v>0.110109189881051</v>
      </c>
      <c r="N14" s="9" t="n">
        <f aca="false">IF(N$5&gt;=$C14,1,IF(ABS(Capas!$B$15-1)&lt;0.000001,$B14*N$5,(-1+SQRT(1+2*(Capas!$B$15-1)*$B14*N$5))/(Capas!$B$15-1)))</f>
        <v>0.12255459845422</v>
      </c>
      <c r="O14" s="9" t="n">
        <f aca="false">IF(O$5&gt;=$C14,1,IF(ABS(Capas!$B$15-1)&lt;0.000001,$B14*O$5,(-1+SQRT(1+2*(Capas!$B$15-1)*$B14*O$5))/(Capas!$B$15-1)))</f>
        <v>0.136211529110688</v>
      </c>
      <c r="P14" s="9" t="n">
        <f aca="false">IF(P$5&gt;=$C14,1,IF(ABS(Capas!$B$15-1)&lt;0.000001,$B14*P$5,(-1+SQRT(1+2*(Capas!$B$15-1)*$B14*P$5))/(Capas!$B$15-1)))</f>
        <v>0.151168482150693</v>
      </c>
      <c r="Q14" s="9" t="n">
        <f aca="false">IF(Q$5&gt;=$C14,1,IF(ABS(Capas!$B$15-1)&lt;0.000001,$B14*Q$5,(-1+SQRT(1+2*(Capas!$B$15-1)*$B14*Q$5))/(Capas!$B$15-1)))</f>
        <v>0.16751747618967</v>
      </c>
      <c r="R14" s="9" t="n">
        <f aca="false">IF(R$5&gt;=$C14,1,IF(ABS(Capas!$B$15-1)&lt;0.000001,$B14*R$5,(-1+SQRT(1+2*(Capas!$B$15-1)*$B14*R$5))/(Capas!$B$15-1)))</f>
        <v>0.185354190458802</v>
      </c>
      <c r="S14" s="9" t="n">
        <f aca="false">IF(S$5&gt;=$C14,1,IF(ABS(Capas!$B$15-1)&lt;0.000001,$B14*S$5,(-1+SQRT(1+2*(Capas!$B$15-1)*$B14*S$5))/(Capas!$B$15-1)))</f>
        <v>0.204778174843774</v>
      </c>
      <c r="T14" s="9" t="n">
        <f aca="false">IF(T$5&gt;=$C14,1,IF(ABS(Capas!$B$15-1)&lt;0.000001,$B14*T$5,(-1+SQRT(1+2*(Capas!$B$15-1)*$B14*T$5))/(Capas!$B$15-1)))</f>
        <v>0.225893130478158</v>
      </c>
      <c r="U14" s="9" t="n">
        <f aca="false">IF(U$5&gt;=$C14,1,IF(ABS(Capas!$B$15-1)&lt;0.000001,$B14*U$5,(-1+SQRT(1+2*(Capas!$B$15-1)*$B14*U$5))/(Capas!$B$15-1)))</f>
        <v>0.248807260976104</v>
      </c>
      <c r="V14" s="9" t="n">
        <f aca="false">IF(V$5&gt;=$C14,1,IF(ABS(Capas!$B$15-1)&lt;0.000001,$B14*V$5,(-1+SQRT(1+2*(Capas!$B$15-1)*$B14*V$5))/(Capas!$B$15-1)))</f>
        <v>0.273633692051572</v>
      </c>
      <c r="W14" s="9" t="n">
        <f aca="false">IF(W$5&gt;=$C14,1,IF(ABS(Capas!$B$15-1)&lt;0.000001,$B14*W$5,(-1+SQRT(1+2*(Capas!$B$15-1)*$B14*W$5))/(Capas!$B$15-1)))</f>
        <v>0.30049095550255</v>
      </c>
      <c r="X14" s="9" t="n">
        <f aca="false">IF(X$5&gt;=$C14,1,IF(ABS(Capas!$B$15-1)&lt;0.000001,$B14*X$5,(-1+SQRT(1+2*(Capas!$B$15-1)*$B14*X$5))/(Capas!$B$15-1)))</f>
        <v>0.329503532423884</v>
      </c>
      <c r="Y14" s="9" t="n">
        <f aca="false">IF(Y$5&gt;=$C14,1,IF(ABS(Capas!$B$15-1)&lt;0.000001,$B14*Y$5,(-1+SQRT(1+2*(Capas!$B$15-1)*$B14*Y$5))/(Capas!$B$15-1)))</f>
        <v>0.360802450052045</v>
      </c>
      <c r="Z14" s="9" t="n">
        <f aca="false">IF(Z$5&gt;=$C14,1,IF(ABS(Capas!$B$15-1)&lt;0.000001,$B14*Z$5,(-1+SQRT(1+2*(Capas!$B$15-1)*$B14*Z$5))/(Capas!$B$15-1)))</f>
        <v>0.394525926770755</v>
      </c>
      <c r="AA14" s="9" t="n">
        <f aca="false">IF(AA$5&gt;=$C14,1,IF(ABS(Capas!$B$15-1)&lt;0.000001,$B14*AA$5,(-1+SQRT(1+2*(Capas!$B$15-1)*$B14*AA$5))/(Capas!$B$15-1)))</f>
        <v>0.430820060404154</v>
      </c>
      <c r="AB14" s="9" t="n">
        <f aca="false">IF(AB$5&gt;=$C14,1,IF(ABS(Capas!$B$15-1)&lt;0.000001,$B14*AB$5,(-1+SQRT(1+2*(Capas!$B$15-1)*$B14*AB$5))/(Capas!$B$15-1)))</f>
        <v>0.469839555859192</v>
      </c>
      <c r="AC14" s="9" t="n">
        <f aca="false">IF(AC$5&gt;=$C14,1,IF(ABS(Capas!$B$15-1)&lt;0.000001,$B14*AC$5,(-1+SQRT(1+2*(Capas!$B$15-1)*$B14*AC$5))/(Capas!$B$15-1)))</f>
        <v>0.511748489316669</v>
      </c>
      <c r="AD14" s="9" t="n">
        <f aca="false">IF(AD$5&gt;=$C14,1,IF(ABS(Capas!$B$15-1)&lt;0.000001,$B14*AD$5,(-1+SQRT(1+2*(Capas!$B$15-1)*$B14*AD$5))/(Capas!$B$15-1)))</f>
        <v>0.556721107392113</v>
      </c>
      <c r="AE14" s="9" t="n">
        <f aca="false">IF(AE$5&gt;=$C14,1,IF(ABS(Capas!$B$15-1)&lt;0.000001,$B14*AE$5,(-1+SQRT(1+2*(Capas!$B$15-1)*$B14*AE$5))/(Capas!$B$15-1)))</f>
        <v>0.604942660899152</v>
      </c>
      <c r="AF14" s="9" t="n">
        <f aca="false">IF(AF$5&gt;=$C14,1,IF(ABS(Capas!$B$15-1)&lt;0.000001,$B14*AF$5,(-1+SQRT(1+2*(Capas!$B$15-1)*$B14*AF$5))/(Capas!$B$15-1)))</f>
        <v>0.656610273982618</v>
      </c>
      <c r="AG14" s="9" t="n">
        <f aca="false">IF(AG$5&gt;=$C14,1,IF(ABS(Capas!$B$15-1)&lt;0.000001,$B14*AG$5,(-1+SQRT(1+2*(Capas!$B$15-1)*$B14*AG$5))/(Capas!$B$15-1)))</f>
        <v>0.711933850405944</v>
      </c>
      <c r="AH14" s="9" t="n">
        <f aca="false">IF(AH$5&gt;=$C14,1,IF(ABS(Capas!$B$15-1)&lt;0.000001,$B14*AH$5,(-1+SQRT(1+2*(Capas!$B$15-1)*$B14*AH$5))/(Capas!$B$15-1)))</f>
        <v>0.771137019659354</v>
      </c>
      <c r="AI14" s="9" t="n">
        <f aca="false">IF(AI$5&gt;=$C14,1,IF(ABS(Capas!$B$15-1)&lt;0.000001,$B14*AI$5,(-1+SQRT(1+2*(Capas!$B$15-1)*$B14*AI$5))/(Capas!$B$15-1)))</f>
        <v>0.834458126300764</v>
      </c>
      <c r="AJ14" s="9" t="n">
        <f aca="false">IF(AJ$5&gt;=$C14,1,IF(ABS(Capas!$B$15-1)&lt;0.000001,$B14*AJ$5,(-1+SQRT(1+2*(Capas!$B$15-1)*$B14*AJ$5))/(Capas!$B$15-1)))</f>
        <v>0.902151266560791</v>
      </c>
      <c r="AK14" s="9" t="n">
        <f aca="false">IF(AK$5&gt;=$C14,1,IF(ABS(Capas!$B$15-1)&lt;0.000001,$B14*AK$5,(-1+SQRT(1+2*(Capas!$B$15-1)*$B14*AK$5))/(Capas!$B$15-1)))</f>
        <v>0.974487376754505</v>
      </c>
      <c r="AL14" s="9" t="n">
        <f aca="false">IF(AL$5&gt;=$C14,1,IF(ABS(Capas!$B$15-1)&lt;0.000001,$B14*AL$5,(-1+SQRT(1+2*(Capas!$B$15-1)*$B14*AL$5))/(Capas!$B$15-1)))</f>
        <v>1</v>
      </c>
      <c r="AM14" s="9" t="n">
        <f aca="false">IF(AM$5&gt;=$C14,1,IF(ABS(Capas!$B$15-1)&lt;0.000001,$B14*AM$5,(-1+SQRT(1+2*(Capas!$B$15-1)*$B14*AM$5))/(Capas!$B$15-1)))</f>
        <v>1</v>
      </c>
      <c r="AN14" s="9" t="n">
        <f aca="false">IF(AN$5&gt;=$C14,1,IF(ABS(Capas!$B$15-1)&lt;0.000001,$B14*AN$5,(-1+SQRT(1+2*(Capas!$B$15-1)*$B14*AN$5))/(Capas!$B$15-1)))</f>
        <v>1</v>
      </c>
      <c r="AO14" s="9" t="n">
        <f aca="false">IF(AO$5&gt;=$C14,1,IF(ABS(Capas!$B$15-1)&lt;0.000001,$B14*AO$5,(-1+SQRT(1+2*(Capas!$B$15-1)*$B14*AO$5))/(Capas!$B$15-1)))</f>
        <v>1</v>
      </c>
      <c r="AP14" s="9" t="n">
        <f aca="false">IF(AP$5&gt;=$C14,1,IF(ABS(Capas!$B$15-1)&lt;0.000001,$B14*AP$5,(-1+SQRT(1+2*(Capas!$B$15-1)*$B14*AP$5))/(Capas!$B$15-1)))</f>
        <v>1</v>
      </c>
      <c r="AQ14" s="9" t="n">
        <f aca="false">IF(AQ$5&gt;=$C14,1,IF(ABS(Capas!$B$15-1)&lt;0.000001,$B14*AQ$5,(-1+SQRT(1+2*(Capas!$B$15-1)*$B14*AQ$5))/(Capas!$B$15-1)))</f>
        <v>1</v>
      </c>
      <c r="AR14" s="9" t="n">
        <f aca="false">IF(AR$5&gt;=$C14,1,IF(ABS(Capas!$B$15-1)&lt;0.000001,$B14*AR$5,(-1+SQRT(1+2*(Capas!$B$15-1)*$B14*AR$5))/(Capas!$B$15-1)))</f>
        <v>1</v>
      </c>
      <c r="AS14" s="9" t="n">
        <f aca="false">IF(AS$5&gt;=$C14,1,IF(ABS(Capas!$B$15-1)&lt;0.000001,$B14*AS$5,(-1+SQRT(1+2*(Capas!$B$15-1)*$B14*AS$5))/(Capas!$B$15-1)))</f>
        <v>1</v>
      </c>
      <c r="AT14" s="9" t="n">
        <f aca="false">IF(AT$5&gt;=$C14,1,IF(ABS(Capas!$B$15-1)&lt;0.000001,$B14*AT$5,(-1+SQRT(1+2*(Capas!$B$15-1)*$B14*AT$5))/(Capas!$B$15-1)))</f>
        <v>1</v>
      </c>
      <c r="AU14" s="9" t="n">
        <f aca="false">IF(AU$5&gt;=$C14,1,IF(ABS(Capas!$B$15-1)&lt;0.000001,$B14*AU$5,(-1+SQRT(1+2*(Capas!$B$15-1)*$B14*AU$5))/(Capas!$B$15-1)))</f>
        <v>1</v>
      </c>
      <c r="AV14" s="9" t="n">
        <f aca="false">IF(AV$5&gt;=$C14,1,IF(ABS(Capas!$B$15-1)&lt;0.000001,$B14*AV$5,(-1+SQRT(1+2*(Capas!$B$15-1)*$B14*AV$5))/(Capas!$B$15-1)))</f>
        <v>1</v>
      </c>
      <c r="AW14" s="9" t="n">
        <f aca="false">IF(AW$5&gt;=$C14,1,IF(ABS(Capas!$B$15-1)&lt;0.000001,$B14*AW$5,(-1+SQRT(1+2*(Capas!$B$15-1)*$B14*AW$5))/(Capas!$B$15-1)))</f>
        <v>1</v>
      </c>
      <c r="AX14" s="9" t="n">
        <f aca="false">IF(AX$5&gt;=$C14,1,IF(ABS(Capas!$B$15-1)&lt;0.000001,$B14*AX$5,(-1+SQRT(1+2*(Capas!$B$15-1)*$B14*AX$5))/(Capas!$B$15-1)))</f>
        <v>1</v>
      </c>
      <c r="AY14" s="9" t="n">
        <f aca="false">IF(AY$5&gt;=$C14,1,IF(ABS(Capas!$B$15-1)&lt;0.000001,$B14*AY$5,(-1+SQRT(1+2*(Capas!$B$15-1)*$B14*AY$5))/(Capas!$B$15-1)))</f>
        <v>1</v>
      </c>
      <c r="AZ14" s="9" t="n">
        <f aca="false">IF(AZ$5&gt;=$C14,1,IF(ABS(Capas!$B$15-1)&lt;0.000001,$B14*AZ$5,(-1+SQRT(1+2*(Capas!$B$15-1)*$B14*AZ$5))/(Capas!$B$15-1)))</f>
        <v>1</v>
      </c>
      <c r="BA14" s="9" t="n">
        <f aca="false">IF(BA$5&gt;=$C14,1,IF(ABS(Capas!$B$15-1)&lt;0.000001,$B14*BA$5,(-1+SQRT(1+2*(Capas!$B$15-1)*$B14*BA$5))/(Capas!$B$15-1)))</f>
        <v>1</v>
      </c>
      <c r="BB14" s="9" t="n">
        <f aca="false">IF(BB$5&gt;=$C14,1,IF(ABS(Capas!$B$15-1)&lt;0.000001,$B14*BB$5,(-1+SQRT(1+2*(Capas!$B$15-1)*$B14*BB$5))/(Capas!$B$15-1)))</f>
        <v>1</v>
      </c>
      <c r="BC14" s="9" t="n">
        <f aca="false">IF(BC$5&gt;=$C14,1,IF(ABS(Capas!$B$15-1)&lt;0.000001,$B14*BC$5,(-1+SQRT(1+2*(Capas!$B$15-1)*$B14*BC$5))/(Capas!$B$15-1)))</f>
        <v>1</v>
      </c>
      <c r="BD14" s="9" t="n">
        <f aca="false">IF(BD$5&gt;=$C14,1,IF(ABS(Capas!$B$15-1)&lt;0.000001,$B14*BD$5,(-1+SQRT(1+2*(Capas!$B$15-1)*$B14*BD$5))/(Capas!$B$15-1)))</f>
        <v>1</v>
      </c>
      <c r="BE14" s="9" t="n">
        <f aca="false">IF(BE$5&gt;=$C14,1,IF(ABS(Capas!$B$15-1)&lt;0.000001,$B14*BE$5,(-1+SQRT(1+2*(Capas!$B$15-1)*$B14*BE$5))/(Capas!$B$15-1)))</f>
        <v>1</v>
      </c>
      <c r="BF14" s="9" t="n">
        <f aca="false">IF(BF$5&gt;=$C14,1,IF(ABS(Capas!$B$15-1)&lt;0.000001,$B14*BF$5,(-1+SQRT(1+2*(Capas!$B$15-1)*$B14*BF$5))/(Capas!$B$15-1)))</f>
        <v>1</v>
      </c>
      <c r="BG14" s="9" t="n">
        <f aca="false">IF(BG$5&gt;=$C14,1,IF(ABS(Capas!$B$15-1)&lt;0.000001,$B14*BG$5,(-1+SQRT(1+2*(Capas!$B$15-1)*$B14*BG$5))/(Capas!$B$15-1)))</f>
        <v>1</v>
      </c>
      <c r="BH14" s="9" t="n">
        <f aca="false">IF(BH$5&gt;=$C14,1,IF(ABS(Capas!$B$15-1)&lt;0.000001,$B14*BH$5,(-1+SQRT(1+2*(Capas!$B$15-1)*$B14*BH$5))/(Capas!$B$15-1)))</f>
        <v>1</v>
      </c>
      <c r="BI14" s="9" t="n">
        <f aca="false">IF(BI$5&gt;=$C14,1,IF(ABS(Capas!$B$15-1)&lt;0.000001,$B14*BI$5,(-1+SQRT(1+2*(Capas!$B$15-1)*$B14*BI$5))/(Capas!$B$15-1)))</f>
        <v>1</v>
      </c>
      <c r="BJ14" s="9" t="n">
        <f aca="false">IF(BJ$5&gt;=$C14,1,IF(ABS(Capas!$B$15-1)&lt;0.000001,$B14*BJ$5,(-1+SQRT(1+2*(Capas!$B$15-1)*$B14*BJ$5))/(Capas!$B$15-1)))</f>
        <v>1</v>
      </c>
      <c r="BK14" s="9" t="n">
        <f aca="false">IF(BK$5&gt;=$C14,1,IF(ABS(Capas!$B$15-1)&lt;0.000001,$B14*BK$5,(-1+SQRT(1+2*(Capas!$B$15-1)*$B14*BK$5))/(Capas!$B$15-1)))</f>
        <v>1</v>
      </c>
    </row>
    <row r="15" customFormat="false" ht="15" hidden="false" customHeight="false" outlineLevel="0" collapsed="false">
      <c r="A15" s="0" t="n">
        <v>10</v>
      </c>
      <c r="B15" s="10" t="n">
        <f aca="false">EXP(Capas!$B$14*NORMSINV((A15-0.5)/20))</f>
        <v>0.927282275650945</v>
      </c>
      <c r="C15" s="9" t="n">
        <f aca="false">(Capas!$B$15+1)/(2*B15)</f>
        <v>3.05552409199707</v>
      </c>
      <c r="D15" s="9" t="n">
        <f aca="false">IF(D$5&gt;=$C15,1,IF(ABS(Capas!$B$15-1)&lt;0.000001,$B15*D$5,(-1+SQRT(1+2*(Capas!$B$15-1)*$B15*D$5))/(Capas!$B$15-1)))</f>
        <v>0.0457838247305185</v>
      </c>
      <c r="E15" s="9" t="n">
        <f aca="false">IF(E$5&gt;=$C15,1,IF(ABS(Capas!$B$15-1)&lt;0.000001,$B15*E$5,(-1+SQRT(1+2*(Capas!$B$15-1)*$B15*E$5))/(Capas!$B$15-1)))</f>
        <v>0.0514345088055521</v>
      </c>
      <c r="F15" s="9" t="n">
        <f aca="false">IF(F$5&gt;=$C15,1,IF(ABS(Capas!$B$15-1)&lt;0.000001,$B15*F$5,(-1+SQRT(1+2*(Capas!$B$15-1)*$B15*F$5))/(Capas!$B$15-1)))</f>
        <v>0.0577263579875854</v>
      </c>
      <c r="G15" s="9" t="n">
        <f aca="false">IF(G$5&gt;=$C15,1,IF(ABS(Capas!$B$15-1)&lt;0.000001,$B15*G$5,(-1+SQRT(1+2*(Capas!$B$15-1)*$B15*G$5))/(Capas!$B$15-1)))</f>
        <v>0.0647203606720567</v>
      </c>
      <c r="H15" s="9" t="n">
        <f aca="false">IF(H$5&gt;=$C15,1,IF(ABS(Capas!$B$15-1)&lt;0.000001,$B15*H$5,(-1+SQRT(1+2*(Capas!$B$15-1)*$B15*H$5))/(Capas!$B$15-1)))</f>
        <v>0.072481216232052</v>
      </c>
      <c r="I15" s="9" t="n">
        <f aca="false">IF(I$5&gt;=$C15,1,IF(ABS(Capas!$B$15-1)&lt;0.000001,$B15*I$5,(-1+SQRT(1+2*(Capas!$B$15-1)*$B15*I$5))/(Capas!$B$15-1)))</f>
        <v>0.081077284169096</v>
      </c>
      <c r="J15" s="9" t="n">
        <f aca="false">IF(J$5&gt;=$C15,1,IF(ABS(Capas!$B$15-1)&lt;0.000001,$B15*J$5,(-1+SQRT(1+2*(Capas!$B$15-1)*$B15*J$5))/(Capas!$B$15-1)))</f>
        <v>0.0905805187472238</v>
      </c>
      <c r="K15" s="9" t="n">
        <f aca="false">IF(K$5&gt;=$C15,1,IF(ABS(Capas!$B$15-1)&lt;0.000001,$B15*K$5,(-1+SQRT(1+2*(Capas!$B$15-1)*$B15*K$5))/(Capas!$B$15-1)))</f>
        <v>0.101066399320302</v>
      </c>
      <c r="L15" s="9" t="n">
        <f aca="false">IF(L$5&gt;=$C15,1,IF(ABS(Capas!$B$15-1)&lt;0.000001,$B15*L$5,(-1+SQRT(1+2*(Capas!$B$15-1)*$B15*L$5))/(Capas!$B$15-1)))</f>
        <v>0.112613868255601</v>
      </c>
      <c r="M15" s="9" t="n">
        <f aca="false">IF(M$5&gt;=$C15,1,IF(ABS(Capas!$B$15-1)&lt;0.000001,$B15*M$5,(-1+SQRT(1+2*(Capas!$B$15-1)*$B15*M$5))/(Capas!$B$15-1)))</f>
        <v>0.125305289296224</v>
      </c>
      <c r="N15" s="9" t="n">
        <f aca="false">IF(N$5&gt;=$C15,1,IF(ABS(Capas!$B$15-1)&lt;0.000001,$B15*N$5,(-1+SQRT(1+2*(Capas!$B$15-1)*$B15*N$5))/(Capas!$B$15-1)))</f>
        <v>0.139226439249519</v>
      </c>
      <c r="O15" s="9" t="n">
        <f aca="false">IF(O$5&gt;=$C15,1,IF(ABS(Capas!$B$15-1)&lt;0.000001,$B15*O$5,(-1+SQRT(1+2*(Capas!$B$15-1)*$B15*O$5))/(Capas!$B$15-1)))</f>
        <v>0.154466545002662</v>
      </c>
      <c r="P15" s="9" t="n">
        <f aca="false">IF(P$5&gt;=$C15,1,IF(ABS(Capas!$B$15-1)&lt;0.000001,$B15*P$5,(-1+SQRT(1+2*(Capas!$B$15-1)*$B15*P$5))/(Capas!$B$15-1)))</f>
        <v>0.171118376132711</v>
      </c>
      <c r="Q15" s="9" t="n">
        <f aca="false">IF(Q$5&gt;=$C15,1,IF(ABS(Capas!$B$15-1)&lt;0.000001,$B15*Q$5,(-1+SQRT(1+2*(Capas!$B$15-1)*$B15*Q$5))/(Capas!$B$15-1)))</f>
        <v>0.189278400986625</v>
      </c>
      <c r="R15" s="9" t="n">
        <f aca="false">IF(R$5&gt;=$C15,1,IF(ABS(Capas!$B$15-1)&lt;0.000001,$B15*R$5,(-1+SQRT(1+2*(Capas!$B$15-1)*$B15*R$5))/(Capas!$B$15-1)))</f>
        <v>0.209047011325138</v>
      </c>
      <c r="S15" s="9" t="n">
        <f aca="false">IF(S$5&gt;=$C15,1,IF(ABS(Capas!$B$15-1)&lt;0.000001,$B15*S$5,(-1+SQRT(1+2*(Capas!$B$15-1)*$B15*S$5))/(Capas!$B$15-1)))</f>
        <v>0.230528817754885</v>
      </c>
      <c r="T15" s="9" t="n">
        <f aca="false">IF(T$5&gt;=$C15,1,IF(ABS(Capas!$B$15-1)&lt;0.000001,$B15*T$5,(-1+SQRT(1+2*(Capas!$B$15-1)*$B15*T$5))/(Capas!$B$15-1)))</f>
        <v>0.253833015505372</v>
      </c>
      <c r="U15" s="9" t="n">
        <f aca="false">IF(U$5&gt;=$C15,1,IF(ABS(Capas!$B$15-1)&lt;0.000001,$B15*U$5,(-1+SQRT(1+2*(Capas!$B$15-1)*$B15*U$5))/(Capas!$B$15-1)))</f>
        <v>0.279073817877248</v>
      </c>
      <c r="V15" s="9" t="n">
        <f aca="false">IF(V$5&gt;=$C15,1,IF(ABS(Capas!$B$15-1)&lt;0.000001,$B15*V$5,(-1+SQRT(1+2*(Capas!$B$15-1)*$B15*V$5))/(Capas!$B$15-1)))</f>
        <v>0.306370953052096</v>
      </c>
      <c r="W15" s="9" t="n">
        <f aca="false">IF(W$5&gt;=$C15,1,IF(ABS(Capas!$B$15-1)&lt;0.000001,$B15*W$5,(-1+SQRT(1+2*(Capas!$B$15-1)*$B15*W$5))/(Capas!$B$15-1)))</f>
        <v>0.33585021897851</v>
      </c>
      <c r="X15" s="9" t="n">
        <f aca="false">IF(X$5&gt;=$C15,1,IF(ABS(Capas!$B$15-1)&lt;0.000001,$B15*X$5,(-1+SQRT(1+2*(Capas!$B$15-1)*$B15*X$5))/(Capas!$B$15-1)))</f>
        <v>0.367644090718865</v>
      </c>
      <c r="Y15" s="9" t="n">
        <f aca="false">IF(Y$5&gt;=$C15,1,IF(ABS(Capas!$B$15-1)&lt;0.000001,$B15*Y$5,(-1+SQRT(1+2*(Capas!$B$15-1)*$B15*Y$5))/(Capas!$B$15-1)))</f>
        <v>0.401892374875937</v>
      </c>
      <c r="Z15" s="9" t="n">
        <f aca="false">IF(Z$5&gt;=$C15,1,IF(ABS(Capas!$B$15-1)&lt;0.000001,$B15*Z$5,(-1+SQRT(1+2*(Capas!$B$15-1)*$B15*Z$5))/(Capas!$B$15-1)))</f>
        <v>0.438742906398152</v>
      </c>
      <c r="AA15" s="9" t="n">
        <f aca="false">IF(AA$5&gt;=$C15,1,IF(ABS(Capas!$B$15-1)&lt;0.000001,$B15*AA$5,(-1+SQRT(1+2*(Capas!$B$15-1)*$B15*AA$5))/(Capas!$B$15-1)))</f>
        <v>0.478352284050394</v>
      </c>
      <c r="AB15" s="9" t="n">
        <f aca="false">IF(AB$5&gt;=$C15,1,IF(ABS(Capas!$B$15-1)&lt;0.000001,$B15*AB$5,(-1+SQRT(1+2*(Capas!$B$15-1)*$B15*AB$5))/(Capas!$B$15-1)))</f>
        <v>0.520886642001714</v>
      </c>
      <c r="AC15" s="9" t="n">
        <f aca="false">IF(AC$5&gt;=$C15,1,IF(ABS(Capas!$B$15-1)&lt;0.000001,$B15*AC$5,(-1+SQRT(1+2*(Capas!$B$15-1)*$B15*AC$5))/(Capas!$B$15-1)))</f>
        <v>0.566522456207733</v>
      </c>
      <c r="AD15" s="9" t="n">
        <f aca="false">IF(AD$5&gt;=$C15,1,IF(ABS(Capas!$B$15-1)&lt;0.000001,$B15*AD$5,(-1+SQRT(1+2*(Capas!$B$15-1)*$B15*AD$5))/(Capas!$B$15-1)))</f>
        <v>0.61544738546556</v>
      </c>
      <c r="AE15" s="9" t="n">
        <f aca="false">IF(AE$5&gt;=$C15,1,IF(ABS(Capas!$B$15-1)&lt;0.000001,$B15*AE$5,(-1+SQRT(1+2*(Capas!$B$15-1)*$B15*AE$5))/(Capas!$B$15-1)))</f>
        <v>0.667861148131615</v>
      </c>
      <c r="AF15" s="9" t="n">
        <f aca="false">IF(AF$5&gt;=$C15,1,IF(ABS(Capas!$B$15-1)&lt;0.000001,$B15*AF$5,(-1+SQRT(1+2*(Capas!$B$15-1)*$B15*AF$5))/(Capas!$B$15-1)))</f>
        <v>0.723976436482682</v>
      </c>
      <c r="AG15" s="9" t="n">
        <f aca="false">IF(AG$5&gt;=$C15,1,IF(ABS(Capas!$B$15-1)&lt;0.000001,$B15*AG$5,(-1+SQRT(1+2*(Capas!$B$15-1)*$B15*AG$5))/(Capas!$B$15-1)))</f>
        <v>0.784019871553488</v>
      </c>
      <c r="AH15" s="9" t="n">
        <f aca="false">IF(AH$5&gt;=$C15,1,IF(ABS(Capas!$B$15-1)&lt;0.000001,$B15*AH$5,(-1+SQRT(1+2*(Capas!$B$15-1)*$B15*AH$5))/(Capas!$B$15-1)))</f>
        <v>0.848233002002096</v>
      </c>
      <c r="AI15" s="9" t="n">
        <f aca="false">IF(AI$5&gt;=$C15,1,IF(ABS(Capas!$B$15-1)&lt;0.000001,$B15*AI$5,(-1+SQRT(1+2*(Capas!$B$15-1)*$B15*AI$5))/(Capas!$B$15-1)))</f>
        <v>0.916873351149605</v>
      </c>
      <c r="AJ15" s="9" t="n">
        <f aca="false">IF(AJ$5&gt;=$C15,1,IF(ABS(Capas!$B$15-1)&lt;0.000001,$B15*AJ$5,(-1+SQRT(1+2*(Capas!$B$15-1)*$B15*AJ$5))/(Capas!$B$15-1)))</f>
        <v>0.990215516831828</v>
      </c>
      <c r="AK15" s="9" t="n">
        <f aca="false">IF(AK$5&gt;=$C15,1,IF(ABS(Capas!$B$15-1)&lt;0.000001,$B15*AK$5,(-1+SQRT(1+2*(Capas!$B$15-1)*$B15*AK$5))/(Capas!$B$15-1)))</f>
        <v>1</v>
      </c>
      <c r="AL15" s="9" t="n">
        <f aca="false">IF(AL$5&gt;=$C15,1,IF(ABS(Capas!$B$15-1)&lt;0.000001,$B15*AL$5,(-1+SQRT(1+2*(Capas!$B$15-1)*$B15*AL$5))/(Capas!$B$15-1)))</f>
        <v>1</v>
      </c>
      <c r="AM15" s="9" t="n">
        <f aca="false">IF(AM$5&gt;=$C15,1,IF(ABS(Capas!$B$15-1)&lt;0.000001,$B15*AM$5,(-1+SQRT(1+2*(Capas!$B$15-1)*$B15*AM$5))/(Capas!$B$15-1)))</f>
        <v>1</v>
      </c>
      <c r="AN15" s="9" t="n">
        <f aca="false">IF(AN$5&gt;=$C15,1,IF(ABS(Capas!$B$15-1)&lt;0.000001,$B15*AN$5,(-1+SQRT(1+2*(Capas!$B$15-1)*$B15*AN$5))/(Capas!$B$15-1)))</f>
        <v>1</v>
      </c>
      <c r="AO15" s="9" t="n">
        <f aca="false">IF(AO$5&gt;=$C15,1,IF(ABS(Capas!$B$15-1)&lt;0.000001,$B15*AO$5,(-1+SQRT(1+2*(Capas!$B$15-1)*$B15*AO$5))/(Capas!$B$15-1)))</f>
        <v>1</v>
      </c>
      <c r="AP15" s="9" t="n">
        <f aca="false">IF(AP$5&gt;=$C15,1,IF(ABS(Capas!$B$15-1)&lt;0.000001,$B15*AP$5,(-1+SQRT(1+2*(Capas!$B$15-1)*$B15*AP$5))/(Capas!$B$15-1)))</f>
        <v>1</v>
      </c>
      <c r="AQ15" s="9" t="n">
        <f aca="false">IF(AQ$5&gt;=$C15,1,IF(ABS(Capas!$B$15-1)&lt;0.000001,$B15*AQ$5,(-1+SQRT(1+2*(Capas!$B$15-1)*$B15*AQ$5))/(Capas!$B$15-1)))</f>
        <v>1</v>
      </c>
      <c r="AR15" s="9" t="n">
        <f aca="false">IF(AR$5&gt;=$C15,1,IF(ABS(Capas!$B$15-1)&lt;0.000001,$B15*AR$5,(-1+SQRT(1+2*(Capas!$B$15-1)*$B15*AR$5))/(Capas!$B$15-1)))</f>
        <v>1</v>
      </c>
      <c r="AS15" s="9" t="n">
        <f aca="false">IF(AS$5&gt;=$C15,1,IF(ABS(Capas!$B$15-1)&lt;0.000001,$B15*AS$5,(-1+SQRT(1+2*(Capas!$B$15-1)*$B15*AS$5))/(Capas!$B$15-1)))</f>
        <v>1</v>
      </c>
      <c r="AT15" s="9" t="n">
        <f aca="false">IF(AT$5&gt;=$C15,1,IF(ABS(Capas!$B$15-1)&lt;0.000001,$B15*AT$5,(-1+SQRT(1+2*(Capas!$B$15-1)*$B15*AT$5))/(Capas!$B$15-1)))</f>
        <v>1</v>
      </c>
      <c r="AU15" s="9" t="n">
        <f aca="false">IF(AU$5&gt;=$C15,1,IF(ABS(Capas!$B$15-1)&lt;0.000001,$B15*AU$5,(-1+SQRT(1+2*(Capas!$B$15-1)*$B15*AU$5))/(Capas!$B$15-1)))</f>
        <v>1</v>
      </c>
      <c r="AV15" s="9" t="n">
        <f aca="false">IF(AV$5&gt;=$C15,1,IF(ABS(Capas!$B$15-1)&lt;0.000001,$B15*AV$5,(-1+SQRT(1+2*(Capas!$B$15-1)*$B15*AV$5))/(Capas!$B$15-1)))</f>
        <v>1</v>
      </c>
      <c r="AW15" s="9" t="n">
        <f aca="false">IF(AW$5&gt;=$C15,1,IF(ABS(Capas!$B$15-1)&lt;0.000001,$B15*AW$5,(-1+SQRT(1+2*(Capas!$B$15-1)*$B15*AW$5))/(Capas!$B$15-1)))</f>
        <v>1</v>
      </c>
      <c r="AX15" s="9" t="n">
        <f aca="false">IF(AX$5&gt;=$C15,1,IF(ABS(Capas!$B$15-1)&lt;0.000001,$B15*AX$5,(-1+SQRT(1+2*(Capas!$B$15-1)*$B15*AX$5))/(Capas!$B$15-1)))</f>
        <v>1</v>
      </c>
      <c r="AY15" s="9" t="n">
        <f aca="false">IF(AY$5&gt;=$C15,1,IF(ABS(Capas!$B$15-1)&lt;0.000001,$B15*AY$5,(-1+SQRT(1+2*(Capas!$B$15-1)*$B15*AY$5))/(Capas!$B$15-1)))</f>
        <v>1</v>
      </c>
      <c r="AZ15" s="9" t="n">
        <f aca="false">IF(AZ$5&gt;=$C15,1,IF(ABS(Capas!$B$15-1)&lt;0.000001,$B15*AZ$5,(-1+SQRT(1+2*(Capas!$B$15-1)*$B15*AZ$5))/(Capas!$B$15-1)))</f>
        <v>1</v>
      </c>
      <c r="BA15" s="9" t="n">
        <f aca="false">IF(BA$5&gt;=$C15,1,IF(ABS(Capas!$B$15-1)&lt;0.000001,$B15*BA$5,(-1+SQRT(1+2*(Capas!$B$15-1)*$B15*BA$5))/(Capas!$B$15-1)))</f>
        <v>1</v>
      </c>
      <c r="BB15" s="9" t="n">
        <f aca="false">IF(BB$5&gt;=$C15,1,IF(ABS(Capas!$B$15-1)&lt;0.000001,$B15*BB$5,(-1+SQRT(1+2*(Capas!$B$15-1)*$B15*BB$5))/(Capas!$B$15-1)))</f>
        <v>1</v>
      </c>
      <c r="BC15" s="9" t="n">
        <f aca="false">IF(BC$5&gt;=$C15,1,IF(ABS(Capas!$B$15-1)&lt;0.000001,$B15*BC$5,(-1+SQRT(1+2*(Capas!$B$15-1)*$B15*BC$5))/(Capas!$B$15-1)))</f>
        <v>1</v>
      </c>
      <c r="BD15" s="9" t="n">
        <f aca="false">IF(BD$5&gt;=$C15,1,IF(ABS(Capas!$B$15-1)&lt;0.000001,$B15*BD$5,(-1+SQRT(1+2*(Capas!$B$15-1)*$B15*BD$5))/(Capas!$B$15-1)))</f>
        <v>1</v>
      </c>
      <c r="BE15" s="9" t="n">
        <f aca="false">IF(BE$5&gt;=$C15,1,IF(ABS(Capas!$B$15-1)&lt;0.000001,$B15*BE$5,(-1+SQRT(1+2*(Capas!$B$15-1)*$B15*BE$5))/(Capas!$B$15-1)))</f>
        <v>1</v>
      </c>
      <c r="BF15" s="9" t="n">
        <f aca="false">IF(BF$5&gt;=$C15,1,IF(ABS(Capas!$B$15-1)&lt;0.000001,$B15*BF$5,(-1+SQRT(1+2*(Capas!$B$15-1)*$B15*BF$5))/(Capas!$B$15-1)))</f>
        <v>1</v>
      </c>
      <c r="BG15" s="9" t="n">
        <f aca="false">IF(BG$5&gt;=$C15,1,IF(ABS(Capas!$B$15-1)&lt;0.000001,$B15*BG$5,(-1+SQRT(1+2*(Capas!$B$15-1)*$B15*BG$5))/(Capas!$B$15-1)))</f>
        <v>1</v>
      </c>
      <c r="BH15" s="9" t="n">
        <f aca="false">IF(BH$5&gt;=$C15,1,IF(ABS(Capas!$B$15-1)&lt;0.000001,$B15*BH$5,(-1+SQRT(1+2*(Capas!$B$15-1)*$B15*BH$5))/(Capas!$B$15-1)))</f>
        <v>1</v>
      </c>
      <c r="BI15" s="9" t="n">
        <f aca="false">IF(BI$5&gt;=$C15,1,IF(ABS(Capas!$B$15-1)&lt;0.000001,$B15*BI$5,(-1+SQRT(1+2*(Capas!$B$15-1)*$B15*BI$5))/(Capas!$B$15-1)))</f>
        <v>1</v>
      </c>
      <c r="BJ15" s="9" t="n">
        <f aca="false">IF(BJ$5&gt;=$C15,1,IF(ABS(Capas!$B$15-1)&lt;0.000001,$B15*BJ$5,(-1+SQRT(1+2*(Capas!$B$15-1)*$B15*BJ$5))/(Capas!$B$15-1)))</f>
        <v>1</v>
      </c>
      <c r="BK15" s="9" t="n">
        <f aca="false">IF(BK$5&gt;=$C15,1,IF(ABS(Capas!$B$15-1)&lt;0.000001,$B15*BK$5,(-1+SQRT(1+2*(Capas!$B$15-1)*$B15*BK$5))/(Capas!$B$15-1)))</f>
        <v>1</v>
      </c>
    </row>
    <row r="16" customFormat="false" ht="15" hidden="false" customHeight="false" outlineLevel="0" collapsed="false">
      <c r="A16" s="0" t="n">
        <v>11</v>
      </c>
      <c r="B16" s="10" t="n">
        <f aca="false">EXP(Capas!$B$14*NORMSINV((A16-0.5)/20))</f>
        <v>1.07842026776367</v>
      </c>
      <c r="C16" s="9" t="n">
        <f aca="false">(Capas!$B$15+1)/(2*B16)</f>
        <v>2.62729978101101</v>
      </c>
      <c r="D16" s="9" t="n">
        <f aca="false">IF(D$5&gt;=$C16,1,IF(ABS(Capas!$B$15-1)&lt;0.000001,$B16*D$5,(-1+SQRT(1+2*(Capas!$B$15-1)*$B16*D$5))/(Capas!$B$15-1)))</f>
        <v>0.0526361056901043</v>
      </c>
      <c r="E16" s="9" t="n">
        <f aca="false">IF(E$5&gt;=$C16,1,IF(ABS(Capas!$B$15-1)&lt;0.000001,$B16*E$5,(-1+SQRT(1+2*(Capas!$B$15-1)*$B16*E$5))/(Capas!$B$15-1)))</f>
        <v>0.0590629853363708</v>
      </c>
      <c r="F16" s="9" t="n">
        <f aca="false">IF(F$5&gt;=$C16,1,IF(ABS(Capas!$B$15-1)&lt;0.000001,$B16*F$5,(-1+SQRT(1+2*(Capas!$B$15-1)*$B16*F$5))/(Capas!$B$15-1)))</f>
        <v>0.0662046254300938</v>
      </c>
      <c r="G16" s="9" t="n">
        <f aca="false">IF(G$5&gt;=$C16,1,IF(ABS(Capas!$B$15-1)&lt;0.000001,$B16*G$5,(-1+SQRT(1+2*(Capas!$B$15-1)*$B16*G$5))/(Capas!$B$15-1)))</f>
        <v>0.0741264598696965</v>
      </c>
      <c r="H16" s="9" t="n">
        <f aca="false">IF(H$5&gt;=$C16,1,IF(ABS(Capas!$B$15-1)&lt;0.000001,$B16*H$5,(-1+SQRT(1+2*(Capas!$B$15-1)*$B16*H$5))/(Capas!$B$15-1)))</f>
        <v>0.0828975705095903</v>
      </c>
      <c r="I16" s="9" t="n">
        <f aca="false">IF(I$5&gt;=$C16,1,IF(ABS(Capas!$B$15-1)&lt;0.000001,$B16*I$5,(-1+SQRT(1+2*(Capas!$B$15-1)*$B16*I$5))/(Capas!$B$15-1)))</f>
        <v>0.0925906200571707</v>
      </c>
      <c r="J16" s="9" t="n">
        <f aca="false">IF(J$5&gt;=$C16,1,IF(ABS(Capas!$B$15-1)&lt;0.000001,$B16*J$5,(-1+SQRT(1+2*(Capas!$B$15-1)*$B16*J$5))/(Capas!$B$15-1)))</f>
        <v>0.103281782922804</v>
      </c>
      <c r="K16" s="9" t="n">
        <f aca="false">IF(K$5&gt;=$C16,1,IF(ABS(Capas!$B$15-1)&lt;0.000001,$B16*K$5,(-1+SQRT(1+2*(Capas!$B$15-1)*$B16*K$5))/(Capas!$B$15-1)))</f>
        <v>0.115050686179164</v>
      </c>
      <c r="L16" s="9" t="n">
        <f aca="false">IF(L$5&gt;=$C16,1,IF(ABS(Capas!$B$15-1)&lt;0.000001,$B16*L$5,(-1+SQRT(1+2*(Capas!$B$15-1)*$B16*L$5))/(Capas!$B$15-1)))</f>
        <v>0.127980373555645</v>
      </c>
      <c r="M16" s="9" t="n">
        <f aca="false">IF(M$5&gt;=$C16,1,IF(ABS(Capas!$B$15-1)&lt;0.000001,$B16*M$5,(-1+SQRT(1+2*(Capas!$B$15-1)*$B16*M$5))/(Capas!$B$15-1)))</f>
        <v>0.14215730525164</v>
      </c>
      <c r="N16" s="9" t="n">
        <f aca="false">IF(N$5&gt;=$C16,1,IF(ABS(Capas!$B$15-1)&lt;0.000001,$B16*N$5,(-1+SQRT(1+2*(Capas!$B$15-1)*$B16*N$5))/(Capas!$B$15-1)))</f>
        <v>0.157671405287154</v>
      </c>
      <c r="O16" s="9" t="n">
        <f aca="false">IF(O$5&gt;=$C16,1,IF(ABS(Capas!$B$15-1)&lt;0.000001,$B16*O$5,(-1+SQRT(1+2*(Capas!$B$15-1)*$B16*O$5))/(Capas!$B$15-1)))</f>
        <v>0.17461616622591</v>
      </c>
      <c r="P16" s="9" t="n">
        <f aca="false">IF(P$5&gt;=$C16,1,IF(ABS(Capas!$B$15-1)&lt;0.000001,$B16*P$5,(-1+SQRT(1+2*(Capas!$B$15-1)*$B16*P$5))/(Capas!$B$15-1)))</f>
        <v>0.193088818613458</v>
      </c>
      <c r="Q16" s="9" t="n">
        <f aca="false">IF(Q$5&gt;=$C16,1,IF(ABS(Capas!$B$15-1)&lt;0.000001,$B16*Q$5,(-1+SQRT(1+2*(Capas!$B$15-1)*$B16*Q$5))/(Capas!$B$15-1)))</f>
        <v>0.213190569649234</v>
      </c>
      <c r="R16" s="9" t="n">
        <f aca="false">IF(R$5&gt;=$C16,1,IF(ABS(Capas!$B$15-1)&lt;0.000001,$B16*R$5,(-1+SQRT(1+2*(Capas!$B$15-1)*$B16*R$5))/(Capas!$B$15-1)))</f>
        <v>0.23502691276039</v>
      </c>
      <c r="S16" s="9" t="n">
        <f aca="false">IF(S$5&gt;=$C16,1,IF(ABS(Capas!$B$15-1)&lt;0.000001,$B16*S$5,(-1+SQRT(1+2*(Capas!$B$15-1)*$B16*S$5))/(Capas!$B$15-1)))</f>
        <v>0.258708007148072</v>
      </c>
      <c r="T16" s="9" t="n">
        <f aca="false">IF(T$5&gt;=$C16,1,IF(ABS(Capas!$B$15-1)&lt;0.000001,$B16*T$5,(-1+SQRT(1+2*(Capas!$B$15-1)*$B16*T$5))/(Capas!$B$15-1)))</f>
        <v>0.284349124255505</v>
      </c>
      <c r="U16" s="9" t="n">
        <f aca="false">IF(U$5&gt;=$C16,1,IF(ABS(Capas!$B$15-1)&lt;0.000001,$B16*U$5,(-1+SQRT(1+2*(Capas!$B$15-1)*$B16*U$5))/(Capas!$B$15-1)))</f>
        <v>0.312071156600236</v>
      </c>
      <c r="V16" s="9" t="n">
        <f aca="false">IF(V$5&gt;=$C16,1,IF(ABS(Capas!$B$15-1)&lt;0.000001,$B16*V$5,(-1+SQRT(1+2*(Capas!$B$15-1)*$B16*V$5))/(Capas!$B$15-1)))</f>
        <v>0.342001183569704</v>
      </c>
      <c r="W16" s="9" t="n">
        <f aca="false">IF(W$5&gt;=$C16,1,IF(ABS(Capas!$B$15-1)&lt;0.000001,$B16*W$5,(-1+SQRT(1+2*(Capas!$B$15-1)*$B16*W$5))/(Capas!$B$15-1)))</f>
        <v>0.374273088569667</v>
      </c>
      <c r="X16" s="9" t="n">
        <f aca="false">IF(X$5&gt;=$C16,1,IF(ABS(Capas!$B$15-1)&lt;0.000001,$B16*X$5,(-1+SQRT(1+2*(Capas!$B$15-1)*$B16*X$5))/(Capas!$B$15-1)))</f>
        <v>0.409028222248917</v>
      </c>
      <c r="Y16" s="9" t="n">
        <f aca="false">IF(Y$5&gt;=$C16,1,IF(ABS(Capas!$B$15-1)&lt;0.000001,$B16*Y$5,(-1+SQRT(1+2*(Capas!$B$15-1)*$B16*Y$5))/(Capas!$B$15-1)))</f>
        <v>0.446416107275874</v>
      </c>
      <c r="Z16" s="9" t="n">
        <f aca="false">IF(Z$5&gt;=$C16,1,IF(ABS(Capas!$B$15-1)&lt;0.000001,$B16*Z$5,(-1+SQRT(1+2*(Capas!$B$15-1)*$B16*Z$5))/(Capas!$B$15-1)))</f>
        <v>0.48659518117609</v>
      </c>
      <c r="AA16" s="9" t="n">
        <f aca="false">IF(AA$5&gt;=$C16,1,IF(ABS(Capas!$B$15-1)&lt;0.000001,$B16*AA$5,(-1+SQRT(1+2*(Capas!$B$15-1)*$B16*AA$5))/(Capas!$B$15-1)))</f>
        <v>0.529733574924828</v>
      </c>
      <c r="AB16" s="9" t="n">
        <f aca="false">IF(AB$5&gt;=$C16,1,IF(ABS(Capas!$B$15-1)&lt;0.000001,$B16*AB$5,(-1+SQRT(1+2*(Capas!$B$15-1)*$B16*AB$5))/(Capas!$B$15-1)))</f>
        <v>0.576009926216279</v>
      </c>
      <c r="AC16" s="9" t="n">
        <f aca="false">IF(AC$5&gt;=$C16,1,IF(ABS(Capas!$B$15-1)&lt;0.000001,$B16*AC$5,(-1+SQRT(1+2*(Capas!$B$15-1)*$B16*AC$5))/(Capas!$B$15-1)))</f>
        <v>0.625614227517525</v>
      </c>
      <c r="AD16" s="9" t="n">
        <f aca="false">IF(AD$5&gt;=$C16,1,IF(ABS(Capas!$B$15-1)&lt;0.000001,$B16*AD$5,(-1+SQRT(1+2*(Capas!$B$15-1)*$B16*AD$5))/(Capas!$B$15-1)))</f>
        <v>0.678748710105589</v>
      </c>
      <c r="AE16" s="9" t="n">
        <f aca="false">IF(AE$5&gt;=$C16,1,IF(ABS(Capas!$B$15-1)&lt;0.000001,$B16*AE$5,(-1+SQRT(1+2*(Capas!$B$15-1)*$B16*AE$5))/(Capas!$B$15-1)))</f>
        <v>0.735628766249012</v>
      </c>
      <c r="AF16" s="9" t="n">
        <f aca="false">IF(AF$5&gt;=$C16,1,IF(ABS(Capas!$B$15-1)&lt;0.000001,$B16*AF$5,(-1+SQRT(1+2*(Capas!$B$15-1)*$B16*AF$5))/(Capas!$B$15-1)))</f>
        <v>0.796483912520982</v>
      </c>
      <c r="AG16" s="9" t="n">
        <f aca="false">IF(AG$5&gt;=$C16,1,IF(ABS(Capas!$B$15-1)&lt;0.000001,$B16*AG$5,(-1+SQRT(1+2*(Capas!$B$15-1)*$B16*AG$5))/(Capas!$B$15-1)))</f>
        <v>0.861558797923226</v>
      </c>
      <c r="AH16" s="9" t="n">
        <f aca="false">IF(AH$5&gt;=$C16,1,IF(ABS(Capas!$B$15-1)&lt;0.000001,$B16*AH$5,(-1+SQRT(1+2*(Capas!$B$15-1)*$B16*AH$5))/(Capas!$B$15-1)))</f>
        <v>0.931114261072772</v>
      </c>
      <c r="AI16" s="9" t="n">
        <f aca="false">IF(AI$5&gt;=$C16,1,IF(ABS(Capas!$B$15-1)&lt;0.000001,$B16*AI$5,(-1+SQRT(1+2*(Capas!$B$15-1)*$B16*AI$5))/(Capas!$B$15-1)))</f>
        <v>1</v>
      </c>
      <c r="AJ16" s="9" t="n">
        <f aca="false">IF(AJ$5&gt;=$C16,1,IF(ABS(Capas!$B$15-1)&lt;0.000001,$B16*AJ$5,(-1+SQRT(1+2*(Capas!$B$15-1)*$B16*AJ$5))/(Capas!$B$15-1)))</f>
        <v>1</v>
      </c>
      <c r="AK16" s="9" t="n">
        <f aca="false">IF(AK$5&gt;=$C16,1,IF(ABS(Capas!$B$15-1)&lt;0.000001,$B16*AK$5,(-1+SQRT(1+2*(Capas!$B$15-1)*$B16*AK$5))/(Capas!$B$15-1)))</f>
        <v>1</v>
      </c>
      <c r="AL16" s="9" t="n">
        <f aca="false">IF(AL$5&gt;=$C16,1,IF(ABS(Capas!$B$15-1)&lt;0.000001,$B16*AL$5,(-1+SQRT(1+2*(Capas!$B$15-1)*$B16*AL$5))/(Capas!$B$15-1)))</f>
        <v>1</v>
      </c>
      <c r="AM16" s="9" t="n">
        <f aca="false">IF(AM$5&gt;=$C16,1,IF(ABS(Capas!$B$15-1)&lt;0.000001,$B16*AM$5,(-1+SQRT(1+2*(Capas!$B$15-1)*$B16*AM$5))/(Capas!$B$15-1)))</f>
        <v>1</v>
      </c>
      <c r="AN16" s="9" t="n">
        <f aca="false">IF(AN$5&gt;=$C16,1,IF(ABS(Capas!$B$15-1)&lt;0.000001,$B16*AN$5,(-1+SQRT(1+2*(Capas!$B$15-1)*$B16*AN$5))/(Capas!$B$15-1)))</f>
        <v>1</v>
      </c>
      <c r="AO16" s="9" t="n">
        <f aca="false">IF(AO$5&gt;=$C16,1,IF(ABS(Capas!$B$15-1)&lt;0.000001,$B16*AO$5,(-1+SQRT(1+2*(Capas!$B$15-1)*$B16*AO$5))/(Capas!$B$15-1)))</f>
        <v>1</v>
      </c>
      <c r="AP16" s="9" t="n">
        <f aca="false">IF(AP$5&gt;=$C16,1,IF(ABS(Capas!$B$15-1)&lt;0.000001,$B16*AP$5,(-1+SQRT(1+2*(Capas!$B$15-1)*$B16*AP$5))/(Capas!$B$15-1)))</f>
        <v>1</v>
      </c>
      <c r="AQ16" s="9" t="n">
        <f aca="false">IF(AQ$5&gt;=$C16,1,IF(ABS(Capas!$B$15-1)&lt;0.000001,$B16*AQ$5,(-1+SQRT(1+2*(Capas!$B$15-1)*$B16*AQ$5))/(Capas!$B$15-1)))</f>
        <v>1</v>
      </c>
      <c r="AR16" s="9" t="n">
        <f aca="false">IF(AR$5&gt;=$C16,1,IF(ABS(Capas!$B$15-1)&lt;0.000001,$B16*AR$5,(-1+SQRT(1+2*(Capas!$B$15-1)*$B16*AR$5))/(Capas!$B$15-1)))</f>
        <v>1</v>
      </c>
      <c r="AS16" s="9" t="n">
        <f aca="false">IF(AS$5&gt;=$C16,1,IF(ABS(Capas!$B$15-1)&lt;0.000001,$B16*AS$5,(-1+SQRT(1+2*(Capas!$B$15-1)*$B16*AS$5))/(Capas!$B$15-1)))</f>
        <v>1</v>
      </c>
      <c r="AT16" s="9" t="n">
        <f aca="false">IF(AT$5&gt;=$C16,1,IF(ABS(Capas!$B$15-1)&lt;0.000001,$B16*AT$5,(-1+SQRT(1+2*(Capas!$B$15-1)*$B16*AT$5))/(Capas!$B$15-1)))</f>
        <v>1</v>
      </c>
      <c r="AU16" s="9" t="n">
        <f aca="false">IF(AU$5&gt;=$C16,1,IF(ABS(Capas!$B$15-1)&lt;0.000001,$B16*AU$5,(-1+SQRT(1+2*(Capas!$B$15-1)*$B16*AU$5))/(Capas!$B$15-1)))</f>
        <v>1</v>
      </c>
      <c r="AV16" s="9" t="n">
        <f aca="false">IF(AV$5&gt;=$C16,1,IF(ABS(Capas!$B$15-1)&lt;0.000001,$B16*AV$5,(-1+SQRT(1+2*(Capas!$B$15-1)*$B16*AV$5))/(Capas!$B$15-1)))</f>
        <v>1</v>
      </c>
      <c r="AW16" s="9" t="n">
        <f aca="false">IF(AW$5&gt;=$C16,1,IF(ABS(Capas!$B$15-1)&lt;0.000001,$B16*AW$5,(-1+SQRT(1+2*(Capas!$B$15-1)*$B16*AW$5))/(Capas!$B$15-1)))</f>
        <v>1</v>
      </c>
      <c r="AX16" s="9" t="n">
        <f aca="false">IF(AX$5&gt;=$C16,1,IF(ABS(Capas!$B$15-1)&lt;0.000001,$B16*AX$5,(-1+SQRT(1+2*(Capas!$B$15-1)*$B16*AX$5))/(Capas!$B$15-1)))</f>
        <v>1</v>
      </c>
      <c r="AY16" s="9" t="n">
        <f aca="false">IF(AY$5&gt;=$C16,1,IF(ABS(Capas!$B$15-1)&lt;0.000001,$B16*AY$5,(-1+SQRT(1+2*(Capas!$B$15-1)*$B16*AY$5))/(Capas!$B$15-1)))</f>
        <v>1</v>
      </c>
      <c r="AZ16" s="9" t="n">
        <f aca="false">IF(AZ$5&gt;=$C16,1,IF(ABS(Capas!$B$15-1)&lt;0.000001,$B16*AZ$5,(-1+SQRT(1+2*(Capas!$B$15-1)*$B16*AZ$5))/(Capas!$B$15-1)))</f>
        <v>1</v>
      </c>
      <c r="BA16" s="9" t="n">
        <f aca="false">IF(BA$5&gt;=$C16,1,IF(ABS(Capas!$B$15-1)&lt;0.000001,$B16*BA$5,(-1+SQRT(1+2*(Capas!$B$15-1)*$B16*BA$5))/(Capas!$B$15-1)))</f>
        <v>1</v>
      </c>
      <c r="BB16" s="9" t="n">
        <f aca="false">IF(BB$5&gt;=$C16,1,IF(ABS(Capas!$B$15-1)&lt;0.000001,$B16*BB$5,(-1+SQRT(1+2*(Capas!$B$15-1)*$B16*BB$5))/(Capas!$B$15-1)))</f>
        <v>1</v>
      </c>
      <c r="BC16" s="9" t="n">
        <f aca="false">IF(BC$5&gt;=$C16,1,IF(ABS(Capas!$B$15-1)&lt;0.000001,$B16*BC$5,(-1+SQRT(1+2*(Capas!$B$15-1)*$B16*BC$5))/(Capas!$B$15-1)))</f>
        <v>1</v>
      </c>
      <c r="BD16" s="9" t="n">
        <f aca="false">IF(BD$5&gt;=$C16,1,IF(ABS(Capas!$B$15-1)&lt;0.000001,$B16*BD$5,(-1+SQRT(1+2*(Capas!$B$15-1)*$B16*BD$5))/(Capas!$B$15-1)))</f>
        <v>1</v>
      </c>
      <c r="BE16" s="9" t="n">
        <f aca="false">IF(BE$5&gt;=$C16,1,IF(ABS(Capas!$B$15-1)&lt;0.000001,$B16*BE$5,(-1+SQRT(1+2*(Capas!$B$15-1)*$B16*BE$5))/(Capas!$B$15-1)))</f>
        <v>1</v>
      </c>
      <c r="BF16" s="9" t="n">
        <f aca="false">IF(BF$5&gt;=$C16,1,IF(ABS(Capas!$B$15-1)&lt;0.000001,$B16*BF$5,(-1+SQRT(1+2*(Capas!$B$15-1)*$B16*BF$5))/(Capas!$B$15-1)))</f>
        <v>1</v>
      </c>
      <c r="BG16" s="9" t="n">
        <f aca="false">IF(BG$5&gt;=$C16,1,IF(ABS(Capas!$B$15-1)&lt;0.000001,$B16*BG$5,(-1+SQRT(1+2*(Capas!$B$15-1)*$B16*BG$5))/(Capas!$B$15-1)))</f>
        <v>1</v>
      </c>
      <c r="BH16" s="9" t="n">
        <f aca="false">IF(BH$5&gt;=$C16,1,IF(ABS(Capas!$B$15-1)&lt;0.000001,$B16*BH$5,(-1+SQRT(1+2*(Capas!$B$15-1)*$B16*BH$5))/(Capas!$B$15-1)))</f>
        <v>1</v>
      </c>
      <c r="BI16" s="9" t="n">
        <f aca="false">IF(BI$5&gt;=$C16,1,IF(ABS(Capas!$B$15-1)&lt;0.000001,$B16*BI$5,(-1+SQRT(1+2*(Capas!$B$15-1)*$B16*BI$5))/(Capas!$B$15-1)))</f>
        <v>1</v>
      </c>
      <c r="BJ16" s="9" t="n">
        <f aca="false">IF(BJ$5&gt;=$C16,1,IF(ABS(Capas!$B$15-1)&lt;0.000001,$B16*BJ$5,(-1+SQRT(1+2*(Capas!$B$15-1)*$B16*BJ$5))/(Capas!$B$15-1)))</f>
        <v>1</v>
      </c>
      <c r="BK16" s="9" t="n">
        <f aca="false">IF(BK$5&gt;=$C16,1,IF(ABS(Capas!$B$15-1)&lt;0.000001,$B16*BK$5,(-1+SQRT(1+2*(Capas!$B$15-1)*$B16*BK$5))/(Capas!$B$15-1)))</f>
        <v>1</v>
      </c>
    </row>
    <row r="17" customFormat="false" ht="15" hidden="false" customHeight="false" outlineLevel="0" collapsed="false">
      <c r="A17" s="0" t="n">
        <v>12</v>
      </c>
      <c r="B17" s="10" t="n">
        <f aca="false">EXP(Capas!$B$14*NORMSINV((A17-0.5)/20))</f>
        <v>1.25570032148006</v>
      </c>
      <c r="C17" s="9" t="n">
        <f aca="false">(Capas!$B$15+1)/(2*B17)</f>
        <v>2.25637700720962</v>
      </c>
      <c r="D17" s="9" t="n">
        <f aca="false">IF(D$5&gt;=$C17,1,IF(ABS(Capas!$B$15-1)&lt;0.000001,$B17*D$5,(-1+SQRT(1+2*(Capas!$B$15-1)*$B17*D$5))/(Capas!$B$15-1)))</f>
        <v>0.0604940859934246</v>
      </c>
      <c r="E17" s="9" t="n">
        <f aca="false">IF(E$5&gt;=$C17,1,IF(ABS(Capas!$B$15-1)&lt;0.000001,$B17*E$5,(-1+SQRT(1+2*(Capas!$B$15-1)*$B17*E$5))/(Capas!$B$15-1)))</f>
        <v>0.0677932230588187</v>
      </c>
      <c r="F17" s="9" t="n">
        <f aca="false">IF(F$5&gt;=$C17,1,IF(ABS(Capas!$B$15-1)&lt;0.000001,$B17*F$5,(-1+SQRT(1+2*(Capas!$B$15-1)*$B17*F$5))/(Capas!$B$15-1)))</f>
        <v>0.0758866902461199</v>
      </c>
      <c r="G17" s="9" t="n">
        <f aca="false">IF(G$5&gt;=$C17,1,IF(ABS(Capas!$B$15-1)&lt;0.000001,$B17*G$5,(-1+SQRT(1+2*(Capas!$B$15-1)*$B17*G$5))/(Capas!$B$15-1)))</f>
        <v>0.0848443234396355</v>
      </c>
      <c r="H17" s="9" t="n">
        <f aca="false">IF(H$5&gt;=$C17,1,IF(ABS(Capas!$B$15-1)&lt;0.000001,$B17*H$5,(-1+SQRT(1+2*(Capas!$B$15-1)*$B17*H$5))/(Capas!$B$15-1)))</f>
        <v>0.0947395247101385</v>
      </c>
      <c r="I17" s="9" t="n">
        <f aca="false">IF(I$5&gt;=$C17,1,IF(ABS(Capas!$B$15-1)&lt;0.000001,$B17*I$5,(-1+SQRT(1+2*(Capas!$B$15-1)*$B17*I$5))/(Capas!$B$15-1)))</f>
        <v>0.105649194234089</v>
      </c>
      <c r="J17" s="9" t="n">
        <f aca="false">IF(J$5&gt;=$C17,1,IF(ABS(Capas!$B$15-1)&lt;0.000001,$B17*J$5,(-1+SQRT(1+2*(Capas!$B$15-1)*$B17*J$5))/(Capas!$B$15-1)))</f>
        <v>0.117653674988741</v>
      </c>
      <c r="K17" s="9" t="n">
        <f aca="false">IF(K$5&gt;=$C17,1,IF(ABS(Capas!$B$15-1)&lt;0.000001,$B17*K$5,(-1+SQRT(1+2*(Capas!$B$15-1)*$B17*K$5))/(Capas!$B$15-1)))</f>
        <v>0.130836723196675</v>
      </c>
      <c r="L17" s="9" t="n">
        <f aca="false">IF(L$5&gt;=$C17,1,IF(ABS(Capas!$B$15-1)&lt;0.000001,$B17*L$5,(-1+SQRT(1+2*(Capas!$B$15-1)*$B17*L$5))/(Capas!$B$15-1)))</f>
        <v>0.145285517155476</v>
      </c>
      <c r="M17" s="9" t="n">
        <f aca="false">IF(M$5&gt;=$C17,1,IF(ABS(Capas!$B$15-1)&lt;0.000001,$B17*M$5,(-1+SQRT(1+2*(Capas!$B$15-1)*$B17*M$5))/(Capas!$B$15-1)))</f>
        <v>0.16109071583951</v>
      </c>
      <c r="N17" s="9" t="n">
        <f aca="false">IF(N$5&gt;=$C17,1,IF(ABS(Capas!$B$15-1)&lt;0.000001,$B17*N$5,(-1+SQRT(1+2*(Capas!$B$15-1)*$B17*N$5))/(Capas!$B$15-1)))</f>
        <v>0.178346576629964</v>
      </c>
      <c r="O17" s="9" t="n">
        <f aca="false">IF(O$5&gt;=$C17,1,IF(ABS(Capas!$B$15-1)&lt;0.000001,$B17*O$5,(-1+SQRT(1+2*(Capas!$B$15-1)*$B17*O$5))/(Capas!$B$15-1)))</f>
        <v>0.197151138942945</v>
      </c>
      <c r="P17" s="9" t="n">
        <f aca="false">IF(P$5&gt;=$C17,1,IF(ABS(Capas!$B$15-1)&lt;0.000001,$B17*P$5,(-1+SQRT(1+2*(Capas!$B$15-1)*$B17*P$5))/(Capas!$B$15-1)))</f>
        <v>0.217606477671122</v>
      </c>
      <c r="Q17" s="9" t="n">
        <f aca="false">IF(Q$5&gt;=$C17,1,IF(ABS(Capas!$B$15-1)&lt;0.000001,$B17*Q$5,(-1+SQRT(1+2*(Capas!$B$15-1)*$B17*Q$5))/(Capas!$B$15-1)))</f>
        <v>0.23981902753455</v>
      </c>
      <c r="R17" s="9" t="n">
        <f aca="false">IF(R$5&gt;=$C17,1,IF(ABS(Capas!$B$15-1)&lt;0.000001,$B17*R$5,(-1+SQRT(1+2*(Capas!$B$15-1)*$B17*R$5))/(Capas!$B$15-1)))</f>
        <v>0.263899976922821</v>
      </c>
      <c r="S17" s="9" t="n">
        <f aca="false">IF(S$5&gt;=$C17,1,IF(ABS(Capas!$B$15-1)&lt;0.000001,$B17*S$5,(-1+SQRT(1+2*(Capas!$B$15-1)*$B17*S$5))/(Capas!$B$15-1)))</f>
        <v>0.289965727809282</v>
      </c>
      <c r="T17" s="9" t="n">
        <f aca="false">IF(T$5&gt;=$C17,1,IF(ABS(Capas!$B$15-1)&lt;0.000001,$B17*T$5,(-1+SQRT(1+2*(Capas!$B$15-1)*$B17*T$5))/(Capas!$B$15-1)))</f>
        <v>0.318138416948525</v>
      </c>
      <c r="U17" s="9" t="n">
        <f aca="false">IF(U$5&gt;=$C17,1,IF(ABS(Capas!$B$15-1)&lt;0.000001,$B17*U$5,(-1+SQRT(1+2*(Capas!$B$15-1)*$B17*U$5))/(Capas!$B$15-1)))</f>
        <v>0.34854649286244</v>
      </c>
      <c r="V17" s="9" t="n">
        <f aca="false">IF(V$5&gt;=$C17,1,IF(ABS(Capas!$B$15-1)&lt;0.000001,$B17*V$5,(-1+SQRT(1+2*(Capas!$B$15-1)*$B17*V$5))/(Capas!$B$15-1)))</f>
        <v>0.381325343032997</v>
      </c>
      <c r="W17" s="9" t="n">
        <f aca="false">IF(W$5&gt;=$C17,1,IF(ABS(Capas!$B$15-1)&lt;0.000001,$B17*W$5,(-1+SQRT(1+2*(Capas!$B$15-1)*$B17*W$5))/(Capas!$B$15-1)))</f>
        <v>0.416617966152336</v>
      </c>
      <c r="X17" s="9" t="n">
        <f aca="false">IF(X$5&gt;=$C17,1,IF(ABS(Capas!$B$15-1)&lt;0.000001,$B17*X$5,(-1+SQRT(1+2*(Capas!$B$15-1)*$B17*X$5))/(Capas!$B$15-1)))</f>
        <v>0.454575685102984</v>
      </c>
      <c r="Y17" s="9" t="n">
        <f aca="false">IF(Y$5&gt;=$C17,1,IF(ABS(Capas!$B$15-1)&lt;0.000001,$B17*Y$5,(-1+SQRT(1+2*(Capas!$B$15-1)*$B17*Y$5))/(Capas!$B$15-1)))</f>
        <v>0.495358897416325</v>
      </c>
      <c r="Z17" s="9" t="n">
        <f aca="false">IF(Z$5&gt;=$C17,1,IF(ABS(Capas!$B$15-1)&lt;0.000001,$B17*Z$5,(-1+SQRT(1+2*(Capas!$B$15-1)*$B17*Z$5))/(Capas!$B$15-1)))</f>
        <v>0.539137861159678</v>
      </c>
      <c r="AA17" s="9" t="n">
        <f aca="false">IF(AA$5&gt;=$C17,1,IF(ABS(Capas!$B$15-1)&lt;0.000001,$B17*AA$5,(-1+SQRT(1+2*(Capas!$B$15-1)*$B17*AA$5))/(Capas!$B$15-1)))</f>
        <v>0.586093515427078</v>
      </c>
      <c r="AB17" s="9" t="n">
        <f aca="false">IF(AB$5&gt;=$C17,1,IF(ABS(Capas!$B$15-1)&lt;0.000001,$B17*AB$5,(-1+SQRT(1+2*(Capas!$B$15-1)*$B17*AB$5))/(Capas!$B$15-1)))</f>
        <v>0.636418335779041</v>
      </c>
      <c r="AC17" s="9" t="n">
        <f aca="false">IF(AC$5&gt;=$C17,1,IF(ABS(Capas!$B$15-1)&lt;0.000001,$B17*AC$5,(-1+SQRT(1+2*(Capas!$B$15-1)*$B17*AC$5))/(Capas!$B$15-1)))</f>
        <v>0.690317226041989</v>
      </c>
      <c r="AD17" s="9" t="n">
        <f aca="false">IF(AD$5&gt;=$C17,1,IF(ABS(Capas!$B$15-1)&lt;0.000001,$B17*AD$5,(-1+SQRT(1+2*(Capas!$B$15-1)*$B17*AD$5))/(Capas!$B$15-1)))</f>
        <v>0.748008448812731</v>
      </c>
      <c r="AE17" s="9" t="n">
        <f aca="false">IF(AE$5&gt;=$C17,1,IF(ABS(Capas!$B$15-1)&lt;0.000001,$B17*AE$5,(-1+SQRT(1+2*(Capas!$B$15-1)*$B17*AE$5))/(Capas!$B$15-1)))</f>
        <v>0.809724597810304</v>
      </c>
      <c r="AF17" s="9" t="n">
        <f aca="false">IF(AF$5&gt;=$C17,1,IF(ABS(Capas!$B$15-1)&lt;0.000001,$B17*AF$5,(-1+SQRT(1+2*(Capas!$B$15-1)*$B17*AF$5))/(Capas!$B$15-1)))</f>
        <v>0.875713615883386</v>
      </c>
      <c r="AG17" s="9" t="n">
        <f aca="false">IF(AG$5&gt;=$C17,1,IF(ABS(Capas!$B$15-1)&lt;0.000001,$B17*AG$5,(-1+SQRT(1+2*(Capas!$B$15-1)*$B17*AG$5))/(Capas!$B$15-1)))</f>
        <v>0.946239863031756</v>
      </c>
      <c r="AH17" s="9" t="n">
        <f aca="false">IF(AH$5&gt;=$C17,1,IF(ABS(Capas!$B$15-1)&lt;0.000001,$B17*AH$5,(-1+SQRT(1+2*(Capas!$B$15-1)*$B17*AH$5))/(Capas!$B$15-1)))</f>
        <v>1</v>
      </c>
      <c r="AI17" s="9" t="n">
        <f aca="false">IF(AI$5&gt;=$C17,1,IF(ABS(Capas!$B$15-1)&lt;0.000001,$B17*AI$5,(-1+SQRT(1+2*(Capas!$B$15-1)*$B17*AI$5))/(Capas!$B$15-1)))</f>
        <v>1</v>
      </c>
      <c r="AJ17" s="9" t="n">
        <f aca="false">IF(AJ$5&gt;=$C17,1,IF(ABS(Capas!$B$15-1)&lt;0.000001,$B17*AJ$5,(-1+SQRT(1+2*(Capas!$B$15-1)*$B17*AJ$5))/(Capas!$B$15-1)))</f>
        <v>1</v>
      </c>
      <c r="AK17" s="9" t="n">
        <f aca="false">IF(AK$5&gt;=$C17,1,IF(ABS(Capas!$B$15-1)&lt;0.000001,$B17*AK$5,(-1+SQRT(1+2*(Capas!$B$15-1)*$B17*AK$5))/(Capas!$B$15-1)))</f>
        <v>1</v>
      </c>
      <c r="AL17" s="9" t="n">
        <f aca="false">IF(AL$5&gt;=$C17,1,IF(ABS(Capas!$B$15-1)&lt;0.000001,$B17*AL$5,(-1+SQRT(1+2*(Capas!$B$15-1)*$B17*AL$5))/(Capas!$B$15-1)))</f>
        <v>1</v>
      </c>
      <c r="AM17" s="9" t="n">
        <f aca="false">IF(AM$5&gt;=$C17,1,IF(ABS(Capas!$B$15-1)&lt;0.000001,$B17*AM$5,(-1+SQRT(1+2*(Capas!$B$15-1)*$B17*AM$5))/(Capas!$B$15-1)))</f>
        <v>1</v>
      </c>
      <c r="AN17" s="9" t="n">
        <f aca="false">IF(AN$5&gt;=$C17,1,IF(ABS(Capas!$B$15-1)&lt;0.000001,$B17*AN$5,(-1+SQRT(1+2*(Capas!$B$15-1)*$B17*AN$5))/(Capas!$B$15-1)))</f>
        <v>1</v>
      </c>
      <c r="AO17" s="9" t="n">
        <f aca="false">IF(AO$5&gt;=$C17,1,IF(ABS(Capas!$B$15-1)&lt;0.000001,$B17*AO$5,(-1+SQRT(1+2*(Capas!$B$15-1)*$B17*AO$5))/(Capas!$B$15-1)))</f>
        <v>1</v>
      </c>
      <c r="AP17" s="9" t="n">
        <f aca="false">IF(AP$5&gt;=$C17,1,IF(ABS(Capas!$B$15-1)&lt;0.000001,$B17*AP$5,(-1+SQRT(1+2*(Capas!$B$15-1)*$B17*AP$5))/(Capas!$B$15-1)))</f>
        <v>1</v>
      </c>
      <c r="AQ17" s="9" t="n">
        <f aca="false">IF(AQ$5&gt;=$C17,1,IF(ABS(Capas!$B$15-1)&lt;0.000001,$B17*AQ$5,(-1+SQRT(1+2*(Capas!$B$15-1)*$B17*AQ$5))/(Capas!$B$15-1)))</f>
        <v>1</v>
      </c>
      <c r="AR17" s="9" t="n">
        <f aca="false">IF(AR$5&gt;=$C17,1,IF(ABS(Capas!$B$15-1)&lt;0.000001,$B17*AR$5,(-1+SQRT(1+2*(Capas!$B$15-1)*$B17*AR$5))/(Capas!$B$15-1)))</f>
        <v>1</v>
      </c>
      <c r="AS17" s="9" t="n">
        <f aca="false">IF(AS$5&gt;=$C17,1,IF(ABS(Capas!$B$15-1)&lt;0.000001,$B17*AS$5,(-1+SQRT(1+2*(Capas!$B$15-1)*$B17*AS$5))/(Capas!$B$15-1)))</f>
        <v>1</v>
      </c>
      <c r="AT17" s="9" t="n">
        <f aca="false">IF(AT$5&gt;=$C17,1,IF(ABS(Capas!$B$15-1)&lt;0.000001,$B17*AT$5,(-1+SQRT(1+2*(Capas!$B$15-1)*$B17*AT$5))/(Capas!$B$15-1)))</f>
        <v>1</v>
      </c>
      <c r="AU17" s="9" t="n">
        <f aca="false">IF(AU$5&gt;=$C17,1,IF(ABS(Capas!$B$15-1)&lt;0.000001,$B17*AU$5,(-1+SQRT(1+2*(Capas!$B$15-1)*$B17*AU$5))/(Capas!$B$15-1)))</f>
        <v>1</v>
      </c>
      <c r="AV17" s="9" t="n">
        <f aca="false">IF(AV$5&gt;=$C17,1,IF(ABS(Capas!$B$15-1)&lt;0.000001,$B17*AV$5,(-1+SQRT(1+2*(Capas!$B$15-1)*$B17*AV$5))/(Capas!$B$15-1)))</f>
        <v>1</v>
      </c>
      <c r="AW17" s="9" t="n">
        <f aca="false">IF(AW$5&gt;=$C17,1,IF(ABS(Capas!$B$15-1)&lt;0.000001,$B17*AW$5,(-1+SQRT(1+2*(Capas!$B$15-1)*$B17*AW$5))/(Capas!$B$15-1)))</f>
        <v>1</v>
      </c>
      <c r="AX17" s="9" t="n">
        <f aca="false">IF(AX$5&gt;=$C17,1,IF(ABS(Capas!$B$15-1)&lt;0.000001,$B17*AX$5,(-1+SQRT(1+2*(Capas!$B$15-1)*$B17*AX$5))/(Capas!$B$15-1)))</f>
        <v>1</v>
      </c>
      <c r="AY17" s="9" t="n">
        <f aca="false">IF(AY$5&gt;=$C17,1,IF(ABS(Capas!$B$15-1)&lt;0.000001,$B17*AY$5,(-1+SQRT(1+2*(Capas!$B$15-1)*$B17*AY$5))/(Capas!$B$15-1)))</f>
        <v>1</v>
      </c>
      <c r="AZ17" s="9" t="n">
        <f aca="false">IF(AZ$5&gt;=$C17,1,IF(ABS(Capas!$B$15-1)&lt;0.000001,$B17*AZ$5,(-1+SQRT(1+2*(Capas!$B$15-1)*$B17*AZ$5))/(Capas!$B$15-1)))</f>
        <v>1</v>
      </c>
      <c r="BA17" s="9" t="n">
        <f aca="false">IF(BA$5&gt;=$C17,1,IF(ABS(Capas!$B$15-1)&lt;0.000001,$B17*BA$5,(-1+SQRT(1+2*(Capas!$B$15-1)*$B17*BA$5))/(Capas!$B$15-1)))</f>
        <v>1</v>
      </c>
      <c r="BB17" s="9" t="n">
        <f aca="false">IF(BB$5&gt;=$C17,1,IF(ABS(Capas!$B$15-1)&lt;0.000001,$B17*BB$5,(-1+SQRT(1+2*(Capas!$B$15-1)*$B17*BB$5))/(Capas!$B$15-1)))</f>
        <v>1</v>
      </c>
      <c r="BC17" s="9" t="n">
        <f aca="false">IF(BC$5&gt;=$C17,1,IF(ABS(Capas!$B$15-1)&lt;0.000001,$B17*BC$5,(-1+SQRT(1+2*(Capas!$B$15-1)*$B17*BC$5))/(Capas!$B$15-1)))</f>
        <v>1</v>
      </c>
      <c r="BD17" s="9" t="n">
        <f aca="false">IF(BD$5&gt;=$C17,1,IF(ABS(Capas!$B$15-1)&lt;0.000001,$B17*BD$5,(-1+SQRT(1+2*(Capas!$B$15-1)*$B17*BD$5))/(Capas!$B$15-1)))</f>
        <v>1</v>
      </c>
      <c r="BE17" s="9" t="n">
        <f aca="false">IF(BE$5&gt;=$C17,1,IF(ABS(Capas!$B$15-1)&lt;0.000001,$B17*BE$5,(-1+SQRT(1+2*(Capas!$B$15-1)*$B17*BE$5))/(Capas!$B$15-1)))</f>
        <v>1</v>
      </c>
      <c r="BF17" s="9" t="n">
        <f aca="false">IF(BF$5&gt;=$C17,1,IF(ABS(Capas!$B$15-1)&lt;0.000001,$B17*BF$5,(-1+SQRT(1+2*(Capas!$B$15-1)*$B17*BF$5))/(Capas!$B$15-1)))</f>
        <v>1</v>
      </c>
      <c r="BG17" s="9" t="n">
        <f aca="false">IF(BG$5&gt;=$C17,1,IF(ABS(Capas!$B$15-1)&lt;0.000001,$B17*BG$5,(-1+SQRT(1+2*(Capas!$B$15-1)*$B17*BG$5))/(Capas!$B$15-1)))</f>
        <v>1</v>
      </c>
      <c r="BH17" s="9" t="n">
        <f aca="false">IF(BH$5&gt;=$C17,1,IF(ABS(Capas!$B$15-1)&lt;0.000001,$B17*BH$5,(-1+SQRT(1+2*(Capas!$B$15-1)*$B17*BH$5))/(Capas!$B$15-1)))</f>
        <v>1</v>
      </c>
      <c r="BI17" s="9" t="n">
        <f aca="false">IF(BI$5&gt;=$C17,1,IF(ABS(Capas!$B$15-1)&lt;0.000001,$B17*BI$5,(-1+SQRT(1+2*(Capas!$B$15-1)*$B17*BI$5))/(Capas!$B$15-1)))</f>
        <v>1</v>
      </c>
      <c r="BJ17" s="9" t="n">
        <f aca="false">IF(BJ$5&gt;=$C17,1,IF(ABS(Capas!$B$15-1)&lt;0.000001,$B17*BJ$5,(-1+SQRT(1+2*(Capas!$B$15-1)*$B17*BJ$5))/(Capas!$B$15-1)))</f>
        <v>1</v>
      </c>
      <c r="BK17" s="9" t="n">
        <f aca="false">IF(BK$5&gt;=$C17,1,IF(ABS(Capas!$B$15-1)&lt;0.000001,$B17*BK$5,(-1+SQRT(1+2*(Capas!$B$15-1)*$B17*BK$5))/(Capas!$B$15-1)))</f>
        <v>1</v>
      </c>
    </row>
    <row r="18" customFormat="false" ht="15" hidden="false" customHeight="false" outlineLevel="0" collapsed="false">
      <c r="A18" s="0" t="n">
        <v>13</v>
      </c>
      <c r="B18" s="10" t="n">
        <f aca="false">EXP(Capas!$B$14*NORMSINV((A18-0.5)/20))</f>
        <v>1.46760691989976</v>
      </c>
      <c r="C18" s="9" t="n">
        <f aca="false">(Capas!$B$15+1)/(2*B18)</f>
        <v>1.93058052187901</v>
      </c>
      <c r="D18" s="9" t="n">
        <f aca="false">IF(D$5&gt;=$C18,1,IF(ABS(Capas!$B$15-1)&lt;0.000001,$B18*D$5,(-1+SQRT(1+2*(Capas!$B$15-1)*$B18*D$5))/(Capas!$B$15-1)))</f>
        <v>0.0696503481373074</v>
      </c>
      <c r="E18" s="9" t="n">
        <f aca="false">IF(E$5&gt;=$C18,1,IF(ABS(Capas!$B$15-1)&lt;0.000001,$B18*E$5,(-1+SQRT(1+2*(Capas!$B$15-1)*$B18*E$5))/(Capas!$B$15-1)))</f>
        <v>0.0779436059111379</v>
      </c>
      <c r="F18" s="9" t="n">
        <f aca="false">IF(F$5&gt;=$C18,1,IF(ABS(Capas!$B$15-1)&lt;0.000001,$B18*F$5,(-1+SQRT(1+2*(Capas!$B$15-1)*$B18*F$5))/(Capas!$B$15-1)))</f>
        <v>0.0871182289137962</v>
      </c>
      <c r="G18" s="9" t="n">
        <f aca="false">IF(G$5&gt;=$C18,1,IF(ABS(Capas!$B$15-1)&lt;0.000001,$B18*G$5,(-1+SQRT(1+2*(Capas!$B$15-1)*$B18*G$5))/(Capas!$B$15-1)))</f>
        <v>0.0972484601095735</v>
      </c>
      <c r="H18" s="9" t="n">
        <f aca="false">IF(H$5&gt;=$C18,1,IF(ABS(Capas!$B$15-1)&lt;0.000001,$B18*H$5,(-1+SQRT(1+2*(Capas!$B$15-1)*$B18*H$5))/(Capas!$B$15-1)))</f>
        <v>0.108412025723029</v>
      </c>
      <c r="I18" s="9" t="n">
        <f aca="false">IF(I$5&gt;=$C18,1,IF(ABS(Capas!$B$15-1)&lt;0.000001,$B18*I$5,(-1+SQRT(1+2*(Capas!$B$15-1)*$B18*I$5))/(Capas!$B$15-1)))</f>
        <v>0.120690084898654</v>
      </c>
      <c r="J18" s="9" t="n">
        <f aca="false">IF(J$5&gt;=$C18,1,IF(ABS(Capas!$B$15-1)&lt;0.000001,$B18*J$5,(-1+SQRT(1+2*(Capas!$B$15-1)*$B18*J$5))/(Capas!$B$15-1)))</f>
        <v>0.134167208191983</v>
      </c>
      <c r="K18" s="9" t="n">
        <f aca="false">IF(K$5&gt;=$C18,1,IF(ABS(Capas!$B$15-1)&lt;0.000001,$B18*K$5,(-1+SQRT(1+2*(Capas!$B$15-1)*$B18*K$5))/(Capas!$B$15-1)))</f>
        <v>0.148931397309594</v>
      </c>
      <c r="L18" s="9" t="n">
        <f aca="false">IF(L$5&gt;=$C18,1,IF(ABS(Capas!$B$15-1)&lt;0.000001,$B18*L$5,(-1+SQRT(1+2*(Capas!$B$15-1)*$B18*L$5))/(Capas!$B$15-1)))</f>
        <v>0.165074157064157</v>
      </c>
      <c r="M18" s="9" t="n">
        <f aca="false">IF(M$5&gt;=$C18,1,IF(ABS(Capas!$B$15-1)&lt;0.000001,$B18*M$5,(-1+SQRT(1+2*(Capas!$B$15-1)*$B18*M$5))/(Capas!$B$15-1)))</f>
        <v>0.182690628323736</v>
      </c>
      <c r="N18" s="9" t="n">
        <f aca="false">IF(N$5&gt;=$C18,1,IF(ABS(Capas!$B$15-1)&lt;0.000001,$B18*N$5,(-1+SQRT(1+2*(Capas!$B$15-1)*$B18*N$5))/(Capas!$B$15-1)))</f>
        <v>0.201879788056697</v>
      </c>
      <c r="O18" s="9" t="n">
        <f aca="false">IF(O$5&gt;=$C18,1,IF(ABS(Capas!$B$15-1)&lt;0.000001,$B18*O$5,(-1+SQRT(1+2*(Capas!$B$15-1)*$B18*O$5))/(Capas!$B$15-1)))</f>
        <v>0.222744719700514</v>
      </c>
      <c r="P18" s="9" t="n">
        <f aca="false">IF(P$5&gt;=$C18,1,IF(ABS(Capas!$B$15-1)&lt;0.000001,$B18*P$5,(-1+SQRT(1+2*(Capas!$B$15-1)*$B18*P$5))/(Capas!$B$15-1)))</f>
        <v>0.245392954313276</v>
      </c>
      <c r="Q18" s="9" t="n">
        <f aca="false">IF(Q$5&gt;=$C18,1,IF(ABS(Capas!$B$15-1)&lt;0.000001,$B18*Q$5,(-1+SQRT(1+2*(Capas!$B$15-1)*$B18*Q$5))/(Capas!$B$15-1)))</f>
        <v>0.269936880559833</v>
      </c>
      <c r="R18" s="9" t="n">
        <f aca="false">IF(R$5&gt;=$C18,1,IF(ABS(Capas!$B$15-1)&lt;0.000001,$B18*R$5,(-1+SQRT(1+2*(Capas!$B$15-1)*$B18*R$5))/(Capas!$B$15-1)))</f>
        <v>0.296494219726376</v>
      </c>
      <c r="S18" s="9" t="n">
        <f aca="false">IF(S$5&gt;=$C18,1,IF(ABS(Capas!$B$15-1)&lt;0.000001,$B18*S$5,(-1+SQRT(1+2*(Capas!$B$15-1)*$B18*S$5))/(Capas!$B$15-1)))</f>
        <v>0.325188560746449</v>
      </c>
      <c r="T18" s="9" t="n">
        <f aca="false">IF(T$5&gt;=$C18,1,IF(ABS(Capas!$B$15-1)&lt;0.000001,$B18*T$5,(-1+SQRT(1+2*(Capas!$B$15-1)*$B18*T$5))/(Capas!$B$15-1)))</f>
        <v>0.356149949669642</v>
      </c>
      <c r="U18" s="9" t="n">
        <f aca="false">IF(U$5&gt;=$C18,1,IF(ABS(Capas!$B$15-1)&lt;0.000001,$B18*U$5,(-1+SQRT(1+2*(Capas!$B$15-1)*$B18*U$5))/(Capas!$B$15-1)))</f>
        <v>0.389515528051712</v>
      </c>
      <c r="V18" s="9" t="n">
        <f aca="false">IF(V$5&gt;=$C18,1,IF(ABS(Capas!$B$15-1)&lt;0.000001,$B18*V$5,(-1+SQRT(1+2*(Capas!$B$15-1)*$B18*V$5))/(Capas!$B$15-1)))</f>
        <v>0.425430215282697</v>
      </c>
      <c r="W18" s="9" t="n">
        <f aca="false">IF(W$5&gt;=$C18,1,IF(ABS(Capas!$B$15-1)&lt;0.000001,$B18*W$5,(-1+SQRT(1+2*(Capas!$B$15-1)*$B18*W$5))/(Capas!$B$15-1)))</f>
        <v>0.464047430764547</v>
      </c>
      <c r="X18" s="9" t="n">
        <f aca="false">IF(X$5&gt;=$C18,1,IF(ABS(Capas!$B$15-1)&lt;0.000001,$B18*X$5,(-1+SQRT(1+2*(Capas!$B$15-1)*$B18*X$5))/(Capas!$B$15-1)))</f>
        <v>0.505529852966166</v>
      </c>
      <c r="Y18" s="9" t="n">
        <f aca="false">IF(Y$5&gt;=$C18,1,IF(ABS(Capas!$B$15-1)&lt;0.000001,$B18*Y$5,(-1+SQRT(1+2*(Capas!$B$15-1)*$B18*Y$5))/(Capas!$B$15-1)))</f>
        <v>0.550050213599846</v>
      </c>
      <c r="Z18" s="9" t="n">
        <f aca="false">IF(Z$5&gt;=$C18,1,IF(ABS(Capas!$B$15-1)&lt;0.000001,$B18*Z$5,(-1+SQRT(1+2*(Capas!$B$15-1)*$B18*Z$5))/(Capas!$B$15-1)))</f>
        <v>0.597792126380817</v>
      </c>
      <c r="AA18" s="9" t="n">
        <f aca="false">IF(AA$5&gt;=$C18,1,IF(ABS(Capas!$B$15-1)&lt;0.000001,$B18*AA$5,(-1+SQRT(1+2*(Capas!$B$15-1)*$B18*AA$5))/(Capas!$B$15-1)))</f>
        <v>0.648950950980306</v>
      </c>
      <c r="AB18" s="9" t="n">
        <f aca="false">IF(AB$5&gt;=$C18,1,IF(ABS(Capas!$B$15-1)&lt;0.000001,$B18*AB$5,(-1+SQRT(1+2*(Capas!$B$15-1)*$B18*AB$5))/(Capas!$B$15-1)))</f>
        <v>0.703734693818354</v>
      </c>
      <c r="AC18" s="9" t="n">
        <f aca="false">IF(AC$5&gt;=$C18,1,IF(ABS(Capas!$B$15-1)&lt;0.000001,$B18*AC$5,(-1+SQRT(1+2*(Capas!$B$15-1)*$B18*AC$5))/(Capas!$B$15-1)))</f>
        <v>0.762364948244421</v>
      </c>
      <c r="AD18" s="9" t="n">
        <f aca="false">IF(AD$5&gt;=$C18,1,IF(ABS(Capas!$B$15-1)&lt;0.000001,$B18*AD$5,(-1+SQRT(1+2*(Capas!$B$15-1)*$B18*AD$5))/(Capas!$B$15-1)))</f>
        <v>0.825077877418487</v>
      </c>
      <c r="AE18" s="9" t="n">
        <f aca="false">IF(AE$5&gt;=$C18,1,IF(ABS(Capas!$B$15-1)&lt;0.000001,$B18*AE$5,(-1+SQRT(1+2*(Capas!$B$15-1)*$B18*AE$5))/(Capas!$B$15-1)))</f>
        <v>0.892125243842005</v>
      </c>
      <c r="AF18" s="9" t="n">
        <f aca="false">IF(AF$5&gt;=$C18,1,IF(ABS(Capas!$B$15-1)&lt;0.000001,$B18*AF$5,(-1+SQRT(1+2*(Capas!$B$15-1)*$B18*AF$5))/(Capas!$B$15-1)))</f>
        <v>0.963775490013601</v>
      </c>
      <c r="AG18" s="9" t="n">
        <f aca="false">IF(AG$5&gt;=$C18,1,IF(ABS(Capas!$B$15-1)&lt;0.000001,$B18*AG$5,(-1+SQRT(1+2*(Capas!$B$15-1)*$B18*AG$5))/(Capas!$B$15-1)))</f>
        <v>1</v>
      </c>
      <c r="AH18" s="9" t="n">
        <f aca="false">IF(AH$5&gt;=$C18,1,IF(ABS(Capas!$B$15-1)&lt;0.000001,$B18*AH$5,(-1+SQRT(1+2*(Capas!$B$15-1)*$B18*AH$5))/(Capas!$B$15-1)))</f>
        <v>1</v>
      </c>
      <c r="AI18" s="9" t="n">
        <f aca="false">IF(AI$5&gt;=$C18,1,IF(ABS(Capas!$B$15-1)&lt;0.000001,$B18*AI$5,(-1+SQRT(1+2*(Capas!$B$15-1)*$B18*AI$5))/(Capas!$B$15-1)))</f>
        <v>1</v>
      </c>
      <c r="AJ18" s="9" t="n">
        <f aca="false">IF(AJ$5&gt;=$C18,1,IF(ABS(Capas!$B$15-1)&lt;0.000001,$B18*AJ$5,(-1+SQRT(1+2*(Capas!$B$15-1)*$B18*AJ$5))/(Capas!$B$15-1)))</f>
        <v>1</v>
      </c>
      <c r="AK18" s="9" t="n">
        <f aca="false">IF(AK$5&gt;=$C18,1,IF(ABS(Capas!$B$15-1)&lt;0.000001,$B18*AK$5,(-1+SQRT(1+2*(Capas!$B$15-1)*$B18*AK$5))/(Capas!$B$15-1)))</f>
        <v>1</v>
      </c>
      <c r="AL18" s="9" t="n">
        <f aca="false">IF(AL$5&gt;=$C18,1,IF(ABS(Capas!$B$15-1)&lt;0.000001,$B18*AL$5,(-1+SQRT(1+2*(Capas!$B$15-1)*$B18*AL$5))/(Capas!$B$15-1)))</f>
        <v>1</v>
      </c>
      <c r="AM18" s="9" t="n">
        <f aca="false">IF(AM$5&gt;=$C18,1,IF(ABS(Capas!$B$15-1)&lt;0.000001,$B18*AM$5,(-1+SQRT(1+2*(Capas!$B$15-1)*$B18*AM$5))/(Capas!$B$15-1)))</f>
        <v>1</v>
      </c>
      <c r="AN18" s="9" t="n">
        <f aca="false">IF(AN$5&gt;=$C18,1,IF(ABS(Capas!$B$15-1)&lt;0.000001,$B18*AN$5,(-1+SQRT(1+2*(Capas!$B$15-1)*$B18*AN$5))/(Capas!$B$15-1)))</f>
        <v>1</v>
      </c>
      <c r="AO18" s="9" t="n">
        <f aca="false">IF(AO$5&gt;=$C18,1,IF(ABS(Capas!$B$15-1)&lt;0.000001,$B18*AO$5,(-1+SQRT(1+2*(Capas!$B$15-1)*$B18*AO$5))/(Capas!$B$15-1)))</f>
        <v>1</v>
      </c>
      <c r="AP18" s="9" t="n">
        <f aca="false">IF(AP$5&gt;=$C18,1,IF(ABS(Capas!$B$15-1)&lt;0.000001,$B18*AP$5,(-1+SQRT(1+2*(Capas!$B$15-1)*$B18*AP$5))/(Capas!$B$15-1)))</f>
        <v>1</v>
      </c>
      <c r="AQ18" s="9" t="n">
        <f aca="false">IF(AQ$5&gt;=$C18,1,IF(ABS(Capas!$B$15-1)&lt;0.000001,$B18*AQ$5,(-1+SQRT(1+2*(Capas!$B$15-1)*$B18*AQ$5))/(Capas!$B$15-1)))</f>
        <v>1</v>
      </c>
      <c r="AR18" s="9" t="n">
        <f aca="false">IF(AR$5&gt;=$C18,1,IF(ABS(Capas!$B$15-1)&lt;0.000001,$B18*AR$5,(-1+SQRT(1+2*(Capas!$B$15-1)*$B18*AR$5))/(Capas!$B$15-1)))</f>
        <v>1</v>
      </c>
      <c r="AS18" s="9" t="n">
        <f aca="false">IF(AS$5&gt;=$C18,1,IF(ABS(Capas!$B$15-1)&lt;0.000001,$B18*AS$5,(-1+SQRT(1+2*(Capas!$B$15-1)*$B18*AS$5))/(Capas!$B$15-1)))</f>
        <v>1</v>
      </c>
      <c r="AT18" s="9" t="n">
        <f aca="false">IF(AT$5&gt;=$C18,1,IF(ABS(Capas!$B$15-1)&lt;0.000001,$B18*AT$5,(-1+SQRT(1+2*(Capas!$B$15-1)*$B18*AT$5))/(Capas!$B$15-1)))</f>
        <v>1</v>
      </c>
      <c r="AU18" s="9" t="n">
        <f aca="false">IF(AU$5&gt;=$C18,1,IF(ABS(Capas!$B$15-1)&lt;0.000001,$B18*AU$5,(-1+SQRT(1+2*(Capas!$B$15-1)*$B18*AU$5))/(Capas!$B$15-1)))</f>
        <v>1</v>
      </c>
      <c r="AV18" s="9" t="n">
        <f aca="false">IF(AV$5&gt;=$C18,1,IF(ABS(Capas!$B$15-1)&lt;0.000001,$B18*AV$5,(-1+SQRT(1+2*(Capas!$B$15-1)*$B18*AV$5))/(Capas!$B$15-1)))</f>
        <v>1</v>
      </c>
      <c r="AW18" s="9" t="n">
        <f aca="false">IF(AW$5&gt;=$C18,1,IF(ABS(Capas!$B$15-1)&lt;0.000001,$B18*AW$5,(-1+SQRT(1+2*(Capas!$B$15-1)*$B18*AW$5))/(Capas!$B$15-1)))</f>
        <v>1</v>
      </c>
      <c r="AX18" s="9" t="n">
        <f aca="false">IF(AX$5&gt;=$C18,1,IF(ABS(Capas!$B$15-1)&lt;0.000001,$B18*AX$5,(-1+SQRT(1+2*(Capas!$B$15-1)*$B18*AX$5))/(Capas!$B$15-1)))</f>
        <v>1</v>
      </c>
      <c r="AY18" s="9" t="n">
        <f aca="false">IF(AY$5&gt;=$C18,1,IF(ABS(Capas!$B$15-1)&lt;0.000001,$B18*AY$5,(-1+SQRT(1+2*(Capas!$B$15-1)*$B18*AY$5))/(Capas!$B$15-1)))</f>
        <v>1</v>
      </c>
      <c r="AZ18" s="9" t="n">
        <f aca="false">IF(AZ$5&gt;=$C18,1,IF(ABS(Capas!$B$15-1)&lt;0.000001,$B18*AZ$5,(-1+SQRT(1+2*(Capas!$B$15-1)*$B18*AZ$5))/(Capas!$B$15-1)))</f>
        <v>1</v>
      </c>
      <c r="BA18" s="9" t="n">
        <f aca="false">IF(BA$5&gt;=$C18,1,IF(ABS(Capas!$B$15-1)&lt;0.000001,$B18*BA$5,(-1+SQRT(1+2*(Capas!$B$15-1)*$B18*BA$5))/(Capas!$B$15-1)))</f>
        <v>1</v>
      </c>
      <c r="BB18" s="9" t="n">
        <f aca="false">IF(BB$5&gt;=$C18,1,IF(ABS(Capas!$B$15-1)&lt;0.000001,$B18*BB$5,(-1+SQRT(1+2*(Capas!$B$15-1)*$B18*BB$5))/(Capas!$B$15-1)))</f>
        <v>1</v>
      </c>
      <c r="BC18" s="9" t="n">
        <f aca="false">IF(BC$5&gt;=$C18,1,IF(ABS(Capas!$B$15-1)&lt;0.000001,$B18*BC$5,(-1+SQRT(1+2*(Capas!$B$15-1)*$B18*BC$5))/(Capas!$B$15-1)))</f>
        <v>1</v>
      </c>
      <c r="BD18" s="9" t="n">
        <f aca="false">IF(BD$5&gt;=$C18,1,IF(ABS(Capas!$B$15-1)&lt;0.000001,$B18*BD$5,(-1+SQRT(1+2*(Capas!$B$15-1)*$B18*BD$5))/(Capas!$B$15-1)))</f>
        <v>1</v>
      </c>
      <c r="BE18" s="9" t="n">
        <f aca="false">IF(BE$5&gt;=$C18,1,IF(ABS(Capas!$B$15-1)&lt;0.000001,$B18*BE$5,(-1+SQRT(1+2*(Capas!$B$15-1)*$B18*BE$5))/(Capas!$B$15-1)))</f>
        <v>1</v>
      </c>
      <c r="BF18" s="9" t="n">
        <f aca="false">IF(BF$5&gt;=$C18,1,IF(ABS(Capas!$B$15-1)&lt;0.000001,$B18*BF$5,(-1+SQRT(1+2*(Capas!$B$15-1)*$B18*BF$5))/(Capas!$B$15-1)))</f>
        <v>1</v>
      </c>
      <c r="BG18" s="9" t="n">
        <f aca="false">IF(BG$5&gt;=$C18,1,IF(ABS(Capas!$B$15-1)&lt;0.000001,$B18*BG$5,(-1+SQRT(1+2*(Capas!$B$15-1)*$B18*BG$5))/(Capas!$B$15-1)))</f>
        <v>1</v>
      </c>
      <c r="BH18" s="9" t="n">
        <f aca="false">IF(BH$5&gt;=$C18,1,IF(ABS(Capas!$B$15-1)&lt;0.000001,$B18*BH$5,(-1+SQRT(1+2*(Capas!$B$15-1)*$B18*BH$5))/(Capas!$B$15-1)))</f>
        <v>1</v>
      </c>
      <c r="BI18" s="9" t="n">
        <f aca="false">IF(BI$5&gt;=$C18,1,IF(ABS(Capas!$B$15-1)&lt;0.000001,$B18*BI$5,(-1+SQRT(1+2*(Capas!$B$15-1)*$B18*BI$5))/(Capas!$B$15-1)))</f>
        <v>1</v>
      </c>
      <c r="BJ18" s="9" t="n">
        <f aca="false">IF(BJ$5&gt;=$C18,1,IF(ABS(Capas!$B$15-1)&lt;0.000001,$B18*BJ$5,(-1+SQRT(1+2*(Capas!$B$15-1)*$B18*BJ$5))/(Capas!$B$15-1)))</f>
        <v>1</v>
      </c>
      <c r="BK18" s="9" t="n">
        <f aca="false">IF(BK$5&gt;=$C18,1,IF(ABS(Capas!$B$15-1)&lt;0.000001,$B18*BK$5,(-1+SQRT(1+2*(Capas!$B$15-1)*$B18*BK$5))/(Capas!$B$15-1)))</f>
        <v>1</v>
      </c>
    </row>
    <row r="19" customFormat="false" ht="15" hidden="false" customHeight="false" outlineLevel="0" collapsed="false">
      <c r="A19" s="0" t="n">
        <v>14</v>
      </c>
      <c r="B19" s="10" t="n">
        <f aca="false">EXP(Capas!$B$14*NORMSINV((A19-0.5)/20))</f>
        <v>1.72688176919121</v>
      </c>
      <c r="C19" s="9" t="n">
        <f aca="false">(Capas!$B$15+1)/(2*B19)</f>
        <v>1.64072224507896</v>
      </c>
      <c r="D19" s="9" t="n">
        <f aca="false">IF(D$5&gt;=$C19,1,IF(ABS(Capas!$B$15-1)&lt;0.000001,$B19*D$5,(-1+SQRT(1+2*(Capas!$B$15-1)*$B19*D$5))/(Capas!$B$15-1)))</f>
        <v>0.0805306599786259</v>
      </c>
      <c r="E19" s="9" t="n">
        <f aca="false">IF(E$5&gt;=$C19,1,IF(ABS(Capas!$B$15-1)&lt;0.000001,$B19*E$5,(-1+SQRT(1+2*(Capas!$B$15-1)*$B19*E$5))/(Capas!$B$15-1)))</f>
        <v>0.0899767418485035</v>
      </c>
      <c r="F19" s="9" t="n">
        <f aca="false">IF(F$5&gt;=$C19,1,IF(ABS(Capas!$B$15-1)&lt;0.000001,$B19*F$5,(-1+SQRT(1+2*(Capas!$B$15-1)*$B19*F$5))/(Capas!$B$15-1)))</f>
        <v>0.100400791206198</v>
      </c>
      <c r="G19" s="9" t="n">
        <f aca="false">IF(G$5&gt;=$C19,1,IF(ABS(Capas!$B$15-1)&lt;0.000001,$B19*G$5,(-1+SQRT(1+2*(Capas!$B$15-1)*$B19*G$5))/(Capas!$B$15-1)))</f>
        <v>0.111881541776519</v>
      </c>
      <c r="H19" s="9" t="n">
        <f aca="false">IF(H$5&gt;=$C19,1,IF(ABS(Capas!$B$15-1)&lt;0.000001,$B19*H$5,(-1+SQRT(1+2*(Capas!$B$15-1)*$B19*H$5))/(Capas!$B$15-1)))</f>
        <v>0.124501150363974</v>
      </c>
      <c r="I19" s="9" t="n">
        <f aca="false">IF(I$5&gt;=$C19,1,IF(ABS(Capas!$B$15-1)&lt;0.000001,$B19*I$5,(-1+SQRT(1+2*(Capas!$B$15-1)*$B19*I$5))/(Capas!$B$15-1)))</f>
        <v>0.138345186164004</v>
      </c>
      <c r="J19" s="9" t="n">
        <f aca="false">IF(J$5&gt;=$C19,1,IF(ABS(Capas!$B$15-1)&lt;0.000001,$B19*J$5,(-1+SQRT(1+2*(Capas!$B$15-1)*$B19*J$5))/(Capas!$B$15-1)))</f>
        <v>0.153502664714889</v>
      </c>
      <c r="K19" s="9" t="n">
        <f aca="false">IF(K$5&gt;=$C19,1,IF(ABS(Capas!$B$15-1)&lt;0.000001,$B19*K$5,(-1+SQRT(1+2*(Capas!$B$15-1)*$B19*K$5))/(Capas!$B$15-1)))</f>
        <v>0.170066136883913</v>
      </c>
      <c r="L19" s="9" t="n">
        <f aca="false">IF(L$5&gt;=$C19,1,IF(ABS(Capas!$B$15-1)&lt;0.000001,$B19*L$5,(-1+SQRT(1+2*(Capas!$B$15-1)*$B19*L$5))/(Capas!$B$15-1)))</f>
        <v>0.188131840922503</v>
      </c>
      <c r="M19" s="9" t="n">
        <f aca="false">IF(M$5&gt;=$C19,1,IF(ABS(Capas!$B$15-1)&lt;0.000001,$B19*M$5,(-1+SQRT(1+2*(Capas!$B$15-1)*$B19*M$5))/(Capas!$B$15-1)))</f>
        <v>0.207799922858523</v>
      </c>
      <c r="N19" s="9" t="n">
        <f aca="false">IF(N$5&gt;=$C19,1,IF(ABS(Capas!$B$15-1)&lt;0.000001,$B19*N$5,(-1+SQRT(1+2*(Capas!$B$15-1)*$B19*N$5))/(Capas!$B$15-1)))</f>
        <v>0.229174727621222</v>
      </c>
      <c r="O19" s="9" t="n">
        <f aca="false">IF(O$5&gt;=$C19,1,IF(ABS(Capas!$B$15-1)&lt;0.000001,$B19*O$5,(-1+SQRT(1+2*(Capas!$B$15-1)*$B19*O$5))/(Capas!$B$15-1)))</f>
        <v>0.252365160606819</v>
      </c>
      <c r="P19" s="9" t="n">
        <f aca="false">IF(P$5&gt;=$C19,1,IF(ABS(Capas!$B$15-1)&lt;0.000001,$B19*P$5,(-1+SQRT(1+2*(Capas!$B$15-1)*$B19*P$5))/(Capas!$B$15-1)))</f>
        <v>0.277485117130702</v>
      </c>
      <c r="Q19" s="9" t="n">
        <f aca="false">IF(Q$5&gt;=$C19,1,IF(ABS(Capas!$B$15-1)&lt;0.000001,$B19*Q$5,(-1+SQRT(1+2*(Capas!$B$15-1)*$B19*Q$5))/(Capas!$B$15-1)))</f>
        <v>0.304653975537154</v>
      </c>
      <c r="R19" s="9" t="n">
        <f aca="false">IF(R$5&gt;=$C19,1,IF(ABS(Capas!$B$15-1)&lt;0.000001,$B19*R$5,(-1+SQRT(1+2*(Capas!$B$15-1)*$B19*R$5))/(Capas!$B$15-1)))</f>
        <v>0.333997148721632</v>
      </c>
      <c r="S19" s="9" t="n">
        <f aca="false">IF(S$5&gt;=$C19,1,IF(ABS(Capas!$B$15-1)&lt;0.000001,$B19*S$5,(-1+SQRT(1+2*(Capas!$B$15-1)*$B19*S$5))/(Capas!$B$15-1)))</f>
        <v>0.365646688452917</v>
      </c>
      <c r="T19" s="9" t="n">
        <f aca="false">IF(T$5&gt;=$C19,1,IF(ABS(Capas!$B$15-1)&lt;0.000001,$B19*T$5,(-1+SQRT(1+2*(Capas!$B$15-1)*$B19*T$5))/(Capas!$B$15-1)))</f>
        <v>0.39974193708602</v>
      </c>
      <c r="U19" s="9" t="n">
        <f aca="false">IF(U$5&gt;=$C19,1,IF(ABS(Capas!$B$15-1)&lt;0.000001,$B19*U$5,(-1+SQRT(1+2*(Capas!$B$15-1)*$B19*U$5))/(Capas!$B$15-1)))</f>
        <v>0.436430221913216</v>
      </c>
      <c r="V19" s="9" t="n">
        <f aca="false">IF(V$5&gt;=$C19,1,IF(ABS(Capas!$B$15-1)&lt;0.000001,$B19*V$5,(-1+SQRT(1+2*(Capas!$B$15-1)*$B19*V$5))/(Capas!$B$15-1)))</f>
        <v>0.475867588373914</v>
      </c>
      <c r="W19" s="9" t="n">
        <f aca="false">IF(W$5&gt;=$C19,1,IF(ABS(Capas!$B$15-1)&lt;0.000001,$B19*W$5,(-1+SQRT(1+2*(Capas!$B$15-1)*$B19*W$5))/(Capas!$B$15-1)))</f>
        <v>0.518219569501215</v>
      </c>
      <c r="X19" s="9" t="n">
        <f aca="false">IF(X$5&gt;=$C19,1,IF(ABS(Capas!$B$15-1)&lt;0.000001,$B19*X$5,(-1+SQRT(1+2*(Capas!$B$15-1)*$B19*X$5))/(Capas!$B$15-1)))</f>
        <v>0.563661990208602</v>
      </c>
      <c r="Y19" s="9" t="n">
        <f aca="false">IF(Y$5&gt;=$C19,1,IF(ABS(Capas!$B$15-1)&lt;0.000001,$B19*Y$5,(-1+SQRT(1+2*(Capas!$B$15-1)*$B19*Y$5))/(Capas!$B$15-1)))</f>
        <v>0.612381806223722</v>
      </c>
      <c r="Z19" s="9" t="n">
        <f aca="false">IF(Z$5&gt;=$C19,1,IF(ABS(Capas!$B$15-1)&lt;0.000001,$B19*Z$5,(-1+SQRT(1+2*(Capas!$B$15-1)*$B19*Z$5))/(Capas!$B$15-1)))</f>
        <v>0.664577978595466</v>
      </c>
      <c r="AA19" s="9" t="n">
        <f aca="false">IF(AA$5&gt;=$C19,1,IF(ABS(Capas!$B$15-1)&lt;0.000001,$B19*AA$5,(-1+SQRT(1+2*(Capas!$B$15-1)*$B19*AA$5))/(Capas!$B$15-1)))</f>
        <v>0.720462385698409</v>
      </c>
      <c r="AB19" s="9" t="n">
        <f aca="false">IF(AB$5&gt;=$C19,1,IF(ABS(Capas!$B$15-1)&lt;0.000001,$B19*AB$5,(-1+SQRT(1+2*(Capas!$B$15-1)*$B19*AB$5))/(Capas!$B$15-1)))</f>
        <v>0.780260775520121</v>
      </c>
      <c r="AC19" s="9" t="n">
        <f aca="false">IF(AC$5&gt;=$C19,1,IF(ABS(Capas!$B$15-1)&lt;0.000001,$B19*AC$5,(-1+SQRT(1+2*(Capas!$B$15-1)*$B19*AC$5))/(Capas!$B$15-1)))</f>
        <v>0.844213761742716</v>
      </c>
      <c r="AD19" s="9" t="n">
        <f aca="false">IF(AD$5&gt;=$C19,1,IF(ABS(Capas!$B$15-1)&lt;0.000001,$B19*AD$5,(-1+SQRT(1+2*(Capas!$B$15-1)*$B19*AD$5))/(Capas!$B$15-1)))</f>
        <v>0.912577867732209</v>
      </c>
      <c r="AE19" s="9" t="n">
        <f aca="false">IF(AE$5&gt;=$C19,1,IF(ABS(Capas!$B$15-1)&lt;0.000001,$B19*AE$5,(-1+SQRT(1+2*(Capas!$B$15-1)*$B19*AE$5))/(Capas!$B$15-1)))</f>
        <v>0.98562662304611</v>
      </c>
      <c r="AF19" s="9" t="n">
        <f aca="false">IF(AF$5&gt;=$C19,1,IF(ABS(Capas!$B$15-1)&lt;0.000001,$B19*AF$5,(-1+SQRT(1+2*(Capas!$B$15-1)*$B19*AF$5))/(Capas!$B$15-1)))</f>
        <v>1</v>
      </c>
      <c r="AG19" s="9" t="n">
        <f aca="false">IF(AG$5&gt;=$C19,1,IF(ABS(Capas!$B$15-1)&lt;0.000001,$B19*AG$5,(-1+SQRT(1+2*(Capas!$B$15-1)*$B19*AG$5))/(Capas!$B$15-1)))</f>
        <v>1</v>
      </c>
      <c r="AH19" s="9" t="n">
        <f aca="false">IF(AH$5&gt;=$C19,1,IF(ABS(Capas!$B$15-1)&lt;0.000001,$B19*AH$5,(-1+SQRT(1+2*(Capas!$B$15-1)*$B19*AH$5))/(Capas!$B$15-1)))</f>
        <v>1</v>
      </c>
      <c r="AI19" s="9" t="n">
        <f aca="false">IF(AI$5&gt;=$C19,1,IF(ABS(Capas!$B$15-1)&lt;0.000001,$B19*AI$5,(-1+SQRT(1+2*(Capas!$B$15-1)*$B19*AI$5))/(Capas!$B$15-1)))</f>
        <v>1</v>
      </c>
      <c r="AJ19" s="9" t="n">
        <f aca="false">IF(AJ$5&gt;=$C19,1,IF(ABS(Capas!$B$15-1)&lt;0.000001,$B19*AJ$5,(-1+SQRT(1+2*(Capas!$B$15-1)*$B19*AJ$5))/(Capas!$B$15-1)))</f>
        <v>1</v>
      </c>
      <c r="AK19" s="9" t="n">
        <f aca="false">IF(AK$5&gt;=$C19,1,IF(ABS(Capas!$B$15-1)&lt;0.000001,$B19*AK$5,(-1+SQRT(1+2*(Capas!$B$15-1)*$B19*AK$5))/(Capas!$B$15-1)))</f>
        <v>1</v>
      </c>
      <c r="AL19" s="9" t="n">
        <f aca="false">IF(AL$5&gt;=$C19,1,IF(ABS(Capas!$B$15-1)&lt;0.000001,$B19*AL$5,(-1+SQRT(1+2*(Capas!$B$15-1)*$B19*AL$5))/(Capas!$B$15-1)))</f>
        <v>1</v>
      </c>
      <c r="AM19" s="9" t="n">
        <f aca="false">IF(AM$5&gt;=$C19,1,IF(ABS(Capas!$B$15-1)&lt;0.000001,$B19*AM$5,(-1+SQRT(1+2*(Capas!$B$15-1)*$B19*AM$5))/(Capas!$B$15-1)))</f>
        <v>1</v>
      </c>
      <c r="AN19" s="9" t="n">
        <f aca="false">IF(AN$5&gt;=$C19,1,IF(ABS(Capas!$B$15-1)&lt;0.000001,$B19*AN$5,(-1+SQRT(1+2*(Capas!$B$15-1)*$B19*AN$5))/(Capas!$B$15-1)))</f>
        <v>1</v>
      </c>
      <c r="AO19" s="9" t="n">
        <f aca="false">IF(AO$5&gt;=$C19,1,IF(ABS(Capas!$B$15-1)&lt;0.000001,$B19*AO$5,(-1+SQRT(1+2*(Capas!$B$15-1)*$B19*AO$5))/(Capas!$B$15-1)))</f>
        <v>1</v>
      </c>
      <c r="AP19" s="9" t="n">
        <f aca="false">IF(AP$5&gt;=$C19,1,IF(ABS(Capas!$B$15-1)&lt;0.000001,$B19*AP$5,(-1+SQRT(1+2*(Capas!$B$15-1)*$B19*AP$5))/(Capas!$B$15-1)))</f>
        <v>1</v>
      </c>
      <c r="AQ19" s="9" t="n">
        <f aca="false">IF(AQ$5&gt;=$C19,1,IF(ABS(Capas!$B$15-1)&lt;0.000001,$B19*AQ$5,(-1+SQRT(1+2*(Capas!$B$15-1)*$B19*AQ$5))/(Capas!$B$15-1)))</f>
        <v>1</v>
      </c>
      <c r="AR19" s="9" t="n">
        <f aca="false">IF(AR$5&gt;=$C19,1,IF(ABS(Capas!$B$15-1)&lt;0.000001,$B19*AR$5,(-1+SQRT(1+2*(Capas!$B$15-1)*$B19*AR$5))/(Capas!$B$15-1)))</f>
        <v>1</v>
      </c>
      <c r="AS19" s="9" t="n">
        <f aca="false">IF(AS$5&gt;=$C19,1,IF(ABS(Capas!$B$15-1)&lt;0.000001,$B19*AS$5,(-1+SQRT(1+2*(Capas!$B$15-1)*$B19*AS$5))/(Capas!$B$15-1)))</f>
        <v>1</v>
      </c>
      <c r="AT19" s="9" t="n">
        <f aca="false">IF(AT$5&gt;=$C19,1,IF(ABS(Capas!$B$15-1)&lt;0.000001,$B19*AT$5,(-1+SQRT(1+2*(Capas!$B$15-1)*$B19*AT$5))/(Capas!$B$15-1)))</f>
        <v>1</v>
      </c>
      <c r="AU19" s="9" t="n">
        <f aca="false">IF(AU$5&gt;=$C19,1,IF(ABS(Capas!$B$15-1)&lt;0.000001,$B19*AU$5,(-1+SQRT(1+2*(Capas!$B$15-1)*$B19*AU$5))/(Capas!$B$15-1)))</f>
        <v>1</v>
      </c>
      <c r="AV19" s="9" t="n">
        <f aca="false">IF(AV$5&gt;=$C19,1,IF(ABS(Capas!$B$15-1)&lt;0.000001,$B19*AV$5,(-1+SQRT(1+2*(Capas!$B$15-1)*$B19*AV$5))/(Capas!$B$15-1)))</f>
        <v>1</v>
      </c>
      <c r="AW19" s="9" t="n">
        <f aca="false">IF(AW$5&gt;=$C19,1,IF(ABS(Capas!$B$15-1)&lt;0.000001,$B19*AW$5,(-1+SQRT(1+2*(Capas!$B$15-1)*$B19*AW$5))/(Capas!$B$15-1)))</f>
        <v>1</v>
      </c>
      <c r="AX19" s="9" t="n">
        <f aca="false">IF(AX$5&gt;=$C19,1,IF(ABS(Capas!$B$15-1)&lt;0.000001,$B19*AX$5,(-1+SQRT(1+2*(Capas!$B$15-1)*$B19*AX$5))/(Capas!$B$15-1)))</f>
        <v>1</v>
      </c>
      <c r="AY19" s="9" t="n">
        <f aca="false">IF(AY$5&gt;=$C19,1,IF(ABS(Capas!$B$15-1)&lt;0.000001,$B19*AY$5,(-1+SQRT(1+2*(Capas!$B$15-1)*$B19*AY$5))/(Capas!$B$15-1)))</f>
        <v>1</v>
      </c>
      <c r="AZ19" s="9" t="n">
        <f aca="false">IF(AZ$5&gt;=$C19,1,IF(ABS(Capas!$B$15-1)&lt;0.000001,$B19*AZ$5,(-1+SQRT(1+2*(Capas!$B$15-1)*$B19*AZ$5))/(Capas!$B$15-1)))</f>
        <v>1</v>
      </c>
      <c r="BA19" s="9" t="n">
        <f aca="false">IF(BA$5&gt;=$C19,1,IF(ABS(Capas!$B$15-1)&lt;0.000001,$B19*BA$5,(-1+SQRT(1+2*(Capas!$B$15-1)*$B19*BA$5))/(Capas!$B$15-1)))</f>
        <v>1</v>
      </c>
      <c r="BB19" s="9" t="n">
        <f aca="false">IF(BB$5&gt;=$C19,1,IF(ABS(Capas!$B$15-1)&lt;0.000001,$B19*BB$5,(-1+SQRT(1+2*(Capas!$B$15-1)*$B19*BB$5))/(Capas!$B$15-1)))</f>
        <v>1</v>
      </c>
      <c r="BC19" s="9" t="n">
        <f aca="false">IF(BC$5&gt;=$C19,1,IF(ABS(Capas!$B$15-1)&lt;0.000001,$B19*BC$5,(-1+SQRT(1+2*(Capas!$B$15-1)*$B19*BC$5))/(Capas!$B$15-1)))</f>
        <v>1</v>
      </c>
      <c r="BD19" s="9" t="n">
        <f aca="false">IF(BD$5&gt;=$C19,1,IF(ABS(Capas!$B$15-1)&lt;0.000001,$B19*BD$5,(-1+SQRT(1+2*(Capas!$B$15-1)*$B19*BD$5))/(Capas!$B$15-1)))</f>
        <v>1</v>
      </c>
      <c r="BE19" s="9" t="n">
        <f aca="false">IF(BE$5&gt;=$C19,1,IF(ABS(Capas!$B$15-1)&lt;0.000001,$B19*BE$5,(-1+SQRT(1+2*(Capas!$B$15-1)*$B19*BE$5))/(Capas!$B$15-1)))</f>
        <v>1</v>
      </c>
      <c r="BF19" s="9" t="n">
        <f aca="false">IF(BF$5&gt;=$C19,1,IF(ABS(Capas!$B$15-1)&lt;0.000001,$B19*BF$5,(-1+SQRT(1+2*(Capas!$B$15-1)*$B19*BF$5))/(Capas!$B$15-1)))</f>
        <v>1</v>
      </c>
      <c r="BG19" s="9" t="n">
        <f aca="false">IF(BG$5&gt;=$C19,1,IF(ABS(Capas!$B$15-1)&lt;0.000001,$B19*BG$5,(-1+SQRT(1+2*(Capas!$B$15-1)*$B19*BG$5))/(Capas!$B$15-1)))</f>
        <v>1</v>
      </c>
      <c r="BH19" s="9" t="n">
        <f aca="false">IF(BH$5&gt;=$C19,1,IF(ABS(Capas!$B$15-1)&lt;0.000001,$B19*BH$5,(-1+SQRT(1+2*(Capas!$B$15-1)*$B19*BH$5))/(Capas!$B$15-1)))</f>
        <v>1</v>
      </c>
      <c r="BI19" s="9" t="n">
        <f aca="false">IF(BI$5&gt;=$C19,1,IF(ABS(Capas!$B$15-1)&lt;0.000001,$B19*BI$5,(-1+SQRT(1+2*(Capas!$B$15-1)*$B19*BI$5))/(Capas!$B$15-1)))</f>
        <v>1</v>
      </c>
      <c r="BJ19" s="9" t="n">
        <f aca="false">IF(BJ$5&gt;=$C19,1,IF(ABS(Capas!$B$15-1)&lt;0.000001,$B19*BJ$5,(-1+SQRT(1+2*(Capas!$B$15-1)*$B19*BJ$5))/(Capas!$B$15-1)))</f>
        <v>1</v>
      </c>
      <c r="BK19" s="9" t="n">
        <f aca="false">IF(BK$5&gt;=$C19,1,IF(ABS(Capas!$B$15-1)&lt;0.000001,$B19*BK$5,(-1+SQRT(1+2*(Capas!$B$15-1)*$B19*BK$5))/(Capas!$B$15-1)))</f>
        <v>1</v>
      </c>
    </row>
    <row r="20" customFormat="false" ht="15" hidden="false" customHeight="false" outlineLevel="0" collapsed="false">
      <c r="A20" s="0" t="n">
        <v>15</v>
      </c>
      <c r="B20" s="10" t="n">
        <f aca="false">EXP(Capas!$B$14*NORMSINV((A20-0.5)/20))</f>
        <v>2.05379014072294</v>
      </c>
      <c r="C20" s="9" t="n">
        <f aca="false">(Capas!$B$15+1)/(2*B20)</f>
        <v>1.37956321688057</v>
      </c>
      <c r="D20" s="9" t="n">
        <f aca="false">IF(D$5&gt;=$C20,1,IF(ABS(Capas!$B$15-1)&lt;0.000001,$B20*D$5,(-1+SQRT(1+2*(Capas!$B$15-1)*$B20*D$5))/(Capas!$B$15-1)))</f>
        <v>0.0937890999300361</v>
      </c>
      <c r="E20" s="9" t="n">
        <f aca="false">IF(E$5&gt;=$C20,1,IF(ABS(Capas!$B$15-1)&lt;0.000001,$B20*E$5,(-1+SQRT(1+2*(Capas!$B$15-1)*$B20*E$5))/(Capas!$B$15-1)))</f>
        <v>0.104602247660521</v>
      </c>
      <c r="F20" s="9" t="n">
        <f aca="false">IF(F$5&gt;=$C20,1,IF(ABS(Capas!$B$15-1)&lt;0.000001,$B20*F$5,(-1+SQRT(1+2*(Capas!$B$15-1)*$B20*F$5))/(Capas!$B$15-1)))</f>
        <v>0.116502681121235</v>
      </c>
      <c r="G20" s="9" t="n">
        <f aca="false">IF(G$5&gt;=$C20,1,IF(ABS(Capas!$B$15-1)&lt;0.000001,$B20*G$5,(-1+SQRT(1+2*(Capas!$B$15-1)*$B20*G$5))/(Capas!$B$15-1)))</f>
        <v>0.129573843186795</v>
      </c>
      <c r="H20" s="9" t="n">
        <f aca="false">IF(H$5&gt;=$C20,1,IF(ABS(Capas!$B$15-1)&lt;0.000001,$B20*H$5,(-1+SQRT(1+2*(Capas!$B$15-1)*$B20*H$5))/(Capas!$B$15-1)))</f>
        <v>0.143902596079055</v>
      </c>
      <c r="I20" s="9" t="n">
        <f aca="false">IF(I$5&gt;=$C20,1,IF(ABS(Capas!$B$15-1)&lt;0.000001,$B20*I$5,(-1+SQRT(1+2*(Capas!$B$15-1)*$B20*I$5))/(Capas!$B$15-1)))</f>
        <v>0.159579274969189</v>
      </c>
      <c r="J20" s="9" t="n">
        <f aca="false">IF(J$5&gt;=$C20,1,IF(ABS(Capas!$B$15-1)&lt;0.000001,$B20*J$5,(-1+SQRT(1+2*(Capas!$B$15-1)*$B20*J$5))/(Capas!$B$15-1)))</f>
        <v>0.176697799949701</v>
      </c>
      <c r="K20" s="9" t="n">
        <f aca="false">IF(K$5&gt;=$C20,1,IF(ABS(Capas!$B$15-1)&lt;0.000001,$B20*K$5,(-1+SQRT(1+2*(Capas!$B$15-1)*$B20*K$5))/(Capas!$B$15-1)))</f>
        <v>0.195355853399661</v>
      </c>
      <c r="L20" s="9" t="n">
        <f aca="false">IF(L$5&gt;=$C20,1,IF(ABS(Capas!$B$15-1)&lt;0.000001,$B20*L$5,(-1+SQRT(1+2*(Capas!$B$15-1)*$B20*L$5))/(Capas!$B$15-1)))</f>
        <v>0.215655126923975</v>
      </c>
      <c r="M20" s="9" t="n">
        <f aca="false">IF(M$5&gt;=$C20,1,IF(ABS(Capas!$B$15-1)&lt;0.000001,$B20*M$5,(-1+SQRT(1+2*(Capas!$B$15-1)*$B20*M$5))/(Capas!$B$15-1)))</f>
        <v>0.237701639212406</v>
      </c>
      <c r="N20" s="9" t="n">
        <f aca="false">IF(N$5&gt;=$C20,1,IF(ABS(Capas!$B$15-1)&lt;0.000001,$B20*N$5,(-1+SQRT(1+2*(Capas!$B$15-1)*$B20*N$5))/(Capas!$B$15-1)))</f>
        <v>0.261606123612662</v>
      </c>
      <c r="O20" s="9" t="n">
        <f aca="false">IF(O$5&gt;=$C20,1,IF(ABS(Capas!$B$15-1)&lt;0.000001,$B20*O$5,(-1+SQRT(1+2*(Capas!$B$15-1)*$B20*O$5))/(Capas!$B$15-1)))</f>
        <v>0.287484482156945</v>
      </c>
      <c r="P20" s="9" t="n">
        <f aca="false">IF(P$5&gt;=$C20,1,IF(ABS(Capas!$B$15-1)&lt;0.000001,$B20*P$5,(-1+SQRT(1+2*(Capas!$B$15-1)*$B20*P$5))/(Capas!$B$15-1)))</f>
        <v>0.315458301351267</v>
      </c>
      <c r="Q20" s="9" t="n">
        <f aca="false">IF(Q$5&gt;=$C20,1,IF(ABS(Capas!$B$15-1)&lt;0.000001,$B20*Q$5,(-1+SQRT(1+2*(Capas!$B$15-1)*$B20*Q$5))/(Capas!$B$15-1)))</f>
        <v>0.345655424270668</v>
      </c>
      <c r="R20" s="9" t="n">
        <f aca="false">IF(R$5&gt;=$C20,1,IF(ABS(Capas!$B$15-1)&lt;0.000001,$B20*R$5,(-1+SQRT(1+2*(Capas!$B$15-1)*$B20*R$5))/(Capas!$B$15-1)))</f>
        <v>0.378210573363065</v>
      </c>
      <c r="S20" s="9" t="n">
        <f aca="false">IF(S$5&gt;=$C20,1,IF(ABS(Capas!$B$15-1)&lt;0.000001,$B20*S$5,(-1+SQRT(1+2*(Capas!$B$15-1)*$B20*S$5))/(Capas!$B$15-1)))</f>
        <v>0.413266018754214</v>
      </c>
      <c r="T20" s="9" t="n">
        <f aca="false">IF(T$5&gt;=$C20,1,IF(ABS(Capas!$B$15-1)&lt;0.000001,$B20*T$5,(-1+SQRT(1+2*(Capas!$B$15-1)*$B20*T$5))/(Capas!$B$15-1)))</f>
        <v>0.450972287638429</v>
      </c>
      <c r="U20" s="9" t="n">
        <f aca="false">IF(U$5&gt;=$C20,1,IF(ABS(Capas!$B$15-1)&lt;0.000001,$B20*U$5,(-1+SQRT(1+2*(Capas!$B$15-1)*$B20*U$5))/(Capas!$B$15-1)))</f>
        <v>0.49148891139733</v>
      </c>
      <c r="V20" s="9" t="n">
        <f aca="false">IF(V$5&gt;=$C20,1,IF(ABS(Capas!$B$15-1)&lt;0.000001,$B20*V$5,(-1+SQRT(1+2*(Capas!$B$15-1)*$B20*V$5))/(Capas!$B$15-1)))</f>
        <v>0.534985208284116</v>
      </c>
      <c r="W20" s="9" t="n">
        <f aca="false">IF(W$5&gt;=$C20,1,IF(ABS(Capas!$B$15-1)&lt;0.000001,$B20*W$5,(-1+SQRT(1+2*(Capas!$B$15-1)*$B20*W$5))/(Capas!$B$15-1)))</f>
        <v>0.581641100737273</v>
      </c>
      <c r="X20" s="9" t="n">
        <f aca="false">IF(X$5&gt;=$C20,1,IF(ABS(Capas!$B$15-1)&lt;0.000001,$B20*X$5,(-1+SQRT(1+2*(Capas!$B$15-1)*$B20*X$5))/(Capas!$B$15-1)))</f>
        <v>0.631647967565216</v>
      </c>
      <c r="Y20" s="9" t="n">
        <f aca="false">IF(Y$5&gt;=$C20,1,IF(ABS(Capas!$B$15-1)&lt;0.000001,$B20*Y$5,(-1+SQRT(1+2*(Capas!$B$15-1)*$B20*Y$5))/(Capas!$B$15-1)))</f>
        <v>0.685209532319893</v>
      </c>
      <c r="Z20" s="9" t="n">
        <f aca="false">IF(Z$5&gt;=$C20,1,IF(ABS(Capas!$B$15-1)&lt;0.000001,$B20*Z$5,(-1+SQRT(1+2*(Capas!$B$15-1)*$B20*Z$5))/(Capas!$B$15-1)))</f>
        <v>0.742542790124587</v>
      </c>
      <c r="AA20" s="9" t="n">
        <f aca="false">IF(AA$5&gt;=$C20,1,IF(ABS(Capas!$B$15-1)&lt;0.000001,$B20*AA$5,(-1+SQRT(1+2*(Capas!$B$15-1)*$B20*AA$5))/(Capas!$B$15-1)))</f>
        <v>0.803878976030641</v>
      </c>
      <c r="AB20" s="9" t="n">
        <f aca="false">IF(AB$5&gt;=$C20,1,IF(ABS(Capas!$B$15-1)&lt;0.000001,$B20*AB$5,(-1+SQRT(1+2*(Capas!$B$15-1)*$B20*AB$5))/(Capas!$B$15-1)))</f>
        <v>0.869464578655235</v>
      </c>
      <c r="AC20" s="9" t="n">
        <f aca="false">IF(AC$5&gt;=$C20,1,IF(ABS(Capas!$B$15-1)&lt;0.000001,$B20*AC$5,(-1+SQRT(1+2*(Capas!$B$15-1)*$B20*AC$5))/(Capas!$B$15-1)))</f>
        <v>0.939562403412437</v>
      </c>
      <c r="AD20" s="9" t="n">
        <f aca="false">IF(AD$5&gt;=$C20,1,IF(ABS(Capas!$B$15-1)&lt;0.000001,$B20*AD$5,(-1+SQRT(1+2*(Capas!$B$15-1)*$B20*AD$5))/(Capas!$B$15-1)))</f>
        <v>1</v>
      </c>
      <c r="AE20" s="9" t="n">
        <f aca="false">IF(AE$5&gt;=$C20,1,IF(ABS(Capas!$B$15-1)&lt;0.000001,$B20*AE$5,(-1+SQRT(1+2*(Capas!$B$15-1)*$B20*AE$5))/(Capas!$B$15-1)))</f>
        <v>1</v>
      </c>
      <c r="AF20" s="9" t="n">
        <f aca="false">IF(AF$5&gt;=$C20,1,IF(ABS(Capas!$B$15-1)&lt;0.000001,$B20*AF$5,(-1+SQRT(1+2*(Capas!$B$15-1)*$B20*AF$5))/(Capas!$B$15-1)))</f>
        <v>1</v>
      </c>
      <c r="AG20" s="9" t="n">
        <f aca="false">IF(AG$5&gt;=$C20,1,IF(ABS(Capas!$B$15-1)&lt;0.000001,$B20*AG$5,(-1+SQRT(1+2*(Capas!$B$15-1)*$B20*AG$5))/(Capas!$B$15-1)))</f>
        <v>1</v>
      </c>
      <c r="AH20" s="9" t="n">
        <f aca="false">IF(AH$5&gt;=$C20,1,IF(ABS(Capas!$B$15-1)&lt;0.000001,$B20*AH$5,(-1+SQRT(1+2*(Capas!$B$15-1)*$B20*AH$5))/(Capas!$B$15-1)))</f>
        <v>1</v>
      </c>
      <c r="AI20" s="9" t="n">
        <f aca="false">IF(AI$5&gt;=$C20,1,IF(ABS(Capas!$B$15-1)&lt;0.000001,$B20*AI$5,(-1+SQRT(1+2*(Capas!$B$15-1)*$B20*AI$5))/(Capas!$B$15-1)))</f>
        <v>1</v>
      </c>
      <c r="AJ20" s="9" t="n">
        <f aca="false">IF(AJ$5&gt;=$C20,1,IF(ABS(Capas!$B$15-1)&lt;0.000001,$B20*AJ$5,(-1+SQRT(1+2*(Capas!$B$15-1)*$B20*AJ$5))/(Capas!$B$15-1)))</f>
        <v>1</v>
      </c>
      <c r="AK20" s="9" t="n">
        <f aca="false">IF(AK$5&gt;=$C20,1,IF(ABS(Capas!$B$15-1)&lt;0.000001,$B20*AK$5,(-1+SQRT(1+2*(Capas!$B$15-1)*$B20*AK$5))/(Capas!$B$15-1)))</f>
        <v>1</v>
      </c>
      <c r="AL20" s="9" t="n">
        <f aca="false">IF(AL$5&gt;=$C20,1,IF(ABS(Capas!$B$15-1)&lt;0.000001,$B20*AL$5,(-1+SQRT(1+2*(Capas!$B$15-1)*$B20*AL$5))/(Capas!$B$15-1)))</f>
        <v>1</v>
      </c>
      <c r="AM20" s="9" t="n">
        <f aca="false">IF(AM$5&gt;=$C20,1,IF(ABS(Capas!$B$15-1)&lt;0.000001,$B20*AM$5,(-1+SQRT(1+2*(Capas!$B$15-1)*$B20*AM$5))/(Capas!$B$15-1)))</f>
        <v>1</v>
      </c>
      <c r="AN20" s="9" t="n">
        <f aca="false">IF(AN$5&gt;=$C20,1,IF(ABS(Capas!$B$15-1)&lt;0.000001,$B20*AN$5,(-1+SQRT(1+2*(Capas!$B$15-1)*$B20*AN$5))/(Capas!$B$15-1)))</f>
        <v>1</v>
      </c>
      <c r="AO20" s="9" t="n">
        <f aca="false">IF(AO$5&gt;=$C20,1,IF(ABS(Capas!$B$15-1)&lt;0.000001,$B20*AO$5,(-1+SQRT(1+2*(Capas!$B$15-1)*$B20*AO$5))/(Capas!$B$15-1)))</f>
        <v>1</v>
      </c>
      <c r="AP20" s="9" t="n">
        <f aca="false">IF(AP$5&gt;=$C20,1,IF(ABS(Capas!$B$15-1)&lt;0.000001,$B20*AP$5,(-1+SQRT(1+2*(Capas!$B$15-1)*$B20*AP$5))/(Capas!$B$15-1)))</f>
        <v>1</v>
      </c>
      <c r="AQ20" s="9" t="n">
        <f aca="false">IF(AQ$5&gt;=$C20,1,IF(ABS(Capas!$B$15-1)&lt;0.000001,$B20*AQ$5,(-1+SQRT(1+2*(Capas!$B$15-1)*$B20*AQ$5))/(Capas!$B$15-1)))</f>
        <v>1</v>
      </c>
      <c r="AR20" s="9" t="n">
        <f aca="false">IF(AR$5&gt;=$C20,1,IF(ABS(Capas!$B$15-1)&lt;0.000001,$B20*AR$5,(-1+SQRT(1+2*(Capas!$B$15-1)*$B20*AR$5))/(Capas!$B$15-1)))</f>
        <v>1</v>
      </c>
      <c r="AS20" s="9" t="n">
        <f aca="false">IF(AS$5&gt;=$C20,1,IF(ABS(Capas!$B$15-1)&lt;0.000001,$B20*AS$5,(-1+SQRT(1+2*(Capas!$B$15-1)*$B20*AS$5))/(Capas!$B$15-1)))</f>
        <v>1</v>
      </c>
      <c r="AT20" s="9" t="n">
        <f aca="false">IF(AT$5&gt;=$C20,1,IF(ABS(Capas!$B$15-1)&lt;0.000001,$B20*AT$5,(-1+SQRT(1+2*(Capas!$B$15-1)*$B20*AT$5))/(Capas!$B$15-1)))</f>
        <v>1</v>
      </c>
      <c r="AU20" s="9" t="n">
        <f aca="false">IF(AU$5&gt;=$C20,1,IF(ABS(Capas!$B$15-1)&lt;0.000001,$B20*AU$5,(-1+SQRT(1+2*(Capas!$B$15-1)*$B20*AU$5))/(Capas!$B$15-1)))</f>
        <v>1</v>
      </c>
      <c r="AV20" s="9" t="n">
        <f aca="false">IF(AV$5&gt;=$C20,1,IF(ABS(Capas!$B$15-1)&lt;0.000001,$B20*AV$5,(-1+SQRT(1+2*(Capas!$B$15-1)*$B20*AV$5))/(Capas!$B$15-1)))</f>
        <v>1</v>
      </c>
      <c r="AW20" s="9" t="n">
        <f aca="false">IF(AW$5&gt;=$C20,1,IF(ABS(Capas!$B$15-1)&lt;0.000001,$B20*AW$5,(-1+SQRT(1+2*(Capas!$B$15-1)*$B20*AW$5))/(Capas!$B$15-1)))</f>
        <v>1</v>
      </c>
      <c r="AX20" s="9" t="n">
        <f aca="false">IF(AX$5&gt;=$C20,1,IF(ABS(Capas!$B$15-1)&lt;0.000001,$B20*AX$5,(-1+SQRT(1+2*(Capas!$B$15-1)*$B20*AX$5))/(Capas!$B$15-1)))</f>
        <v>1</v>
      </c>
      <c r="AY20" s="9" t="n">
        <f aca="false">IF(AY$5&gt;=$C20,1,IF(ABS(Capas!$B$15-1)&lt;0.000001,$B20*AY$5,(-1+SQRT(1+2*(Capas!$B$15-1)*$B20*AY$5))/(Capas!$B$15-1)))</f>
        <v>1</v>
      </c>
      <c r="AZ20" s="9" t="n">
        <f aca="false">IF(AZ$5&gt;=$C20,1,IF(ABS(Capas!$B$15-1)&lt;0.000001,$B20*AZ$5,(-1+SQRT(1+2*(Capas!$B$15-1)*$B20*AZ$5))/(Capas!$B$15-1)))</f>
        <v>1</v>
      </c>
      <c r="BA20" s="9" t="n">
        <f aca="false">IF(BA$5&gt;=$C20,1,IF(ABS(Capas!$B$15-1)&lt;0.000001,$B20*BA$5,(-1+SQRT(1+2*(Capas!$B$15-1)*$B20*BA$5))/(Capas!$B$15-1)))</f>
        <v>1</v>
      </c>
      <c r="BB20" s="9" t="n">
        <f aca="false">IF(BB$5&gt;=$C20,1,IF(ABS(Capas!$B$15-1)&lt;0.000001,$B20*BB$5,(-1+SQRT(1+2*(Capas!$B$15-1)*$B20*BB$5))/(Capas!$B$15-1)))</f>
        <v>1</v>
      </c>
      <c r="BC20" s="9" t="n">
        <f aca="false">IF(BC$5&gt;=$C20,1,IF(ABS(Capas!$B$15-1)&lt;0.000001,$B20*BC$5,(-1+SQRT(1+2*(Capas!$B$15-1)*$B20*BC$5))/(Capas!$B$15-1)))</f>
        <v>1</v>
      </c>
      <c r="BD20" s="9" t="n">
        <f aca="false">IF(BD$5&gt;=$C20,1,IF(ABS(Capas!$B$15-1)&lt;0.000001,$B20*BD$5,(-1+SQRT(1+2*(Capas!$B$15-1)*$B20*BD$5))/(Capas!$B$15-1)))</f>
        <v>1</v>
      </c>
      <c r="BE20" s="9" t="n">
        <f aca="false">IF(BE$5&gt;=$C20,1,IF(ABS(Capas!$B$15-1)&lt;0.000001,$B20*BE$5,(-1+SQRT(1+2*(Capas!$B$15-1)*$B20*BE$5))/(Capas!$B$15-1)))</f>
        <v>1</v>
      </c>
      <c r="BF20" s="9" t="n">
        <f aca="false">IF(BF$5&gt;=$C20,1,IF(ABS(Capas!$B$15-1)&lt;0.000001,$B20*BF$5,(-1+SQRT(1+2*(Capas!$B$15-1)*$B20*BF$5))/(Capas!$B$15-1)))</f>
        <v>1</v>
      </c>
      <c r="BG20" s="9" t="n">
        <f aca="false">IF(BG$5&gt;=$C20,1,IF(ABS(Capas!$B$15-1)&lt;0.000001,$B20*BG$5,(-1+SQRT(1+2*(Capas!$B$15-1)*$B20*BG$5))/(Capas!$B$15-1)))</f>
        <v>1</v>
      </c>
      <c r="BH20" s="9" t="n">
        <f aca="false">IF(BH$5&gt;=$C20,1,IF(ABS(Capas!$B$15-1)&lt;0.000001,$B20*BH$5,(-1+SQRT(1+2*(Capas!$B$15-1)*$B20*BH$5))/(Capas!$B$15-1)))</f>
        <v>1</v>
      </c>
      <c r="BI20" s="9" t="n">
        <f aca="false">IF(BI$5&gt;=$C20,1,IF(ABS(Capas!$B$15-1)&lt;0.000001,$B20*BI$5,(-1+SQRT(1+2*(Capas!$B$15-1)*$B20*BI$5))/(Capas!$B$15-1)))</f>
        <v>1</v>
      </c>
      <c r="BJ20" s="9" t="n">
        <f aca="false">IF(BJ$5&gt;=$C20,1,IF(ABS(Capas!$B$15-1)&lt;0.000001,$B20*BJ$5,(-1+SQRT(1+2*(Capas!$B$15-1)*$B20*BJ$5))/(Capas!$B$15-1)))</f>
        <v>1</v>
      </c>
      <c r="BK20" s="9" t="n">
        <f aca="false">IF(BK$5&gt;=$C20,1,IF(ABS(Capas!$B$15-1)&lt;0.000001,$B20*BK$5,(-1+SQRT(1+2*(Capas!$B$15-1)*$B20*BK$5))/(Capas!$B$15-1)))</f>
        <v>1</v>
      </c>
    </row>
    <row r="21" customFormat="false" ht="15" hidden="false" customHeight="false" outlineLevel="0" collapsed="false">
      <c r="A21" s="0" t="n">
        <v>16</v>
      </c>
      <c r="B21" s="10" t="n">
        <f aca="false">EXP(Capas!$B$14*NORMSINV((A21-0.5)/20))</f>
        <v>2.48307856632055</v>
      </c>
      <c r="C21" s="9" t="n">
        <f aca="false">(Capas!$B$15+1)/(2*B21)</f>
        <v>1.14105665916637</v>
      </c>
      <c r="D21" s="9" t="n">
        <f aca="false">IF(D$5&gt;=$C21,1,IF(ABS(Capas!$B$15-1)&lt;0.000001,$B21*D$5,(-1+SQRT(1+2*(Capas!$B$15-1)*$B21*D$5))/(Capas!$B$15-1)))</f>
        <v>0.11050373673213</v>
      </c>
      <c r="E21" s="9" t="n">
        <f aca="false">IF(E$5&gt;=$C21,1,IF(ABS(Capas!$B$15-1)&lt;0.000001,$B21*E$5,(-1+SQRT(1+2*(Capas!$B$15-1)*$B21*E$5))/(Capas!$B$15-1)))</f>
        <v>0.122987973831638</v>
      </c>
      <c r="F21" s="9" t="n">
        <f aca="false">IF(F$5&gt;=$C21,1,IF(ABS(Capas!$B$15-1)&lt;0.000001,$B21*F$5,(-1+SQRT(1+2*(Capas!$B$15-1)*$B21*F$5))/(Capas!$B$15-1)))</f>
        <v>0.136686615020158</v>
      </c>
      <c r="G21" s="9" t="n">
        <f aca="false">IF(G$5&gt;=$C21,1,IF(ABS(Capas!$B$15-1)&lt;0.000001,$B21*G$5,(-1+SQRT(1+2*(Capas!$B$15-1)*$B21*G$5))/(Capas!$B$15-1)))</f>
        <v>0.151688275765528</v>
      </c>
      <c r="H21" s="9" t="n">
        <f aca="false">IF(H$5&gt;=$C21,1,IF(ABS(Capas!$B$15-1)&lt;0.000001,$B21*H$5,(-1+SQRT(1+2*(Capas!$B$15-1)*$B21*H$5))/(Capas!$B$15-1)))</f>
        <v>0.168085093539238</v>
      </c>
      <c r="I21" s="9" t="n">
        <f aca="false">IF(I$5&gt;=$C21,1,IF(ABS(Capas!$B$15-1)&lt;0.000001,$B21*I$5,(-1+SQRT(1+2*(Capas!$B$15-1)*$B21*I$5))/(Capas!$B$15-1)))</f>
        <v>0.185972872289794</v>
      </c>
      <c r="J21" s="9" t="n">
        <f aca="false">IF(J$5&gt;=$C21,1,IF(ABS(Capas!$B$15-1)&lt;0.000001,$B21*J$5,(-1+SQRT(1+2*(Capas!$B$15-1)*$B21*J$5))/(Capas!$B$15-1)))</f>
        <v>0.205451294793898</v>
      </c>
      <c r="K21" s="9" t="n">
        <f aca="false">IF(K$5&gt;=$C21,1,IF(ABS(Capas!$B$15-1)&lt;0.000001,$B21*K$5,(-1+SQRT(1+2*(Capas!$B$15-1)*$B21*K$5))/(Capas!$B$15-1)))</f>
        <v>0.226624205607325</v>
      </c>
      <c r="L21" s="9" t="n">
        <f aca="false">IF(L$5&gt;=$C21,1,IF(ABS(Capas!$B$15-1)&lt;0.000001,$B21*L$5,(-1+SQRT(1+2*(Capas!$B$15-1)*$B21*L$5))/(Capas!$B$15-1)))</f>
        <v>0.249599964615066</v>
      </c>
      <c r="M21" s="9" t="n">
        <f aca="false">IF(M$5&gt;=$C21,1,IF(ABS(Capas!$B$15-1)&lt;0.000001,$B21*M$5,(-1+SQRT(1+2*(Capas!$B$15-1)*$B21*M$5))/(Capas!$B$15-1)))</f>
        <v>0.274491868859446</v>
      </c>
      <c r="N21" s="9" t="n">
        <f aca="false">IF(N$5&gt;=$C21,1,IF(ABS(Capas!$B$15-1)&lt;0.000001,$B21*N$5,(-1+SQRT(1+2*(Capas!$B$15-1)*$B21*N$5))/(Capas!$B$15-1)))</f>
        <v>0.301418638576909</v>
      </c>
      <c r="O21" s="9" t="n">
        <f aca="false">IF(O$5&gt;=$C21,1,IF(ABS(Capas!$B$15-1)&lt;0.000001,$B21*O$5,(-1+SQRT(1+2*(Capas!$B$15-1)*$B21*O$5))/(Capas!$B$15-1)))</f>
        <v>0.330504962281568</v>
      </c>
      <c r="P21" s="9" t="n">
        <f aca="false">IF(P$5&gt;=$C21,1,IF(ABS(Capas!$B$15-1)&lt;0.000001,$B21*P$5,(-1+SQRT(1+2*(Capas!$B$15-1)*$B21*P$5))/(Capas!$B$15-1)))</f>
        <v>0.361882095294119</v>
      </c>
      <c r="Q21" s="9" t="n">
        <f aca="false">IF(Q$5&gt;=$C21,1,IF(ABS(Capas!$B$15-1)&lt;0.000001,$B21*Q$5,(-1+SQRT(1+2*(Capas!$B$15-1)*$B21*Q$5))/(Capas!$B$15-1)))</f>
        <v>0.395688506258029</v>
      </c>
      <c r="R21" s="9" t="n">
        <f aca="false">IF(R$5&gt;=$C21,1,IF(ABS(Capas!$B$15-1)&lt;0.000001,$B21*R$5,(-1+SQRT(1+2*(Capas!$B$15-1)*$B21*R$5))/(Capas!$B$15-1)))</f>
        <v>0.432070566796084</v>
      </c>
      <c r="S21" s="9" t="n">
        <f aca="false">IF(S$5&gt;=$C21,1,IF(ABS(Capas!$B$15-1)&lt;0.000001,$B21*S$5,(-1+SQRT(1+2*(Capas!$B$15-1)*$B21*S$5))/(Capas!$B$15-1)))</f>
        <v>0.471183280404168</v>
      </c>
      <c r="T21" s="9" t="n">
        <f aca="false">IF(T$5&gt;=$C21,1,IF(ABS(Capas!$B$15-1)&lt;0.000001,$B21*T$5,(-1+SQRT(1+2*(Capas!$B$15-1)*$B21*T$5))/(Capas!$B$15-1)))</f>
        <v>0.513191047821526</v>
      </c>
      <c r="U21" s="9" t="n">
        <f aca="false">IF(U$5&gt;=$C21,1,IF(ABS(Capas!$B$15-1)&lt;0.000001,$B21*U$5,(-1+SQRT(1+2*(Capas!$B$15-1)*$B21*U$5))/(Capas!$B$15-1)))</f>
        <v>0.558268467339511</v>
      </c>
      <c r="V21" s="9" t="n">
        <f aca="false">IF(V$5&gt;=$C21,1,IF(ABS(Capas!$B$15-1)&lt;0.000001,$B21*V$5,(-1+SQRT(1+2*(Capas!$B$15-1)*$B21*V$5))/(Capas!$B$15-1)))</f>
        <v>0.606601169720648</v>
      </c>
      <c r="W21" s="9" t="n">
        <f aca="false">IF(W$5&gt;=$C21,1,IF(ABS(Capas!$B$15-1)&lt;0.000001,$B21*W$5,(-1+SQRT(1+2*(Capas!$B$15-1)*$B21*W$5))/(Capas!$B$15-1)))</f>
        <v>0.658386688531056</v>
      </c>
      <c r="X21" s="9" t="n">
        <f aca="false">IF(X$5&gt;=$C21,1,IF(ABS(Capas!$B$15-1)&lt;0.000001,$B21*X$5,(-1+SQRT(1+2*(Capas!$B$15-1)*$B21*X$5))/(Capas!$B$15-1)))</f>
        <v>0.713835367702295</v>
      </c>
      <c r="Y21" s="9" t="n">
        <f aca="false">IF(Y$5&gt;=$C21,1,IF(ABS(Capas!$B$15-1)&lt;0.000001,$B21*Y$5,(-1+SQRT(1+2*(Capas!$B$15-1)*$B21*Y$5))/(Capas!$B$15-1)))</f>
        <v>0.773171309016017</v>
      </c>
      <c r="Z21" s="9" t="n">
        <f aca="false">IF(Z$5&gt;=$C21,1,IF(ABS(Capas!$B$15-1)&lt;0.000001,$B21*Z$5,(-1+SQRT(1+2*(Capas!$B$15-1)*$B21*Z$5))/(Capas!$B$15-1)))</f>
        <v>0.83663336294585</v>
      </c>
      <c r="AA21" s="9" t="n">
        <f aca="false">IF(AA$5&gt;=$C21,1,IF(ABS(Capas!$B$15-1)&lt;0.000001,$B21*AA$5,(-1+SQRT(1+2*(Capas!$B$15-1)*$B21*AA$5))/(Capas!$B$15-1)))</f>
        <v>0.904476166906519</v>
      </c>
      <c r="AB21" s="9" t="n">
        <f aca="false">IF(AB$5&gt;=$C21,1,IF(ABS(Capas!$B$15-1)&lt;0.000001,$B21*AB$5,(-1+SQRT(1+2*(Capas!$B$15-1)*$B21*AB$5))/(Capas!$B$15-1)))</f>
        <v>0.976971235468151</v>
      </c>
      <c r="AC21" s="9" t="n">
        <f aca="false">IF(AC$5&gt;=$C21,1,IF(ABS(Capas!$B$15-1)&lt;0.000001,$B21*AC$5,(-1+SQRT(1+2*(Capas!$B$15-1)*$B21*AC$5))/(Capas!$B$15-1)))</f>
        <v>1</v>
      </c>
      <c r="AD21" s="9" t="n">
        <f aca="false">IF(AD$5&gt;=$C21,1,IF(ABS(Capas!$B$15-1)&lt;0.000001,$B21*AD$5,(-1+SQRT(1+2*(Capas!$B$15-1)*$B21*AD$5))/(Capas!$B$15-1)))</f>
        <v>1</v>
      </c>
      <c r="AE21" s="9" t="n">
        <f aca="false">IF(AE$5&gt;=$C21,1,IF(ABS(Capas!$B$15-1)&lt;0.000001,$B21*AE$5,(-1+SQRT(1+2*(Capas!$B$15-1)*$B21*AE$5))/(Capas!$B$15-1)))</f>
        <v>1</v>
      </c>
      <c r="AF21" s="9" t="n">
        <f aca="false">IF(AF$5&gt;=$C21,1,IF(ABS(Capas!$B$15-1)&lt;0.000001,$B21*AF$5,(-1+SQRT(1+2*(Capas!$B$15-1)*$B21*AF$5))/(Capas!$B$15-1)))</f>
        <v>1</v>
      </c>
      <c r="AG21" s="9" t="n">
        <f aca="false">IF(AG$5&gt;=$C21,1,IF(ABS(Capas!$B$15-1)&lt;0.000001,$B21*AG$5,(-1+SQRT(1+2*(Capas!$B$15-1)*$B21*AG$5))/(Capas!$B$15-1)))</f>
        <v>1</v>
      </c>
      <c r="AH21" s="9" t="n">
        <f aca="false">IF(AH$5&gt;=$C21,1,IF(ABS(Capas!$B$15-1)&lt;0.000001,$B21*AH$5,(-1+SQRT(1+2*(Capas!$B$15-1)*$B21*AH$5))/(Capas!$B$15-1)))</f>
        <v>1</v>
      </c>
      <c r="AI21" s="9" t="n">
        <f aca="false">IF(AI$5&gt;=$C21,1,IF(ABS(Capas!$B$15-1)&lt;0.000001,$B21*AI$5,(-1+SQRT(1+2*(Capas!$B$15-1)*$B21*AI$5))/(Capas!$B$15-1)))</f>
        <v>1</v>
      </c>
      <c r="AJ21" s="9" t="n">
        <f aca="false">IF(AJ$5&gt;=$C21,1,IF(ABS(Capas!$B$15-1)&lt;0.000001,$B21*AJ$5,(-1+SQRT(1+2*(Capas!$B$15-1)*$B21*AJ$5))/(Capas!$B$15-1)))</f>
        <v>1</v>
      </c>
      <c r="AK21" s="9" t="n">
        <f aca="false">IF(AK$5&gt;=$C21,1,IF(ABS(Capas!$B$15-1)&lt;0.000001,$B21*AK$5,(-1+SQRT(1+2*(Capas!$B$15-1)*$B21*AK$5))/(Capas!$B$15-1)))</f>
        <v>1</v>
      </c>
      <c r="AL21" s="9" t="n">
        <f aca="false">IF(AL$5&gt;=$C21,1,IF(ABS(Capas!$B$15-1)&lt;0.000001,$B21*AL$5,(-1+SQRT(1+2*(Capas!$B$15-1)*$B21*AL$5))/(Capas!$B$15-1)))</f>
        <v>1</v>
      </c>
      <c r="AM21" s="9" t="n">
        <f aca="false">IF(AM$5&gt;=$C21,1,IF(ABS(Capas!$B$15-1)&lt;0.000001,$B21*AM$5,(-1+SQRT(1+2*(Capas!$B$15-1)*$B21*AM$5))/(Capas!$B$15-1)))</f>
        <v>1</v>
      </c>
      <c r="AN21" s="9" t="n">
        <f aca="false">IF(AN$5&gt;=$C21,1,IF(ABS(Capas!$B$15-1)&lt;0.000001,$B21*AN$5,(-1+SQRT(1+2*(Capas!$B$15-1)*$B21*AN$5))/(Capas!$B$15-1)))</f>
        <v>1</v>
      </c>
      <c r="AO21" s="9" t="n">
        <f aca="false">IF(AO$5&gt;=$C21,1,IF(ABS(Capas!$B$15-1)&lt;0.000001,$B21*AO$5,(-1+SQRT(1+2*(Capas!$B$15-1)*$B21*AO$5))/(Capas!$B$15-1)))</f>
        <v>1</v>
      </c>
      <c r="AP21" s="9" t="n">
        <f aca="false">IF(AP$5&gt;=$C21,1,IF(ABS(Capas!$B$15-1)&lt;0.000001,$B21*AP$5,(-1+SQRT(1+2*(Capas!$B$15-1)*$B21*AP$5))/(Capas!$B$15-1)))</f>
        <v>1</v>
      </c>
      <c r="AQ21" s="9" t="n">
        <f aca="false">IF(AQ$5&gt;=$C21,1,IF(ABS(Capas!$B$15-1)&lt;0.000001,$B21*AQ$5,(-1+SQRT(1+2*(Capas!$B$15-1)*$B21*AQ$5))/(Capas!$B$15-1)))</f>
        <v>1</v>
      </c>
      <c r="AR21" s="9" t="n">
        <f aca="false">IF(AR$5&gt;=$C21,1,IF(ABS(Capas!$B$15-1)&lt;0.000001,$B21*AR$5,(-1+SQRT(1+2*(Capas!$B$15-1)*$B21*AR$5))/(Capas!$B$15-1)))</f>
        <v>1</v>
      </c>
      <c r="AS21" s="9" t="n">
        <f aca="false">IF(AS$5&gt;=$C21,1,IF(ABS(Capas!$B$15-1)&lt;0.000001,$B21*AS$5,(-1+SQRT(1+2*(Capas!$B$15-1)*$B21*AS$5))/(Capas!$B$15-1)))</f>
        <v>1</v>
      </c>
      <c r="AT21" s="9" t="n">
        <f aca="false">IF(AT$5&gt;=$C21,1,IF(ABS(Capas!$B$15-1)&lt;0.000001,$B21*AT$5,(-1+SQRT(1+2*(Capas!$B$15-1)*$B21*AT$5))/(Capas!$B$15-1)))</f>
        <v>1</v>
      </c>
      <c r="AU21" s="9" t="n">
        <f aca="false">IF(AU$5&gt;=$C21,1,IF(ABS(Capas!$B$15-1)&lt;0.000001,$B21*AU$5,(-1+SQRT(1+2*(Capas!$B$15-1)*$B21*AU$5))/(Capas!$B$15-1)))</f>
        <v>1</v>
      </c>
      <c r="AV21" s="9" t="n">
        <f aca="false">IF(AV$5&gt;=$C21,1,IF(ABS(Capas!$B$15-1)&lt;0.000001,$B21*AV$5,(-1+SQRT(1+2*(Capas!$B$15-1)*$B21*AV$5))/(Capas!$B$15-1)))</f>
        <v>1</v>
      </c>
      <c r="AW21" s="9" t="n">
        <f aca="false">IF(AW$5&gt;=$C21,1,IF(ABS(Capas!$B$15-1)&lt;0.000001,$B21*AW$5,(-1+SQRT(1+2*(Capas!$B$15-1)*$B21*AW$5))/(Capas!$B$15-1)))</f>
        <v>1</v>
      </c>
      <c r="AX21" s="9" t="n">
        <f aca="false">IF(AX$5&gt;=$C21,1,IF(ABS(Capas!$B$15-1)&lt;0.000001,$B21*AX$5,(-1+SQRT(1+2*(Capas!$B$15-1)*$B21*AX$5))/(Capas!$B$15-1)))</f>
        <v>1</v>
      </c>
      <c r="AY21" s="9" t="n">
        <f aca="false">IF(AY$5&gt;=$C21,1,IF(ABS(Capas!$B$15-1)&lt;0.000001,$B21*AY$5,(-1+SQRT(1+2*(Capas!$B$15-1)*$B21*AY$5))/(Capas!$B$15-1)))</f>
        <v>1</v>
      </c>
      <c r="AZ21" s="9" t="n">
        <f aca="false">IF(AZ$5&gt;=$C21,1,IF(ABS(Capas!$B$15-1)&lt;0.000001,$B21*AZ$5,(-1+SQRT(1+2*(Capas!$B$15-1)*$B21*AZ$5))/(Capas!$B$15-1)))</f>
        <v>1</v>
      </c>
      <c r="BA21" s="9" t="n">
        <f aca="false">IF(BA$5&gt;=$C21,1,IF(ABS(Capas!$B$15-1)&lt;0.000001,$B21*BA$5,(-1+SQRT(1+2*(Capas!$B$15-1)*$B21*BA$5))/(Capas!$B$15-1)))</f>
        <v>1</v>
      </c>
      <c r="BB21" s="9" t="n">
        <f aca="false">IF(BB$5&gt;=$C21,1,IF(ABS(Capas!$B$15-1)&lt;0.000001,$B21*BB$5,(-1+SQRT(1+2*(Capas!$B$15-1)*$B21*BB$5))/(Capas!$B$15-1)))</f>
        <v>1</v>
      </c>
      <c r="BC21" s="9" t="n">
        <f aca="false">IF(BC$5&gt;=$C21,1,IF(ABS(Capas!$B$15-1)&lt;0.000001,$B21*BC$5,(-1+SQRT(1+2*(Capas!$B$15-1)*$B21*BC$5))/(Capas!$B$15-1)))</f>
        <v>1</v>
      </c>
      <c r="BD21" s="9" t="n">
        <f aca="false">IF(BD$5&gt;=$C21,1,IF(ABS(Capas!$B$15-1)&lt;0.000001,$B21*BD$5,(-1+SQRT(1+2*(Capas!$B$15-1)*$B21*BD$5))/(Capas!$B$15-1)))</f>
        <v>1</v>
      </c>
      <c r="BE21" s="9" t="n">
        <f aca="false">IF(BE$5&gt;=$C21,1,IF(ABS(Capas!$B$15-1)&lt;0.000001,$B21*BE$5,(-1+SQRT(1+2*(Capas!$B$15-1)*$B21*BE$5))/(Capas!$B$15-1)))</f>
        <v>1</v>
      </c>
      <c r="BF21" s="9" t="n">
        <f aca="false">IF(BF$5&gt;=$C21,1,IF(ABS(Capas!$B$15-1)&lt;0.000001,$B21*BF$5,(-1+SQRT(1+2*(Capas!$B$15-1)*$B21*BF$5))/(Capas!$B$15-1)))</f>
        <v>1</v>
      </c>
      <c r="BG21" s="9" t="n">
        <f aca="false">IF(BG$5&gt;=$C21,1,IF(ABS(Capas!$B$15-1)&lt;0.000001,$B21*BG$5,(-1+SQRT(1+2*(Capas!$B$15-1)*$B21*BG$5))/(Capas!$B$15-1)))</f>
        <v>1</v>
      </c>
      <c r="BH21" s="9" t="n">
        <f aca="false">IF(BH$5&gt;=$C21,1,IF(ABS(Capas!$B$15-1)&lt;0.000001,$B21*BH$5,(-1+SQRT(1+2*(Capas!$B$15-1)*$B21*BH$5))/(Capas!$B$15-1)))</f>
        <v>1</v>
      </c>
      <c r="BI21" s="9" t="n">
        <f aca="false">IF(BI$5&gt;=$C21,1,IF(ABS(Capas!$B$15-1)&lt;0.000001,$B21*BI$5,(-1+SQRT(1+2*(Capas!$B$15-1)*$B21*BI$5))/(Capas!$B$15-1)))</f>
        <v>1</v>
      </c>
      <c r="BJ21" s="9" t="n">
        <f aca="false">IF(BJ$5&gt;=$C21,1,IF(ABS(Capas!$B$15-1)&lt;0.000001,$B21*BJ$5,(-1+SQRT(1+2*(Capas!$B$15-1)*$B21*BJ$5))/(Capas!$B$15-1)))</f>
        <v>1</v>
      </c>
      <c r="BK21" s="9" t="n">
        <f aca="false">IF(BK$5&gt;=$C21,1,IF(ABS(Capas!$B$15-1)&lt;0.000001,$B21*BK$5,(-1+SQRT(1+2*(Capas!$B$15-1)*$B21*BK$5))/(Capas!$B$15-1)))</f>
        <v>1</v>
      </c>
    </row>
    <row r="22" customFormat="false" ht="15" hidden="false" customHeight="false" outlineLevel="0" collapsed="false">
      <c r="A22" s="0" t="n">
        <v>17</v>
      </c>
      <c r="B22" s="10" t="n">
        <f aca="false">EXP(Capas!$B$14*NORMSINV((A22-0.5)/20))</f>
        <v>3.08089484742525</v>
      </c>
      <c r="C22" s="9" t="n">
        <f aca="false">(Capas!$B$15+1)/(2*B22)</f>
        <v>0.919646230607706</v>
      </c>
      <c r="D22" s="9" t="n">
        <f aca="false">IF(D$5&gt;=$C22,1,IF(ABS(Capas!$B$15-1)&lt;0.000001,$B22*D$5,(-1+SQRT(1+2*(Capas!$B$15-1)*$B22*D$5))/(Capas!$B$15-1)))</f>
        <v>0.132633571684657</v>
      </c>
      <c r="E22" s="9" t="n">
        <f aca="false">IF(E$5&gt;=$C22,1,IF(ABS(Capas!$B$15-1)&lt;0.000001,$B22*E$5,(-1+SQRT(1+2*(Capas!$B$15-1)*$B22*E$5))/(Capas!$B$15-1)))</f>
        <v>0.147252736894983</v>
      </c>
      <c r="F22" s="9" t="n">
        <f aca="false">IF(F$5&gt;=$C22,1,IF(ABS(Capas!$B$15-1)&lt;0.000001,$B22*F$5,(-1+SQRT(1+2*(Capas!$B$15-1)*$B22*F$5))/(Capas!$B$15-1)))</f>
        <v>0.16324030021419</v>
      </c>
      <c r="G22" s="9" t="n">
        <f aca="false">IF(G$5&gt;=$C22,1,IF(ABS(Capas!$B$15-1)&lt;0.000001,$B22*G$5,(-1+SQRT(1+2*(Capas!$B$15-1)*$B22*G$5))/(Capas!$B$15-1)))</f>
        <v>0.18069099671671</v>
      </c>
      <c r="H22" s="9" t="n">
        <f aca="false">IF(H$5&gt;=$C22,1,IF(ABS(Capas!$B$15-1)&lt;0.000001,$B22*H$5,(-1+SQRT(1+2*(Capas!$B$15-1)*$B22*H$5))/(Capas!$B$15-1)))</f>
        <v>0.199703372330232</v>
      </c>
      <c r="I22" s="9" t="n">
        <f aca="false">IF(I$5&gt;=$C22,1,IF(ABS(Capas!$B$15-1)&lt;0.000001,$B22*I$5,(-1+SQRT(1+2*(Capas!$B$15-1)*$B22*I$5))/(Capas!$B$15-1)))</f>
        <v>0.220380046450462</v>
      </c>
      <c r="J22" s="9" t="n">
        <f aca="false">IF(J$5&gt;=$C22,1,IF(ABS(Capas!$B$15-1)&lt;0.000001,$B22*J$5,(-1+SQRT(1+2*(Capas!$B$15-1)*$B22*J$5))/(Capas!$B$15-1)))</f>
        <v>0.242828045414008</v>
      </c>
      <c r="K22" s="9" t="n">
        <f aca="false">IF(K$5&gt;=$C22,1,IF(ABS(Capas!$B$15-1)&lt;0.000001,$B22*K$5,(-1+SQRT(1+2*(Capas!$B$15-1)*$B22*K$5))/(Capas!$B$15-1)))</f>
        <v>0.267159205120212</v>
      </c>
      <c r="L22" s="9" t="n">
        <f aca="false">IF(L$5&gt;=$C22,1,IF(ABS(Capas!$B$15-1)&lt;0.000001,$B22*L$5,(-1+SQRT(1+2*(Capas!$B$15-1)*$B22*L$5))/(Capas!$B$15-1)))</f>
        <v>0.293490639168279</v>
      </c>
      <c r="M22" s="9" t="n">
        <f aca="false">IF(M$5&gt;=$C22,1,IF(ABS(Capas!$B$15-1)&lt;0.000001,$B22*M$5,(-1+SQRT(1+2*(Capas!$B$15-1)*$B22*M$5))/(Capas!$B$15-1)))</f>
        <v>0.321945267592463</v>
      </c>
      <c r="N22" s="9" t="n">
        <f aca="false">IF(N$5&gt;=$C22,1,IF(ABS(Capas!$B$15-1)&lt;0.000001,$B22*N$5,(-1+SQRT(1+2*(Capas!$B$15-1)*$B22*N$5))/(Capas!$B$15-1)))</f>
        <v>0.35265240065609</v>
      </c>
      <c r="O22" s="9" t="n">
        <f aca="false">IF(O$5&gt;=$C22,1,IF(ABS(Capas!$B$15-1)&lt;0.000001,$B22*O$5,(-1+SQRT(1+2*(Capas!$B$15-1)*$B22*O$5))/(Capas!$B$15-1)))</f>
        <v>0.385748372151869</v>
      </c>
      <c r="P22" s="9" t="n">
        <f aca="false">IF(P$5&gt;=$C22,1,IF(ABS(Capas!$B$15-1)&lt;0.000001,$B22*P$5,(-1+SQRT(1+2*(Capas!$B$15-1)*$B22*P$5))/(Capas!$B$15-1)))</f>
        <v>0.421377217146424</v>
      </c>
      <c r="Q22" s="9" t="n">
        <f aca="false">IF(Q$5&gt;=$C22,1,IF(ABS(Capas!$B$15-1)&lt;0.000001,$B22*Q$5,(-1+SQRT(1+2*(Capas!$B$15-1)*$B22*Q$5))/(Capas!$B$15-1)))</f>
        <v>0.459691389969626</v>
      </c>
      <c r="R22" s="9" t="n">
        <f aca="false">IF(R$5&gt;=$C22,1,IF(ABS(Capas!$B$15-1)&lt;0.000001,$B22*R$5,(-1+SQRT(1+2*(Capas!$B$15-1)*$B22*R$5))/(Capas!$B$15-1)))</f>
        <v>0.500852519347776</v>
      </c>
      <c r="S22" s="9" t="n">
        <f aca="false">IF(S$5&gt;=$C22,1,IF(ABS(Capas!$B$15-1)&lt;0.000001,$B22*S$5,(-1+SQRT(1+2*(Capas!$B$15-1)*$B22*S$5))/(Capas!$B$15-1)))</f>
        <v>0.545032198790133</v>
      </c>
      <c r="T22" s="9" t="n">
        <f aca="false">IF(T$5&gt;=$C22,1,IF(ABS(Capas!$B$15-1)&lt;0.000001,$B22*T$5,(-1+SQRT(1+2*(Capas!$B$15-1)*$B22*T$5))/(Capas!$B$15-1)))</f>
        <v>0.592412811559758</v>
      </c>
      <c r="U22" s="9" t="n">
        <f aca="false">IF(U$5&gt;=$C22,1,IF(ABS(Capas!$B$15-1)&lt;0.000001,$B22*U$5,(-1+SQRT(1+2*(Capas!$B$15-1)*$B22*U$5))/(Capas!$B$15-1)))</f>
        <v>0.643188390718485</v>
      </c>
      <c r="V22" s="9" t="n">
        <f aca="false">IF(V$5&gt;=$C22,1,IF(ABS(Capas!$B$15-1)&lt;0.000001,$B22*V$5,(-1+SQRT(1+2*(Capas!$B$15-1)*$B22*V$5))/(Capas!$B$15-1)))</f>
        <v>0.697565515785385</v>
      </c>
      <c r="W22" s="9" t="n">
        <f aca="false">IF(W$5&gt;=$C22,1,IF(ABS(Capas!$B$15-1)&lt;0.000001,$B22*W$5,(-1+SQRT(1+2*(Capas!$B$15-1)*$B22*W$5))/(Capas!$B$15-1)))</f>
        <v>0.755764248464965</v>
      </c>
      <c r="X22" s="9" t="n">
        <f aca="false">IF(X$5&gt;=$C22,1,IF(ABS(Capas!$B$15-1)&lt;0.000001,$B22*X$5,(-1+SQRT(1+2*(Capas!$B$15-1)*$B22*X$5))/(Capas!$B$15-1)))</f>
        <v>0.818019110680736</v>
      </c>
      <c r="Y22" s="9" t="n">
        <f aca="false">IF(Y$5&gt;=$C22,1,IF(ABS(Capas!$B$15-1)&lt;0.000001,$B22*Y$5,(-1+SQRT(1+2*(Capas!$B$15-1)*$B22*Y$5))/(Capas!$B$15-1)))</f>
        <v>0.884580108799674</v>
      </c>
      <c r="Z22" s="9" t="n">
        <f aca="false">IF(Z$5&gt;=$C22,1,IF(ABS(Capas!$B$15-1)&lt;0.000001,$B22*Z$5,(-1+SQRT(1+2*(Capas!$B$15-1)*$B22*Z$5))/(Capas!$B$15-1)))</f>
        <v>0.955713808469861</v>
      </c>
      <c r="AA22" s="9" t="n">
        <f aca="false">IF(AA$5&gt;=$C22,1,IF(ABS(Capas!$B$15-1)&lt;0.000001,$B22*AA$5,(-1+SQRT(1+2*(Capas!$B$15-1)*$B22*AA$5))/(Capas!$B$15-1)))</f>
        <v>1</v>
      </c>
      <c r="AB22" s="9" t="n">
        <f aca="false">IF(AB$5&gt;=$C22,1,IF(ABS(Capas!$B$15-1)&lt;0.000001,$B22*AB$5,(-1+SQRT(1+2*(Capas!$B$15-1)*$B22*AB$5))/(Capas!$B$15-1)))</f>
        <v>1</v>
      </c>
      <c r="AC22" s="9" t="n">
        <f aca="false">IF(AC$5&gt;=$C22,1,IF(ABS(Capas!$B$15-1)&lt;0.000001,$B22*AC$5,(-1+SQRT(1+2*(Capas!$B$15-1)*$B22*AC$5))/(Capas!$B$15-1)))</f>
        <v>1</v>
      </c>
      <c r="AD22" s="9" t="n">
        <f aca="false">IF(AD$5&gt;=$C22,1,IF(ABS(Capas!$B$15-1)&lt;0.000001,$B22*AD$5,(-1+SQRT(1+2*(Capas!$B$15-1)*$B22*AD$5))/(Capas!$B$15-1)))</f>
        <v>1</v>
      </c>
      <c r="AE22" s="9" t="n">
        <f aca="false">IF(AE$5&gt;=$C22,1,IF(ABS(Capas!$B$15-1)&lt;0.000001,$B22*AE$5,(-1+SQRT(1+2*(Capas!$B$15-1)*$B22*AE$5))/(Capas!$B$15-1)))</f>
        <v>1</v>
      </c>
      <c r="AF22" s="9" t="n">
        <f aca="false">IF(AF$5&gt;=$C22,1,IF(ABS(Capas!$B$15-1)&lt;0.000001,$B22*AF$5,(-1+SQRT(1+2*(Capas!$B$15-1)*$B22*AF$5))/(Capas!$B$15-1)))</f>
        <v>1</v>
      </c>
      <c r="AG22" s="9" t="n">
        <f aca="false">IF(AG$5&gt;=$C22,1,IF(ABS(Capas!$B$15-1)&lt;0.000001,$B22*AG$5,(-1+SQRT(1+2*(Capas!$B$15-1)*$B22*AG$5))/(Capas!$B$15-1)))</f>
        <v>1</v>
      </c>
      <c r="AH22" s="9" t="n">
        <f aca="false">IF(AH$5&gt;=$C22,1,IF(ABS(Capas!$B$15-1)&lt;0.000001,$B22*AH$5,(-1+SQRT(1+2*(Capas!$B$15-1)*$B22*AH$5))/(Capas!$B$15-1)))</f>
        <v>1</v>
      </c>
      <c r="AI22" s="9" t="n">
        <f aca="false">IF(AI$5&gt;=$C22,1,IF(ABS(Capas!$B$15-1)&lt;0.000001,$B22*AI$5,(-1+SQRT(1+2*(Capas!$B$15-1)*$B22*AI$5))/(Capas!$B$15-1)))</f>
        <v>1</v>
      </c>
      <c r="AJ22" s="9" t="n">
        <f aca="false">IF(AJ$5&gt;=$C22,1,IF(ABS(Capas!$B$15-1)&lt;0.000001,$B22*AJ$5,(-1+SQRT(1+2*(Capas!$B$15-1)*$B22*AJ$5))/(Capas!$B$15-1)))</f>
        <v>1</v>
      </c>
      <c r="AK22" s="9" t="n">
        <f aca="false">IF(AK$5&gt;=$C22,1,IF(ABS(Capas!$B$15-1)&lt;0.000001,$B22*AK$5,(-1+SQRT(1+2*(Capas!$B$15-1)*$B22*AK$5))/(Capas!$B$15-1)))</f>
        <v>1</v>
      </c>
      <c r="AL22" s="9" t="n">
        <f aca="false">IF(AL$5&gt;=$C22,1,IF(ABS(Capas!$B$15-1)&lt;0.000001,$B22*AL$5,(-1+SQRT(1+2*(Capas!$B$15-1)*$B22*AL$5))/(Capas!$B$15-1)))</f>
        <v>1</v>
      </c>
      <c r="AM22" s="9" t="n">
        <f aca="false">IF(AM$5&gt;=$C22,1,IF(ABS(Capas!$B$15-1)&lt;0.000001,$B22*AM$5,(-1+SQRT(1+2*(Capas!$B$15-1)*$B22*AM$5))/(Capas!$B$15-1)))</f>
        <v>1</v>
      </c>
      <c r="AN22" s="9" t="n">
        <f aca="false">IF(AN$5&gt;=$C22,1,IF(ABS(Capas!$B$15-1)&lt;0.000001,$B22*AN$5,(-1+SQRT(1+2*(Capas!$B$15-1)*$B22*AN$5))/(Capas!$B$15-1)))</f>
        <v>1</v>
      </c>
      <c r="AO22" s="9" t="n">
        <f aca="false">IF(AO$5&gt;=$C22,1,IF(ABS(Capas!$B$15-1)&lt;0.000001,$B22*AO$5,(-1+SQRT(1+2*(Capas!$B$15-1)*$B22*AO$5))/(Capas!$B$15-1)))</f>
        <v>1</v>
      </c>
      <c r="AP22" s="9" t="n">
        <f aca="false">IF(AP$5&gt;=$C22,1,IF(ABS(Capas!$B$15-1)&lt;0.000001,$B22*AP$5,(-1+SQRT(1+2*(Capas!$B$15-1)*$B22*AP$5))/(Capas!$B$15-1)))</f>
        <v>1</v>
      </c>
      <c r="AQ22" s="9" t="n">
        <f aca="false">IF(AQ$5&gt;=$C22,1,IF(ABS(Capas!$B$15-1)&lt;0.000001,$B22*AQ$5,(-1+SQRT(1+2*(Capas!$B$15-1)*$B22*AQ$5))/(Capas!$B$15-1)))</f>
        <v>1</v>
      </c>
      <c r="AR22" s="9" t="n">
        <f aca="false">IF(AR$5&gt;=$C22,1,IF(ABS(Capas!$B$15-1)&lt;0.000001,$B22*AR$5,(-1+SQRT(1+2*(Capas!$B$15-1)*$B22*AR$5))/(Capas!$B$15-1)))</f>
        <v>1</v>
      </c>
      <c r="AS22" s="9" t="n">
        <f aca="false">IF(AS$5&gt;=$C22,1,IF(ABS(Capas!$B$15-1)&lt;0.000001,$B22*AS$5,(-1+SQRT(1+2*(Capas!$B$15-1)*$B22*AS$5))/(Capas!$B$15-1)))</f>
        <v>1</v>
      </c>
      <c r="AT22" s="9" t="n">
        <f aca="false">IF(AT$5&gt;=$C22,1,IF(ABS(Capas!$B$15-1)&lt;0.000001,$B22*AT$5,(-1+SQRT(1+2*(Capas!$B$15-1)*$B22*AT$5))/(Capas!$B$15-1)))</f>
        <v>1</v>
      </c>
      <c r="AU22" s="9" t="n">
        <f aca="false">IF(AU$5&gt;=$C22,1,IF(ABS(Capas!$B$15-1)&lt;0.000001,$B22*AU$5,(-1+SQRT(1+2*(Capas!$B$15-1)*$B22*AU$5))/(Capas!$B$15-1)))</f>
        <v>1</v>
      </c>
      <c r="AV22" s="9" t="n">
        <f aca="false">IF(AV$5&gt;=$C22,1,IF(ABS(Capas!$B$15-1)&lt;0.000001,$B22*AV$5,(-1+SQRT(1+2*(Capas!$B$15-1)*$B22*AV$5))/(Capas!$B$15-1)))</f>
        <v>1</v>
      </c>
      <c r="AW22" s="9" t="n">
        <f aca="false">IF(AW$5&gt;=$C22,1,IF(ABS(Capas!$B$15-1)&lt;0.000001,$B22*AW$5,(-1+SQRT(1+2*(Capas!$B$15-1)*$B22*AW$5))/(Capas!$B$15-1)))</f>
        <v>1</v>
      </c>
      <c r="AX22" s="9" t="n">
        <f aca="false">IF(AX$5&gt;=$C22,1,IF(ABS(Capas!$B$15-1)&lt;0.000001,$B22*AX$5,(-1+SQRT(1+2*(Capas!$B$15-1)*$B22*AX$5))/(Capas!$B$15-1)))</f>
        <v>1</v>
      </c>
      <c r="AY22" s="9" t="n">
        <f aca="false">IF(AY$5&gt;=$C22,1,IF(ABS(Capas!$B$15-1)&lt;0.000001,$B22*AY$5,(-1+SQRT(1+2*(Capas!$B$15-1)*$B22*AY$5))/(Capas!$B$15-1)))</f>
        <v>1</v>
      </c>
      <c r="AZ22" s="9" t="n">
        <f aca="false">IF(AZ$5&gt;=$C22,1,IF(ABS(Capas!$B$15-1)&lt;0.000001,$B22*AZ$5,(-1+SQRT(1+2*(Capas!$B$15-1)*$B22*AZ$5))/(Capas!$B$15-1)))</f>
        <v>1</v>
      </c>
      <c r="BA22" s="9" t="n">
        <f aca="false">IF(BA$5&gt;=$C22,1,IF(ABS(Capas!$B$15-1)&lt;0.000001,$B22*BA$5,(-1+SQRT(1+2*(Capas!$B$15-1)*$B22*BA$5))/(Capas!$B$15-1)))</f>
        <v>1</v>
      </c>
      <c r="BB22" s="9" t="n">
        <f aca="false">IF(BB$5&gt;=$C22,1,IF(ABS(Capas!$B$15-1)&lt;0.000001,$B22*BB$5,(-1+SQRT(1+2*(Capas!$B$15-1)*$B22*BB$5))/(Capas!$B$15-1)))</f>
        <v>1</v>
      </c>
      <c r="BC22" s="9" t="n">
        <f aca="false">IF(BC$5&gt;=$C22,1,IF(ABS(Capas!$B$15-1)&lt;0.000001,$B22*BC$5,(-1+SQRT(1+2*(Capas!$B$15-1)*$B22*BC$5))/(Capas!$B$15-1)))</f>
        <v>1</v>
      </c>
      <c r="BD22" s="9" t="n">
        <f aca="false">IF(BD$5&gt;=$C22,1,IF(ABS(Capas!$B$15-1)&lt;0.000001,$B22*BD$5,(-1+SQRT(1+2*(Capas!$B$15-1)*$B22*BD$5))/(Capas!$B$15-1)))</f>
        <v>1</v>
      </c>
      <c r="BE22" s="9" t="n">
        <f aca="false">IF(BE$5&gt;=$C22,1,IF(ABS(Capas!$B$15-1)&lt;0.000001,$B22*BE$5,(-1+SQRT(1+2*(Capas!$B$15-1)*$B22*BE$5))/(Capas!$B$15-1)))</f>
        <v>1</v>
      </c>
      <c r="BF22" s="9" t="n">
        <f aca="false">IF(BF$5&gt;=$C22,1,IF(ABS(Capas!$B$15-1)&lt;0.000001,$B22*BF$5,(-1+SQRT(1+2*(Capas!$B$15-1)*$B22*BF$5))/(Capas!$B$15-1)))</f>
        <v>1</v>
      </c>
      <c r="BG22" s="9" t="n">
        <f aca="false">IF(BG$5&gt;=$C22,1,IF(ABS(Capas!$B$15-1)&lt;0.000001,$B22*BG$5,(-1+SQRT(1+2*(Capas!$B$15-1)*$B22*BG$5))/(Capas!$B$15-1)))</f>
        <v>1</v>
      </c>
      <c r="BH22" s="9" t="n">
        <f aca="false">IF(BH$5&gt;=$C22,1,IF(ABS(Capas!$B$15-1)&lt;0.000001,$B22*BH$5,(-1+SQRT(1+2*(Capas!$B$15-1)*$B22*BH$5))/(Capas!$B$15-1)))</f>
        <v>1</v>
      </c>
      <c r="BI22" s="9" t="n">
        <f aca="false">IF(BI$5&gt;=$C22,1,IF(ABS(Capas!$B$15-1)&lt;0.000001,$B22*BI$5,(-1+SQRT(1+2*(Capas!$B$15-1)*$B22*BI$5))/(Capas!$B$15-1)))</f>
        <v>1</v>
      </c>
      <c r="BJ22" s="9" t="n">
        <f aca="false">IF(BJ$5&gt;=$C22,1,IF(ABS(Capas!$B$15-1)&lt;0.000001,$B22*BJ$5,(-1+SQRT(1+2*(Capas!$B$15-1)*$B22*BJ$5))/(Capas!$B$15-1)))</f>
        <v>1</v>
      </c>
      <c r="BK22" s="9" t="n">
        <f aca="false">IF(BK$5&gt;=$C22,1,IF(ABS(Capas!$B$15-1)&lt;0.000001,$B22*BK$5,(-1+SQRT(1+2*(Capas!$B$15-1)*$B22*BK$5))/(Capas!$B$15-1)))</f>
        <v>1</v>
      </c>
    </row>
    <row r="23" customFormat="false" ht="15" hidden="false" customHeight="false" outlineLevel="0" collapsed="false">
      <c r="A23" s="0" t="n">
        <v>18</v>
      </c>
      <c r="B23" s="10" t="n">
        <f aca="false">EXP(Capas!$B$14*NORMSINV((A23-0.5)/20))</f>
        <v>3.99478343782948</v>
      </c>
      <c r="C23" s="9" t="n">
        <f aca="false">(Capas!$B$15+1)/(2*B23)</f>
        <v>0.709258305845184</v>
      </c>
      <c r="D23" s="9" t="n">
        <f aca="false">IF(D$5&gt;=$C23,1,IF(ABS(Capas!$B$15-1)&lt;0.000001,$B23*D$5,(-1+SQRT(1+2*(Capas!$B$15-1)*$B23*D$5))/(Capas!$B$15-1)))</f>
        <v>0.164303138860083</v>
      </c>
      <c r="E23" s="9" t="n">
        <f aca="false">IF(E$5&gt;=$C23,1,IF(ABS(Capas!$B$15-1)&lt;0.000001,$B23*E$5,(-1+SQRT(1+2*(Capas!$B$15-1)*$B23*E$5))/(Capas!$B$15-1)))</f>
        <v>0.181849961956083</v>
      </c>
      <c r="F23" s="9" t="n">
        <f aca="false">IF(F$5&gt;=$C23,1,IF(ABS(Capas!$B$15-1)&lt;0.000001,$B23*F$5,(-1+SQRT(1+2*(Capas!$B$15-1)*$B23*F$5))/(Capas!$B$15-1)))</f>
        <v>0.200964851676423</v>
      </c>
      <c r="G23" s="9" t="n">
        <f aca="false">IF(G$5&gt;=$C23,1,IF(ABS(Capas!$B$15-1)&lt;0.000001,$B23*G$5,(-1+SQRT(1+2*(Capas!$B$15-1)*$B23*G$5))/(Capas!$B$15-1)))</f>
        <v>0.221750696408274</v>
      </c>
      <c r="H23" s="9" t="n">
        <f aca="false">IF(H$5&gt;=$C23,1,IF(ABS(Capas!$B$15-1)&lt;0.000001,$B23*H$5,(-1+SQRT(1+2*(Capas!$B$15-1)*$B23*H$5))/(Capas!$B$15-1)))</f>
        <v>0.244314815003074</v>
      </c>
      <c r="I23" s="9" t="n">
        <f aca="false">IF(I$5&gt;=$C23,1,IF(ABS(Capas!$B$15-1)&lt;0.000001,$B23*I$5,(-1+SQRT(1+2*(Capas!$B$15-1)*$B23*I$5))/(Capas!$B$15-1)))</f>
        <v>0.268769363680523</v>
      </c>
      <c r="J23" s="9" t="n">
        <f aca="false">IF(J$5&gt;=$C23,1,IF(ABS(Capas!$B$15-1)&lt;0.000001,$B23*J$5,(-1+SQRT(1+2*(Capas!$B$15-1)*$B23*J$5))/(Capas!$B$15-1)))</f>
        <v>0.295231808166951</v>
      </c>
      <c r="K23" s="9" t="n">
        <f aca="false">IF(K$5&gt;=$C23,1,IF(ABS(Capas!$B$15-1)&lt;0.000001,$B23*K$5,(-1+SQRT(1+2*(Capas!$B$15-1)*$B23*K$5))/(Capas!$B$15-1)))</f>
        <v>0.323825456091913</v>
      </c>
      <c r="L23" s="9" t="n">
        <f aca="false">IF(L$5&gt;=$C23,1,IF(ABS(Capas!$B$15-1)&lt;0.000001,$B23*L$5,(-1+SQRT(1+2*(Capas!$B$15-1)*$B23*L$5))/(Capas!$B$15-1)))</f>
        <v>0.354680044085769</v>
      </c>
      <c r="M23" s="9" t="n">
        <f aca="false">IF(M$5&gt;=$C23,1,IF(ABS(Capas!$B$15-1)&lt;0.000001,$B23*M$5,(-1+SQRT(1+2*(Capas!$B$15-1)*$B23*M$5))/(Capas!$B$15-1)))</f>
        <v>0.387932374043126</v>
      </c>
      <c r="N23" s="9" t="n">
        <f aca="false">IF(N$5&gt;=$C23,1,IF(ABS(Capas!$B$15-1)&lt;0.000001,$B23*N$5,(-1+SQRT(1+2*(Capas!$B$15-1)*$B23*N$5))/(Capas!$B$15-1)))</f>
        <v>0.423726993535239</v>
      </c>
      <c r="O23" s="9" t="n">
        <f aca="false">IF(O$5&gt;=$C23,1,IF(ABS(Capas!$B$15-1)&lt;0.000001,$B23*O$5,(-1+SQRT(1+2*(Capas!$B$15-1)*$B23*O$5))/(Capas!$B$15-1)))</f>
        <v>0.462216916236032</v>
      </c>
      <c r="P23" s="9" t="n">
        <f aca="false">IF(P$5&gt;=$C23,1,IF(ABS(Capas!$B$15-1)&lt;0.000001,$B23*P$5,(-1+SQRT(1+2*(Capas!$B$15-1)*$B23*P$5))/(Capas!$B$15-1)))</f>
        <v>0.503564379335453</v>
      </c>
      <c r="Q23" s="9" t="n">
        <f aca="false">IF(Q$5&gt;=$C23,1,IF(ABS(Capas!$B$15-1)&lt;0.000001,$B23*Q$5,(-1+SQRT(1+2*(Capas!$B$15-1)*$B23*Q$5))/(Capas!$B$15-1)))</f>
        <v>0.547941636127781</v>
      </c>
      <c r="R23" s="9" t="n">
        <f aca="false">IF(R$5&gt;=$C23,1,IF(ABS(Capas!$B$15-1)&lt;0.000001,$B23*R$5,(-1+SQRT(1+2*(Capas!$B$15-1)*$B23*R$5))/(Capas!$B$15-1)))</f>
        <v>0.595531783181855</v>
      </c>
      <c r="S23" s="9" t="n">
        <f aca="false">IF(S$5&gt;=$C23,1,IF(ABS(Capas!$B$15-1)&lt;0.000001,$B23*S$5,(-1+SQRT(1+2*(Capas!$B$15-1)*$B23*S$5))/(Capas!$B$15-1)))</f>
        <v>0.646529622653251</v>
      </c>
      <c r="T23" s="9" t="n">
        <f aca="false">IF(T$5&gt;=$C23,1,IF(ABS(Capas!$B$15-1)&lt;0.000001,$B23*T$5,(-1+SQRT(1+2*(Capas!$B$15-1)*$B23*T$5))/(Capas!$B$15-1)))</f>
        <v>0.701142561340022</v>
      </c>
      <c r="U23" s="9" t="n">
        <f aca="false">IF(U$5&gt;=$C23,1,IF(ABS(Capas!$B$15-1)&lt;0.000001,$B23*U$5,(-1+SQRT(1+2*(Capas!$B$15-1)*$B23*U$5))/(Capas!$B$15-1)))</f>
        <v>0.759591548991762</v>
      </c>
      <c r="V23" s="9" t="n">
        <f aca="false">IF(V$5&gt;=$C23,1,IF(ABS(Capas!$B$15-1)&lt;0.000001,$B23*V$5,(-1+SQRT(1+2*(Capas!$B$15-1)*$B23*V$5))/(Capas!$B$15-1)))</f>
        <v>0.82211205915256</v>
      </c>
      <c r="W23" s="9" t="n">
        <f aca="false">IF(W$5&gt;=$C23,1,IF(ABS(Capas!$B$15-1)&lt;0.000001,$B23*W$5,(-1+SQRT(1+2*(Capas!$B$15-1)*$B23*W$5))/(Capas!$B$15-1)))</f>
        <v>0.888955116460616</v>
      </c>
      <c r="X23" s="9" t="n">
        <f aca="false">IF(X$5&gt;=$C23,1,IF(ABS(Capas!$B$15-1)&lt;0.000001,$B23*X$5,(-1+SQRT(1+2*(Capas!$B$15-1)*$B23*X$5))/(Capas!$B$15-1)))</f>
        <v>0.960388374857478</v>
      </c>
      <c r="Y23" s="9" t="n">
        <f aca="false">IF(Y$5&gt;=$C23,1,IF(ABS(Capas!$B$15-1)&lt;0.000001,$B23*Y$5,(-1+SQRT(1+2*(Capas!$B$15-1)*$B23*Y$5))/(Capas!$B$15-1)))</f>
        <v>1</v>
      </c>
      <c r="Z23" s="9" t="n">
        <f aca="false">IF(Z$5&gt;=$C23,1,IF(ABS(Capas!$B$15-1)&lt;0.000001,$B23*Z$5,(-1+SQRT(1+2*(Capas!$B$15-1)*$B23*Z$5))/(Capas!$B$15-1)))</f>
        <v>1</v>
      </c>
      <c r="AA23" s="9" t="n">
        <f aca="false">IF(AA$5&gt;=$C23,1,IF(ABS(Capas!$B$15-1)&lt;0.000001,$B23*AA$5,(-1+SQRT(1+2*(Capas!$B$15-1)*$B23*AA$5))/(Capas!$B$15-1)))</f>
        <v>1</v>
      </c>
      <c r="AB23" s="9" t="n">
        <f aca="false">IF(AB$5&gt;=$C23,1,IF(ABS(Capas!$B$15-1)&lt;0.000001,$B23*AB$5,(-1+SQRT(1+2*(Capas!$B$15-1)*$B23*AB$5))/(Capas!$B$15-1)))</f>
        <v>1</v>
      </c>
      <c r="AC23" s="9" t="n">
        <f aca="false">IF(AC$5&gt;=$C23,1,IF(ABS(Capas!$B$15-1)&lt;0.000001,$B23*AC$5,(-1+SQRT(1+2*(Capas!$B$15-1)*$B23*AC$5))/(Capas!$B$15-1)))</f>
        <v>1</v>
      </c>
      <c r="AD23" s="9" t="n">
        <f aca="false">IF(AD$5&gt;=$C23,1,IF(ABS(Capas!$B$15-1)&lt;0.000001,$B23*AD$5,(-1+SQRT(1+2*(Capas!$B$15-1)*$B23*AD$5))/(Capas!$B$15-1)))</f>
        <v>1</v>
      </c>
      <c r="AE23" s="9" t="n">
        <f aca="false">IF(AE$5&gt;=$C23,1,IF(ABS(Capas!$B$15-1)&lt;0.000001,$B23*AE$5,(-1+SQRT(1+2*(Capas!$B$15-1)*$B23*AE$5))/(Capas!$B$15-1)))</f>
        <v>1</v>
      </c>
      <c r="AF23" s="9" t="n">
        <f aca="false">IF(AF$5&gt;=$C23,1,IF(ABS(Capas!$B$15-1)&lt;0.000001,$B23*AF$5,(-1+SQRT(1+2*(Capas!$B$15-1)*$B23*AF$5))/(Capas!$B$15-1)))</f>
        <v>1</v>
      </c>
      <c r="AG23" s="9" t="n">
        <f aca="false">IF(AG$5&gt;=$C23,1,IF(ABS(Capas!$B$15-1)&lt;0.000001,$B23*AG$5,(-1+SQRT(1+2*(Capas!$B$15-1)*$B23*AG$5))/(Capas!$B$15-1)))</f>
        <v>1</v>
      </c>
      <c r="AH23" s="9" t="n">
        <f aca="false">IF(AH$5&gt;=$C23,1,IF(ABS(Capas!$B$15-1)&lt;0.000001,$B23*AH$5,(-1+SQRT(1+2*(Capas!$B$15-1)*$B23*AH$5))/(Capas!$B$15-1)))</f>
        <v>1</v>
      </c>
      <c r="AI23" s="9" t="n">
        <f aca="false">IF(AI$5&gt;=$C23,1,IF(ABS(Capas!$B$15-1)&lt;0.000001,$B23*AI$5,(-1+SQRT(1+2*(Capas!$B$15-1)*$B23*AI$5))/(Capas!$B$15-1)))</f>
        <v>1</v>
      </c>
      <c r="AJ23" s="9" t="n">
        <f aca="false">IF(AJ$5&gt;=$C23,1,IF(ABS(Capas!$B$15-1)&lt;0.000001,$B23*AJ$5,(-1+SQRT(1+2*(Capas!$B$15-1)*$B23*AJ$5))/(Capas!$B$15-1)))</f>
        <v>1</v>
      </c>
      <c r="AK23" s="9" t="n">
        <f aca="false">IF(AK$5&gt;=$C23,1,IF(ABS(Capas!$B$15-1)&lt;0.000001,$B23*AK$5,(-1+SQRT(1+2*(Capas!$B$15-1)*$B23*AK$5))/(Capas!$B$15-1)))</f>
        <v>1</v>
      </c>
      <c r="AL23" s="9" t="n">
        <f aca="false">IF(AL$5&gt;=$C23,1,IF(ABS(Capas!$B$15-1)&lt;0.000001,$B23*AL$5,(-1+SQRT(1+2*(Capas!$B$15-1)*$B23*AL$5))/(Capas!$B$15-1)))</f>
        <v>1</v>
      </c>
      <c r="AM23" s="9" t="n">
        <f aca="false">IF(AM$5&gt;=$C23,1,IF(ABS(Capas!$B$15-1)&lt;0.000001,$B23*AM$5,(-1+SQRT(1+2*(Capas!$B$15-1)*$B23*AM$5))/(Capas!$B$15-1)))</f>
        <v>1</v>
      </c>
      <c r="AN23" s="9" t="n">
        <f aca="false">IF(AN$5&gt;=$C23,1,IF(ABS(Capas!$B$15-1)&lt;0.000001,$B23*AN$5,(-1+SQRT(1+2*(Capas!$B$15-1)*$B23*AN$5))/(Capas!$B$15-1)))</f>
        <v>1</v>
      </c>
      <c r="AO23" s="9" t="n">
        <f aca="false">IF(AO$5&gt;=$C23,1,IF(ABS(Capas!$B$15-1)&lt;0.000001,$B23*AO$5,(-1+SQRT(1+2*(Capas!$B$15-1)*$B23*AO$5))/(Capas!$B$15-1)))</f>
        <v>1</v>
      </c>
      <c r="AP23" s="9" t="n">
        <f aca="false">IF(AP$5&gt;=$C23,1,IF(ABS(Capas!$B$15-1)&lt;0.000001,$B23*AP$5,(-1+SQRT(1+2*(Capas!$B$15-1)*$B23*AP$5))/(Capas!$B$15-1)))</f>
        <v>1</v>
      </c>
      <c r="AQ23" s="9" t="n">
        <f aca="false">IF(AQ$5&gt;=$C23,1,IF(ABS(Capas!$B$15-1)&lt;0.000001,$B23*AQ$5,(-1+SQRT(1+2*(Capas!$B$15-1)*$B23*AQ$5))/(Capas!$B$15-1)))</f>
        <v>1</v>
      </c>
      <c r="AR23" s="9" t="n">
        <f aca="false">IF(AR$5&gt;=$C23,1,IF(ABS(Capas!$B$15-1)&lt;0.000001,$B23*AR$5,(-1+SQRT(1+2*(Capas!$B$15-1)*$B23*AR$5))/(Capas!$B$15-1)))</f>
        <v>1</v>
      </c>
      <c r="AS23" s="9" t="n">
        <f aca="false">IF(AS$5&gt;=$C23,1,IF(ABS(Capas!$B$15-1)&lt;0.000001,$B23*AS$5,(-1+SQRT(1+2*(Capas!$B$15-1)*$B23*AS$5))/(Capas!$B$15-1)))</f>
        <v>1</v>
      </c>
      <c r="AT23" s="9" t="n">
        <f aca="false">IF(AT$5&gt;=$C23,1,IF(ABS(Capas!$B$15-1)&lt;0.000001,$B23*AT$5,(-1+SQRT(1+2*(Capas!$B$15-1)*$B23*AT$5))/(Capas!$B$15-1)))</f>
        <v>1</v>
      </c>
      <c r="AU23" s="9" t="n">
        <f aca="false">IF(AU$5&gt;=$C23,1,IF(ABS(Capas!$B$15-1)&lt;0.000001,$B23*AU$5,(-1+SQRT(1+2*(Capas!$B$15-1)*$B23*AU$5))/(Capas!$B$15-1)))</f>
        <v>1</v>
      </c>
      <c r="AV23" s="9" t="n">
        <f aca="false">IF(AV$5&gt;=$C23,1,IF(ABS(Capas!$B$15-1)&lt;0.000001,$B23*AV$5,(-1+SQRT(1+2*(Capas!$B$15-1)*$B23*AV$5))/(Capas!$B$15-1)))</f>
        <v>1</v>
      </c>
      <c r="AW23" s="9" t="n">
        <f aca="false">IF(AW$5&gt;=$C23,1,IF(ABS(Capas!$B$15-1)&lt;0.000001,$B23*AW$5,(-1+SQRT(1+2*(Capas!$B$15-1)*$B23*AW$5))/(Capas!$B$15-1)))</f>
        <v>1</v>
      </c>
      <c r="AX23" s="9" t="n">
        <f aca="false">IF(AX$5&gt;=$C23,1,IF(ABS(Capas!$B$15-1)&lt;0.000001,$B23*AX$5,(-1+SQRT(1+2*(Capas!$B$15-1)*$B23*AX$5))/(Capas!$B$15-1)))</f>
        <v>1</v>
      </c>
      <c r="AY23" s="9" t="n">
        <f aca="false">IF(AY$5&gt;=$C23,1,IF(ABS(Capas!$B$15-1)&lt;0.000001,$B23*AY$5,(-1+SQRT(1+2*(Capas!$B$15-1)*$B23*AY$5))/(Capas!$B$15-1)))</f>
        <v>1</v>
      </c>
      <c r="AZ23" s="9" t="n">
        <f aca="false">IF(AZ$5&gt;=$C23,1,IF(ABS(Capas!$B$15-1)&lt;0.000001,$B23*AZ$5,(-1+SQRT(1+2*(Capas!$B$15-1)*$B23*AZ$5))/(Capas!$B$15-1)))</f>
        <v>1</v>
      </c>
      <c r="BA23" s="9" t="n">
        <f aca="false">IF(BA$5&gt;=$C23,1,IF(ABS(Capas!$B$15-1)&lt;0.000001,$B23*BA$5,(-1+SQRT(1+2*(Capas!$B$15-1)*$B23*BA$5))/(Capas!$B$15-1)))</f>
        <v>1</v>
      </c>
      <c r="BB23" s="9" t="n">
        <f aca="false">IF(BB$5&gt;=$C23,1,IF(ABS(Capas!$B$15-1)&lt;0.000001,$B23*BB$5,(-1+SQRT(1+2*(Capas!$B$15-1)*$B23*BB$5))/(Capas!$B$15-1)))</f>
        <v>1</v>
      </c>
      <c r="BC23" s="9" t="n">
        <f aca="false">IF(BC$5&gt;=$C23,1,IF(ABS(Capas!$B$15-1)&lt;0.000001,$B23*BC$5,(-1+SQRT(1+2*(Capas!$B$15-1)*$B23*BC$5))/(Capas!$B$15-1)))</f>
        <v>1</v>
      </c>
      <c r="BD23" s="9" t="n">
        <f aca="false">IF(BD$5&gt;=$C23,1,IF(ABS(Capas!$B$15-1)&lt;0.000001,$B23*BD$5,(-1+SQRT(1+2*(Capas!$B$15-1)*$B23*BD$5))/(Capas!$B$15-1)))</f>
        <v>1</v>
      </c>
      <c r="BE23" s="9" t="n">
        <f aca="false">IF(BE$5&gt;=$C23,1,IF(ABS(Capas!$B$15-1)&lt;0.000001,$B23*BE$5,(-1+SQRT(1+2*(Capas!$B$15-1)*$B23*BE$5))/(Capas!$B$15-1)))</f>
        <v>1</v>
      </c>
      <c r="BF23" s="9" t="n">
        <f aca="false">IF(BF$5&gt;=$C23,1,IF(ABS(Capas!$B$15-1)&lt;0.000001,$B23*BF$5,(-1+SQRT(1+2*(Capas!$B$15-1)*$B23*BF$5))/(Capas!$B$15-1)))</f>
        <v>1</v>
      </c>
      <c r="BG23" s="9" t="n">
        <f aca="false">IF(BG$5&gt;=$C23,1,IF(ABS(Capas!$B$15-1)&lt;0.000001,$B23*BG$5,(-1+SQRT(1+2*(Capas!$B$15-1)*$B23*BG$5))/(Capas!$B$15-1)))</f>
        <v>1</v>
      </c>
      <c r="BH23" s="9" t="n">
        <f aca="false">IF(BH$5&gt;=$C23,1,IF(ABS(Capas!$B$15-1)&lt;0.000001,$B23*BH$5,(-1+SQRT(1+2*(Capas!$B$15-1)*$B23*BH$5))/(Capas!$B$15-1)))</f>
        <v>1</v>
      </c>
      <c r="BI23" s="9" t="n">
        <f aca="false">IF(BI$5&gt;=$C23,1,IF(ABS(Capas!$B$15-1)&lt;0.000001,$B23*BI$5,(-1+SQRT(1+2*(Capas!$B$15-1)*$B23*BI$5))/(Capas!$B$15-1)))</f>
        <v>1</v>
      </c>
      <c r="BJ23" s="9" t="n">
        <f aca="false">IF(BJ$5&gt;=$C23,1,IF(ABS(Capas!$B$15-1)&lt;0.000001,$B23*BJ$5,(-1+SQRT(1+2*(Capas!$B$15-1)*$B23*BJ$5))/(Capas!$B$15-1)))</f>
        <v>1</v>
      </c>
      <c r="BK23" s="9" t="n">
        <f aca="false">IF(BK$5&gt;=$C23,1,IF(ABS(Capas!$B$15-1)&lt;0.000001,$B23*BK$5,(-1+SQRT(1+2*(Capas!$B$15-1)*$B23*BK$5))/(Capas!$B$15-1)))</f>
        <v>1</v>
      </c>
    </row>
    <row r="24" customFormat="false" ht="15" hidden="false" customHeight="false" outlineLevel="0" collapsed="false">
      <c r="A24" s="0" t="n">
        <v>19</v>
      </c>
      <c r="B24" s="10" t="n">
        <f aca="false">EXP(Capas!$B$14*NORMSINV((A24-0.5)/20))</f>
        <v>5.65848813163323</v>
      </c>
      <c r="C24" s="9" t="n">
        <f aca="false">(Capas!$B$15+1)/(2*B24)</f>
        <v>0.500722678464917</v>
      </c>
      <c r="D24" s="9" t="n">
        <f aca="false">IF(D$5&gt;=$C24,1,IF(ABS(Capas!$B$15-1)&lt;0.000001,$B24*D$5,(-1+SQRT(1+2*(Capas!$B$15-1)*$B24*D$5))/(Capas!$B$15-1)))</f>
        <v>0.216723768732357</v>
      </c>
      <c r="E24" s="9" t="n">
        <f aca="false">IF(E$5&gt;=$C24,1,IF(ABS(Capas!$B$15-1)&lt;0.000001,$B24*E$5,(-1+SQRT(1+2*(Capas!$B$15-1)*$B24*E$5))/(Capas!$B$15-1)))</f>
        <v>0.238861250068014</v>
      </c>
      <c r="F24" s="9" t="n">
        <f aca="false">IF(F$5&gt;=$C24,1,IF(ABS(Capas!$B$15-1)&lt;0.000001,$B24*F$5,(-1+SQRT(1+2*(Capas!$B$15-1)*$B24*F$5))/(Capas!$B$15-1)))</f>
        <v>0.262862418371405</v>
      </c>
      <c r="G24" s="9" t="n">
        <f aca="false">IF(G$5&gt;=$C24,1,IF(ABS(Capas!$B$15-1)&lt;0.000001,$B24*G$5,(-1+SQRT(1+2*(Capas!$B$15-1)*$B24*G$5))/(Capas!$B$15-1)))</f>
        <v>0.288843449390166</v>
      </c>
      <c r="H24" s="9" t="n">
        <f aca="false">IF(H$5&gt;=$C24,1,IF(ABS(Capas!$B$15-1)&lt;0.000001,$B24*H$5,(-1+SQRT(1+2*(Capas!$B$15-1)*$B24*H$5))/(Capas!$B$15-1)))</f>
        <v>0.316926230884835</v>
      </c>
      <c r="I24" s="9" t="n">
        <f aca="false">IF(I$5&gt;=$C24,1,IF(ABS(Capas!$B$15-1)&lt;0.000001,$B24*I$5,(-1+SQRT(1+2*(Capas!$B$15-1)*$B24*I$5))/(Capas!$B$15-1)))</f>
        <v>0.347238937412983</v>
      </c>
      <c r="J24" s="9" t="n">
        <f aca="false">IF(J$5&gt;=$C24,1,IF(ABS(Capas!$B$15-1)&lt;0.000001,$B24*J$5,(-1+SQRT(1+2*(Capas!$B$15-1)*$B24*J$5))/(Capas!$B$15-1)))</f>
        <v>0.37991665554619</v>
      </c>
      <c r="K24" s="9" t="n">
        <f aca="false">IF(K$5&gt;=$C24,1,IF(ABS(Capas!$B$15-1)&lt;0.000001,$B24*K$5,(-1+SQRT(1+2*(Capas!$B$15-1)*$B24*K$5))/(Capas!$B$15-1)))</f>
        <v>0.415102054343826</v>
      </c>
      <c r="L24" s="9" t="n">
        <f aca="false">IF(L$5&gt;=$C24,1,IF(ABS(Capas!$B$15-1)&lt;0.000001,$B24*L$5,(-1+SQRT(1+2*(Capas!$B$15-1)*$B24*L$5))/(Capas!$B$15-1)))</f>
        <v>0.452946096716364</v>
      </c>
      <c r="M24" s="9" t="n">
        <f aca="false">IF(M$5&gt;=$C24,1,IF(ABS(Capas!$B$15-1)&lt;0.000001,$B24*M$5,(-1+SQRT(1+2*(Capas!$B$15-1)*$B24*M$5))/(Capas!$B$15-1)))</f>
        <v>0.493608788378432</v>
      </c>
      <c r="N24" s="9" t="n">
        <f aca="false">IF(N$5&gt;=$C24,1,IF(ABS(Capas!$B$15-1)&lt;0.000001,$B24*N$5,(-1+SQRT(1+2*(Capas!$B$15-1)*$B24*N$5))/(Capas!$B$15-1)))</f>
        <v>0.537259962291003</v>
      </c>
      <c r="O24" s="9" t="n">
        <f aca="false">IF(O$5&gt;=$C24,1,IF(ABS(Capas!$B$15-1)&lt;0.000001,$B24*O$5,(-1+SQRT(1+2*(Capas!$B$15-1)*$B24*O$5))/(Capas!$B$15-1)))</f>
        <v>0.584080097717667</v>
      </c>
      <c r="P24" s="9" t="n">
        <f aca="false">IF(P$5&gt;=$C24,1,IF(ABS(Capas!$B$15-1)&lt;0.000001,$B24*P$5,(-1+SQRT(1+2*(Capas!$B$15-1)*$B24*P$5))/(Capas!$B$15-1)))</f>
        <v>0.634261174193525</v>
      </c>
      <c r="Q24" s="9" t="n">
        <f aca="false">IF(Q$5&gt;=$C24,1,IF(ABS(Capas!$B$15-1)&lt;0.000001,$B24*Q$5,(-1+SQRT(1+2*(Capas!$B$15-1)*$B24*Q$5))/(Capas!$B$15-1)))</f>
        <v>0.688007561775716</v>
      </c>
      <c r="R24" s="9" t="n">
        <f aca="false">IF(R$5&gt;=$C24,1,IF(ABS(Capas!$B$15-1)&lt;0.000001,$B24*R$5,(-1+SQRT(1+2*(Capas!$B$15-1)*$B24*R$5))/(Capas!$B$15-1)))</f>
        <v>0.745536949884906</v>
      </c>
      <c r="S24" s="9" t="n">
        <f aca="false">IF(S$5&gt;=$C24,1,IF(ABS(Capas!$B$15-1)&lt;0.000001,$B24*S$5,(-1+SQRT(1+2*(Capas!$B$15-1)*$B24*S$5))/(Capas!$B$15-1)))</f>
        <v>0.807081317849697</v>
      </c>
      <c r="T24" s="9" t="n">
        <f aca="false">IF(T$5&gt;=$C24,1,IF(ABS(Capas!$B$15-1)&lt;0.000001,$B24*T$5,(-1+SQRT(1+2*(Capas!$B$15-1)*$B24*T$5))/(Capas!$B$15-1)))</f>
        <v>0.872887950936959</v>
      </c>
      <c r="U24" s="9" t="n">
        <f aca="false">IF(U$5&gt;=$C24,1,IF(ABS(Capas!$B$15-1)&lt;0.000001,$B24*U$5,(-1+SQRT(1+2*(Capas!$B$15-1)*$B24*U$5))/(Capas!$B$15-1)))</f>
        <v>0.943220506205789</v>
      </c>
      <c r="V24" s="9" t="n">
        <f aca="false">IF(V$5&gt;=$C24,1,IF(ABS(Capas!$B$15-1)&lt;0.000001,$B24*V$5,(-1+SQRT(1+2*(Capas!$B$15-1)*$B24*V$5))/(Capas!$B$15-1)))</f>
        <v>1</v>
      </c>
      <c r="W24" s="9" t="n">
        <f aca="false">IF(W$5&gt;=$C24,1,IF(ABS(Capas!$B$15-1)&lt;0.000001,$B24*W$5,(-1+SQRT(1+2*(Capas!$B$15-1)*$B24*W$5))/(Capas!$B$15-1)))</f>
        <v>1</v>
      </c>
      <c r="X24" s="9" t="n">
        <f aca="false">IF(X$5&gt;=$C24,1,IF(ABS(Capas!$B$15-1)&lt;0.000001,$B24*X$5,(-1+SQRT(1+2*(Capas!$B$15-1)*$B24*X$5))/(Capas!$B$15-1)))</f>
        <v>1</v>
      </c>
      <c r="Y24" s="9" t="n">
        <f aca="false">IF(Y$5&gt;=$C24,1,IF(ABS(Capas!$B$15-1)&lt;0.000001,$B24*Y$5,(-1+SQRT(1+2*(Capas!$B$15-1)*$B24*Y$5))/(Capas!$B$15-1)))</f>
        <v>1</v>
      </c>
      <c r="Z24" s="9" t="n">
        <f aca="false">IF(Z$5&gt;=$C24,1,IF(ABS(Capas!$B$15-1)&lt;0.000001,$B24*Z$5,(-1+SQRT(1+2*(Capas!$B$15-1)*$B24*Z$5))/(Capas!$B$15-1)))</f>
        <v>1</v>
      </c>
      <c r="AA24" s="9" t="n">
        <f aca="false">IF(AA$5&gt;=$C24,1,IF(ABS(Capas!$B$15-1)&lt;0.000001,$B24*AA$5,(-1+SQRT(1+2*(Capas!$B$15-1)*$B24*AA$5))/(Capas!$B$15-1)))</f>
        <v>1</v>
      </c>
      <c r="AB24" s="9" t="n">
        <f aca="false">IF(AB$5&gt;=$C24,1,IF(ABS(Capas!$B$15-1)&lt;0.000001,$B24*AB$5,(-1+SQRT(1+2*(Capas!$B$15-1)*$B24*AB$5))/(Capas!$B$15-1)))</f>
        <v>1</v>
      </c>
      <c r="AC24" s="9" t="n">
        <f aca="false">IF(AC$5&gt;=$C24,1,IF(ABS(Capas!$B$15-1)&lt;0.000001,$B24*AC$5,(-1+SQRT(1+2*(Capas!$B$15-1)*$B24*AC$5))/(Capas!$B$15-1)))</f>
        <v>1</v>
      </c>
      <c r="AD24" s="9" t="n">
        <f aca="false">IF(AD$5&gt;=$C24,1,IF(ABS(Capas!$B$15-1)&lt;0.000001,$B24*AD$5,(-1+SQRT(1+2*(Capas!$B$15-1)*$B24*AD$5))/(Capas!$B$15-1)))</f>
        <v>1</v>
      </c>
      <c r="AE24" s="9" t="n">
        <f aca="false">IF(AE$5&gt;=$C24,1,IF(ABS(Capas!$B$15-1)&lt;0.000001,$B24*AE$5,(-1+SQRT(1+2*(Capas!$B$15-1)*$B24*AE$5))/(Capas!$B$15-1)))</f>
        <v>1</v>
      </c>
      <c r="AF24" s="9" t="n">
        <f aca="false">IF(AF$5&gt;=$C24,1,IF(ABS(Capas!$B$15-1)&lt;0.000001,$B24*AF$5,(-1+SQRT(1+2*(Capas!$B$15-1)*$B24*AF$5))/(Capas!$B$15-1)))</f>
        <v>1</v>
      </c>
      <c r="AG24" s="9" t="n">
        <f aca="false">IF(AG$5&gt;=$C24,1,IF(ABS(Capas!$B$15-1)&lt;0.000001,$B24*AG$5,(-1+SQRT(1+2*(Capas!$B$15-1)*$B24*AG$5))/(Capas!$B$15-1)))</f>
        <v>1</v>
      </c>
      <c r="AH24" s="9" t="n">
        <f aca="false">IF(AH$5&gt;=$C24,1,IF(ABS(Capas!$B$15-1)&lt;0.000001,$B24*AH$5,(-1+SQRT(1+2*(Capas!$B$15-1)*$B24*AH$5))/(Capas!$B$15-1)))</f>
        <v>1</v>
      </c>
      <c r="AI24" s="9" t="n">
        <f aca="false">IF(AI$5&gt;=$C24,1,IF(ABS(Capas!$B$15-1)&lt;0.000001,$B24*AI$5,(-1+SQRT(1+2*(Capas!$B$15-1)*$B24*AI$5))/(Capas!$B$15-1)))</f>
        <v>1</v>
      </c>
      <c r="AJ24" s="9" t="n">
        <f aca="false">IF(AJ$5&gt;=$C24,1,IF(ABS(Capas!$B$15-1)&lt;0.000001,$B24*AJ$5,(-1+SQRT(1+2*(Capas!$B$15-1)*$B24*AJ$5))/(Capas!$B$15-1)))</f>
        <v>1</v>
      </c>
      <c r="AK24" s="9" t="n">
        <f aca="false">IF(AK$5&gt;=$C24,1,IF(ABS(Capas!$B$15-1)&lt;0.000001,$B24*AK$5,(-1+SQRT(1+2*(Capas!$B$15-1)*$B24*AK$5))/(Capas!$B$15-1)))</f>
        <v>1</v>
      </c>
      <c r="AL24" s="9" t="n">
        <f aca="false">IF(AL$5&gt;=$C24,1,IF(ABS(Capas!$B$15-1)&lt;0.000001,$B24*AL$5,(-1+SQRT(1+2*(Capas!$B$15-1)*$B24*AL$5))/(Capas!$B$15-1)))</f>
        <v>1</v>
      </c>
      <c r="AM24" s="9" t="n">
        <f aca="false">IF(AM$5&gt;=$C24,1,IF(ABS(Capas!$B$15-1)&lt;0.000001,$B24*AM$5,(-1+SQRT(1+2*(Capas!$B$15-1)*$B24*AM$5))/(Capas!$B$15-1)))</f>
        <v>1</v>
      </c>
      <c r="AN24" s="9" t="n">
        <f aca="false">IF(AN$5&gt;=$C24,1,IF(ABS(Capas!$B$15-1)&lt;0.000001,$B24*AN$5,(-1+SQRT(1+2*(Capas!$B$15-1)*$B24*AN$5))/(Capas!$B$15-1)))</f>
        <v>1</v>
      </c>
      <c r="AO24" s="9" t="n">
        <f aca="false">IF(AO$5&gt;=$C24,1,IF(ABS(Capas!$B$15-1)&lt;0.000001,$B24*AO$5,(-1+SQRT(1+2*(Capas!$B$15-1)*$B24*AO$5))/(Capas!$B$15-1)))</f>
        <v>1</v>
      </c>
      <c r="AP24" s="9" t="n">
        <f aca="false">IF(AP$5&gt;=$C24,1,IF(ABS(Capas!$B$15-1)&lt;0.000001,$B24*AP$5,(-1+SQRT(1+2*(Capas!$B$15-1)*$B24*AP$5))/(Capas!$B$15-1)))</f>
        <v>1</v>
      </c>
      <c r="AQ24" s="9" t="n">
        <f aca="false">IF(AQ$5&gt;=$C24,1,IF(ABS(Capas!$B$15-1)&lt;0.000001,$B24*AQ$5,(-1+SQRT(1+2*(Capas!$B$15-1)*$B24*AQ$5))/(Capas!$B$15-1)))</f>
        <v>1</v>
      </c>
      <c r="AR24" s="9" t="n">
        <f aca="false">IF(AR$5&gt;=$C24,1,IF(ABS(Capas!$B$15-1)&lt;0.000001,$B24*AR$5,(-1+SQRT(1+2*(Capas!$B$15-1)*$B24*AR$5))/(Capas!$B$15-1)))</f>
        <v>1</v>
      </c>
      <c r="AS24" s="9" t="n">
        <f aca="false">IF(AS$5&gt;=$C24,1,IF(ABS(Capas!$B$15-1)&lt;0.000001,$B24*AS$5,(-1+SQRT(1+2*(Capas!$B$15-1)*$B24*AS$5))/(Capas!$B$15-1)))</f>
        <v>1</v>
      </c>
      <c r="AT24" s="9" t="n">
        <f aca="false">IF(AT$5&gt;=$C24,1,IF(ABS(Capas!$B$15-1)&lt;0.000001,$B24*AT$5,(-1+SQRT(1+2*(Capas!$B$15-1)*$B24*AT$5))/(Capas!$B$15-1)))</f>
        <v>1</v>
      </c>
      <c r="AU24" s="9" t="n">
        <f aca="false">IF(AU$5&gt;=$C24,1,IF(ABS(Capas!$B$15-1)&lt;0.000001,$B24*AU$5,(-1+SQRT(1+2*(Capas!$B$15-1)*$B24*AU$5))/(Capas!$B$15-1)))</f>
        <v>1</v>
      </c>
      <c r="AV24" s="9" t="n">
        <f aca="false">IF(AV$5&gt;=$C24,1,IF(ABS(Capas!$B$15-1)&lt;0.000001,$B24*AV$5,(-1+SQRT(1+2*(Capas!$B$15-1)*$B24*AV$5))/(Capas!$B$15-1)))</f>
        <v>1</v>
      </c>
      <c r="AW24" s="9" t="n">
        <f aca="false">IF(AW$5&gt;=$C24,1,IF(ABS(Capas!$B$15-1)&lt;0.000001,$B24*AW$5,(-1+SQRT(1+2*(Capas!$B$15-1)*$B24*AW$5))/(Capas!$B$15-1)))</f>
        <v>1</v>
      </c>
      <c r="AX24" s="9" t="n">
        <f aca="false">IF(AX$5&gt;=$C24,1,IF(ABS(Capas!$B$15-1)&lt;0.000001,$B24*AX$5,(-1+SQRT(1+2*(Capas!$B$15-1)*$B24*AX$5))/(Capas!$B$15-1)))</f>
        <v>1</v>
      </c>
      <c r="AY24" s="9" t="n">
        <f aca="false">IF(AY$5&gt;=$C24,1,IF(ABS(Capas!$B$15-1)&lt;0.000001,$B24*AY$5,(-1+SQRT(1+2*(Capas!$B$15-1)*$B24*AY$5))/(Capas!$B$15-1)))</f>
        <v>1</v>
      </c>
      <c r="AZ24" s="9" t="n">
        <f aca="false">IF(AZ$5&gt;=$C24,1,IF(ABS(Capas!$B$15-1)&lt;0.000001,$B24*AZ$5,(-1+SQRT(1+2*(Capas!$B$15-1)*$B24*AZ$5))/(Capas!$B$15-1)))</f>
        <v>1</v>
      </c>
      <c r="BA24" s="9" t="n">
        <f aca="false">IF(BA$5&gt;=$C24,1,IF(ABS(Capas!$B$15-1)&lt;0.000001,$B24*BA$5,(-1+SQRT(1+2*(Capas!$B$15-1)*$B24*BA$5))/(Capas!$B$15-1)))</f>
        <v>1</v>
      </c>
      <c r="BB24" s="9" t="n">
        <f aca="false">IF(BB$5&gt;=$C24,1,IF(ABS(Capas!$B$15-1)&lt;0.000001,$B24*BB$5,(-1+SQRT(1+2*(Capas!$B$15-1)*$B24*BB$5))/(Capas!$B$15-1)))</f>
        <v>1</v>
      </c>
      <c r="BC24" s="9" t="n">
        <f aca="false">IF(BC$5&gt;=$C24,1,IF(ABS(Capas!$B$15-1)&lt;0.000001,$B24*BC$5,(-1+SQRT(1+2*(Capas!$B$15-1)*$B24*BC$5))/(Capas!$B$15-1)))</f>
        <v>1</v>
      </c>
      <c r="BD24" s="9" t="n">
        <f aca="false">IF(BD$5&gt;=$C24,1,IF(ABS(Capas!$B$15-1)&lt;0.000001,$B24*BD$5,(-1+SQRT(1+2*(Capas!$B$15-1)*$B24*BD$5))/(Capas!$B$15-1)))</f>
        <v>1</v>
      </c>
      <c r="BE24" s="9" t="n">
        <f aca="false">IF(BE$5&gt;=$C24,1,IF(ABS(Capas!$B$15-1)&lt;0.000001,$B24*BE$5,(-1+SQRT(1+2*(Capas!$B$15-1)*$B24*BE$5))/(Capas!$B$15-1)))</f>
        <v>1</v>
      </c>
      <c r="BF24" s="9" t="n">
        <f aca="false">IF(BF$5&gt;=$C24,1,IF(ABS(Capas!$B$15-1)&lt;0.000001,$B24*BF$5,(-1+SQRT(1+2*(Capas!$B$15-1)*$B24*BF$5))/(Capas!$B$15-1)))</f>
        <v>1</v>
      </c>
      <c r="BG24" s="9" t="n">
        <f aca="false">IF(BG$5&gt;=$C24,1,IF(ABS(Capas!$B$15-1)&lt;0.000001,$B24*BG$5,(-1+SQRT(1+2*(Capas!$B$15-1)*$B24*BG$5))/(Capas!$B$15-1)))</f>
        <v>1</v>
      </c>
      <c r="BH24" s="9" t="n">
        <f aca="false">IF(BH$5&gt;=$C24,1,IF(ABS(Capas!$B$15-1)&lt;0.000001,$B24*BH$5,(-1+SQRT(1+2*(Capas!$B$15-1)*$B24*BH$5))/(Capas!$B$15-1)))</f>
        <v>1</v>
      </c>
      <c r="BI24" s="9" t="n">
        <f aca="false">IF(BI$5&gt;=$C24,1,IF(ABS(Capas!$B$15-1)&lt;0.000001,$B24*BI$5,(-1+SQRT(1+2*(Capas!$B$15-1)*$B24*BI$5))/(Capas!$B$15-1)))</f>
        <v>1</v>
      </c>
      <c r="BJ24" s="9" t="n">
        <f aca="false">IF(BJ$5&gt;=$C24,1,IF(ABS(Capas!$B$15-1)&lt;0.000001,$B24*BJ$5,(-1+SQRT(1+2*(Capas!$B$15-1)*$B24*BJ$5))/(Capas!$B$15-1)))</f>
        <v>1</v>
      </c>
      <c r="BK24" s="9" t="n">
        <f aca="false">IF(BK$5&gt;=$C24,1,IF(ABS(Capas!$B$15-1)&lt;0.000001,$B24*BK$5,(-1+SQRT(1+2*(Capas!$B$15-1)*$B24*BK$5))/(Capas!$B$15-1)))</f>
        <v>1</v>
      </c>
    </row>
    <row r="25" customFormat="false" ht="15" hidden="false" customHeight="false" outlineLevel="0" collapsed="false">
      <c r="A25" s="0" t="n">
        <v>20</v>
      </c>
      <c r="B25" s="10" t="n">
        <f aca="false">EXP(Capas!$B$14*NORMSINV((A25-0.5)/20))</f>
        <v>10.5882334730528</v>
      </c>
      <c r="C25" s="9" t="n">
        <f aca="false">(Capas!$B$15+1)/(2*B25)</f>
        <v>0.267592638615705</v>
      </c>
      <c r="D25" s="9" t="n">
        <f aca="false">IF(D$5&gt;=$C25,1,IF(ABS(Capas!$B$15-1)&lt;0.000001,$B25*D$5,(-1+SQRT(1+2*(Capas!$B$15-1)*$B25*D$5))/(Capas!$B$15-1)))</f>
        <v>0.346523140579142</v>
      </c>
      <c r="E25" s="9" t="n">
        <f aca="false">IF(E$5&gt;=$C25,1,IF(ABS(Capas!$B$15-1)&lt;0.000001,$B25*E$5,(-1+SQRT(1+2*(Capas!$B$15-1)*$B25*E$5))/(Capas!$B$15-1)))</f>
        <v>0.37914546641268</v>
      </c>
      <c r="F25" s="9" t="n">
        <f aca="false">IF(F$5&gt;=$C25,1,IF(ABS(Capas!$B$15-1)&lt;0.000001,$B25*F$5,(-1+SQRT(1+2*(Capas!$B$15-1)*$B25*F$5))/(Capas!$B$15-1)))</f>
        <v>0.414272135810627</v>
      </c>
      <c r="G25" s="9" t="n">
        <f aca="false">IF(G$5&gt;=$C25,1,IF(ABS(Capas!$B$15-1)&lt;0.000001,$B25*G$5,(-1+SQRT(1+2*(Capas!$B$15-1)*$B25*G$5))/(Capas!$B$15-1)))</f>
        <v>0.452053914695275</v>
      </c>
      <c r="H25" s="9" t="n">
        <f aca="false">IF(H$5&gt;=$C25,1,IF(ABS(Capas!$B$15-1)&lt;0.000001,$B25*H$5,(-1+SQRT(1+2*(Capas!$B$15-1)*$B25*H$5))/(Capas!$B$15-1)))</f>
        <v>0.492650594344033</v>
      </c>
      <c r="I25" s="9" t="n">
        <f aca="false">IF(I$5&gt;=$C25,1,IF(ABS(Capas!$B$15-1)&lt;0.000001,$B25*I$5,(-1+SQRT(1+2*(Capas!$B$15-1)*$B25*I$5))/(Capas!$B$15-1)))</f>
        <v>0.536231775038093</v>
      </c>
      <c r="J25" s="9" t="n">
        <f aca="false">IF(J$5&gt;=$C25,1,IF(ABS(Capas!$B$15-1)&lt;0.000001,$B25*J$5,(-1+SQRT(1+2*(Capas!$B$15-1)*$B25*J$5))/(Capas!$B$15-1)))</f>
        <v>0.582977684331738</v>
      </c>
      <c r="K25" s="9" t="n">
        <f aca="false">IF(K$5&gt;=$C25,1,IF(ABS(Capas!$B$15-1)&lt;0.000001,$B25*K$5,(-1+SQRT(1+2*(Capas!$B$15-1)*$B25*K$5))/(Capas!$B$15-1)))</f>
        <v>0.633080030215115</v>
      </c>
      <c r="L25" s="9" t="n">
        <f aca="false">IF(L$5&gt;=$C25,1,IF(ABS(Capas!$B$15-1)&lt;0.000001,$B25*L$5,(-1+SQRT(1+2*(Capas!$B$15-1)*$B25*L$5))/(Capas!$B$15-1)))</f>
        <v>0.686742890516483</v>
      </c>
      <c r="M25" s="9" t="n">
        <f aca="false">IF(M$5&gt;=$C25,1,IF(ABS(Capas!$B$15-1)&lt;0.000001,$B25*M$5,(-1+SQRT(1+2*(Capas!$B$15-1)*$B25*M$5))/(Capas!$B$15-1)))</f>
        <v>0.744183640833429</v>
      </c>
      <c r="N25" s="9" t="n">
        <f aca="false">IF(N$5&gt;=$C25,1,IF(ABS(Capas!$B$15-1)&lt;0.000001,$B25*N$5,(-1+SQRT(1+2*(Capas!$B$15-1)*$B25*N$5))/(Capas!$B$15-1)))</f>
        <v>0.805633924088208</v>
      </c>
      <c r="O25" s="9" t="n">
        <f aca="false">IF(O$5&gt;=$C25,1,IF(ABS(Capas!$B$15-1)&lt;0.000001,$B25*O$5,(-1+SQRT(1+2*(Capas!$B$15-1)*$B25*O$5))/(Capas!$B$15-1)))</f>
        <v>0.871340665476329</v>
      </c>
      <c r="P25" s="9" t="n">
        <f aca="false">IF(P$5&gt;=$C25,1,IF(ABS(Capas!$B$15-1)&lt;0.000001,$B25*P$5,(-1+SQRT(1+2*(Capas!$B$15-1)*$B25*P$5))/(Capas!$B$15-1)))</f>
        <v>0.9415671371346</v>
      </c>
      <c r="Q25" s="9" t="n">
        <f aca="false">IF(Q$5&gt;=$C25,1,IF(ABS(Capas!$B$15-1)&lt;0.000001,$B25*Q$5,(-1+SQRT(1+2*(Capas!$B$15-1)*$B25*Q$5))/(Capas!$B$15-1)))</f>
        <v>1</v>
      </c>
      <c r="R25" s="9" t="n">
        <f aca="false">IF(R$5&gt;=$C25,1,IF(ABS(Capas!$B$15-1)&lt;0.000001,$B25*R$5,(-1+SQRT(1+2*(Capas!$B$15-1)*$B25*R$5))/(Capas!$B$15-1)))</f>
        <v>1</v>
      </c>
      <c r="S25" s="9" t="n">
        <f aca="false">IF(S$5&gt;=$C25,1,IF(ABS(Capas!$B$15-1)&lt;0.000001,$B25*S$5,(-1+SQRT(1+2*(Capas!$B$15-1)*$B25*S$5))/(Capas!$B$15-1)))</f>
        <v>1</v>
      </c>
      <c r="T25" s="9" t="n">
        <f aca="false">IF(T$5&gt;=$C25,1,IF(ABS(Capas!$B$15-1)&lt;0.000001,$B25*T$5,(-1+SQRT(1+2*(Capas!$B$15-1)*$B25*T$5))/(Capas!$B$15-1)))</f>
        <v>1</v>
      </c>
      <c r="U25" s="9" t="n">
        <f aca="false">IF(U$5&gt;=$C25,1,IF(ABS(Capas!$B$15-1)&lt;0.000001,$B25*U$5,(-1+SQRT(1+2*(Capas!$B$15-1)*$B25*U$5))/(Capas!$B$15-1)))</f>
        <v>1</v>
      </c>
      <c r="V25" s="9" t="n">
        <f aca="false">IF(V$5&gt;=$C25,1,IF(ABS(Capas!$B$15-1)&lt;0.000001,$B25*V$5,(-1+SQRT(1+2*(Capas!$B$15-1)*$B25*V$5))/(Capas!$B$15-1)))</f>
        <v>1</v>
      </c>
      <c r="W25" s="9" t="n">
        <f aca="false">IF(W$5&gt;=$C25,1,IF(ABS(Capas!$B$15-1)&lt;0.000001,$B25*W$5,(-1+SQRT(1+2*(Capas!$B$15-1)*$B25*W$5))/(Capas!$B$15-1)))</f>
        <v>1</v>
      </c>
      <c r="X25" s="9" t="n">
        <f aca="false">IF(X$5&gt;=$C25,1,IF(ABS(Capas!$B$15-1)&lt;0.000001,$B25*X$5,(-1+SQRT(1+2*(Capas!$B$15-1)*$B25*X$5))/(Capas!$B$15-1)))</f>
        <v>1</v>
      </c>
      <c r="Y25" s="9" t="n">
        <f aca="false">IF(Y$5&gt;=$C25,1,IF(ABS(Capas!$B$15-1)&lt;0.000001,$B25*Y$5,(-1+SQRT(1+2*(Capas!$B$15-1)*$B25*Y$5))/(Capas!$B$15-1)))</f>
        <v>1</v>
      </c>
      <c r="Z25" s="9" t="n">
        <f aca="false">IF(Z$5&gt;=$C25,1,IF(ABS(Capas!$B$15-1)&lt;0.000001,$B25*Z$5,(-1+SQRT(1+2*(Capas!$B$15-1)*$B25*Z$5))/(Capas!$B$15-1)))</f>
        <v>1</v>
      </c>
      <c r="AA25" s="9" t="n">
        <f aca="false">IF(AA$5&gt;=$C25,1,IF(ABS(Capas!$B$15-1)&lt;0.000001,$B25*AA$5,(-1+SQRT(1+2*(Capas!$B$15-1)*$B25*AA$5))/(Capas!$B$15-1)))</f>
        <v>1</v>
      </c>
      <c r="AB25" s="9" t="n">
        <f aca="false">IF(AB$5&gt;=$C25,1,IF(ABS(Capas!$B$15-1)&lt;0.000001,$B25*AB$5,(-1+SQRT(1+2*(Capas!$B$15-1)*$B25*AB$5))/(Capas!$B$15-1)))</f>
        <v>1</v>
      </c>
      <c r="AC25" s="9" t="n">
        <f aca="false">IF(AC$5&gt;=$C25,1,IF(ABS(Capas!$B$15-1)&lt;0.000001,$B25*AC$5,(-1+SQRT(1+2*(Capas!$B$15-1)*$B25*AC$5))/(Capas!$B$15-1)))</f>
        <v>1</v>
      </c>
      <c r="AD25" s="9" t="n">
        <f aca="false">IF(AD$5&gt;=$C25,1,IF(ABS(Capas!$B$15-1)&lt;0.000001,$B25*AD$5,(-1+SQRT(1+2*(Capas!$B$15-1)*$B25*AD$5))/(Capas!$B$15-1)))</f>
        <v>1</v>
      </c>
      <c r="AE25" s="9" t="n">
        <f aca="false">IF(AE$5&gt;=$C25,1,IF(ABS(Capas!$B$15-1)&lt;0.000001,$B25*AE$5,(-1+SQRT(1+2*(Capas!$B$15-1)*$B25*AE$5))/(Capas!$B$15-1)))</f>
        <v>1</v>
      </c>
      <c r="AF25" s="9" t="n">
        <f aca="false">IF(AF$5&gt;=$C25,1,IF(ABS(Capas!$B$15-1)&lt;0.000001,$B25*AF$5,(-1+SQRT(1+2*(Capas!$B$15-1)*$B25*AF$5))/(Capas!$B$15-1)))</f>
        <v>1</v>
      </c>
      <c r="AG25" s="9" t="n">
        <f aca="false">IF(AG$5&gt;=$C25,1,IF(ABS(Capas!$B$15-1)&lt;0.000001,$B25*AG$5,(-1+SQRT(1+2*(Capas!$B$15-1)*$B25*AG$5))/(Capas!$B$15-1)))</f>
        <v>1</v>
      </c>
      <c r="AH25" s="9" t="n">
        <f aca="false">IF(AH$5&gt;=$C25,1,IF(ABS(Capas!$B$15-1)&lt;0.000001,$B25*AH$5,(-1+SQRT(1+2*(Capas!$B$15-1)*$B25*AH$5))/(Capas!$B$15-1)))</f>
        <v>1</v>
      </c>
      <c r="AI25" s="9" t="n">
        <f aca="false">IF(AI$5&gt;=$C25,1,IF(ABS(Capas!$B$15-1)&lt;0.000001,$B25*AI$5,(-1+SQRT(1+2*(Capas!$B$15-1)*$B25*AI$5))/(Capas!$B$15-1)))</f>
        <v>1</v>
      </c>
      <c r="AJ25" s="9" t="n">
        <f aca="false">IF(AJ$5&gt;=$C25,1,IF(ABS(Capas!$B$15-1)&lt;0.000001,$B25*AJ$5,(-1+SQRT(1+2*(Capas!$B$15-1)*$B25*AJ$5))/(Capas!$B$15-1)))</f>
        <v>1</v>
      </c>
      <c r="AK25" s="9" t="n">
        <f aca="false">IF(AK$5&gt;=$C25,1,IF(ABS(Capas!$B$15-1)&lt;0.000001,$B25*AK$5,(-1+SQRT(1+2*(Capas!$B$15-1)*$B25*AK$5))/(Capas!$B$15-1)))</f>
        <v>1</v>
      </c>
      <c r="AL25" s="9" t="n">
        <f aca="false">IF(AL$5&gt;=$C25,1,IF(ABS(Capas!$B$15-1)&lt;0.000001,$B25*AL$5,(-1+SQRT(1+2*(Capas!$B$15-1)*$B25*AL$5))/(Capas!$B$15-1)))</f>
        <v>1</v>
      </c>
      <c r="AM25" s="9" t="n">
        <f aca="false">IF(AM$5&gt;=$C25,1,IF(ABS(Capas!$B$15-1)&lt;0.000001,$B25*AM$5,(-1+SQRT(1+2*(Capas!$B$15-1)*$B25*AM$5))/(Capas!$B$15-1)))</f>
        <v>1</v>
      </c>
      <c r="AN25" s="9" t="n">
        <f aca="false">IF(AN$5&gt;=$C25,1,IF(ABS(Capas!$B$15-1)&lt;0.000001,$B25*AN$5,(-1+SQRT(1+2*(Capas!$B$15-1)*$B25*AN$5))/(Capas!$B$15-1)))</f>
        <v>1</v>
      </c>
      <c r="AO25" s="9" t="n">
        <f aca="false">IF(AO$5&gt;=$C25,1,IF(ABS(Capas!$B$15-1)&lt;0.000001,$B25*AO$5,(-1+SQRT(1+2*(Capas!$B$15-1)*$B25*AO$5))/(Capas!$B$15-1)))</f>
        <v>1</v>
      </c>
      <c r="AP25" s="9" t="n">
        <f aca="false">IF(AP$5&gt;=$C25,1,IF(ABS(Capas!$B$15-1)&lt;0.000001,$B25*AP$5,(-1+SQRT(1+2*(Capas!$B$15-1)*$B25*AP$5))/(Capas!$B$15-1)))</f>
        <v>1</v>
      </c>
      <c r="AQ25" s="9" t="n">
        <f aca="false">IF(AQ$5&gt;=$C25,1,IF(ABS(Capas!$B$15-1)&lt;0.000001,$B25*AQ$5,(-1+SQRT(1+2*(Capas!$B$15-1)*$B25*AQ$5))/(Capas!$B$15-1)))</f>
        <v>1</v>
      </c>
      <c r="AR25" s="9" t="n">
        <f aca="false">IF(AR$5&gt;=$C25,1,IF(ABS(Capas!$B$15-1)&lt;0.000001,$B25*AR$5,(-1+SQRT(1+2*(Capas!$B$15-1)*$B25*AR$5))/(Capas!$B$15-1)))</f>
        <v>1</v>
      </c>
      <c r="AS25" s="9" t="n">
        <f aca="false">IF(AS$5&gt;=$C25,1,IF(ABS(Capas!$B$15-1)&lt;0.000001,$B25*AS$5,(-1+SQRT(1+2*(Capas!$B$15-1)*$B25*AS$5))/(Capas!$B$15-1)))</f>
        <v>1</v>
      </c>
      <c r="AT25" s="9" t="n">
        <f aca="false">IF(AT$5&gt;=$C25,1,IF(ABS(Capas!$B$15-1)&lt;0.000001,$B25*AT$5,(-1+SQRT(1+2*(Capas!$B$15-1)*$B25*AT$5))/(Capas!$B$15-1)))</f>
        <v>1</v>
      </c>
      <c r="AU25" s="9" t="n">
        <f aca="false">IF(AU$5&gt;=$C25,1,IF(ABS(Capas!$B$15-1)&lt;0.000001,$B25*AU$5,(-1+SQRT(1+2*(Capas!$B$15-1)*$B25*AU$5))/(Capas!$B$15-1)))</f>
        <v>1</v>
      </c>
      <c r="AV25" s="9" t="n">
        <f aca="false">IF(AV$5&gt;=$C25,1,IF(ABS(Capas!$B$15-1)&lt;0.000001,$B25*AV$5,(-1+SQRT(1+2*(Capas!$B$15-1)*$B25*AV$5))/(Capas!$B$15-1)))</f>
        <v>1</v>
      </c>
      <c r="AW25" s="9" t="n">
        <f aca="false">IF(AW$5&gt;=$C25,1,IF(ABS(Capas!$B$15-1)&lt;0.000001,$B25*AW$5,(-1+SQRT(1+2*(Capas!$B$15-1)*$B25*AW$5))/(Capas!$B$15-1)))</f>
        <v>1</v>
      </c>
      <c r="AX25" s="9" t="n">
        <f aca="false">IF(AX$5&gt;=$C25,1,IF(ABS(Capas!$B$15-1)&lt;0.000001,$B25*AX$5,(-1+SQRT(1+2*(Capas!$B$15-1)*$B25*AX$5))/(Capas!$B$15-1)))</f>
        <v>1</v>
      </c>
      <c r="AY25" s="9" t="n">
        <f aca="false">IF(AY$5&gt;=$C25,1,IF(ABS(Capas!$B$15-1)&lt;0.000001,$B25*AY$5,(-1+SQRT(1+2*(Capas!$B$15-1)*$B25*AY$5))/(Capas!$B$15-1)))</f>
        <v>1</v>
      </c>
      <c r="AZ25" s="9" t="n">
        <f aca="false">IF(AZ$5&gt;=$C25,1,IF(ABS(Capas!$B$15-1)&lt;0.000001,$B25*AZ$5,(-1+SQRT(1+2*(Capas!$B$15-1)*$B25*AZ$5))/(Capas!$B$15-1)))</f>
        <v>1</v>
      </c>
      <c r="BA25" s="9" t="n">
        <f aca="false">IF(BA$5&gt;=$C25,1,IF(ABS(Capas!$B$15-1)&lt;0.000001,$B25*BA$5,(-1+SQRT(1+2*(Capas!$B$15-1)*$B25*BA$5))/(Capas!$B$15-1)))</f>
        <v>1</v>
      </c>
      <c r="BB25" s="9" t="n">
        <f aca="false">IF(BB$5&gt;=$C25,1,IF(ABS(Capas!$B$15-1)&lt;0.000001,$B25*BB$5,(-1+SQRT(1+2*(Capas!$B$15-1)*$B25*BB$5))/(Capas!$B$15-1)))</f>
        <v>1</v>
      </c>
      <c r="BC25" s="9" t="n">
        <f aca="false">IF(BC$5&gt;=$C25,1,IF(ABS(Capas!$B$15-1)&lt;0.000001,$B25*BC$5,(-1+SQRT(1+2*(Capas!$B$15-1)*$B25*BC$5))/(Capas!$B$15-1)))</f>
        <v>1</v>
      </c>
      <c r="BD25" s="9" t="n">
        <f aca="false">IF(BD$5&gt;=$C25,1,IF(ABS(Capas!$B$15-1)&lt;0.000001,$B25*BD$5,(-1+SQRT(1+2*(Capas!$B$15-1)*$B25*BD$5))/(Capas!$B$15-1)))</f>
        <v>1</v>
      </c>
      <c r="BE25" s="9" t="n">
        <f aca="false">IF(BE$5&gt;=$C25,1,IF(ABS(Capas!$B$15-1)&lt;0.000001,$B25*BE$5,(-1+SQRT(1+2*(Capas!$B$15-1)*$B25*BE$5))/(Capas!$B$15-1)))</f>
        <v>1</v>
      </c>
      <c r="BF25" s="9" t="n">
        <f aca="false">IF(BF$5&gt;=$C25,1,IF(ABS(Capas!$B$15-1)&lt;0.000001,$B25*BF$5,(-1+SQRT(1+2*(Capas!$B$15-1)*$B25*BF$5))/(Capas!$B$15-1)))</f>
        <v>1</v>
      </c>
      <c r="BG25" s="9" t="n">
        <f aca="false">IF(BG$5&gt;=$C25,1,IF(ABS(Capas!$B$15-1)&lt;0.000001,$B25*BG$5,(-1+SQRT(1+2*(Capas!$B$15-1)*$B25*BG$5))/(Capas!$B$15-1)))</f>
        <v>1</v>
      </c>
      <c r="BH25" s="9" t="n">
        <f aca="false">IF(BH$5&gt;=$C25,1,IF(ABS(Capas!$B$15-1)&lt;0.000001,$B25*BH$5,(-1+SQRT(1+2*(Capas!$B$15-1)*$B25*BH$5))/(Capas!$B$15-1)))</f>
        <v>1</v>
      </c>
      <c r="BI25" s="9" t="n">
        <f aca="false">IF(BI$5&gt;=$C25,1,IF(ABS(Capas!$B$15-1)&lt;0.000001,$B25*BI$5,(-1+SQRT(1+2*(Capas!$B$15-1)*$B25*BI$5))/(Capas!$B$15-1)))</f>
        <v>1</v>
      </c>
      <c r="BJ25" s="9" t="n">
        <f aca="false">IF(BJ$5&gt;=$C25,1,IF(ABS(Capas!$B$15-1)&lt;0.000001,$B25*BJ$5,(-1+SQRT(1+2*(Capas!$B$15-1)*$B25*BJ$5))/(Capas!$B$15-1)))</f>
        <v>1</v>
      </c>
      <c r="BK25" s="9" t="n">
        <f aca="false">IF(BK$5&gt;=$C25,1,IF(ABS(Capas!$B$15-1)&lt;0.000001,$B25*BK$5,(-1+SQRT(1+2*(Capas!$B$15-1)*$B25*BK$5))/(Capas!$B$15-1)))</f>
        <v>1</v>
      </c>
    </row>
    <row r="28" customFormat="false" ht="15" hidden="false" customHeight="false" outlineLevel="0" collapsed="false">
      <c r="A28" s="0" t="n">
        <v>1</v>
      </c>
      <c r="D28" s="10" t="n">
        <f aca="false">IF(D6&gt;=1,$B6/Capas!$B$15,$B6/(Capas!$B$15*D6+1-D6))</f>
        <v>0.0927412999982875</v>
      </c>
      <c r="E28" s="10" t="n">
        <f aca="false">IF(E6&gt;=1,$B6/Capas!$B$15,$B6/(Capas!$B$15*E6+1-E6))</f>
        <v>0.0925197475607225</v>
      </c>
      <c r="F28" s="10" t="n">
        <f aca="false">IF(F6&gt;=1,$B6/Capas!$B$15,$B6/(Capas!$B$15*F6+1-F6))</f>
        <v>0.0922703835938741</v>
      </c>
      <c r="G28" s="10" t="n">
        <f aca="false">IF(G6&gt;=1,$B6/Capas!$B$15,$B6/(Capas!$B$15*G6+1-G6))</f>
        <v>0.0919899911360292</v>
      </c>
      <c r="H28" s="10" t="n">
        <f aca="false">IF(H6&gt;=1,$B6/Capas!$B$15,$B6/(Capas!$B$15*H6+1-H6))</f>
        <v>0.0916750546343285</v>
      </c>
      <c r="I28" s="10" t="n">
        <f aca="false">IF(I6&gt;=1,$B6/Capas!$B$15,$B6/(Capas!$B$15*I6+1-I6))</f>
        <v>0.0913217520248532</v>
      </c>
      <c r="J28" s="10" t="n">
        <f aca="false">IF(J6&gt;=1,$B6/Capas!$B$15,$B6/(Capas!$B$15*J6+1-J6))</f>
        <v>0.0909259525773267</v>
      </c>
      <c r="K28" s="10" t="n">
        <f aca="false">IF(K6&gt;=1,$B6/Capas!$B$15,$B6/(Capas!$B$15*K6+1-K6))</f>
        <v>0.0904832223441743</v>
      </c>
      <c r="L28" s="10" t="n">
        <f aca="false">IF(L6&gt;=1,$B6/Capas!$B$15,$B6/(Capas!$B$15*L6+1-L6))</f>
        <v>0.0899888393083891</v>
      </c>
      <c r="M28" s="10" t="n">
        <f aca="false">IF(M6&gt;=1,$B6/Capas!$B$15,$B6/(Capas!$B$15*M6+1-M6))</f>
        <v>0.0894378205355279</v>
      </c>
      <c r="N28" s="10" t="n">
        <f aca="false">IF(N6&gt;=1,$B6/Capas!$B$15,$B6/(Capas!$B$15*N6+1-N6))</f>
        <v>0.0888249637628734</v>
      </c>
      <c r="O28" s="10" t="n">
        <f aca="false">IF(O6&gt;=1,$B6/Capas!$B$15,$B6/(Capas!$B$15*O6+1-O6))</f>
        <v>0.0881449058537082</v>
      </c>
      <c r="P28" s="10" t="n">
        <f aca="false">IF(P6&gt;=1,$B6/Capas!$B$15,$B6/(Capas!$B$15*P6+1-P6))</f>
        <v>0.0873922003482656</v>
      </c>
      <c r="Q28" s="10" t="n">
        <f aca="false">IF(Q6&gt;=1,$B6/Capas!$B$15,$B6/(Capas!$B$15*Q6+1-Q6))</f>
        <v>0.0865614158919013</v>
      </c>
      <c r="R28" s="10" t="n">
        <f aca="false">IF(R6&gt;=1,$B6/Capas!$B$15,$B6/(Capas!$B$15*R6+1-R6))</f>
        <v>0.0856472565544109</v>
      </c>
      <c r="S28" s="10" t="n">
        <f aca="false">IF(S6&gt;=1,$B6/Capas!$B$15,$B6/(Capas!$B$15*S6+1-S6))</f>
        <v>0.0846447039247605</v>
      </c>
      <c r="T28" s="10" t="n">
        <f aca="false">IF(T6&gt;=1,$B6/Capas!$B$15,$B6/(Capas!$B$15*T6+1-T6))</f>
        <v>0.0835491793536565</v>
      </c>
      <c r="U28" s="10" t="n">
        <f aca="false">IF(U6&gt;=1,$B6/Capas!$B$15,$B6/(Capas!$B$15*U6+1-U6))</f>
        <v>0.0823567228488357</v>
      </c>
      <c r="V28" s="10" t="n">
        <f aca="false">IF(V6&gt;=1,$B6/Capas!$B$15,$B6/(Capas!$B$15*V6+1-V6))</f>
        <v>0.0810641829937277</v>
      </c>
      <c r="W28" s="10" t="n">
        <f aca="false">IF(W6&gt;=1,$B6/Capas!$B$15,$B6/(Capas!$B$15*W6+1-W6))</f>
        <v>0.0796694100231403</v>
      </c>
      <c r="X28" s="10" t="n">
        <f aca="false">IF(X6&gt;=1,$B6/Capas!$B$15,$B6/(Capas!$B$15*X6+1-X6))</f>
        <v>0.0781714420905104</v>
      </c>
      <c r="Y28" s="10" t="n">
        <f aca="false">IF(Y6&gt;=1,$B6/Capas!$B$15,$B6/(Capas!$B$15*Y6+1-Y6))</f>
        <v>0.0765706731033223</v>
      </c>
      <c r="Z28" s="10" t="n">
        <f aca="false">IF(Z6&gt;=1,$B6/Capas!$B$15,$B6/(Capas!$B$15*Z6+1-Z6))</f>
        <v>0.074868989618157</v>
      </c>
      <c r="AA28" s="10" t="n">
        <f aca="false">IF(AA6&gt;=1,$B6/Capas!$B$15,$B6/(Capas!$B$15*AA6+1-AA6))</f>
        <v>0.0730698644807614</v>
      </c>
      <c r="AB28" s="10" t="n">
        <f aca="false">IF(AB6&gt;=1,$B6/Capas!$B$15,$B6/(Capas!$B$15*AB6+1-AB6))</f>
        <v>0.071178396383655</v>
      </c>
      <c r="AC28" s="10" t="n">
        <f aca="false">IF(AC6&gt;=1,$B6/Capas!$B$15,$B6/(Capas!$B$15*AC6+1-AC6))</f>
        <v>0.069201287350013</v>
      </c>
      <c r="AD28" s="10" t="n">
        <f aca="false">IF(AD6&gt;=1,$B6/Capas!$B$15,$B6/(Capas!$B$15*AD6+1-AD6))</f>
        <v>0.0671467541880156</v>
      </c>
      <c r="AE28" s="10" t="n">
        <f aca="false">IF(AE6&gt;=1,$B6/Capas!$B$15,$B6/(Capas!$B$15*AE6+1-AE6))</f>
        <v>0.0650243748279696</v>
      </c>
      <c r="AF28" s="10" t="n">
        <f aca="false">IF(AF6&gt;=1,$B6/Capas!$B$15,$B6/(Capas!$B$15*AF6+1-AF6))</f>
        <v>0.0628448756089454</v>
      </c>
      <c r="AG28" s="10" t="n">
        <f aca="false">IF(AG6&gt;=1,$B6/Capas!$B$15,$B6/(Capas!$B$15*AG6+1-AG6))</f>
        <v>0.0606198703797401</v>
      </c>
      <c r="AH28" s="10" t="n">
        <f aca="false">IF(AH6&gt;=1,$B6/Capas!$B$15,$B6/(Capas!$B$15*AH6+1-AH6))</f>
        <v>0.0583615660959739</v>
      </c>
      <c r="AI28" s="10" t="n">
        <f aca="false">IF(AI6&gt;=1,$B6/Capas!$B$15,$B6/(Capas!$B$15*AI6+1-AI6))</f>
        <v>0.0560824519423992</v>
      </c>
      <c r="AJ28" s="10" t="n">
        <f aca="false">IF(AJ6&gt;=1,$B6/Capas!$B$15,$B6/(Capas!$B$15*AJ6+1-AJ6))</f>
        <v>0.0537949896260129</v>
      </c>
      <c r="AK28" s="10" t="n">
        <f aca="false">IF(AK6&gt;=1,$B6/Capas!$B$15,$B6/(Capas!$B$15*AK6+1-AK6))</f>
        <v>0.0515113213794539</v>
      </c>
      <c r="AL28" s="10" t="n">
        <f aca="false">IF(AL6&gt;=1,$B6/Capas!$B$15,$B6/(Capas!$B$15*AL6+1-AL6))</f>
        <v>0.0492430096455998</v>
      </c>
      <c r="AM28" s="10" t="n">
        <f aca="false">IF(AM6&gt;=1,$B6/Capas!$B$15,$B6/(Capas!$B$15*AM6+1-AM6))</f>
        <v>0.0470008188276062</v>
      </c>
      <c r="AN28" s="10" t="n">
        <f aca="false">IF(AN6&gt;=1,$B6/Capas!$B$15,$B6/(Capas!$B$15*AN6+1-AN6))</f>
        <v>0.0447945454152743</v>
      </c>
      <c r="AO28" s="10" t="n">
        <f aca="false">IF(AO6&gt;=1,$B6/Capas!$B$15,$B6/(Capas!$B$15*AO6+1-AO6))</f>
        <v>0.0426328987569443</v>
      </c>
      <c r="AP28" s="10" t="n">
        <f aca="false">IF(AP6&gt;=1,$B6/Capas!$B$15,$B6/(Capas!$B$15*AP6+1-AP6))</f>
        <v>0.0405234311610248</v>
      </c>
      <c r="AQ28" s="10" t="n">
        <f aca="false">IF(AQ6&gt;=1,$B6/Capas!$B$15,$B6/(Capas!$B$15*AQ6+1-AQ6))</f>
        <v>0.0384725131672476</v>
      </c>
      <c r="AR28" s="10" t="n">
        <f aca="false">IF(AR6&gt;=1,$B6/Capas!$B$15,$B6/(Capas!$B$15*AR6+1-AR6))</f>
        <v>0.0364853478571387</v>
      </c>
      <c r="AS28" s="10" t="n">
        <f aca="false">IF(AS6&gt;=1,$B6/Capas!$B$15,$B6/(Capas!$B$15*AS6+1-AS6))</f>
        <v>0.0345660169737735</v>
      </c>
      <c r="AT28" s="10" t="n">
        <f aca="false">IF(AT6&gt;=1,$B6/Capas!$B$15,$B6/(Capas!$B$15*AT6+1-AT6))</f>
        <v>0.0327175512908152</v>
      </c>
      <c r="AU28" s="10" t="n">
        <f aca="false">IF(AU6&gt;=1,$B6/Capas!$B$15,$B6/(Capas!$B$15*AU6+1-AU6))</f>
        <v>0.0309420179497547</v>
      </c>
      <c r="AV28" s="10" t="n">
        <f aca="false">IF(AV6&gt;=1,$B6/Capas!$B$15,$B6/(Capas!$B$15*AV6+1-AV6))</f>
        <v>0.0292406181909466</v>
      </c>
      <c r="AW28" s="10" t="n">
        <f aca="false">IF(AW6&gt;=1,$B6/Capas!$B$15,$B6/(Capas!$B$15*AW6+1-AW6))</f>
        <v>0.0276137898651648</v>
      </c>
      <c r="AX28" s="10" t="n">
        <f aca="false">IF(AX6&gt;=1,$B6/Capas!$B$15,$B6/(Capas!$B$15*AX6+1-AX6))</f>
        <v>0.0260613101809248</v>
      </c>
      <c r="AY28" s="10" t="n">
        <f aca="false">IF(AY6&gt;=1,$B6/Capas!$B$15,$B6/(Capas!$B$15*AY6+1-AY6))</f>
        <v>0.0245823952062726</v>
      </c>
      <c r="AZ28" s="10" t="n">
        <f aca="false">IF(AZ6&gt;=1,$B6/Capas!$B$15,$B6/(Capas!$B$15*AZ6+1-AZ6))</f>
        <v>0.0231757936252719</v>
      </c>
      <c r="BA28" s="10" t="n">
        <f aca="false">IF(BA6&gt;=1,$B6/Capas!$B$15,$B6/(Capas!$B$15*BA6+1-BA6))</f>
        <v>0.0218398731038095</v>
      </c>
      <c r="BB28" s="10" t="n">
        <f aca="false">IF(BB6&gt;=1,$B6/Capas!$B$15,$B6/(Capas!$B$15*BB6+1-BB6))</f>
        <v>0.0205726983267211</v>
      </c>
      <c r="BC28" s="10" t="n">
        <f aca="false">IF(BC6&gt;=1,$B6/Capas!$B$15,$B6/(Capas!$B$15*BC6+1-BC6))</f>
        <v>0.0202380987188348</v>
      </c>
      <c r="BD28" s="10" t="n">
        <f aca="false">IF(BD6&gt;=1,$B6/Capas!$B$15,$B6/(Capas!$B$15*BD6+1-BD6))</f>
        <v>0.0202380987188348</v>
      </c>
      <c r="BE28" s="10" t="n">
        <f aca="false">IF(BE6&gt;=1,$B6/Capas!$B$15,$B6/(Capas!$B$15*BE6+1-BE6))</f>
        <v>0.0202380987188348</v>
      </c>
      <c r="BF28" s="10" t="n">
        <f aca="false">IF(BF6&gt;=1,$B6/Capas!$B$15,$B6/(Capas!$B$15*BF6+1-BF6))</f>
        <v>0.0202380987188348</v>
      </c>
      <c r="BG28" s="10" t="n">
        <f aca="false">IF(BG6&gt;=1,$B6/Capas!$B$15,$B6/(Capas!$B$15*BG6+1-BG6))</f>
        <v>0.0202380987188348</v>
      </c>
      <c r="BH28" s="10" t="n">
        <f aca="false">IF(BH6&gt;=1,$B6/Capas!$B$15,$B6/(Capas!$B$15*BH6+1-BH6))</f>
        <v>0.0202380987188348</v>
      </c>
      <c r="BI28" s="10" t="n">
        <f aca="false">IF(BI6&gt;=1,$B6/Capas!$B$15,$B6/(Capas!$B$15*BI6+1-BI6))</f>
        <v>0.0202380987188348</v>
      </c>
      <c r="BJ28" s="10" t="n">
        <f aca="false">IF(BJ6&gt;=1,$B6/Capas!$B$15,$B6/(Capas!$B$15*BJ6+1-BJ6))</f>
        <v>0.0202380987188348</v>
      </c>
      <c r="BK28" s="10" t="n">
        <f aca="false">IF(BK6&gt;=1,$B6/Capas!$B$15,$B6/(Capas!$B$15*BK6+1-BK6))</f>
        <v>0.0202380987188348</v>
      </c>
    </row>
    <row r="29" customFormat="false" ht="15" hidden="false" customHeight="false" outlineLevel="0" collapsed="false">
      <c r="A29" s="0" t="n">
        <v>2</v>
      </c>
      <c r="D29" s="10" t="n">
        <f aca="false">IF(D7&gt;=1,$B7/Capas!$B$15,$B7/(Capas!$B$15*D7+1-D7))</f>
        <v>0.170898302889041</v>
      </c>
      <c r="E29" s="10" t="n">
        <f aca="false">IF(E7&gt;=1,$B7/Capas!$B$15,$B7/(Capas!$B$15*E7+1-E7))</f>
        <v>0.170159578354462</v>
      </c>
      <c r="F29" s="10" t="n">
        <f aca="false">IF(F7&gt;=1,$B7/Capas!$B$15,$B7/(Capas!$B$15*F7+1-F7))</f>
        <v>0.169333231354958</v>
      </c>
      <c r="G29" s="10" t="n">
        <f aca="false">IF(G7&gt;=1,$B7/Capas!$B$15,$B7/(Capas!$B$15*G7+1-G7))</f>
        <v>0.168410437792305</v>
      </c>
      <c r="H29" s="10" t="n">
        <f aca="false">IF(H7&gt;=1,$B7/Capas!$B$15,$B7/(Capas!$B$15*H7+1-H7))</f>
        <v>0.16738188389678</v>
      </c>
      <c r="I29" s="10" t="n">
        <f aca="false">IF(I7&gt;=1,$B7/Capas!$B$15,$B7/(Capas!$B$15*I7+1-I7))</f>
        <v>0.166237843383216</v>
      </c>
      <c r="J29" s="10" t="n">
        <f aca="false">IF(J7&gt;=1,$B7/Capas!$B$15,$B7/(Capas!$B$15*J7+1-J7))</f>
        <v>0.164968286064358</v>
      </c>
      <c r="K29" s="10" t="n">
        <f aca="false">IF(K7&gt;=1,$B7/Capas!$B$15,$B7/(Capas!$B$15*K7+1-K7))</f>
        <v>0.163563022110464</v>
      </c>
      <c r="L29" s="10" t="n">
        <f aca="false">IF(L7&gt;=1,$B7/Capas!$B$15,$B7/(Capas!$B$15*L7+1-L7))</f>
        <v>0.162011885312292</v>
      </c>
      <c r="M29" s="10" t="n">
        <f aca="false">IF(M7&gt;=1,$B7/Capas!$B$15,$B7/(Capas!$B$15*M7+1-M7))</f>
        <v>0.160304957284712</v>
      </c>
      <c r="N29" s="10" t="n">
        <f aca="false">IF(N7&gt;=1,$B7/Capas!$B$15,$B7/(Capas!$B$15*N7+1-N7))</f>
        <v>0.158432832450426</v>
      </c>
      <c r="O29" s="10" t="n">
        <f aca="false">IF(O7&gt;=1,$B7/Capas!$B$15,$B7/(Capas!$B$15*O7+1-O7))</f>
        <v>0.156386920830479</v>
      </c>
      <c r="P29" s="10" t="n">
        <f aca="false">IF(P7&gt;=1,$B7/Capas!$B$15,$B7/(Capas!$B$15*P7+1-P7))</f>
        <v>0.154159782187391</v>
      </c>
      <c r="Q29" s="10" t="n">
        <f aca="false">IF(Q7&gt;=1,$B7/Capas!$B$15,$B7/(Capas!$B$15*Q7+1-Q7))</f>
        <v>0.15174548108173</v>
      </c>
      <c r="R29" s="10" t="n">
        <f aca="false">IF(R7&gt;=1,$B7/Capas!$B$15,$B7/(Capas!$B$15*R7+1-R7))</f>
        <v>0.149139948216856</v>
      </c>
      <c r="S29" s="10" t="n">
        <f aca="false">IF(S7&gt;=1,$B7/Capas!$B$15,$B7/(Capas!$B$15*S7+1-S7))</f>
        <v>0.146341329506921</v>
      </c>
      <c r="T29" s="10" t="n">
        <f aca="false">IF(T7&gt;=1,$B7/Capas!$B$15,$B7/(Capas!$B$15*T7+1-T7))</f>
        <v>0.143350301175144</v>
      </c>
      <c r="U29" s="10" t="n">
        <f aca="false">IF(U7&gt;=1,$B7/Capas!$B$15,$B7/(Capas!$B$15*U7+1-U7))</f>
        <v>0.140170327493443</v>
      </c>
      <c r="V29" s="10" t="n">
        <f aca="false">IF(V7&gt;=1,$B7/Capas!$B$15,$B7/(Capas!$B$15*V7+1-V7))</f>
        <v>0.136807838086027</v>
      </c>
      <c r="W29" s="10" t="n">
        <f aca="false">IF(W7&gt;=1,$B7/Capas!$B$15,$B7/(Capas!$B$15*W7+1-W7))</f>
        <v>0.133272304444749</v>
      </c>
      <c r="X29" s="10" t="n">
        <f aca="false">IF(X7&gt;=1,$B7/Capas!$B$15,$B7/(Capas!$B$15*X7+1-X7))</f>
        <v>0.129576200555247</v>
      </c>
      <c r="Y29" s="10" t="n">
        <f aca="false">IF(Y7&gt;=1,$B7/Capas!$B$15,$B7/(Capas!$B$15*Y7+1-Y7))</f>
        <v>0.125734840039179</v>
      </c>
      <c r="Z29" s="10" t="n">
        <f aca="false">IF(Z7&gt;=1,$B7/Capas!$B$15,$B7/(Capas!$B$15*Z7+1-Z7))</f>
        <v>0.121766091301998</v>
      </c>
      <c r="AA29" s="10" t="n">
        <f aca="false">IF(AA7&gt;=1,$B7/Capas!$B$15,$B7/(Capas!$B$15*AA7+1-AA7))</f>
        <v>0.117689981821609</v>
      </c>
      <c r="AB29" s="10" t="n">
        <f aca="false">IF(AB7&gt;=1,$B7/Capas!$B$15,$B7/(Capas!$B$15*AB7+1-AB7))</f>
        <v>0.113528211720232</v>
      </c>
      <c r="AC29" s="10" t="n">
        <f aca="false">IF(AC7&gt;=1,$B7/Capas!$B$15,$B7/(Capas!$B$15*AC7+1-AC7))</f>
        <v>0.109303603957463</v>
      </c>
      <c r="AD29" s="10" t="n">
        <f aca="false">IF(AD7&gt;=1,$B7/Capas!$B$15,$B7/(Capas!$B$15*AD7+1-AD7))</f>
        <v>0.10503952294469</v>
      </c>
      <c r="AE29" s="10" t="n">
        <f aca="false">IF(AE7&gt;=1,$B7/Capas!$B$15,$B7/(Capas!$B$15*AE7+1-AE7))</f>
        <v>0.100759294610099</v>
      </c>
      <c r="AF29" s="10" t="n">
        <f aca="false">IF(AF7&gt;=1,$B7/Capas!$B$15,$B7/(Capas!$B$15*AF7+1-AF7))</f>
        <v>0.0964856589433362</v>
      </c>
      <c r="AG29" s="10" t="n">
        <f aca="false">IF(AG7&gt;=1,$B7/Capas!$B$15,$B7/(Capas!$B$15*AG7+1-AG7))</f>
        <v>0.0922402812965649</v>
      </c>
      <c r="AH29" s="10" t="n">
        <f aca="false">IF(AH7&gt;=1,$B7/Capas!$B$15,$B7/(Capas!$B$15*AH7+1-AH7))</f>
        <v>0.0880433420398175</v>
      </c>
      <c r="AI29" s="10" t="n">
        <f aca="false">IF(AI7&gt;=1,$B7/Capas!$B$15,$B7/(Capas!$B$15*AI7+1-AI7))</f>
        <v>0.0839132165559314</v>
      </c>
      <c r="AJ29" s="10" t="n">
        <f aca="false">IF(AJ7&gt;=1,$B7/Capas!$B$15,$B7/(Capas!$B$15*AJ7+1-AJ7))</f>
        <v>0.0798662499864372</v>
      </c>
      <c r="AK29" s="10" t="n">
        <f aca="false">IF(AK7&gt;=1,$B7/Capas!$B$15,$B7/(Capas!$B$15*AK7+1-AK7))</f>
        <v>0.075916624404853</v>
      </c>
      <c r="AL29" s="10" t="n">
        <f aca="false">IF(AL7&gt;=1,$B7/Capas!$B$15,$B7/(Capas!$B$15*AL7+1-AL7))</f>
        <v>0.0720763107366951</v>
      </c>
      <c r="AM29" s="10" t="n">
        <f aca="false">IF(AM7&gt;=1,$B7/Capas!$B$15,$B7/(Capas!$B$15*AM7+1-AM7))</f>
        <v>0.0683550940201034</v>
      </c>
      <c r="AN29" s="10" t="n">
        <f aca="false">IF(AN7&gt;=1,$B7/Capas!$B$15,$B7/(Capas!$B$15*AN7+1-AN7))</f>
        <v>0.0647606585081769</v>
      </c>
      <c r="AO29" s="10" t="n">
        <f aca="false">IF(AO7&gt;=1,$B7/Capas!$B$15,$B7/(Capas!$B$15*AO7+1-AO7))</f>
        <v>0.0612987184667726</v>
      </c>
      <c r="AP29" s="10" t="n">
        <f aca="false">IF(AP7&gt;=1,$B7/Capas!$B$15,$B7/(Capas!$B$15*AP7+1-AP7))</f>
        <v>0.0579731810212463</v>
      </c>
      <c r="AQ29" s="10" t="n">
        <f aca="false">IF(AQ7&gt;=1,$B7/Capas!$B$15,$B7/(Capas!$B$15*AQ7+1-AQ7))</f>
        <v>0.0547863287134687</v>
      </c>
      <c r="AR29" s="10" t="n">
        <f aca="false">IF(AR7&gt;=1,$B7/Capas!$B$15,$B7/(Capas!$B$15*AR7+1-AR7))</f>
        <v>0.0517390112213869</v>
      </c>
      <c r="AS29" s="10" t="n">
        <f aca="false">IF(AS7&gt;=1,$B7/Capas!$B$15,$B7/(Capas!$B$15*AS7+1-AS7))</f>
        <v>0.0488308376908486</v>
      </c>
      <c r="AT29" s="10" t="n">
        <f aca="false">IF(AT7&gt;=1,$B7/Capas!$B$15,$B7/(Capas!$B$15*AT7+1-AT7))</f>
        <v>0.0460603631214225</v>
      </c>
      <c r="AU29" s="10" t="n">
        <f aca="false">IF(AU7&gt;=1,$B7/Capas!$B$15,$B7/(Capas!$B$15*AU7+1-AU7))</f>
        <v>0.0434252640892307</v>
      </c>
      <c r="AV29" s="10" t="n">
        <f aca="false">IF(AV7&gt;=1,$B7/Capas!$B$15,$B7/(Capas!$B$15*AV7+1-AV7))</f>
        <v>0.0409225006945381</v>
      </c>
      <c r="AW29" s="10" t="n">
        <f aca="false">IF(AW7&gt;=1,$B7/Capas!$B$15,$B7/(Capas!$B$15*AW7+1-AW7))</f>
        <v>0.0385484629519056</v>
      </c>
      <c r="AX29" s="10" t="n">
        <f aca="false">IF(AX7&gt;=1,$B7/Capas!$B$15,$B7/(Capas!$B$15*AX7+1-AX7))</f>
        <v>0.0378697824049097</v>
      </c>
      <c r="AY29" s="10" t="n">
        <f aca="false">IF(AY7&gt;=1,$B7/Capas!$B$15,$B7/(Capas!$B$15*AY7+1-AY7))</f>
        <v>0.0378697824049097</v>
      </c>
      <c r="AZ29" s="10" t="n">
        <f aca="false">IF(AZ7&gt;=1,$B7/Capas!$B$15,$B7/(Capas!$B$15*AZ7+1-AZ7))</f>
        <v>0.0378697824049097</v>
      </c>
      <c r="BA29" s="10" t="n">
        <f aca="false">IF(BA7&gt;=1,$B7/Capas!$B$15,$B7/(Capas!$B$15*BA7+1-BA7))</f>
        <v>0.0378697824049097</v>
      </c>
      <c r="BB29" s="10" t="n">
        <f aca="false">IF(BB7&gt;=1,$B7/Capas!$B$15,$B7/(Capas!$B$15*BB7+1-BB7))</f>
        <v>0.0378697824049097</v>
      </c>
      <c r="BC29" s="10" t="n">
        <f aca="false">IF(BC7&gt;=1,$B7/Capas!$B$15,$B7/(Capas!$B$15*BC7+1-BC7))</f>
        <v>0.0378697824049097</v>
      </c>
      <c r="BD29" s="10" t="n">
        <f aca="false">IF(BD7&gt;=1,$B7/Capas!$B$15,$B7/(Capas!$B$15*BD7+1-BD7))</f>
        <v>0.0378697824049097</v>
      </c>
      <c r="BE29" s="10" t="n">
        <f aca="false">IF(BE7&gt;=1,$B7/Capas!$B$15,$B7/(Capas!$B$15*BE7+1-BE7))</f>
        <v>0.0378697824049097</v>
      </c>
      <c r="BF29" s="10" t="n">
        <f aca="false">IF(BF7&gt;=1,$B7/Capas!$B$15,$B7/(Capas!$B$15*BF7+1-BF7))</f>
        <v>0.0378697824049097</v>
      </c>
      <c r="BG29" s="10" t="n">
        <f aca="false">IF(BG7&gt;=1,$B7/Capas!$B$15,$B7/(Capas!$B$15*BG7+1-BG7))</f>
        <v>0.0378697824049097</v>
      </c>
      <c r="BH29" s="10" t="n">
        <f aca="false">IF(BH7&gt;=1,$B7/Capas!$B$15,$B7/(Capas!$B$15*BH7+1-BH7))</f>
        <v>0.0378697824049097</v>
      </c>
      <c r="BI29" s="10" t="n">
        <f aca="false">IF(BI7&gt;=1,$B7/Capas!$B$15,$B7/(Capas!$B$15*BI7+1-BI7))</f>
        <v>0.0378697824049097</v>
      </c>
      <c r="BJ29" s="10" t="n">
        <f aca="false">IF(BJ7&gt;=1,$B7/Capas!$B$15,$B7/(Capas!$B$15*BJ7+1-BJ7))</f>
        <v>0.0378697824049097</v>
      </c>
      <c r="BK29" s="10" t="n">
        <f aca="false">IF(BK7&gt;=1,$B7/Capas!$B$15,$B7/(Capas!$B$15*BK7+1-BK7))</f>
        <v>0.0378697824049097</v>
      </c>
    </row>
    <row r="30" customFormat="false" ht="15" hidden="false" customHeight="false" outlineLevel="0" collapsed="false">
      <c r="A30" s="0" t="n">
        <v>3</v>
      </c>
      <c r="D30" s="10" t="n">
        <f aca="false">IF(D8&gt;=1,$B8/Capas!$B$15,$B8/(Capas!$B$15*D8+1-D8))</f>
        <v>0.238867496371433</v>
      </c>
      <c r="E30" s="10" t="n">
        <f aca="false">IF(E8&gt;=1,$B8/Capas!$B$15,$B8/(Capas!$B$15*E8+1-E8))</f>
        <v>0.237446906947622</v>
      </c>
      <c r="F30" s="10" t="n">
        <f aca="false">IF(F8&gt;=1,$B8/Capas!$B$15,$B8/(Capas!$B$15*F8+1-F8))</f>
        <v>0.235866008163984</v>
      </c>
      <c r="G30" s="10" t="n">
        <f aca="false">IF(G8&gt;=1,$B8/Capas!$B$15,$B8/(Capas!$B$15*G8+1-G8))</f>
        <v>0.23411067707319</v>
      </c>
      <c r="H30" s="10" t="n">
        <f aca="false">IF(H8&gt;=1,$B8/Capas!$B$15,$B8/(Capas!$B$15*H8+1-H8))</f>
        <v>0.232166511902433</v>
      </c>
      <c r="I30" s="10" t="n">
        <f aca="false">IF(I8&gt;=1,$B8/Capas!$B$15,$B8/(Capas!$B$15*I8+1-I8))</f>
        <v>0.230019078356645</v>
      </c>
      <c r="J30" s="10" t="n">
        <f aca="false">IF(J8&gt;=1,$B8/Capas!$B$15,$B8/(Capas!$B$15*J8+1-J8))</f>
        <v>0.227654213499346</v>
      </c>
      <c r="K30" s="10" t="n">
        <f aca="false">IF(K8&gt;=1,$B8/Capas!$B$15,$B8/(Capas!$B$15*K8+1-K8))</f>
        <v>0.225058387770689</v>
      </c>
      <c r="L30" s="10" t="n">
        <f aca="false">IF(L8&gt;=1,$B8/Capas!$B$15,$B8/(Capas!$B$15*L8+1-L8))</f>
        <v>0.222219121954552</v>
      </c>
      <c r="M30" s="10" t="n">
        <f aca="false">IF(M8&gt;=1,$B8/Capas!$B$15,$B8/(Capas!$B$15*M8+1-M8))</f>
        <v>0.219125451183802</v>
      </c>
      <c r="N30" s="10" t="n">
        <f aca="false">IF(N8&gt;=1,$B8/Capas!$B$15,$B8/(Capas!$B$15*N8+1-N8))</f>
        <v>0.215768422564611</v>
      </c>
      <c r="O30" s="10" t="n">
        <f aca="false">IF(O8&gt;=1,$B8/Capas!$B$15,$B8/(Capas!$B$15*O8+1-O8))</f>
        <v>0.212141607088483</v>
      </c>
      <c r="P30" s="10" t="n">
        <f aca="false">IF(P8&gt;=1,$B8/Capas!$B$15,$B8/(Capas!$B$15*P8+1-P8))</f>
        <v>0.208241600771706</v>
      </c>
      <c r="Q30" s="10" t="n">
        <f aca="false">IF(Q8&gt;=1,$B8/Capas!$B$15,$B8/(Capas!$B$15*Q8+1-Q8))</f>
        <v>0.204068485183797</v>
      </c>
      <c r="R30" s="10" t="n">
        <f aca="false">IF(R8&gt;=1,$B8/Capas!$B$15,$B8/(Capas!$B$15*R8+1-R8))</f>
        <v>0.199626214570671</v>
      </c>
      <c r="S30" s="10" t="n">
        <f aca="false">IF(S8&gt;=1,$B8/Capas!$B$15,$B8/(Capas!$B$15*S8+1-S8))</f>
        <v>0.194922896489612</v>
      </c>
      <c r="T30" s="10" t="n">
        <f aca="false">IF(T8&gt;=1,$B8/Capas!$B$15,$B8/(Capas!$B$15*T8+1-T8))</f>
        <v>0.189970935899781</v>
      </c>
      <c r="U30" s="10" t="n">
        <f aca="false">IF(U8&gt;=1,$B8/Capas!$B$15,$B8/(Capas!$B$15*U8+1-U8))</f>
        <v>0.184787019264687</v>
      </c>
      <c r="V30" s="10" t="n">
        <f aca="false">IF(V8&gt;=1,$B8/Capas!$B$15,$B8/(Capas!$B$15*V8+1-V8))</f>
        <v>0.179391925172227</v>
      </c>
      <c r="W30" s="10" t="n">
        <f aca="false">IF(W8&gt;=1,$B8/Capas!$B$15,$B8/(Capas!$B$15*W8+1-W8))</f>
        <v>0.173810160435672</v>
      </c>
      <c r="X30" s="10" t="n">
        <f aca="false">IF(X8&gt;=1,$B8/Capas!$B$15,$B8/(Capas!$B$15*X8+1-X8))</f>
        <v>0.168069434263065</v>
      </c>
      <c r="Y30" s="10" t="n">
        <f aca="false">IF(Y8&gt;=1,$B8/Capas!$B$15,$B8/(Capas!$B$15*Y8+1-Y8))</f>
        <v>0.162199996208452</v>
      </c>
      <c r="Z30" s="10" t="n">
        <f aca="false">IF(Z8&gt;=1,$B8/Capas!$B$15,$B8/(Capas!$B$15*Z8+1-Z8))</f>
        <v>0.156233874547169</v>
      </c>
      <c r="AA30" s="10" t="n">
        <f aca="false">IF(AA8&gt;=1,$B8/Capas!$B$15,$B8/(Capas!$B$15*AA8+1-AA8))</f>
        <v>0.15020405903388</v>
      </c>
      <c r="AB30" s="10" t="n">
        <f aca="false">IF(AB8&gt;=1,$B8/Capas!$B$15,$B8/(Capas!$B$15*AB8+1-AB8))</f>
        <v>0.144143674842592</v>
      </c>
      <c r="AC30" s="10" t="n">
        <f aca="false">IF(AC8&gt;=1,$B8/Capas!$B$15,$B8/(Capas!$B$15*AC8+1-AC8))</f>
        <v>0.13808519268876</v>
      </c>
      <c r="AD30" s="10" t="n">
        <f aca="false">IF(AD8&gt;=1,$B8/Capas!$B$15,$B8/(Capas!$B$15*AD8+1-AD8))</f>
        <v>0.132059714225152</v>
      </c>
      <c r="AE30" s="10" t="n">
        <f aca="false">IF(AE8&gt;=1,$B8/Capas!$B$15,$B8/(Capas!$B$15*AE8+1-AE8))</f>
        <v>0.126096362860415</v>
      </c>
      <c r="AF30" s="10" t="n">
        <f aca="false">IF(AF8&gt;=1,$B8/Capas!$B$15,$B8/(Capas!$B$15*AF8+1-AF8))</f>
        <v>0.12022179954753</v>
      </c>
      <c r="AG30" s="10" t="n">
        <f aca="false">IF(AG8&gt;=1,$B8/Capas!$B$15,$B8/(Capas!$B$15*AG8+1-AG8))</f>
        <v>0.1144598722348</v>
      </c>
      <c r="AH30" s="10" t="n">
        <f aca="false">IF(AH8&gt;=1,$B8/Capas!$B$15,$B8/(Capas!$B$15*AH8+1-AH8))</f>
        <v>0.108831397770363</v>
      </c>
      <c r="AI30" s="10" t="n">
        <f aca="false">IF(AI8&gt;=1,$B8/Capas!$B$15,$B8/(Capas!$B$15*AI8+1-AI8))</f>
        <v>0.10335406695869</v>
      </c>
      <c r="AJ30" s="10" t="n">
        <f aca="false">IF(AJ8&gt;=1,$B8/Capas!$B$15,$B8/(Capas!$B$15*AJ8+1-AJ8))</f>
        <v>0.0980424576368505</v>
      </c>
      <c r="AK30" s="10" t="n">
        <f aca="false">IF(AK8&gt;=1,$B8/Capas!$B$15,$B8/(Capas!$B$15*AK8+1-AK8))</f>
        <v>0.0929081371476705</v>
      </c>
      <c r="AL30" s="10" t="n">
        <f aca="false">IF(AL8&gt;=1,$B8/Capas!$B$15,$B8/(Capas!$B$15*AL8+1-AL8))</f>
        <v>0.0879598342239553</v>
      </c>
      <c r="AM30" s="10" t="n">
        <f aca="false">IF(AM8&gt;=1,$B8/Capas!$B$15,$B8/(Capas!$B$15*AM8+1-AM8))</f>
        <v>0.0832036606674574</v>
      </c>
      <c r="AN30" s="10" t="n">
        <f aca="false">IF(AN8&gt;=1,$B8/Capas!$B$15,$B8/(Capas!$B$15*AN8+1-AN8))</f>
        <v>0.0786433648335374</v>
      </c>
      <c r="AO30" s="10" t="n">
        <f aca="false">IF(AO8&gt;=1,$B8/Capas!$B$15,$B8/(Capas!$B$15*AO8+1-AO8))</f>
        <v>0.0742806013471536</v>
      </c>
      <c r="AP30" s="10" t="n">
        <f aca="false">IF(AP8&gt;=1,$B8/Capas!$B$15,$B8/(Capas!$B$15*AP8+1-AP8))</f>
        <v>0.0701152042670564</v>
      </c>
      <c r="AQ30" s="10" t="n">
        <f aca="false">IF(AQ8&gt;=1,$B8/Capas!$B$15,$B8/(Capas!$B$15*AQ8+1-AQ8))</f>
        <v>0.0661454537603599</v>
      </c>
      <c r="AR30" s="10" t="n">
        <f aca="false">IF(AR8&gt;=1,$B8/Capas!$B$15,$B8/(Capas!$B$15*AR8+1-AR8))</f>
        <v>0.0623683290215883</v>
      </c>
      <c r="AS30" s="10" t="n">
        <f aca="false">IF(AS8&gt;=1,$B8/Capas!$B$15,$B8/(Capas!$B$15*AS8+1-AS8))</f>
        <v>0.0587797425289135</v>
      </c>
      <c r="AT30" s="10" t="n">
        <f aca="false">IF(AT8&gt;=1,$B8/Capas!$B$15,$B8/(Capas!$B$15*AT8+1-AT8))</f>
        <v>0.0553747527074245</v>
      </c>
      <c r="AU30" s="10" t="n">
        <f aca="false">IF(AU8&gt;=1,$B8/Capas!$B$15,$B8/(Capas!$B$15*AU8+1-AU8))</f>
        <v>0.0536413844756862</v>
      </c>
      <c r="AV30" s="10" t="n">
        <f aca="false">IF(AV8&gt;=1,$B8/Capas!$B$15,$B8/(Capas!$B$15*AV8+1-AV8))</f>
        <v>0.0536413844756862</v>
      </c>
      <c r="AW30" s="10" t="n">
        <f aca="false">IF(AW8&gt;=1,$B8/Capas!$B$15,$B8/(Capas!$B$15*AW8+1-AW8))</f>
        <v>0.0536413844756862</v>
      </c>
      <c r="AX30" s="10" t="n">
        <f aca="false">IF(AX8&gt;=1,$B8/Capas!$B$15,$B8/(Capas!$B$15*AX8+1-AX8))</f>
        <v>0.0536413844756862</v>
      </c>
      <c r="AY30" s="10" t="n">
        <f aca="false">IF(AY8&gt;=1,$B8/Capas!$B$15,$B8/(Capas!$B$15*AY8+1-AY8))</f>
        <v>0.0536413844756862</v>
      </c>
      <c r="AZ30" s="10" t="n">
        <f aca="false">IF(AZ8&gt;=1,$B8/Capas!$B$15,$B8/(Capas!$B$15*AZ8+1-AZ8))</f>
        <v>0.0536413844756862</v>
      </c>
      <c r="BA30" s="10" t="n">
        <f aca="false">IF(BA8&gt;=1,$B8/Capas!$B$15,$B8/(Capas!$B$15*BA8+1-BA8))</f>
        <v>0.0536413844756862</v>
      </c>
      <c r="BB30" s="10" t="n">
        <f aca="false">IF(BB8&gt;=1,$B8/Capas!$B$15,$B8/(Capas!$B$15*BB8+1-BB8))</f>
        <v>0.0536413844756862</v>
      </c>
      <c r="BC30" s="10" t="n">
        <f aca="false">IF(BC8&gt;=1,$B8/Capas!$B$15,$B8/(Capas!$B$15*BC8+1-BC8))</f>
        <v>0.0536413844756862</v>
      </c>
      <c r="BD30" s="10" t="n">
        <f aca="false">IF(BD8&gt;=1,$B8/Capas!$B$15,$B8/(Capas!$B$15*BD8+1-BD8))</f>
        <v>0.0536413844756862</v>
      </c>
      <c r="BE30" s="10" t="n">
        <f aca="false">IF(BE8&gt;=1,$B8/Capas!$B$15,$B8/(Capas!$B$15*BE8+1-BE8))</f>
        <v>0.0536413844756862</v>
      </c>
      <c r="BF30" s="10" t="n">
        <f aca="false">IF(BF8&gt;=1,$B8/Capas!$B$15,$B8/(Capas!$B$15*BF8+1-BF8))</f>
        <v>0.0536413844756862</v>
      </c>
      <c r="BG30" s="10" t="n">
        <f aca="false">IF(BG8&gt;=1,$B8/Capas!$B$15,$B8/(Capas!$B$15*BG8+1-BG8))</f>
        <v>0.0536413844756862</v>
      </c>
      <c r="BH30" s="10" t="n">
        <f aca="false">IF(BH8&gt;=1,$B8/Capas!$B$15,$B8/(Capas!$B$15*BH8+1-BH8))</f>
        <v>0.0536413844756862</v>
      </c>
      <c r="BI30" s="10" t="n">
        <f aca="false">IF(BI8&gt;=1,$B8/Capas!$B$15,$B8/(Capas!$B$15*BI8+1-BI8))</f>
        <v>0.0536413844756862</v>
      </c>
      <c r="BJ30" s="10" t="n">
        <f aca="false">IF(BJ8&gt;=1,$B8/Capas!$B$15,$B8/(Capas!$B$15*BJ8+1-BJ8))</f>
        <v>0.0536413844756862</v>
      </c>
      <c r="BK30" s="10" t="n">
        <f aca="false">IF(BK8&gt;=1,$B8/Capas!$B$15,$B8/(Capas!$B$15*BK8+1-BK8))</f>
        <v>0.0536413844756862</v>
      </c>
    </row>
    <row r="31" customFormat="false" ht="15" hidden="false" customHeight="false" outlineLevel="0" collapsed="false">
      <c r="A31" s="0" t="n">
        <v>4</v>
      </c>
      <c r="D31" s="10" t="n">
        <f aca="false">IF(D9&gt;=1,$B9/Capas!$B$15,$B9/(Capas!$B$15*D9+1-D9))</f>
        <v>0.305693644426455</v>
      </c>
      <c r="E31" s="10" t="n">
        <f aca="false">IF(E9&gt;=1,$B9/Capas!$B$15,$B9/(Capas!$B$15*E9+1-E9))</f>
        <v>0.303402648192704</v>
      </c>
      <c r="F31" s="10" t="n">
        <f aca="false">IF(F9&gt;=1,$B9/Capas!$B$15,$B9/(Capas!$B$15*F9+1-F9))</f>
        <v>0.300865613727061</v>
      </c>
      <c r="G31" s="10" t="n">
        <f aca="false">IF(G9&gt;=1,$B9/Capas!$B$15,$B9/(Capas!$B$15*G9+1-G9))</f>
        <v>0.298063834896147</v>
      </c>
      <c r="H31" s="10" t="n">
        <f aca="false">IF(H9&gt;=1,$B9/Capas!$B$15,$B9/(Capas!$B$15*H9+1-H9))</f>
        <v>0.294978984980538</v>
      </c>
      <c r="I31" s="10" t="n">
        <f aca="false">IF(I9&gt;=1,$B9/Capas!$B$15,$B9/(Capas!$B$15*I9+1-I9))</f>
        <v>0.291593590780798</v>
      </c>
      <c r="J31" s="10" t="n">
        <f aca="false">IF(J9&gt;=1,$B9/Capas!$B$15,$B9/(Capas!$B$15*J9+1-J9))</f>
        <v>0.287891577515673</v>
      </c>
      <c r="K31" s="10" t="n">
        <f aca="false">IF(K9&gt;=1,$B9/Capas!$B$15,$B9/(Capas!$B$15*K9+1-K9))</f>
        <v>0.283858873828174</v>
      </c>
      <c r="L31" s="10" t="n">
        <f aca="false">IF(L9&gt;=1,$B9/Capas!$B$15,$B9/(Capas!$B$15*L9+1-L9))</f>
        <v>0.279484059022334</v>
      </c>
      <c r="M31" s="10" t="n">
        <f aca="false">IF(M9&gt;=1,$B9/Capas!$B$15,$B9/(Capas!$B$15*M9+1-M9))</f>
        <v>0.2747590269772</v>
      </c>
      <c r="N31" s="10" t="n">
        <f aca="false">IF(N9&gt;=1,$B9/Capas!$B$15,$B9/(Capas!$B$15*N9+1-N9))</f>
        <v>0.269679633802818</v>
      </c>
      <c r="O31" s="10" t="n">
        <f aca="false">IF(O9&gt;=1,$B9/Capas!$B$15,$B9/(Capas!$B$15*O9+1-O9))</f>
        <v>0.264246290223271</v>
      </c>
      <c r="P31" s="10" t="n">
        <f aca="false">IF(P9&gt;=1,$B9/Capas!$B$15,$B9/(Capas!$B$15*P9+1-P9))</f>
        <v>0.25846445602749</v>
      </c>
      <c r="Q31" s="10" t="n">
        <f aca="false">IF(Q9&gt;=1,$B9/Capas!$B$15,$B9/(Capas!$B$15*Q9+1-Q9))</f>
        <v>0.252344993806178</v>
      </c>
      <c r="R31" s="10" t="n">
        <f aca="false">IF(R9&gt;=1,$B9/Capas!$B$15,$B9/(Capas!$B$15*R9+1-R9))</f>
        <v>0.245904343408511</v>
      </c>
      <c r="S31" s="10" t="n">
        <f aca="false">IF(S9&gt;=1,$B9/Capas!$B$15,$B9/(Capas!$B$15*S9+1-S9))</f>
        <v>0.239164487418499</v>
      </c>
      <c r="T31" s="10" t="n">
        <f aca="false">IF(T9&gt;=1,$B9/Capas!$B$15,$B9/(Capas!$B$15*T9+1-T9))</f>
        <v>0.232152691097383</v>
      </c>
      <c r="U31" s="10" t="n">
        <f aca="false">IF(U9&gt;=1,$B9/Capas!$B$15,$B9/(Capas!$B$15*U9+1-U9))</f>
        <v>0.224901016545276</v>
      </c>
      <c r="V31" s="10" t="n">
        <f aca="false">IF(V9&gt;=1,$B9/Capas!$B$15,$B9/(Capas!$B$15*V9+1-V9))</f>
        <v>0.217445628526346</v>
      </c>
      <c r="W31" s="10" t="n">
        <f aca="false">IF(W9&gt;=1,$B9/Capas!$B$15,$B9/(Capas!$B$15*W9+1-W9))</f>
        <v>0.209825926304254</v>
      </c>
      <c r="X31" s="10" t="n">
        <f aca="false">IF(X9&gt;=1,$B9/Capas!$B$15,$B9/(Capas!$B$15*X9+1-X9))</f>
        <v>0.202083549756506</v>
      </c>
      <c r="Y31" s="10" t="n">
        <f aca="false">IF(Y9&gt;=1,$B9/Capas!$B$15,$B9/(Capas!$B$15*Y9+1-Y9))</f>
        <v>0.194261317179112</v>
      </c>
      <c r="Z31" s="10" t="n">
        <f aca="false">IF(Z9&gt;=1,$B9/Capas!$B$15,$B9/(Capas!$B$15*Z9+1-Z9))</f>
        <v>0.186402155490747</v>
      </c>
      <c r="AA31" s="10" t="n">
        <f aca="false">IF(AA9&gt;=1,$B9/Capas!$B$15,$B9/(Capas!$B$15*AA9+1-AA9))</f>
        <v>0.178548080845454</v>
      </c>
      <c r="AB31" s="10" t="n">
        <f aca="false">IF(AB9&gt;=1,$B9/Capas!$B$15,$B9/(Capas!$B$15*AB9+1-AB9))</f>
        <v>0.170739279704973</v>
      </c>
      <c r="AC31" s="10" t="n">
        <f aca="false">IF(AC9&gt;=1,$B9/Capas!$B$15,$B9/(Capas!$B$15*AC9+1-AC9))</f>
        <v>0.163013328634617</v>
      </c>
      <c r="AD31" s="10" t="n">
        <f aca="false">IF(AD9&gt;=1,$B9/Capas!$B$15,$B9/(Capas!$B$15*AD9+1-AD9))</f>
        <v>0.155404577266543</v>
      </c>
      <c r="AE31" s="10" t="n">
        <f aca="false">IF(AE9&gt;=1,$B9/Capas!$B$15,$B9/(Capas!$B$15*AE9+1-AE9))</f>
        <v>0.147943704835884</v>
      </c>
      <c r="AF31" s="10" t="n">
        <f aca="false">IF(AF9&gt;=1,$B9/Capas!$B$15,$B9/(Capas!$B$15*AF9+1-AF9))</f>
        <v>0.140657447977687</v>
      </c>
      <c r="AG31" s="10" t="n">
        <f aca="false">IF(AG9&gt;=1,$B9/Capas!$B$15,$B9/(Capas!$B$15*AG9+1-AG9))</f>
        <v>0.133568487153764</v>
      </c>
      <c r="AH31" s="10" t="n">
        <f aca="false">IF(AH9&gt;=1,$B9/Capas!$B$15,$B9/(Capas!$B$15*AH9+1-AH9))</f>
        <v>0.126695471712435</v>
      </c>
      <c r="AI31" s="10" t="n">
        <f aca="false">IF(AI9&gt;=1,$B9/Capas!$B$15,$B9/(Capas!$B$15*AI9+1-AI9))</f>
        <v>0.120053159244551</v>
      </c>
      <c r="AJ31" s="10" t="n">
        <f aca="false">IF(AJ9&gt;=1,$B9/Capas!$B$15,$B9/(Capas!$B$15*AJ9+1-AJ9))</f>
        <v>0.113652643291425</v>
      </c>
      <c r="AK31" s="10" t="n">
        <f aca="false">IF(AK9&gt;=1,$B9/Capas!$B$15,$B9/(Capas!$B$15*AK9+1-AK9))</f>
        <v>0.107501644061622</v>
      </c>
      <c r="AL31" s="10" t="n">
        <f aca="false">IF(AL9&gt;=1,$B9/Capas!$B$15,$B9/(Capas!$B$15*AL9+1-AL9))</f>
        <v>0.101604839005889</v>
      </c>
      <c r="AM31" s="10" t="n">
        <f aca="false">IF(AM9&gt;=1,$B9/Capas!$B$15,$B9/(Capas!$B$15*AM9+1-AM9))</f>
        <v>0.0959642132762091</v>
      </c>
      <c r="AN31" s="10" t="n">
        <f aca="false">IF(AN9&gt;=1,$B9/Capas!$B$15,$B9/(Capas!$B$15*AN9+1-AN9))</f>
        <v>0.0905794137297502</v>
      </c>
      <c r="AO31" s="10" t="n">
        <f aca="false">IF(AO9&gt;=1,$B9/Capas!$B$15,$B9/(Capas!$B$15*AO9+1-AO9))</f>
        <v>0.0854480938209616</v>
      </c>
      <c r="AP31" s="10" t="n">
        <f aca="false">IF(AP9&gt;=1,$B9/Capas!$B$15,$B9/(Capas!$B$15*AP9+1-AP9))</f>
        <v>0.0805662401681374</v>
      </c>
      <c r="AQ31" s="10" t="n">
        <f aca="false">IF(AQ9&gt;=1,$B9/Capas!$B$15,$B9/(Capas!$B$15*AQ9+1-AQ9))</f>
        <v>0.0759284746093755</v>
      </c>
      <c r="AR31" s="10" t="n">
        <f aca="false">IF(AR9&gt;=1,$B9/Capas!$B$15,$B9/(Capas!$B$15*AR9+1-AR9))</f>
        <v>0.0715283280938415</v>
      </c>
      <c r="AS31" s="10" t="n">
        <f aca="false">IF(AS9&gt;=1,$B9/Capas!$B$15,$B9/(Capas!$B$15*AS9+1-AS9))</f>
        <v>0.0695530762644483</v>
      </c>
      <c r="AT31" s="10" t="n">
        <f aca="false">IF(AT9&gt;=1,$B9/Capas!$B$15,$B9/(Capas!$B$15*AT9+1-AT9))</f>
        <v>0.0695530762644483</v>
      </c>
      <c r="AU31" s="10" t="n">
        <f aca="false">IF(AU9&gt;=1,$B9/Capas!$B$15,$B9/(Capas!$B$15*AU9+1-AU9))</f>
        <v>0.0695530762644483</v>
      </c>
      <c r="AV31" s="10" t="n">
        <f aca="false">IF(AV9&gt;=1,$B9/Capas!$B$15,$B9/(Capas!$B$15*AV9+1-AV9))</f>
        <v>0.0695530762644483</v>
      </c>
      <c r="AW31" s="10" t="n">
        <f aca="false">IF(AW9&gt;=1,$B9/Capas!$B$15,$B9/(Capas!$B$15*AW9+1-AW9))</f>
        <v>0.0695530762644483</v>
      </c>
      <c r="AX31" s="10" t="n">
        <f aca="false">IF(AX9&gt;=1,$B9/Capas!$B$15,$B9/(Capas!$B$15*AX9+1-AX9))</f>
        <v>0.0695530762644483</v>
      </c>
      <c r="AY31" s="10" t="n">
        <f aca="false">IF(AY9&gt;=1,$B9/Capas!$B$15,$B9/(Capas!$B$15*AY9+1-AY9))</f>
        <v>0.0695530762644483</v>
      </c>
      <c r="AZ31" s="10" t="n">
        <f aca="false">IF(AZ9&gt;=1,$B9/Capas!$B$15,$B9/(Capas!$B$15*AZ9+1-AZ9))</f>
        <v>0.0695530762644483</v>
      </c>
      <c r="BA31" s="10" t="n">
        <f aca="false">IF(BA9&gt;=1,$B9/Capas!$B$15,$B9/(Capas!$B$15*BA9+1-BA9))</f>
        <v>0.0695530762644483</v>
      </c>
      <c r="BB31" s="10" t="n">
        <f aca="false">IF(BB9&gt;=1,$B9/Capas!$B$15,$B9/(Capas!$B$15*BB9+1-BB9))</f>
        <v>0.0695530762644483</v>
      </c>
      <c r="BC31" s="10" t="n">
        <f aca="false">IF(BC9&gt;=1,$B9/Capas!$B$15,$B9/(Capas!$B$15*BC9+1-BC9))</f>
        <v>0.0695530762644483</v>
      </c>
      <c r="BD31" s="10" t="n">
        <f aca="false">IF(BD9&gt;=1,$B9/Capas!$B$15,$B9/(Capas!$B$15*BD9+1-BD9))</f>
        <v>0.0695530762644483</v>
      </c>
      <c r="BE31" s="10" t="n">
        <f aca="false">IF(BE9&gt;=1,$B9/Capas!$B$15,$B9/(Capas!$B$15*BE9+1-BE9))</f>
        <v>0.0695530762644483</v>
      </c>
      <c r="BF31" s="10" t="n">
        <f aca="false">IF(BF9&gt;=1,$B9/Capas!$B$15,$B9/(Capas!$B$15*BF9+1-BF9))</f>
        <v>0.0695530762644483</v>
      </c>
      <c r="BG31" s="10" t="n">
        <f aca="false">IF(BG9&gt;=1,$B9/Capas!$B$15,$B9/(Capas!$B$15*BG9+1-BG9))</f>
        <v>0.0695530762644483</v>
      </c>
      <c r="BH31" s="10" t="n">
        <f aca="false">IF(BH9&gt;=1,$B9/Capas!$B$15,$B9/(Capas!$B$15*BH9+1-BH9))</f>
        <v>0.0695530762644483</v>
      </c>
      <c r="BI31" s="10" t="n">
        <f aca="false">IF(BI9&gt;=1,$B9/Capas!$B$15,$B9/(Capas!$B$15*BI9+1-BI9))</f>
        <v>0.0695530762644483</v>
      </c>
      <c r="BJ31" s="10" t="n">
        <f aca="false">IF(BJ9&gt;=1,$B9/Capas!$B$15,$B9/(Capas!$B$15*BJ9+1-BJ9))</f>
        <v>0.0695530762644483</v>
      </c>
      <c r="BK31" s="10" t="n">
        <f aca="false">IF(BK9&gt;=1,$B9/Capas!$B$15,$B9/(Capas!$B$15*BK9+1-BK9))</f>
        <v>0.0695530762644483</v>
      </c>
    </row>
    <row r="32" customFormat="false" ht="15" hidden="false" customHeight="false" outlineLevel="0" collapsed="false">
      <c r="A32" s="0" t="n">
        <v>5</v>
      </c>
      <c r="D32" s="10" t="n">
        <f aca="false">IF(D10&gt;=1,$B10/Capas!$B$15,$B10/(Capas!$B$15*D10+1-D10))</f>
        <v>0.374235063790038</v>
      </c>
      <c r="E32" s="10" t="n">
        <f aca="false">IF(E10&gt;=1,$B10/Capas!$B$15,$B10/(Capas!$B$15*E10+1-E10))</f>
        <v>0.370855184841306</v>
      </c>
      <c r="F32" s="10" t="n">
        <f aca="false">IF(F10&gt;=1,$B10/Capas!$B$15,$B10/(Capas!$B$15*F10+1-F10))</f>
        <v>0.367130516336361</v>
      </c>
      <c r="G32" s="10" t="n">
        <f aca="false">IF(G10&gt;=1,$B10/Capas!$B$15,$B10/(Capas!$B$15*G10+1-G10))</f>
        <v>0.363039009533359</v>
      </c>
      <c r="H32" s="10" t="n">
        <f aca="false">IF(H10&gt;=1,$B10/Capas!$B$15,$B10/(Capas!$B$15*H10+1-H10))</f>
        <v>0.358560148767385</v>
      </c>
      <c r="I32" s="10" t="n">
        <f aca="false">IF(I10&gt;=1,$B10/Capas!$B$15,$B10/(Capas!$B$15*I10+1-I10))</f>
        <v>0.35367568261074</v>
      </c>
      <c r="J32" s="10" t="n">
        <f aca="false">IF(J10&gt;=1,$B10/Capas!$B$15,$B10/(Capas!$B$15*J10+1-J10))</f>
        <v>0.348370414747175</v>
      </c>
      <c r="K32" s="10" t="n">
        <f aca="false">IF(K10&gt;=1,$B10/Capas!$B$15,$B10/(Capas!$B$15*K10+1-K10))</f>
        <v>0.342633025593597</v>
      </c>
      <c r="L32" s="10" t="n">
        <f aca="false">IF(L10&gt;=1,$B10/Capas!$B$15,$B10/(Capas!$B$15*L10+1-L10))</f>
        <v>0.336456886322257</v>
      </c>
      <c r="M32" s="10" t="n">
        <f aca="false">IF(M10&gt;=1,$B10/Capas!$B$15,$B10/(Capas!$B$15*M10+1-M10))</f>
        <v>0.329840818789945</v>
      </c>
      <c r="N32" s="10" t="n">
        <f aca="false">IF(N10&gt;=1,$B10/Capas!$B$15,$B10/(Capas!$B$15*N10+1-N10))</f>
        <v>0.322789749348426</v>
      </c>
      <c r="O32" s="10" t="n">
        <f aca="false">IF(O10&gt;=1,$B10/Capas!$B$15,$B10/(Capas!$B$15*O10+1-O10))</f>
        <v>0.315315202982961</v>
      </c>
      <c r="P32" s="10" t="n">
        <f aca="false">IF(P10&gt;=1,$B10/Capas!$B$15,$B10/(Capas!$B$15*P10+1-P10))</f>
        <v>0.307435587842278</v>
      </c>
      <c r="Q32" s="10" t="n">
        <f aca="false">IF(Q10&gt;=1,$B10/Capas!$B$15,$B10/(Capas!$B$15*Q10+1-Q10))</f>
        <v>0.29917622957794</v>
      </c>
      <c r="R32" s="10" t="n">
        <f aca="false">IF(R10&gt;=1,$B10/Capas!$B$15,$B10/(Capas!$B$15*R10+1-R10))</f>
        <v>0.290569129803131</v>
      </c>
      <c r="S32" s="10" t="n">
        <f aca="false">IF(S10&gt;=1,$B10/Capas!$B$15,$B10/(Capas!$B$15*S10+1-S10))</f>
        <v>0.28165244228431</v>
      </c>
      <c r="T32" s="10" t="n">
        <f aca="false">IF(T10&gt;=1,$B10/Capas!$B$15,$B10/(Capas!$B$15*T10+1-T10))</f>
        <v>0.272469682199423</v>
      </c>
      <c r="U32" s="10" t="n">
        <f aca="false">IF(U10&gt;=1,$B10/Capas!$B$15,$B10/(Capas!$B$15*U10+1-U10))</f>
        <v>0.263068705335081</v>
      </c>
      <c r="V32" s="10" t="n">
        <f aca="false">IF(V10&gt;=1,$B10/Capas!$B$15,$B10/(Capas!$B$15*V10+1-V10))</f>
        <v>0.253500512686668</v>
      </c>
      <c r="W32" s="10" t="n">
        <f aca="false">IF(W10&gt;=1,$B10/Capas!$B$15,$B10/(Capas!$B$15*W10+1-W10))</f>
        <v>0.243817949149094</v>
      </c>
      <c r="X32" s="10" t="n">
        <f aca="false">IF(X10&gt;=1,$B10/Capas!$B$15,$B10/(Capas!$B$15*X10+1-X10))</f>
        <v>0.23407437122565</v>
      </c>
      <c r="Y32" s="10" t="n">
        <f aca="false">IF(Y10&gt;=1,$B10/Capas!$B$15,$B10/(Capas!$B$15*Y10+1-Y10))</f>
        <v>0.224322357415581</v>
      </c>
      <c r="Z32" s="10" t="n">
        <f aca="false">IF(Z10&gt;=1,$B10/Capas!$B$15,$B10/(Capas!$B$15*Z10+1-Z10))</f>
        <v>0.214612526785374</v>
      </c>
      <c r="AA32" s="10" t="n">
        <f aca="false">IF(AA10&gt;=1,$B10/Capas!$B$15,$B10/(Capas!$B$15*AA10+1-AA10))</f>
        <v>0.204992517748642</v>
      </c>
      <c r="AB32" s="10" t="n">
        <f aca="false">IF(AB10&gt;=1,$B10/Capas!$B$15,$B10/(Capas!$B$15*AB10+1-AB10))</f>
        <v>0.195506162417716</v>
      </c>
      <c r="AC32" s="10" t="n">
        <f aca="false">IF(AC10&gt;=1,$B10/Capas!$B$15,$B10/(Capas!$B$15*AC10+1-AC10))</f>
        <v>0.186192874333709</v>
      </c>
      <c r="AD32" s="10" t="n">
        <f aca="false">IF(AD10&gt;=1,$B10/Capas!$B$15,$B10/(Capas!$B$15*AD10+1-AD10))</f>
        <v>0.177087250968521</v>
      </c>
      <c r="AE32" s="10" t="n">
        <f aca="false">IF(AE10&gt;=1,$B10/Capas!$B$15,$B10/(Capas!$B$15*AE10+1-AE10))</f>
        <v>0.168218878637873</v>
      </c>
      <c r="AF32" s="10" t="n">
        <f aca="false">IF(AF10&gt;=1,$B10/Capas!$B$15,$B10/(Capas!$B$15*AF10+1-AF10))</f>
        <v>0.159612317242167</v>
      </c>
      <c r="AG32" s="10" t="n">
        <f aca="false">IF(AG10&gt;=1,$B10/Capas!$B$15,$B10/(Capas!$B$15*AG10+1-AG10))</f>
        <v>0.151287235812362</v>
      </c>
      <c r="AH32" s="10" t="n">
        <f aca="false">IF(AH10&gt;=1,$B10/Capas!$B$15,$B10/(Capas!$B$15*AH10+1-AH10))</f>
        <v>0.143258666929601</v>
      </c>
      <c r="AI32" s="10" t="n">
        <f aca="false">IF(AI10&gt;=1,$B10/Capas!$B$15,$B10/(Capas!$B$15*AI10+1-AI10))</f>
        <v>0.135537348124238</v>
      </c>
      <c r="AJ32" s="10" t="n">
        <f aca="false">IF(AJ10&gt;=1,$B10/Capas!$B$15,$B10/(Capas!$B$15*AJ10+1-AJ10))</f>
        <v>0.128130120594272</v>
      </c>
      <c r="AK32" s="10" t="n">
        <f aca="false">IF(AK10&gt;=1,$B10/Capas!$B$15,$B10/(Capas!$B$15*AK10+1-AK10))</f>
        <v>0.121040359247047</v>
      </c>
      <c r="AL32" s="10" t="n">
        <f aca="false">IF(AL10&gt;=1,$B10/Capas!$B$15,$B10/(Capas!$B$15*AL10+1-AL10))</f>
        <v>0.114268412473948</v>
      </c>
      <c r="AM32" s="10" t="n">
        <f aca="false">IF(AM10&gt;=1,$B10/Capas!$B$15,$B10/(Capas!$B$15*AM10+1-AM10))</f>
        <v>0.107812034662962</v>
      </c>
      <c r="AN32" s="10" t="n">
        <f aca="false">IF(AN10&gt;=1,$B10/Capas!$B$15,$B10/(Capas!$B$15*AN10+1-AN10))</f>
        <v>0.101666798838907</v>
      </c>
      <c r="AO32" s="10" t="n">
        <f aca="false">IF(AO10&gt;=1,$B10/Capas!$B$15,$B10/(Capas!$B$15*AO10+1-AO10))</f>
        <v>0.0958264807412018</v>
      </c>
      <c r="AP32" s="10" t="n">
        <f aca="false">IF(AP10&gt;=1,$B10/Capas!$B$15,$B10/(Capas!$B$15*AP10+1-AP10))</f>
        <v>0.0902834089713462</v>
      </c>
      <c r="AQ32" s="10" t="n">
        <f aca="false">IF(AQ10&gt;=1,$B10/Capas!$B$15,$B10/(Capas!$B$15*AQ10+1-AQ10))</f>
        <v>0.0862984027940949</v>
      </c>
      <c r="AR32" s="10" t="n">
        <f aca="false">IF(AR10&gt;=1,$B10/Capas!$B$15,$B10/(Capas!$B$15*AR10+1-AR10))</f>
        <v>0.0862984027940949</v>
      </c>
      <c r="AS32" s="10" t="n">
        <f aca="false">IF(AS10&gt;=1,$B10/Capas!$B$15,$B10/(Capas!$B$15*AS10+1-AS10))</f>
        <v>0.0862984027940949</v>
      </c>
      <c r="AT32" s="10" t="n">
        <f aca="false">IF(AT10&gt;=1,$B10/Capas!$B$15,$B10/(Capas!$B$15*AT10+1-AT10))</f>
        <v>0.0862984027940949</v>
      </c>
      <c r="AU32" s="10" t="n">
        <f aca="false">IF(AU10&gt;=1,$B10/Capas!$B$15,$B10/(Capas!$B$15*AU10+1-AU10))</f>
        <v>0.0862984027940949</v>
      </c>
      <c r="AV32" s="10" t="n">
        <f aca="false">IF(AV10&gt;=1,$B10/Capas!$B$15,$B10/(Capas!$B$15*AV10+1-AV10))</f>
        <v>0.0862984027940949</v>
      </c>
      <c r="AW32" s="10" t="n">
        <f aca="false">IF(AW10&gt;=1,$B10/Capas!$B$15,$B10/(Capas!$B$15*AW10+1-AW10))</f>
        <v>0.0862984027940949</v>
      </c>
      <c r="AX32" s="10" t="n">
        <f aca="false">IF(AX10&gt;=1,$B10/Capas!$B$15,$B10/(Capas!$B$15*AX10+1-AX10))</f>
        <v>0.0862984027940949</v>
      </c>
      <c r="AY32" s="10" t="n">
        <f aca="false">IF(AY10&gt;=1,$B10/Capas!$B$15,$B10/(Capas!$B$15*AY10+1-AY10))</f>
        <v>0.0862984027940949</v>
      </c>
      <c r="AZ32" s="10" t="n">
        <f aca="false">IF(AZ10&gt;=1,$B10/Capas!$B$15,$B10/(Capas!$B$15*AZ10+1-AZ10))</f>
        <v>0.0862984027940949</v>
      </c>
      <c r="BA32" s="10" t="n">
        <f aca="false">IF(BA10&gt;=1,$B10/Capas!$B$15,$B10/(Capas!$B$15*BA10+1-BA10))</f>
        <v>0.0862984027940949</v>
      </c>
      <c r="BB32" s="10" t="n">
        <f aca="false">IF(BB10&gt;=1,$B10/Capas!$B$15,$B10/(Capas!$B$15*BB10+1-BB10))</f>
        <v>0.0862984027940949</v>
      </c>
      <c r="BC32" s="10" t="n">
        <f aca="false">IF(BC10&gt;=1,$B10/Capas!$B$15,$B10/(Capas!$B$15*BC10+1-BC10))</f>
        <v>0.0862984027940949</v>
      </c>
      <c r="BD32" s="10" t="n">
        <f aca="false">IF(BD10&gt;=1,$B10/Capas!$B$15,$B10/(Capas!$B$15*BD10+1-BD10))</f>
        <v>0.0862984027940949</v>
      </c>
      <c r="BE32" s="10" t="n">
        <f aca="false">IF(BE10&gt;=1,$B10/Capas!$B$15,$B10/(Capas!$B$15*BE10+1-BE10))</f>
        <v>0.0862984027940949</v>
      </c>
      <c r="BF32" s="10" t="n">
        <f aca="false">IF(BF10&gt;=1,$B10/Capas!$B$15,$B10/(Capas!$B$15*BF10+1-BF10))</f>
        <v>0.0862984027940949</v>
      </c>
      <c r="BG32" s="10" t="n">
        <f aca="false">IF(BG10&gt;=1,$B10/Capas!$B$15,$B10/(Capas!$B$15*BG10+1-BG10))</f>
        <v>0.0862984027940949</v>
      </c>
      <c r="BH32" s="10" t="n">
        <f aca="false">IF(BH10&gt;=1,$B10/Capas!$B$15,$B10/(Capas!$B$15*BH10+1-BH10))</f>
        <v>0.0862984027940949</v>
      </c>
      <c r="BI32" s="10" t="n">
        <f aca="false">IF(BI10&gt;=1,$B10/Capas!$B$15,$B10/(Capas!$B$15*BI10+1-BI10))</f>
        <v>0.0862984027940949</v>
      </c>
      <c r="BJ32" s="10" t="n">
        <f aca="false">IF(BJ10&gt;=1,$B10/Capas!$B$15,$B10/(Capas!$B$15*BJ10+1-BJ10))</f>
        <v>0.0862984027940949</v>
      </c>
      <c r="BK32" s="10" t="n">
        <f aca="false">IF(BK10&gt;=1,$B10/Capas!$B$15,$B10/(Capas!$B$15*BK10+1-BK10))</f>
        <v>0.0862984027940949</v>
      </c>
    </row>
    <row r="33" customFormat="false" ht="15" hidden="false" customHeight="false" outlineLevel="0" collapsed="false">
      <c r="A33" s="0" t="n">
        <v>6</v>
      </c>
      <c r="D33" s="10" t="n">
        <f aca="false">IF(D11&gt;=1,$B11/Capas!$B$15,$B11/(Capas!$B$15*D11+1-D11))</f>
        <v>0.446139543827855</v>
      </c>
      <c r="E33" s="10" t="n">
        <f aca="false">IF(E11&gt;=1,$B11/Capas!$B$15,$B11/(Capas!$B$15*E11+1-E11))</f>
        <v>0.441414372078688</v>
      </c>
      <c r="F33" s="10" t="n">
        <f aca="false">IF(F11&gt;=1,$B11/Capas!$B$15,$B11/(Capas!$B$15*F11+1-F11))</f>
        <v>0.43623280507097</v>
      </c>
      <c r="G33" s="10" t="n">
        <f aca="false">IF(G11&gt;=1,$B11/Capas!$B$15,$B11/(Capas!$B$15*G11+1-G11))</f>
        <v>0.430571313204008</v>
      </c>
      <c r="H33" s="10" t="n">
        <f aca="false">IF(H11&gt;=1,$B11/Capas!$B$15,$B11/(Capas!$B$15*H11+1-H11))</f>
        <v>0.424409582805097</v>
      </c>
      <c r="I33" s="10" t="n">
        <f aca="false">IF(I11&gt;=1,$B11/Capas!$B$15,$B11/(Capas!$B$15*I11+1-I11))</f>
        <v>0.417731496295482</v>
      </c>
      <c r="J33" s="10" t="n">
        <f aca="false">IF(J11&gt;=1,$B11/Capas!$B$15,$B11/(Capas!$B$15*J11+1-J11))</f>
        <v>0.410526127350592</v>
      </c>
      <c r="K33" s="10" t="n">
        <f aca="false">IF(K11&gt;=1,$B11/Capas!$B$15,$B11/(Capas!$B$15*K11+1-K11))</f>
        <v>0.40278869940341</v>
      </c>
      <c r="L33" s="10" t="n">
        <f aca="false">IF(L11&gt;=1,$B11/Capas!$B$15,$B11/(Capas!$B$15*L11+1-L11))</f>
        <v>0.394521447379418</v>
      </c>
      <c r="M33" s="10" t="n">
        <f aca="false">IF(M11&gt;=1,$B11/Capas!$B$15,$B11/(Capas!$B$15*M11+1-M11))</f>
        <v>0.385734318122236</v>
      </c>
      <c r="N33" s="10" t="n">
        <f aca="false">IF(N11&gt;=1,$B11/Capas!$B$15,$B11/(Capas!$B$15*N11+1-N11))</f>
        <v>0.37644544614135</v>
      </c>
      <c r="O33" s="10" t="n">
        <f aca="false">IF(O11&gt;=1,$B11/Capas!$B$15,$B11/(Capas!$B$15*O11+1-O11))</f>
        <v>0.366681349173021</v>
      </c>
      <c r="P33" s="10" t="n">
        <f aca="false">IF(P11&gt;=1,$B11/Capas!$B$15,$B11/(Capas!$B$15*P11+1-P11))</f>
        <v>0.356476802854078</v>
      </c>
      <c r="Q33" s="10" t="n">
        <f aca="false">IF(Q11&gt;=1,$B11/Capas!$B$15,$B11/(Capas!$B$15*Q11+1-Q11))</f>
        <v>0.345874374761862</v>
      </c>
      <c r="R33" s="10" t="n">
        <f aca="false">IF(R11&gt;=1,$B11/Capas!$B$15,$B11/(Capas!$B$15*R11+1-R11))</f>
        <v>0.334923623253158</v>
      </c>
      <c r="S33" s="10" t="n">
        <f aca="false">IF(S11&gt;=1,$B11/Capas!$B$15,$B11/(Capas!$B$15*S11+1-S11))</f>
        <v>0.323679993103153</v>
      </c>
      <c r="T33" s="10" t="n">
        <f aca="false">IF(T11&gt;=1,$B11/Capas!$B$15,$B11/(Capas!$B$15*T11+1-T11))</f>
        <v>0.312203464583282</v>
      </c>
      <c r="U33" s="10" t="n">
        <f aca="false">IF(U11&gt;=1,$B11/Capas!$B$15,$B11/(Capas!$B$15*U11+1-U11))</f>
        <v>0.300557032115007</v>
      </c>
      <c r="V33" s="10" t="n">
        <f aca="false">IF(V11&gt;=1,$B11/Capas!$B$15,$B11/(Capas!$B$15*V11+1-V11))</f>
        <v>0.288805100503137</v>
      </c>
      <c r="W33" s="10" t="n">
        <f aca="false">IF(W11&gt;=1,$B11/Capas!$B$15,$B11/(Capas!$B$15*W11+1-W11))</f>
        <v>0.277011889678058</v>
      </c>
      <c r="X33" s="10" t="n">
        <f aca="false">IF(X11&gt;=1,$B11/Capas!$B$15,$B11/(Capas!$B$15*X11+1-X11))</f>
        <v>0.265239932941968</v>
      </c>
      <c r="Y33" s="10" t="n">
        <f aca="false">IF(Y11&gt;=1,$B11/Capas!$B$15,$B11/(Capas!$B$15*Y11+1-Y11))</f>
        <v>0.253548740292839</v>
      </c>
      <c r="Z33" s="10" t="n">
        <f aca="false">IF(Z11&gt;=1,$B11/Capas!$B$15,$B11/(Capas!$B$15*Z11+1-Z11))</f>
        <v>0.241993679801908</v>
      </c>
      <c r="AA33" s="10" t="n">
        <f aca="false">IF(AA11&gt;=1,$B11/Capas!$B$15,$B11/(Capas!$B$15*AA11+1-AA11))</f>
        <v>0.230625108990447</v>
      </c>
      <c r="AB33" s="10" t="n">
        <f aca="false">IF(AB11&gt;=1,$B11/Capas!$B$15,$B11/(Capas!$B$15*AB11+1-AB11))</f>
        <v>0.219487767353422</v>
      </c>
      <c r="AC33" s="10" t="n">
        <f aca="false">IF(AC11&gt;=1,$B11/Capas!$B$15,$B11/(Capas!$B$15*AC11+1-AC11))</f>
        <v>0.208620422784394</v>
      </c>
      <c r="AD33" s="10" t="n">
        <f aca="false">IF(AD11&gt;=1,$B11/Capas!$B$15,$B11/(Capas!$B$15*AD11+1-AD11))</f>
        <v>0.198055750112632</v>
      </c>
      <c r="AE33" s="10" t="n">
        <f aca="false">IF(AE11&gt;=1,$B11/Capas!$B$15,$B11/(Capas!$B$15*AE11+1-AE11))</f>
        <v>0.18782040993121</v>
      </c>
      <c r="AF33" s="10" t="n">
        <f aca="false">IF(AF11&gt;=1,$B11/Capas!$B$15,$B11/(Capas!$B$15*AF11+1-AF11))</f>
        <v>0.177935290345424</v>
      </c>
      <c r="AG33" s="10" t="n">
        <f aca="false">IF(AG11&gt;=1,$B11/Capas!$B$15,$B11/(Capas!$B$15*AG11+1-AG11))</f>
        <v>0.168415872668004</v>
      </c>
      <c r="AH33" s="10" t="n">
        <f aca="false">IF(AH11&gt;=1,$B11/Capas!$B$15,$B11/(Capas!$B$15*AH11+1-AH11))</f>
        <v>0.159272683599212</v>
      </c>
      <c r="AI33" s="10" t="n">
        <f aca="false">IF(AI11&gt;=1,$B11/Capas!$B$15,$B11/(Capas!$B$15*AI11+1-AI11))</f>
        <v>0.150511800120941</v>
      </c>
      <c r="AJ33" s="10" t="n">
        <f aca="false">IF(AJ11&gt;=1,$B11/Capas!$B$15,$B11/(Capas!$B$15*AJ11+1-AJ11))</f>
        <v>0.142135378313759</v>
      </c>
      <c r="AK33" s="10" t="n">
        <f aca="false">IF(AK11&gt;=1,$B11/Capas!$B$15,$B11/(Capas!$B$15*AK11+1-AK11))</f>
        <v>0.13414218282075</v>
      </c>
      <c r="AL33" s="10" t="n">
        <f aca="false">IF(AL11&gt;=1,$B11/Capas!$B$15,$B11/(Capas!$B$15*AL11+1-AL11))</f>
        <v>0.126528099157449</v>
      </c>
      <c r="AM33" s="10" t="n">
        <f aca="false">IF(AM11&gt;=1,$B11/Capas!$B$15,$B11/(Capas!$B$15*AM11+1-AM11))</f>
        <v>0.119286616111739</v>
      </c>
      <c r="AN33" s="10" t="n">
        <f aca="false">IF(AN11&gt;=1,$B11/Capas!$B$15,$B11/(Capas!$B$15*AN11+1-AN11))</f>
        <v>0.112409269862246</v>
      </c>
      <c r="AO33" s="10" t="n">
        <f aca="false">IF(AO11&gt;=1,$B11/Capas!$B$15,$B11/(Capas!$B$15*AO11+1-AO11))</f>
        <v>0.105886045069235</v>
      </c>
      <c r="AP33" s="10" t="n">
        <f aca="false">IF(AP11&gt;=1,$B11/Capas!$B$15,$B11/(Capas!$B$15*AP11+1-AP11))</f>
        <v>0.104336713881724</v>
      </c>
      <c r="AQ33" s="10" t="n">
        <f aca="false">IF(AQ11&gt;=1,$B11/Capas!$B$15,$B11/(Capas!$B$15*AQ11+1-AQ11))</f>
        <v>0.104336713881724</v>
      </c>
      <c r="AR33" s="10" t="n">
        <f aca="false">IF(AR11&gt;=1,$B11/Capas!$B$15,$B11/(Capas!$B$15*AR11+1-AR11))</f>
        <v>0.104336713881724</v>
      </c>
      <c r="AS33" s="10" t="n">
        <f aca="false">IF(AS11&gt;=1,$B11/Capas!$B$15,$B11/(Capas!$B$15*AS11+1-AS11))</f>
        <v>0.104336713881724</v>
      </c>
      <c r="AT33" s="10" t="n">
        <f aca="false">IF(AT11&gt;=1,$B11/Capas!$B$15,$B11/(Capas!$B$15*AT11+1-AT11))</f>
        <v>0.104336713881724</v>
      </c>
      <c r="AU33" s="10" t="n">
        <f aca="false">IF(AU11&gt;=1,$B11/Capas!$B$15,$B11/(Capas!$B$15*AU11+1-AU11))</f>
        <v>0.104336713881724</v>
      </c>
      <c r="AV33" s="10" t="n">
        <f aca="false">IF(AV11&gt;=1,$B11/Capas!$B$15,$B11/(Capas!$B$15*AV11+1-AV11))</f>
        <v>0.104336713881724</v>
      </c>
      <c r="AW33" s="10" t="n">
        <f aca="false">IF(AW11&gt;=1,$B11/Capas!$B$15,$B11/(Capas!$B$15*AW11+1-AW11))</f>
        <v>0.104336713881724</v>
      </c>
      <c r="AX33" s="10" t="n">
        <f aca="false">IF(AX11&gt;=1,$B11/Capas!$B$15,$B11/(Capas!$B$15*AX11+1-AX11))</f>
        <v>0.104336713881724</v>
      </c>
      <c r="AY33" s="10" t="n">
        <f aca="false">IF(AY11&gt;=1,$B11/Capas!$B$15,$B11/(Capas!$B$15*AY11+1-AY11))</f>
        <v>0.104336713881724</v>
      </c>
      <c r="AZ33" s="10" t="n">
        <f aca="false">IF(AZ11&gt;=1,$B11/Capas!$B$15,$B11/(Capas!$B$15*AZ11+1-AZ11))</f>
        <v>0.104336713881724</v>
      </c>
      <c r="BA33" s="10" t="n">
        <f aca="false">IF(BA11&gt;=1,$B11/Capas!$B$15,$B11/(Capas!$B$15*BA11+1-BA11))</f>
        <v>0.104336713881724</v>
      </c>
      <c r="BB33" s="10" t="n">
        <f aca="false">IF(BB11&gt;=1,$B11/Capas!$B$15,$B11/(Capas!$B$15*BB11+1-BB11))</f>
        <v>0.104336713881724</v>
      </c>
      <c r="BC33" s="10" t="n">
        <f aca="false">IF(BC11&gt;=1,$B11/Capas!$B$15,$B11/(Capas!$B$15*BC11+1-BC11))</f>
        <v>0.104336713881724</v>
      </c>
      <c r="BD33" s="10" t="n">
        <f aca="false">IF(BD11&gt;=1,$B11/Capas!$B$15,$B11/(Capas!$B$15*BD11+1-BD11))</f>
        <v>0.104336713881724</v>
      </c>
      <c r="BE33" s="10" t="n">
        <f aca="false">IF(BE11&gt;=1,$B11/Capas!$B$15,$B11/(Capas!$B$15*BE11+1-BE11))</f>
        <v>0.104336713881724</v>
      </c>
      <c r="BF33" s="10" t="n">
        <f aca="false">IF(BF11&gt;=1,$B11/Capas!$B$15,$B11/(Capas!$B$15*BF11+1-BF11))</f>
        <v>0.104336713881724</v>
      </c>
      <c r="BG33" s="10" t="n">
        <f aca="false">IF(BG11&gt;=1,$B11/Capas!$B$15,$B11/(Capas!$B$15*BG11+1-BG11))</f>
        <v>0.104336713881724</v>
      </c>
      <c r="BH33" s="10" t="n">
        <f aca="false">IF(BH11&gt;=1,$B11/Capas!$B$15,$B11/(Capas!$B$15*BH11+1-BH11))</f>
        <v>0.104336713881724</v>
      </c>
      <c r="BI33" s="10" t="n">
        <f aca="false">IF(BI11&gt;=1,$B11/Capas!$B$15,$B11/(Capas!$B$15*BI11+1-BI11))</f>
        <v>0.104336713881724</v>
      </c>
      <c r="BJ33" s="10" t="n">
        <f aca="false">IF(BJ11&gt;=1,$B11/Capas!$B$15,$B11/(Capas!$B$15*BJ11+1-BJ11))</f>
        <v>0.104336713881724</v>
      </c>
      <c r="BK33" s="10" t="n">
        <f aca="false">IF(BK11&gt;=1,$B11/Capas!$B$15,$B11/(Capas!$B$15*BK11+1-BK11))</f>
        <v>0.104336713881724</v>
      </c>
    </row>
    <row r="34" customFormat="false" ht="15" hidden="false" customHeight="false" outlineLevel="0" collapsed="false">
      <c r="A34" s="0" t="n">
        <v>7</v>
      </c>
      <c r="D34" s="10" t="n">
        <f aca="false">IF(D12&gt;=1,$B12/Capas!$B$15,$B12/(Capas!$B$15*D12+1-D12))</f>
        <v>0.522717759862306</v>
      </c>
      <c r="E34" s="10" t="n">
        <f aca="false">IF(E12&gt;=1,$B12/Capas!$B$15,$B12/(Capas!$B$15*E12+1-E12))</f>
        <v>0.516343132110394</v>
      </c>
      <c r="F34" s="10" t="n">
        <f aca="false">IF(F12&gt;=1,$B12/Capas!$B$15,$B12/(Capas!$B$15*F12+1-F12))</f>
        <v>0.509388104427912</v>
      </c>
      <c r="G34" s="10" t="n">
        <f aca="false">IF(G12&gt;=1,$B12/Capas!$B$15,$B12/(Capas!$B$15*G12+1-G12))</f>
        <v>0.501830260693043</v>
      </c>
      <c r="H34" s="10" t="n">
        <f aca="false">IF(H12&gt;=1,$B12/Capas!$B$15,$B12/(Capas!$B$15*H12+1-H12))</f>
        <v>0.49365262255018</v>
      </c>
      <c r="I34" s="10" t="n">
        <f aca="false">IF(I12&gt;=1,$B12/Capas!$B$15,$B12/(Capas!$B$15*I12+1-I12))</f>
        <v>0.484844824356351</v>
      </c>
      <c r="J34" s="10" t="n">
        <f aca="false">IF(J12&gt;=1,$B12/Capas!$B$15,$B12/(Capas!$B$15*J12+1-J12))</f>
        <v>0.4754042185367</v>
      </c>
      <c r="K34" s="10" t="n">
        <f aca="false">IF(K12&gt;=1,$B12/Capas!$B$15,$B12/(Capas!$B$15*K12+1-K12))</f>
        <v>0.465336837199745</v>
      </c>
      <c r="L34" s="10" t="n">
        <f aca="false">IF(L12&gt;=1,$B12/Capas!$B$15,$B12/(Capas!$B$15*L12+1-L12))</f>
        <v>0.454658132910255</v>
      </c>
      <c r="M34" s="10" t="n">
        <f aca="false">IF(M12&gt;=1,$B12/Capas!$B$15,$B12/(Capas!$B$15*M12+1-M12))</f>
        <v>0.443393425804359</v>
      </c>
      <c r="N34" s="10" t="n">
        <f aca="false">IF(N12&gt;=1,$B12/Capas!$B$15,$B12/(Capas!$B$15*N12+1-N12))</f>
        <v>0.431577996723425</v>
      </c>
      <c r="O34" s="10" t="n">
        <f aca="false">IF(O12&gt;=1,$B12/Capas!$B$15,$B12/(Capas!$B$15*O12+1-O12))</f>
        <v>0.419256786596872</v>
      </c>
      <c r="P34" s="10" t="n">
        <f aca="false">IF(P12&gt;=1,$B12/Capas!$B$15,$B12/(Capas!$B$15*P12+1-P12))</f>
        <v>0.406483689455093</v>
      </c>
      <c r="Q34" s="10" t="n">
        <f aca="false">IF(Q12&gt;=1,$B12/Capas!$B$15,$B12/(Capas!$B$15*Q12+1-Q12))</f>
        <v>0.393320457463873</v>
      </c>
      <c r="R34" s="10" t="n">
        <f aca="false">IF(R12&gt;=1,$B12/Capas!$B$15,$B12/(Capas!$B$15*R12+1-R12))</f>
        <v>0.379835267576548</v>
      </c>
      <c r="S34" s="10" t="n">
        <f aca="false">IF(S12&gt;=1,$B12/Capas!$B$15,$B12/(Capas!$B$15*S12+1-S12))</f>
        <v>0.366101026813929</v>
      </c>
      <c r="T34" s="10" t="n">
        <f aca="false">IF(T12&gt;=1,$B12/Capas!$B$15,$B12/(Capas!$B$15*T12+1-T12))</f>
        <v>0.352193513229772</v>
      </c>
      <c r="U34" s="10" t="n">
        <f aca="false">IF(U12&gt;=1,$B12/Capas!$B$15,$B12/(Capas!$B$15*U12+1-U12))</f>
        <v>0.338189459817648</v>
      </c>
      <c r="V34" s="10" t="n">
        <f aca="false">IF(V12&gt;=1,$B12/Capas!$B$15,$B12/(Capas!$B$15*V12+1-V12))</f>
        <v>0.324164688020241</v>
      </c>
      <c r="W34" s="10" t="n">
        <f aca="false">IF(W12&gt;=1,$B12/Capas!$B$15,$B12/(Capas!$B$15*W12+1-W12))</f>
        <v>0.310192386822463</v>
      </c>
      <c r="X34" s="10" t="n">
        <f aca="false">IF(X12&gt;=1,$B12/Capas!$B$15,$B12/(Capas!$B$15*X12+1-X12))</f>
        <v>0.296341614761229</v>
      </c>
      <c r="Y34" s="10" t="n">
        <f aca="false">IF(Y12&gt;=1,$B12/Capas!$B$15,$B12/(Capas!$B$15*Y12+1-Y12))</f>
        <v>0.282676078584352</v>
      </c>
      <c r="Z34" s="10" t="n">
        <f aca="false">IF(Z12&gt;=1,$B12/Capas!$B$15,$B12/(Capas!$B$15*Z12+1-Z12))</f>
        <v>0.269253217034524</v>
      </c>
      <c r="AA34" s="10" t="n">
        <f aca="false">IF(AA12&gt;=1,$B12/Capas!$B$15,$B12/(Capas!$B$15*AA12+1-AA12))</f>
        <v>0.256123594316959</v>
      </c>
      <c r="AB34" s="10" t="n">
        <f aca="false">IF(AB12&gt;=1,$B12/Capas!$B$15,$B12/(Capas!$B$15*AB12+1-AB12))</f>
        <v>0.24333058751004</v>
      </c>
      <c r="AC34" s="10" t="n">
        <f aca="false">IF(AC12&gt;=1,$B12/Capas!$B$15,$B12/(Capas!$B$15*AC12+1-AC12))</f>
        <v>0.230910336860908</v>
      </c>
      <c r="AD34" s="10" t="n">
        <f aca="false">IF(AD12&gt;=1,$B12/Capas!$B$15,$B12/(Capas!$B$15*AD12+1-AD12))</f>
        <v>0.218891918029292</v>
      </c>
      <c r="AE34" s="10" t="n">
        <f aca="false">IF(AE12&gt;=1,$B12/Capas!$B$15,$B12/(Capas!$B$15*AE12+1-AE12))</f>
        <v>0.207297690612426</v>
      </c>
      <c r="AF34" s="10" t="n">
        <f aca="false">IF(AF12&gt;=1,$B12/Capas!$B$15,$B12/(Capas!$B$15*AF12+1-AF12))</f>
        <v>0.196143776901985</v>
      </c>
      <c r="AG34" s="10" t="n">
        <f aca="false">IF(AG12&gt;=1,$B12/Capas!$B$15,$B12/(Capas!$B$15*AG12+1-AG12))</f>
        <v>0.185440627730239</v>
      </c>
      <c r="AH34" s="10" t="n">
        <f aca="false">IF(AH12&gt;=1,$B12/Capas!$B$15,$B12/(Capas!$B$15*AH12+1-AH12))</f>
        <v>0.175193637347815</v>
      </c>
      <c r="AI34" s="10" t="n">
        <f aca="false">IF(AI12&gt;=1,$B12/Capas!$B$15,$B12/(Capas!$B$15*AI12+1-AI12))</f>
        <v>0.165403775532346</v>
      </c>
      <c r="AJ34" s="10" t="n">
        <f aca="false">IF(AJ12&gt;=1,$B12/Capas!$B$15,$B12/(Capas!$B$15*AJ12+1-AJ12))</f>
        <v>0.156068211736751</v>
      </c>
      <c r="AK34" s="10" t="n">
        <f aca="false">IF(AK12&gt;=1,$B12/Capas!$B$15,$B12/(Capas!$B$15*AK12+1-AK12))</f>
        <v>0.147180912448101</v>
      </c>
      <c r="AL34" s="10" t="n">
        <f aca="false">IF(AL12&gt;=1,$B12/Capas!$B$15,$B12/(Capas!$B$15*AL12+1-AL12))</f>
        <v>0.138733198654312</v>
      </c>
      <c r="AM34" s="10" t="n">
        <f aca="false">IF(AM12&gt;=1,$B12/Capas!$B$15,$B12/(Capas!$B$15*AM12+1-AM12))</f>
        <v>0.130714255197036</v>
      </c>
      <c r="AN34" s="10" t="n">
        <f aca="false">IF(AN12&gt;=1,$B12/Capas!$B$15,$B12/(Capas!$B$15*AN12+1-AN12))</f>
        <v>0.124088237022779</v>
      </c>
      <c r="AO34" s="10" t="n">
        <f aca="false">IF(AO12&gt;=1,$B12/Capas!$B$15,$B12/(Capas!$B$15*AO12+1-AO12))</f>
        <v>0.124088237022779</v>
      </c>
      <c r="AP34" s="10" t="n">
        <f aca="false">IF(AP12&gt;=1,$B12/Capas!$B$15,$B12/(Capas!$B$15*AP12+1-AP12))</f>
        <v>0.124088237022779</v>
      </c>
      <c r="AQ34" s="10" t="n">
        <f aca="false">IF(AQ12&gt;=1,$B12/Capas!$B$15,$B12/(Capas!$B$15*AQ12+1-AQ12))</f>
        <v>0.124088237022779</v>
      </c>
      <c r="AR34" s="10" t="n">
        <f aca="false">IF(AR12&gt;=1,$B12/Capas!$B$15,$B12/(Capas!$B$15*AR12+1-AR12))</f>
        <v>0.124088237022779</v>
      </c>
      <c r="AS34" s="10" t="n">
        <f aca="false">IF(AS12&gt;=1,$B12/Capas!$B$15,$B12/(Capas!$B$15*AS12+1-AS12))</f>
        <v>0.124088237022779</v>
      </c>
      <c r="AT34" s="10" t="n">
        <f aca="false">IF(AT12&gt;=1,$B12/Capas!$B$15,$B12/(Capas!$B$15*AT12+1-AT12))</f>
        <v>0.124088237022779</v>
      </c>
      <c r="AU34" s="10" t="n">
        <f aca="false">IF(AU12&gt;=1,$B12/Capas!$B$15,$B12/(Capas!$B$15*AU12+1-AU12))</f>
        <v>0.124088237022779</v>
      </c>
      <c r="AV34" s="10" t="n">
        <f aca="false">IF(AV12&gt;=1,$B12/Capas!$B$15,$B12/(Capas!$B$15*AV12+1-AV12))</f>
        <v>0.124088237022779</v>
      </c>
      <c r="AW34" s="10" t="n">
        <f aca="false">IF(AW12&gt;=1,$B12/Capas!$B$15,$B12/(Capas!$B$15*AW12+1-AW12))</f>
        <v>0.124088237022779</v>
      </c>
      <c r="AX34" s="10" t="n">
        <f aca="false">IF(AX12&gt;=1,$B12/Capas!$B$15,$B12/(Capas!$B$15*AX12+1-AX12))</f>
        <v>0.124088237022779</v>
      </c>
      <c r="AY34" s="10" t="n">
        <f aca="false">IF(AY12&gt;=1,$B12/Capas!$B$15,$B12/(Capas!$B$15*AY12+1-AY12))</f>
        <v>0.124088237022779</v>
      </c>
      <c r="AZ34" s="10" t="n">
        <f aca="false">IF(AZ12&gt;=1,$B12/Capas!$B$15,$B12/(Capas!$B$15*AZ12+1-AZ12))</f>
        <v>0.124088237022779</v>
      </c>
      <c r="BA34" s="10" t="n">
        <f aca="false">IF(BA12&gt;=1,$B12/Capas!$B$15,$B12/(Capas!$B$15*BA12+1-BA12))</f>
        <v>0.124088237022779</v>
      </c>
      <c r="BB34" s="10" t="n">
        <f aca="false">IF(BB12&gt;=1,$B12/Capas!$B$15,$B12/(Capas!$B$15*BB12+1-BB12))</f>
        <v>0.124088237022779</v>
      </c>
      <c r="BC34" s="10" t="n">
        <f aca="false">IF(BC12&gt;=1,$B12/Capas!$B$15,$B12/(Capas!$B$15*BC12+1-BC12))</f>
        <v>0.124088237022779</v>
      </c>
      <c r="BD34" s="10" t="n">
        <f aca="false">IF(BD12&gt;=1,$B12/Capas!$B$15,$B12/(Capas!$B$15*BD12+1-BD12))</f>
        <v>0.124088237022779</v>
      </c>
      <c r="BE34" s="10" t="n">
        <f aca="false">IF(BE12&gt;=1,$B12/Capas!$B$15,$B12/(Capas!$B$15*BE12+1-BE12))</f>
        <v>0.124088237022779</v>
      </c>
      <c r="BF34" s="10" t="n">
        <f aca="false">IF(BF12&gt;=1,$B12/Capas!$B$15,$B12/(Capas!$B$15*BF12+1-BF12))</f>
        <v>0.124088237022779</v>
      </c>
      <c r="BG34" s="10" t="n">
        <f aca="false">IF(BG12&gt;=1,$B12/Capas!$B$15,$B12/(Capas!$B$15*BG12+1-BG12))</f>
        <v>0.124088237022779</v>
      </c>
      <c r="BH34" s="10" t="n">
        <f aca="false">IF(BH12&gt;=1,$B12/Capas!$B$15,$B12/(Capas!$B$15*BH12+1-BH12))</f>
        <v>0.124088237022779</v>
      </c>
      <c r="BI34" s="10" t="n">
        <f aca="false">IF(BI12&gt;=1,$B12/Capas!$B$15,$B12/(Capas!$B$15*BI12+1-BI12))</f>
        <v>0.124088237022779</v>
      </c>
      <c r="BJ34" s="10" t="n">
        <f aca="false">IF(BJ12&gt;=1,$B12/Capas!$B$15,$B12/(Capas!$B$15*BJ12+1-BJ12))</f>
        <v>0.124088237022779</v>
      </c>
      <c r="BK34" s="10" t="n">
        <f aca="false">IF(BK12&gt;=1,$B12/Capas!$B$15,$B12/(Capas!$B$15*BK12+1-BK12))</f>
        <v>0.124088237022779</v>
      </c>
    </row>
    <row r="35" customFormat="false" ht="15" hidden="false" customHeight="false" outlineLevel="0" collapsed="false">
      <c r="A35" s="0" t="n">
        <v>8</v>
      </c>
      <c r="D35" s="10" t="n">
        <f aca="false">IF(D13&gt;=1,$B13/Capas!$B$15,$B13/(Capas!$B$15*D13+1-D13))</f>
        <v>0.605242986520556</v>
      </c>
      <c r="E35" s="10" t="n">
        <f aca="false">IF(E13&gt;=1,$B13/Capas!$B$15,$B13/(Capas!$B$15*E13+1-E13))</f>
        <v>0.596854408652331</v>
      </c>
      <c r="F35" s="10" t="n">
        <f aca="false">IF(F13&gt;=1,$B13/Capas!$B$15,$B13/(Capas!$B$15*F13+1-F13))</f>
        <v>0.587749955268432</v>
      </c>
      <c r="G35" s="10" t="n">
        <f aca="false">IF(G13&gt;=1,$B13/Capas!$B$15,$B13/(Capas!$B$15*G13+1-G13))</f>
        <v>0.57791178173882</v>
      </c>
      <c r="H35" s="10" t="n">
        <f aca="false">IF(H13&gt;=1,$B13/Capas!$B$15,$B13/(Capas!$B$15*H13+1-H13))</f>
        <v>0.567330216728315</v>
      </c>
      <c r="I35" s="10" t="n">
        <f aca="false">IF(I13&gt;=1,$B13/Capas!$B$15,$B13/(Capas!$B$15*I13+1-I13))</f>
        <v>0.556005022719452</v>
      </c>
      <c r="J35" s="10" t="n">
        <f aca="false">IF(J13&gt;=1,$B13/Capas!$B$15,$B13/(Capas!$B$15*J13+1-J13))</f>
        <v>0.543946460897992</v>
      </c>
      <c r="K35" s="10" t="n">
        <f aca="false">IF(K13&gt;=1,$B13/Capas!$B$15,$B13/(Capas!$B$15*K13+1-K13))</f>
        <v>0.531176070199527</v>
      </c>
      <c r="L35" s="10" t="n">
        <f aca="false">IF(L13&gt;=1,$B13/Capas!$B$15,$B13/(Capas!$B$15*L13+1-L13))</f>
        <v>0.517727078114849</v>
      </c>
      <c r="M35" s="10" t="n">
        <f aca="false">IF(M13&gt;=1,$B13/Capas!$B$15,$B13/(Capas!$B$15*M13+1-M13))</f>
        <v>0.503644378407239</v>
      </c>
      <c r="N35" s="10" t="n">
        <f aca="false">IF(N13&gt;=1,$B13/Capas!$B$15,$B13/(Capas!$B$15*N13+1-N13))</f>
        <v>0.488984037597521</v>
      </c>
      <c r="O35" s="10" t="n">
        <f aca="false">IF(O13&gt;=1,$B13/Capas!$B$15,$B13/(Capas!$B$15*O13+1-O13))</f>
        <v>0.473812325740141</v>
      </c>
      <c r="P35" s="10" t="n">
        <f aca="false">IF(P13&gt;=1,$B13/Capas!$B$15,$B13/(Capas!$B$15*P13+1-P13))</f>
        <v>0.458204304047525</v>
      </c>
      <c r="Q35" s="10" t="n">
        <f aca="false">IF(Q13&gt;=1,$B13/Capas!$B$15,$B13/(Capas!$B$15*Q13+1-Q13))</f>
        <v>0.442242037814127</v>
      </c>
      <c r="R35" s="10" t="n">
        <f aca="false">IF(R13&gt;=1,$B13/Capas!$B$15,$B13/(Capas!$B$15*R13+1-R13))</f>
        <v>0.426012533206631</v>
      </c>
      <c r="S35" s="10" t="n">
        <f aca="false">IF(S13&gt;=1,$B13/Capas!$B$15,$B13/(Capas!$B$15*S13+1-S13))</f>
        <v>0.409605516917408</v>
      </c>
      <c r="T35" s="10" t="n">
        <f aca="false">IF(T13&gt;=1,$B13/Capas!$B$15,$B13/(Capas!$B$15*T13+1-T13))</f>
        <v>0.393111185993143</v>
      </c>
      <c r="U35" s="10" t="n">
        <f aca="false">IF(U13&gt;=1,$B13/Capas!$B$15,$B13/(Capas!$B$15*U13+1-U13))</f>
        <v>0.376618050813838</v>
      </c>
      <c r="V35" s="10" t="n">
        <f aca="false">IF(V13&gt;=1,$B13/Capas!$B$15,$B13/(Capas!$B$15*V13+1-V13))</f>
        <v>0.360210978572418</v>
      </c>
      <c r="W35" s="10" t="n">
        <f aca="false">IF(W13&gt;=1,$B13/Capas!$B$15,$B13/(Capas!$B$15*W13+1-W13))</f>
        <v>0.343969520563205</v>
      </c>
      <c r="X35" s="10" t="n">
        <f aca="false">IF(X13&gt;=1,$B13/Capas!$B$15,$B13/(Capas!$B$15*X13+1-X13))</f>
        <v>0.32796657785124</v>
      </c>
      <c r="Y35" s="10" t="n">
        <f aca="false">IF(Y13&gt;=1,$B13/Capas!$B$15,$B13/(Capas!$B$15*Y13+1-Y13))</f>
        <v>0.312267430302328</v>
      </c>
      <c r="Z35" s="10" t="n">
        <f aca="false">IF(Z13&gt;=1,$B13/Capas!$B$15,$B13/(Capas!$B$15*Z13+1-Z13))</f>
        <v>0.296929126823729</v>
      </c>
      <c r="AA35" s="10" t="n">
        <f aca="false">IF(AA13&gt;=1,$B13/Capas!$B$15,$B13/(Capas!$B$15*AA13+1-AA13))</f>
        <v>0.282000212376918</v>
      </c>
      <c r="AB35" s="10" t="n">
        <f aca="false">IF(AB13&gt;=1,$B13/Capas!$B$15,$B13/(Capas!$B$15*AB13+1-AB13))</f>
        <v>0.267520751159067</v>
      </c>
      <c r="AC35" s="10" t="n">
        <f aca="false">IF(AC13&gt;=1,$B13/Capas!$B$15,$B13/(Capas!$B$15*AC13+1-AC13))</f>
        <v>0.253522595564296</v>
      </c>
      <c r="AD35" s="10" t="n">
        <f aca="false">IF(AD13&gt;=1,$B13/Capas!$B$15,$B13/(Capas!$B$15*AD13+1-AD13))</f>
        <v>0.24002984658139</v>
      </c>
      <c r="AE35" s="10" t="n">
        <f aca="false">IF(AE13&gt;=1,$B13/Capas!$B$15,$B13/(Capas!$B$15*AE13+1-AE13))</f>
        <v>0.227059452101878</v>
      </c>
      <c r="AF35" s="10" t="n">
        <f aca="false">IF(AF13&gt;=1,$B13/Capas!$B$15,$B13/(Capas!$B$15*AF13+1-AF13))</f>
        <v>0.214621893913729</v>
      </c>
      <c r="AG35" s="10" t="n">
        <f aca="false">IF(AG13&gt;=1,$B13/Capas!$B$15,$B13/(Capas!$B$15*AG13+1-AG13))</f>
        <v>0.202721920656477</v>
      </c>
      <c r="AH35" s="10" t="n">
        <f aca="false">IF(AH13&gt;=1,$B13/Capas!$B$15,$B13/(Capas!$B$15*AH13+1-AH13))</f>
        <v>0.191359291585491</v>
      </c>
      <c r="AI35" s="10" t="n">
        <f aca="false">IF(AI13&gt;=1,$B13/Capas!$B$15,$B13/(Capas!$B$15*AI13+1-AI13))</f>
        <v>0.180529503746615</v>
      </c>
      <c r="AJ35" s="10" t="n">
        <f aca="false">IF(AJ13&gt;=1,$B13/Capas!$B$15,$B13/(Capas!$B$15*AJ13+1-AJ13))</f>
        <v>0.170224482466966</v>
      </c>
      <c r="AK35" s="10" t="n">
        <f aca="false">IF(AK13&gt;=1,$B13/Capas!$B$15,$B13/(Capas!$B$15*AK13+1-AK13))</f>
        <v>0.160433221532188</v>
      </c>
      <c r="AL35" s="10" t="n">
        <f aca="false">IF(AL13&gt;=1,$B13/Capas!$B$15,$B13/(Capas!$B$15*AL13+1-AL13))</f>
        <v>0.15114236485148</v>
      </c>
      <c r="AM35" s="10" t="n">
        <f aca="false">IF(AM13&gt;=1,$B13/Capas!$B$15,$B13/(Capas!$B$15*AM13+1-AM13))</f>
        <v>0.146010291570682</v>
      </c>
      <c r="AN35" s="10" t="n">
        <f aca="false">IF(AN13&gt;=1,$B13/Capas!$B$15,$B13/(Capas!$B$15*AN13+1-AN13))</f>
        <v>0.146010291570682</v>
      </c>
      <c r="AO35" s="10" t="n">
        <f aca="false">IF(AO13&gt;=1,$B13/Capas!$B$15,$B13/(Capas!$B$15*AO13+1-AO13))</f>
        <v>0.146010291570682</v>
      </c>
      <c r="AP35" s="10" t="n">
        <f aca="false">IF(AP13&gt;=1,$B13/Capas!$B$15,$B13/(Capas!$B$15*AP13+1-AP13))</f>
        <v>0.146010291570682</v>
      </c>
      <c r="AQ35" s="10" t="n">
        <f aca="false">IF(AQ13&gt;=1,$B13/Capas!$B$15,$B13/(Capas!$B$15*AQ13+1-AQ13))</f>
        <v>0.146010291570682</v>
      </c>
      <c r="AR35" s="10" t="n">
        <f aca="false">IF(AR13&gt;=1,$B13/Capas!$B$15,$B13/(Capas!$B$15*AR13+1-AR13))</f>
        <v>0.146010291570682</v>
      </c>
      <c r="AS35" s="10" t="n">
        <f aca="false">IF(AS13&gt;=1,$B13/Capas!$B$15,$B13/(Capas!$B$15*AS13+1-AS13))</f>
        <v>0.146010291570682</v>
      </c>
      <c r="AT35" s="10" t="n">
        <f aca="false">IF(AT13&gt;=1,$B13/Capas!$B$15,$B13/(Capas!$B$15*AT13+1-AT13))</f>
        <v>0.146010291570682</v>
      </c>
      <c r="AU35" s="10" t="n">
        <f aca="false">IF(AU13&gt;=1,$B13/Capas!$B$15,$B13/(Capas!$B$15*AU13+1-AU13))</f>
        <v>0.146010291570682</v>
      </c>
      <c r="AV35" s="10" t="n">
        <f aca="false">IF(AV13&gt;=1,$B13/Capas!$B$15,$B13/(Capas!$B$15*AV13+1-AV13))</f>
        <v>0.146010291570682</v>
      </c>
      <c r="AW35" s="10" t="n">
        <f aca="false">IF(AW13&gt;=1,$B13/Capas!$B$15,$B13/(Capas!$B$15*AW13+1-AW13))</f>
        <v>0.146010291570682</v>
      </c>
      <c r="AX35" s="10" t="n">
        <f aca="false">IF(AX13&gt;=1,$B13/Capas!$B$15,$B13/(Capas!$B$15*AX13+1-AX13))</f>
        <v>0.146010291570682</v>
      </c>
      <c r="AY35" s="10" t="n">
        <f aca="false">IF(AY13&gt;=1,$B13/Capas!$B$15,$B13/(Capas!$B$15*AY13+1-AY13))</f>
        <v>0.146010291570682</v>
      </c>
      <c r="AZ35" s="10" t="n">
        <f aca="false">IF(AZ13&gt;=1,$B13/Capas!$B$15,$B13/(Capas!$B$15*AZ13+1-AZ13))</f>
        <v>0.146010291570682</v>
      </c>
      <c r="BA35" s="10" t="n">
        <f aca="false">IF(BA13&gt;=1,$B13/Capas!$B$15,$B13/(Capas!$B$15*BA13+1-BA13))</f>
        <v>0.146010291570682</v>
      </c>
      <c r="BB35" s="10" t="n">
        <f aca="false">IF(BB13&gt;=1,$B13/Capas!$B$15,$B13/(Capas!$B$15*BB13+1-BB13))</f>
        <v>0.146010291570682</v>
      </c>
      <c r="BC35" s="10" t="n">
        <f aca="false">IF(BC13&gt;=1,$B13/Capas!$B$15,$B13/(Capas!$B$15*BC13+1-BC13))</f>
        <v>0.146010291570682</v>
      </c>
      <c r="BD35" s="10" t="n">
        <f aca="false">IF(BD13&gt;=1,$B13/Capas!$B$15,$B13/(Capas!$B$15*BD13+1-BD13))</f>
        <v>0.146010291570682</v>
      </c>
      <c r="BE35" s="10" t="n">
        <f aca="false">IF(BE13&gt;=1,$B13/Capas!$B$15,$B13/(Capas!$B$15*BE13+1-BE13))</f>
        <v>0.146010291570682</v>
      </c>
      <c r="BF35" s="10" t="n">
        <f aca="false">IF(BF13&gt;=1,$B13/Capas!$B$15,$B13/(Capas!$B$15*BF13+1-BF13))</f>
        <v>0.146010291570682</v>
      </c>
      <c r="BG35" s="10" t="n">
        <f aca="false">IF(BG13&gt;=1,$B13/Capas!$B$15,$B13/(Capas!$B$15*BG13+1-BG13))</f>
        <v>0.146010291570682</v>
      </c>
      <c r="BH35" s="10" t="n">
        <f aca="false">IF(BH13&gt;=1,$B13/Capas!$B$15,$B13/(Capas!$B$15*BH13+1-BH13))</f>
        <v>0.146010291570682</v>
      </c>
      <c r="BI35" s="10" t="n">
        <f aca="false">IF(BI13&gt;=1,$B13/Capas!$B$15,$B13/(Capas!$B$15*BI13+1-BI13))</f>
        <v>0.146010291570682</v>
      </c>
      <c r="BJ35" s="10" t="n">
        <f aca="false">IF(BJ13&gt;=1,$B13/Capas!$B$15,$B13/(Capas!$B$15*BJ13+1-BJ13))</f>
        <v>0.146010291570682</v>
      </c>
      <c r="BK35" s="10" t="n">
        <f aca="false">IF(BK13&gt;=1,$B13/Capas!$B$15,$B13/(Capas!$B$15*BK13+1-BK13))</f>
        <v>0.146010291570682</v>
      </c>
    </row>
    <row r="36" customFormat="false" ht="15" hidden="false" customHeight="false" outlineLevel="0" collapsed="false">
      <c r="A36" s="0" t="n">
        <v>9</v>
      </c>
      <c r="D36" s="10" t="n">
        <f aca="false">IF(D14&gt;=1,$B14/Capas!$B$15,$B14/(Capas!$B$15*D14+1-D14))</f>
        <v>0.695114035095264</v>
      </c>
      <c r="E36" s="10" t="n">
        <f aca="false">IF(E14&gt;=1,$B14/Capas!$B$15,$B14/(Capas!$B$15*E14+1-E14))</f>
        <v>0.684270026516878</v>
      </c>
      <c r="F36" s="10" t="n">
        <f aca="false">IF(F14&gt;=1,$B14/Capas!$B$15,$B14/(Capas!$B$15*F14+1-F14))</f>
        <v>0.672564854256234</v>
      </c>
      <c r="G36" s="10" t="n">
        <f aca="false">IF(G14&gt;=1,$B14/Capas!$B$15,$B14/(Capas!$B$15*G14+1-G14))</f>
        <v>0.659989719636873</v>
      </c>
      <c r="H36" s="10" t="n">
        <f aca="false">IF(H14&gt;=1,$B14/Capas!$B$15,$B14/(Capas!$B$15*H14+1-H14))</f>
        <v>0.646547171665969</v>
      </c>
      <c r="I36" s="10" t="n">
        <f aca="false">IF(I14&gt;=1,$B14/Capas!$B$15,$B14/(Capas!$B$15*I14+1-I14))</f>
        <v>0.632252281305151</v>
      </c>
      <c r="J36" s="10" t="n">
        <f aca="false">IF(J14&gt;=1,$B14/Capas!$B$15,$B14/(Capas!$B$15*J14+1-J14))</f>
        <v>0.617133457425794</v>
      </c>
      <c r="K36" s="10" t="n">
        <f aca="false">IF(K14&gt;=1,$B14/Capas!$B$15,$B14/(Capas!$B$15*K14+1-K14))</f>
        <v>0.601232811999118</v>
      </c>
      <c r="L36" s="10" t="n">
        <f aca="false">IF(L14&gt;=1,$B14/Capas!$B$15,$B14/(Capas!$B$15*L14+1-L14))</f>
        <v>0.584606005274194</v>
      </c>
      <c r="M36" s="10" t="n">
        <f aca="false">IF(M14&gt;=1,$B14/Capas!$B$15,$B14/(Capas!$B$15*M14+1-M14))</f>
        <v>0.567321535148906</v>
      </c>
      <c r="N36" s="10" t="n">
        <f aca="false">IF(N14&gt;=1,$B14/Capas!$B$15,$B14/(Capas!$B$15*N14+1-N14))</f>
        <v>0.54945947566163</v>
      </c>
      <c r="O36" s="10" t="n">
        <f aca="false">IF(O14&gt;=1,$B14/Capas!$B$15,$B14/(Capas!$B$15*O14+1-O14))</f>
        <v>0.531109712998063</v>
      </c>
      <c r="P36" s="10" t="n">
        <f aca="false">IF(P14&gt;=1,$B14/Capas!$B$15,$B14/(Capas!$B$15*P14+1-P14))</f>
        <v>0.51236976822393</v>
      </c>
      <c r="Q36" s="10" t="n">
        <f aca="false">IF(Q14&gt;=1,$B14/Capas!$B$15,$B14/(Capas!$B$15*Q14+1-Q14))</f>
        <v>0.493342328811982</v>
      </c>
      <c r="R36" s="10" t="n">
        <f aca="false">IF(R14&gt;=1,$B14/Capas!$B$15,$B14/(Capas!$B$15*R14+1-R14))</f>
        <v>0.47413263170989</v>
      </c>
      <c r="S36" s="10" t="n">
        <f aca="false">IF(S14&gt;=1,$B14/Capas!$B$15,$B14/(Capas!$B$15*S14+1-S14))</f>
        <v>0.454845846854168</v>
      </c>
      <c r="T36" s="10" t="n">
        <f aca="false">IF(T14&gt;=1,$B14/Capas!$B$15,$B14/(Capas!$B$15*T14+1-T14))</f>
        <v>0.435584601596113</v>
      </c>
      <c r="U36" s="10" t="n">
        <f aca="false">IF(U14&gt;=1,$B14/Capas!$B$15,$B14/(Capas!$B$15*U14+1-U14))</f>
        <v>0.416446765539516</v>
      </c>
      <c r="V36" s="10" t="n">
        <f aca="false">IF(V14&gt;=1,$B14/Capas!$B$15,$B14/(Capas!$B$15*V14+1-V14))</f>
        <v>0.397523585466698</v>
      </c>
      <c r="W36" s="10" t="n">
        <f aca="false">IF(W14&gt;=1,$B14/Capas!$B$15,$B14/(Capas!$B$15*W14+1-W14))</f>
        <v>0.378898225809476</v>
      </c>
      <c r="X36" s="10" t="n">
        <f aca="false">IF(X14&gt;=1,$B14/Capas!$B$15,$B14/(Capas!$B$15*X14+1-X14))</f>
        <v>0.360644735905559</v>
      </c>
      <c r="Y36" s="10" t="n">
        <f aca="false">IF(Y14&gt;=1,$B14/Capas!$B$15,$B14/(Capas!$B$15*Y14+1-Y14))</f>
        <v>0.342827434717829</v>
      </c>
      <c r="Z36" s="10" t="n">
        <f aca="false">IF(Z14&gt;=1,$B14/Capas!$B$15,$B14/(Capas!$B$15*Z14+1-Z14))</f>
        <v>0.325500679264368</v>
      </c>
      <c r="AA36" s="10" t="n">
        <f aca="false">IF(AA14&gt;=1,$B14/Capas!$B$15,$B14/(Capas!$B$15*AA14+1-AA14))</f>
        <v>0.308708965907427</v>
      </c>
      <c r="AB36" s="10" t="n">
        <f aca="false">IF(AB14&gt;=1,$B14/Capas!$B$15,$B14/(Capas!$B$15*AB14+1-AB14))</f>
        <v>0.292487303925725</v>
      </c>
      <c r="AC36" s="10" t="n">
        <f aca="false">IF(AC14&gt;=1,$B14/Capas!$B$15,$B14/(Capas!$B$15*AC14+1-AC14))</f>
        <v>0.276861797631633</v>
      </c>
      <c r="AD36" s="10" t="n">
        <f aca="false">IF(AD14&gt;=1,$B14/Capas!$B$15,$B14/(Capas!$B$15*AD14+1-AD14))</f>
        <v>0.261850375362322</v>
      </c>
      <c r="AE36" s="10" t="n">
        <f aca="false">IF(AE14&gt;=1,$B14/Capas!$B$15,$B14/(Capas!$B$15*AE14+1-AE14))</f>
        <v>0.247463609446575</v>
      </c>
      <c r="AF36" s="10" t="n">
        <f aca="false">IF(AF14&gt;=1,$B14/Capas!$B$15,$B14/(Capas!$B$15*AF14+1-AF14))</f>
        <v>0.233705579255727</v>
      </c>
      <c r="AG36" s="10" t="n">
        <f aca="false">IF(AG14&gt;=1,$B14/Capas!$B$15,$B14/(Capas!$B$15*AG14+1-AG14))</f>
        <v>0.220574738430642</v>
      </c>
      <c r="AH36" s="10" t="n">
        <f aca="false">IF(AH14&gt;=1,$B14/Capas!$B$15,$B14/(Capas!$B$15*AH14+1-AH14))</f>
        <v>0.2080647563692</v>
      </c>
      <c r="AI36" s="10" t="n">
        <f aca="false">IF(AI14&gt;=1,$B14/Capas!$B$15,$B14/(Capas!$B$15*AI14+1-AI14))</f>
        <v>0.196165312393567</v>
      </c>
      <c r="AJ36" s="10" t="n">
        <f aca="false">IF(AJ14&gt;=1,$B14/Capas!$B$15,$B14/(Capas!$B$15*AJ14+1-AJ14))</f>
        <v>0.184862828296737</v>
      </c>
      <c r="AK36" s="10" t="n">
        <f aca="false">IF(AK14&gt;=1,$B14/Capas!$B$15,$B14/(Capas!$B$15*AK14+1-AK14))</f>
        <v>0.174141131013956</v>
      </c>
      <c r="AL36" s="10" t="n">
        <f aca="false">IF(AL14&gt;=1,$B14/Capas!$B$15,$B14/(Capas!$B$15*AL14+1-AL14))</f>
        <v>0.170650361889803</v>
      </c>
      <c r="AM36" s="10" t="n">
        <f aca="false">IF(AM14&gt;=1,$B14/Capas!$B$15,$B14/(Capas!$B$15*AM14+1-AM14))</f>
        <v>0.170650361889803</v>
      </c>
      <c r="AN36" s="10" t="n">
        <f aca="false">IF(AN14&gt;=1,$B14/Capas!$B$15,$B14/(Capas!$B$15*AN14+1-AN14))</f>
        <v>0.170650361889803</v>
      </c>
      <c r="AO36" s="10" t="n">
        <f aca="false">IF(AO14&gt;=1,$B14/Capas!$B$15,$B14/(Capas!$B$15*AO14+1-AO14))</f>
        <v>0.170650361889803</v>
      </c>
      <c r="AP36" s="10" t="n">
        <f aca="false">IF(AP14&gt;=1,$B14/Capas!$B$15,$B14/(Capas!$B$15*AP14+1-AP14))</f>
        <v>0.170650361889803</v>
      </c>
      <c r="AQ36" s="10" t="n">
        <f aca="false">IF(AQ14&gt;=1,$B14/Capas!$B$15,$B14/(Capas!$B$15*AQ14+1-AQ14))</f>
        <v>0.170650361889803</v>
      </c>
      <c r="AR36" s="10" t="n">
        <f aca="false">IF(AR14&gt;=1,$B14/Capas!$B$15,$B14/(Capas!$B$15*AR14+1-AR14))</f>
        <v>0.170650361889803</v>
      </c>
      <c r="AS36" s="10" t="n">
        <f aca="false">IF(AS14&gt;=1,$B14/Capas!$B$15,$B14/(Capas!$B$15*AS14+1-AS14))</f>
        <v>0.170650361889803</v>
      </c>
      <c r="AT36" s="10" t="n">
        <f aca="false">IF(AT14&gt;=1,$B14/Capas!$B$15,$B14/(Capas!$B$15*AT14+1-AT14))</f>
        <v>0.170650361889803</v>
      </c>
      <c r="AU36" s="10" t="n">
        <f aca="false">IF(AU14&gt;=1,$B14/Capas!$B$15,$B14/(Capas!$B$15*AU14+1-AU14))</f>
        <v>0.170650361889803</v>
      </c>
      <c r="AV36" s="10" t="n">
        <f aca="false">IF(AV14&gt;=1,$B14/Capas!$B$15,$B14/(Capas!$B$15*AV14+1-AV14))</f>
        <v>0.170650361889803</v>
      </c>
      <c r="AW36" s="10" t="n">
        <f aca="false">IF(AW14&gt;=1,$B14/Capas!$B$15,$B14/(Capas!$B$15*AW14+1-AW14))</f>
        <v>0.170650361889803</v>
      </c>
      <c r="AX36" s="10" t="n">
        <f aca="false">IF(AX14&gt;=1,$B14/Capas!$B$15,$B14/(Capas!$B$15*AX14+1-AX14))</f>
        <v>0.170650361889803</v>
      </c>
      <c r="AY36" s="10" t="n">
        <f aca="false">IF(AY14&gt;=1,$B14/Capas!$B$15,$B14/(Capas!$B$15*AY14+1-AY14))</f>
        <v>0.170650361889803</v>
      </c>
      <c r="AZ36" s="10" t="n">
        <f aca="false">IF(AZ14&gt;=1,$B14/Capas!$B$15,$B14/(Capas!$B$15*AZ14+1-AZ14))</f>
        <v>0.170650361889803</v>
      </c>
      <c r="BA36" s="10" t="n">
        <f aca="false">IF(BA14&gt;=1,$B14/Capas!$B$15,$B14/(Capas!$B$15*BA14+1-BA14))</f>
        <v>0.170650361889803</v>
      </c>
      <c r="BB36" s="10" t="n">
        <f aca="false">IF(BB14&gt;=1,$B14/Capas!$B$15,$B14/(Capas!$B$15*BB14+1-BB14))</f>
        <v>0.170650361889803</v>
      </c>
      <c r="BC36" s="10" t="n">
        <f aca="false">IF(BC14&gt;=1,$B14/Capas!$B$15,$B14/(Capas!$B$15*BC14+1-BC14))</f>
        <v>0.170650361889803</v>
      </c>
      <c r="BD36" s="10" t="n">
        <f aca="false">IF(BD14&gt;=1,$B14/Capas!$B$15,$B14/(Capas!$B$15*BD14+1-BD14))</f>
        <v>0.170650361889803</v>
      </c>
      <c r="BE36" s="10" t="n">
        <f aca="false">IF(BE14&gt;=1,$B14/Capas!$B$15,$B14/(Capas!$B$15*BE14+1-BE14))</f>
        <v>0.170650361889803</v>
      </c>
      <c r="BF36" s="10" t="n">
        <f aca="false">IF(BF14&gt;=1,$B14/Capas!$B$15,$B14/(Capas!$B$15*BF14+1-BF14))</f>
        <v>0.170650361889803</v>
      </c>
      <c r="BG36" s="10" t="n">
        <f aca="false">IF(BG14&gt;=1,$B14/Capas!$B$15,$B14/(Capas!$B$15*BG14+1-BG14))</f>
        <v>0.170650361889803</v>
      </c>
      <c r="BH36" s="10" t="n">
        <f aca="false">IF(BH14&gt;=1,$B14/Capas!$B$15,$B14/(Capas!$B$15*BH14+1-BH14))</f>
        <v>0.170650361889803</v>
      </c>
      <c r="BI36" s="10" t="n">
        <f aca="false">IF(BI14&gt;=1,$B14/Capas!$B$15,$B14/(Capas!$B$15*BI14+1-BI14))</f>
        <v>0.170650361889803</v>
      </c>
      <c r="BJ36" s="10" t="n">
        <f aca="false">IF(BJ14&gt;=1,$B14/Capas!$B$15,$B14/(Capas!$B$15*BJ14+1-BJ14))</f>
        <v>0.170650361889803</v>
      </c>
      <c r="BK36" s="10" t="n">
        <f aca="false">IF(BK14&gt;=1,$B14/Capas!$B$15,$B14/(Capas!$B$15*BK14+1-BK14))</f>
        <v>0.170650361889803</v>
      </c>
    </row>
    <row r="37" customFormat="false" ht="15" hidden="false" customHeight="false" outlineLevel="0" collapsed="false">
      <c r="A37" s="0" t="n">
        <v>10</v>
      </c>
      <c r="D37" s="10" t="n">
        <f aca="false">IF(D15&gt;=1,$B15/Capas!$B$15,$B15/(Capas!$B$15*D15+1-D15))</f>
        <v>0.793991694810994</v>
      </c>
      <c r="E37" s="10" t="n">
        <f aca="false">IF(E15&gt;=1,$B15/Capas!$B$15,$B15/(Capas!$B$15*E15+1-E15))</f>
        <v>0.780151086567906</v>
      </c>
      <c r="F37" s="10" t="n">
        <f aca="false">IF(F15&gt;=1,$B15/Capas!$B$15,$B15/(Capas!$B$15*F15+1-F15))</f>
        <v>0.765296981423816</v>
      </c>
      <c r="G37" s="10" t="n">
        <f aca="false">IF(G15&gt;=1,$B15/Capas!$B$15,$B15/(Capas!$B$15*G15+1-G15))</f>
        <v>0.749435293230668</v>
      </c>
      <c r="H37" s="10" t="n">
        <f aca="false">IF(H15&gt;=1,$B15/Capas!$B$15,$B15/(Capas!$B$15*H15+1-H15))</f>
        <v>0.732586753150266</v>
      </c>
      <c r="I37" s="10" t="n">
        <f aca="false">IF(I15&gt;=1,$B15/Capas!$B$15,$B15/(Capas!$B$15*I15+1-I15))</f>
        <v>0.714787758261394</v>
      </c>
      <c r="J37" s="10" t="n">
        <f aca="false">IF(J15&gt;=1,$B15/Capas!$B$15,$B15/(Capas!$B$15*J15+1-J15))</f>
        <v>0.696090675788257</v>
      </c>
      <c r="K37" s="10" t="n">
        <f aca="false">IF(K15&gt;=1,$B15/Capas!$B$15,$B15/(Capas!$B$15*K15+1-K15))</f>
        <v>0.676563529557114</v>
      </c>
      <c r="L37" s="10" t="n">
        <f aca="false">IF(L15&gt;=1,$B15/Capas!$B$15,$B15/(Capas!$B$15*L15+1-L15))</f>
        <v>0.656289036362877</v>
      </c>
      <c r="M37" s="10" t="n">
        <f aca="false">IF(M15&gt;=1,$B15/Capas!$B$15,$B15/(Capas!$B$15*M15+1-M15))</f>
        <v>0.635363008496004</v>
      </c>
      <c r="N37" s="10" t="n">
        <f aca="false">IF(N15&gt;=1,$B15/Capas!$B$15,$B15/(Capas!$B$15*N15+1-N15))</f>
        <v>0.613892189180878</v>
      </c>
      <c r="O37" s="10" t="n">
        <f aca="false">IF(O15&gt;=1,$B15/Capas!$B$15,$B15/(Capas!$B$15*O15+1-O15))</f>
        <v>0.59199163375182</v>
      </c>
      <c r="P37" s="10" t="n">
        <f aca="false">IF(P15&gt;=1,$B15/Capas!$B$15,$B15/(Capas!$B$15*P15+1-P15))</f>
        <v>0.569781785033112</v>
      </c>
      <c r="Q37" s="10" t="n">
        <f aca="false">IF(Q15&gt;=1,$B15/Capas!$B$15,$B15/(Capas!$B$15*Q15+1-Q15))</f>
        <v>0.547385412074462</v>
      </c>
      <c r="R37" s="10" t="n">
        <f aca="false">IF(R15&gt;=1,$B15/Capas!$B$15,$B15/(Capas!$B$15*R15+1-R15))</f>
        <v>0.524924584930959</v>
      </c>
      <c r="S37" s="10" t="n">
        <f aca="false">IF(S15&gt;=1,$B15/Capas!$B$15,$B15/(Capas!$B$15*S15+1-S15))</f>
        <v>0.502517845028619</v>
      </c>
      <c r="T37" s="10" t="n">
        <f aca="false">IF(T15&gt;=1,$B15/Capas!$B$15,$B15/(Capas!$B$15*T15+1-T15))</f>
        <v>0.480277703689814</v>
      </c>
      <c r="U37" s="10" t="n">
        <f aca="false">IF(U15&gt;=1,$B15/Capas!$B$15,$B15/(Capas!$B$15*U15+1-U15))</f>
        <v>0.458308565156267</v>
      </c>
      <c r="V37" s="10" t="n">
        <f aca="false">IF(V15&gt;=1,$B15/Capas!$B$15,$B15/(Capas!$B$15*V15+1-V15))</f>
        <v>0.436705130198365</v>
      </c>
      <c r="W37" s="10" t="n">
        <f aca="false">IF(W15&gt;=1,$B15/Capas!$B$15,$B15/(Capas!$B$15*W15+1-W15))</f>
        <v>0.415551297136838</v>
      </c>
      <c r="X37" s="10" t="n">
        <f aca="false">IF(X15&gt;=1,$B15/Capas!$B$15,$B15/(Capas!$B$15*X15+1-X15))</f>
        <v>0.394919542819145</v>
      </c>
      <c r="Y37" s="10" t="n">
        <f aca="false">IF(Y15&gt;=1,$B15/Capas!$B$15,$B15/(Capas!$B$15*Y15+1-Y15))</f>
        <v>0.374870739364185</v>
      </c>
      <c r="Z37" s="10" t="n">
        <f aca="false">IF(Z15&gt;=1,$B15/Capas!$B$15,$B15/(Capas!$B$15*Z15+1-Z15))</f>
        <v>0.35545434440765</v>
      </c>
      <c r="AA37" s="10" t="n">
        <f aca="false">IF(AA15&gt;=1,$B15/Capas!$B$15,$B15/(Capas!$B$15*AA15+1-AA15))</f>
        <v>0.336708892958836</v>
      </c>
      <c r="AB37" s="10" t="n">
        <f aca="false">IF(AB15&gt;=1,$B15/Capas!$B$15,$B15/(Capas!$B$15*AB15+1-AB15))</f>
        <v>0.318662716710283</v>
      </c>
      <c r="AC37" s="10" t="n">
        <f aca="false">IF(AC15&gt;=1,$B15/Capas!$B$15,$B15/(Capas!$B$15*AC15+1-AC15))</f>
        <v>0.301334820098829</v>
      </c>
      <c r="AD37" s="10" t="n">
        <f aca="false">IF(AD15&gt;=1,$B15/Capas!$B$15,$B15/(Capas!$B$15*AD15+1-AD15))</f>
        <v>0.284735849817182</v>
      </c>
      <c r="AE37" s="10" t="n">
        <f aca="false">IF(AE15&gt;=1,$B15/Capas!$B$15,$B15/(Capas!$B$15*AE15+1-AE15))</f>
        <v>0.268869104146203</v>
      </c>
      <c r="AF37" s="10" t="n">
        <f aca="false">IF(AF15&gt;=1,$B15/Capas!$B$15,$B15/(Capas!$B$15*AF15+1-AF15))</f>
        <v>0.253731539021843</v>
      </c>
      <c r="AG37" s="10" t="n">
        <f aca="false">IF(AG15&gt;=1,$B15/Capas!$B$15,$B15/(Capas!$B$15*AG15+1-AG15))</f>
        <v>0.239314738114335</v>
      </c>
      <c r="AH37" s="10" t="n">
        <f aca="false">IF(AH15&gt;=1,$B15/Capas!$B$15,$B15/(Capas!$B$15*AH15+1-AH15))</f>
        <v>0.225605823674418</v>
      </c>
      <c r="AI37" s="10" t="n">
        <f aca="false">IF(AI15&gt;=1,$B15/Capas!$B$15,$B15/(Capas!$B$15*AI15+1-AI15))</f>
        <v>0.212588293088182</v>
      </c>
      <c r="AJ37" s="10" t="n">
        <f aca="false">IF(AJ15&gt;=1,$B15/Capas!$B$15,$B15/(Capas!$B$15*AJ15+1-AJ15))</f>
        <v>0.200242772813888</v>
      </c>
      <c r="AK37" s="10" t="n">
        <f aca="false">IF(AK15&gt;=1,$B15/Capas!$B$15,$B15/(Capas!$B$15*AK15+1-AK15))</f>
        <v>0.198703344782345</v>
      </c>
      <c r="AL37" s="10" t="n">
        <f aca="false">IF(AL15&gt;=1,$B15/Capas!$B$15,$B15/(Capas!$B$15*AL15+1-AL15))</f>
        <v>0.198703344782345</v>
      </c>
      <c r="AM37" s="10" t="n">
        <f aca="false">IF(AM15&gt;=1,$B15/Capas!$B$15,$B15/(Capas!$B$15*AM15+1-AM15))</f>
        <v>0.198703344782345</v>
      </c>
      <c r="AN37" s="10" t="n">
        <f aca="false">IF(AN15&gt;=1,$B15/Capas!$B$15,$B15/(Capas!$B$15*AN15+1-AN15))</f>
        <v>0.198703344782345</v>
      </c>
      <c r="AO37" s="10" t="n">
        <f aca="false">IF(AO15&gt;=1,$B15/Capas!$B$15,$B15/(Capas!$B$15*AO15+1-AO15))</f>
        <v>0.198703344782345</v>
      </c>
      <c r="AP37" s="10" t="n">
        <f aca="false">IF(AP15&gt;=1,$B15/Capas!$B$15,$B15/(Capas!$B$15*AP15+1-AP15))</f>
        <v>0.198703344782345</v>
      </c>
      <c r="AQ37" s="10" t="n">
        <f aca="false">IF(AQ15&gt;=1,$B15/Capas!$B$15,$B15/(Capas!$B$15*AQ15+1-AQ15))</f>
        <v>0.198703344782345</v>
      </c>
      <c r="AR37" s="10" t="n">
        <f aca="false">IF(AR15&gt;=1,$B15/Capas!$B$15,$B15/(Capas!$B$15*AR15+1-AR15))</f>
        <v>0.198703344782345</v>
      </c>
      <c r="AS37" s="10" t="n">
        <f aca="false">IF(AS15&gt;=1,$B15/Capas!$B$15,$B15/(Capas!$B$15*AS15+1-AS15))</f>
        <v>0.198703344782345</v>
      </c>
      <c r="AT37" s="10" t="n">
        <f aca="false">IF(AT15&gt;=1,$B15/Capas!$B$15,$B15/(Capas!$B$15*AT15+1-AT15))</f>
        <v>0.198703344782345</v>
      </c>
      <c r="AU37" s="10" t="n">
        <f aca="false">IF(AU15&gt;=1,$B15/Capas!$B$15,$B15/(Capas!$B$15*AU15+1-AU15))</f>
        <v>0.198703344782345</v>
      </c>
      <c r="AV37" s="10" t="n">
        <f aca="false">IF(AV15&gt;=1,$B15/Capas!$B$15,$B15/(Capas!$B$15*AV15+1-AV15))</f>
        <v>0.198703344782345</v>
      </c>
      <c r="AW37" s="10" t="n">
        <f aca="false">IF(AW15&gt;=1,$B15/Capas!$B$15,$B15/(Capas!$B$15*AW15+1-AW15))</f>
        <v>0.198703344782345</v>
      </c>
      <c r="AX37" s="10" t="n">
        <f aca="false">IF(AX15&gt;=1,$B15/Capas!$B$15,$B15/(Capas!$B$15*AX15+1-AX15))</f>
        <v>0.198703344782345</v>
      </c>
      <c r="AY37" s="10" t="n">
        <f aca="false">IF(AY15&gt;=1,$B15/Capas!$B$15,$B15/(Capas!$B$15*AY15+1-AY15))</f>
        <v>0.198703344782345</v>
      </c>
      <c r="AZ37" s="10" t="n">
        <f aca="false">IF(AZ15&gt;=1,$B15/Capas!$B$15,$B15/(Capas!$B$15*AZ15+1-AZ15))</f>
        <v>0.198703344782345</v>
      </c>
      <c r="BA37" s="10" t="n">
        <f aca="false">IF(BA15&gt;=1,$B15/Capas!$B$15,$B15/(Capas!$B$15*BA15+1-BA15))</f>
        <v>0.198703344782345</v>
      </c>
      <c r="BB37" s="10" t="n">
        <f aca="false">IF(BB15&gt;=1,$B15/Capas!$B$15,$B15/(Capas!$B$15*BB15+1-BB15))</f>
        <v>0.198703344782345</v>
      </c>
      <c r="BC37" s="10" t="n">
        <f aca="false">IF(BC15&gt;=1,$B15/Capas!$B$15,$B15/(Capas!$B$15*BC15+1-BC15))</f>
        <v>0.198703344782345</v>
      </c>
      <c r="BD37" s="10" t="n">
        <f aca="false">IF(BD15&gt;=1,$B15/Capas!$B$15,$B15/(Capas!$B$15*BD15+1-BD15))</f>
        <v>0.198703344782345</v>
      </c>
      <c r="BE37" s="10" t="n">
        <f aca="false">IF(BE15&gt;=1,$B15/Capas!$B$15,$B15/(Capas!$B$15*BE15+1-BE15))</f>
        <v>0.198703344782345</v>
      </c>
      <c r="BF37" s="10" t="n">
        <f aca="false">IF(BF15&gt;=1,$B15/Capas!$B$15,$B15/(Capas!$B$15*BF15+1-BF15))</f>
        <v>0.198703344782345</v>
      </c>
      <c r="BG37" s="10" t="n">
        <f aca="false">IF(BG15&gt;=1,$B15/Capas!$B$15,$B15/(Capas!$B$15*BG15+1-BG15))</f>
        <v>0.198703344782345</v>
      </c>
      <c r="BH37" s="10" t="n">
        <f aca="false">IF(BH15&gt;=1,$B15/Capas!$B$15,$B15/(Capas!$B$15*BH15+1-BH15))</f>
        <v>0.198703344782345</v>
      </c>
      <c r="BI37" s="10" t="n">
        <f aca="false">IF(BI15&gt;=1,$B15/Capas!$B$15,$B15/(Capas!$B$15*BI15+1-BI15))</f>
        <v>0.198703344782345</v>
      </c>
      <c r="BJ37" s="10" t="n">
        <f aca="false">IF(BJ15&gt;=1,$B15/Capas!$B$15,$B15/(Capas!$B$15*BJ15+1-BJ15))</f>
        <v>0.198703344782345</v>
      </c>
      <c r="BK37" s="10" t="n">
        <f aca="false">IF(BK15&gt;=1,$B15/Capas!$B$15,$B15/(Capas!$B$15*BK15+1-BK15))</f>
        <v>0.198703344782345</v>
      </c>
    </row>
    <row r="38" customFormat="false" ht="15" hidden="false" customHeight="false" outlineLevel="0" collapsed="false">
      <c r="A38" s="0" t="n">
        <v>11</v>
      </c>
      <c r="D38" s="10" t="n">
        <f aca="false">IF(D16&gt;=1,$B16/Capas!$B$15,$B16/(Capas!$B$15*D16+1-D16))</f>
        <v>0.903957353503106</v>
      </c>
      <c r="E38" s="10" t="n">
        <f aca="false">IF(E16&gt;=1,$B16/Capas!$B$15,$B16/(Capas!$B$15*E16+1-E16))</f>
        <v>0.886447420721392</v>
      </c>
      <c r="F38" s="10" t="n">
        <f aca="false">IF(F16&gt;=1,$B16/Capas!$B$15,$B16/(Capas!$B$15*F16+1-F16))</f>
        <v>0.867769071249954</v>
      </c>
      <c r="G38" s="10" t="n">
        <f aca="false">IF(G16&gt;=1,$B16/Capas!$B$15,$B16/(Capas!$B$15*G16+1-G16))</f>
        <v>0.84794998825269</v>
      </c>
      <c r="H38" s="10" t="n">
        <f aca="false">IF(H16&gt;=1,$B16/Capas!$B$15,$B16/(Capas!$B$15*H16+1-H16))</f>
        <v>0.827036198607496</v>
      </c>
      <c r="I38" s="10" t="n">
        <f aca="false">IF(I16&gt;=1,$B16/Capas!$B$15,$B16/(Capas!$B$15*I16+1-I16))</f>
        <v>0.805092288908347</v>
      </c>
      <c r="J38" s="10" t="n">
        <f aca="false">IF(J16&gt;=1,$B16/Capas!$B$15,$B16/(Capas!$B$15*J16+1-J16))</f>
        <v>0.782200891338937</v>
      </c>
      <c r="K38" s="10" t="n">
        <f aca="false">IF(K16&gt;=1,$B16/Capas!$B$15,$B16/(Capas!$B$15*K16+1-K16))</f>
        <v>0.758461412583706</v>
      </c>
      <c r="L38" s="10" t="n">
        <f aca="false">IF(L16&gt;=1,$B16/Capas!$B$15,$B16/(Capas!$B$15*L16+1-L16))</f>
        <v>0.733988036438276</v>
      </c>
      <c r="M38" s="10" t="n">
        <f aca="false">IF(M16&gt;=1,$B16/Capas!$B$15,$B16/(Capas!$B$15*M16+1-M16))</f>
        <v>0.708907089084306</v>
      </c>
      <c r="N38" s="10" t="n">
        <f aca="false">IF(N16&gt;=1,$B16/Capas!$B$15,$B16/(Capas!$B$15*N16+1-N16))</f>
        <v>0.683353907678924</v>
      </c>
      <c r="O38" s="10" t="n">
        <f aca="false">IF(O16&gt;=1,$B16/Capas!$B$15,$B16/(Capas!$B$15*O16+1-O16))</f>
        <v>0.65746939123384</v>
      </c>
      <c r="P38" s="10" t="n">
        <f aca="false">IF(P16&gt;=1,$B16/Capas!$B$15,$B16/(Capas!$B$15*P16+1-P16))</f>
        <v>0.631396432945176</v>
      </c>
      <c r="Q38" s="10" t="n">
        <f aca="false">IF(Q16&gt;=1,$B16/Capas!$B$15,$B16/(Capas!$B$15*Q16+1-Q16))</f>
        <v>0.605276433239327</v>
      </c>
      <c r="R38" s="10" t="n">
        <f aca="false">IF(R16&gt;=1,$B16/Capas!$B$15,$B16/(Capas!$B$15*R16+1-R16))</f>
        <v>0.579246073961015</v>
      </c>
      <c r="S38" s="10" t="n">
        <f aca="false">IF(S16&gt;=1,$B16/Capas!$B$15,$B16/(Capas!$B$15*S16+1-S16))</f>
        <v>0.553434500152098</v>
      </c>
      <c r="T38" s="10" t="n">
        <f aca="false">IF(T16&gt;=1,$B16/Capas!$B$15,$B16/(Capas!$B$15*T16+1-T16))</f>
        <v>0.527961012302761</v>
      </c>
      <c r="U38" s="10" t="n">
        <f aca="false">IF(U16&gt;=1,$B16/Capas!$B$15,$B16/(Capas!$B$15*U16+1-U16))</f>
        <v>0.502933324939364</v>
      </c>
      <c r="V38" s="10" t="n">
        <f aca="false">IF(V16&gt;=1,$B16/Capas!$B$15,$B16/(Capas!$B$15*V16+1-V16))</f>
        <v>0.478446402583508</v>
      </c>
      <c r="W38" s="10" t="n">
        <f aca="false">IF(W16&gt;=1,$B16/Capas!$B$15,$B16/(Capas!$B$15*W16+1-W16))</f>
        <v>0.454581845814485</v>
      </c>
      <c r="X38" s="10" t="n">
        <f aca="false">IF(X16&gt;=1,$B16/Capas!$B$15,$B16/(Capas!$B$15*X16+1-X16))</f>
        <v>0.431407771038609</v>
      </c>
      <c r="Y38" s="10" t="n">
        <f aca="false">IF(Y16&gt;=1,$B16/Capas!$B$15,$B16/(Capas!$B$15*Y16+1-Y16))</f>
        <v>0.40897910856068</v>
      </c>
      <c r="Z38" s="10" t="n">
        <f aca="false">IF(Z16&gt;=1,$B16/Capas!$B$15,$B16/(Capas!$B$15*Z16+1-Z16))</f>
        <v>0.387338234196921</v>
      </c>
      <c r="AA38" s="10" t="n">
        <f aca="false">IF(AA16&gt;=1,$B16/Capas!$B$15,$B16/(Capas!$B$15*AA16+1-AA16))</f>
        <v>0.366515848519643</v>
      </c>
      <c r="AB38" s="10" t="n">
        <f aca="false">IF(AB16&gt;=1,$B16/Capas!$B$15,$B16/(Capas!$B$15*AB16+1-AB16))</f>
        <v>0.346532022924287</v>
      </c>
      <c r="AC38" s="10" t="n">
        <f aca="false">IF(AC16&gt;=1,$B16/Capas!$B$15,$B16/(Capas!$B$15*AC16+1-AC16))</f>
        <v>0.327397340989875</v>
      </c>
      <c r="AD38" s="10" t="n">
        <f aca="false">IF(AD16&gt;=1,$B16/Capas!$B$15,$B16/(Capas!$B$15*AD16+1-AD16))</f>
        <v>0.309114075171214</v>
      </c>
      <c r="AE38" s="10" t="n">
        <f aca="false">IF(AE16&gt;=1,$B16/Capas!$B$15,$B16/(Capas!$B$15*AE16+1-AE16))</f>
        <v>0.291677351166158</v>
      </c>
      <c r="AF38" s="10" t="n">
        <f aca="false">IF(AF16&gt;=1,$B16/Capas!$B$15,$B16/(Capas!$B$15*AF16+1-AF16))</f>
        <v>0.275076264201924</v>
      </c>
      <c r="AG38" s="10" t="n">
        <f aca="false">IF(AG16&gt;=1,$B16/Capas!$B$15,$B16/(Capas!$B$15*AG16+1-AG16))</f>
        <v>0.259294922234504</v>
      </c>
      <c r="AH38" s="10" t="n">
        <f aca="false">IF(AH16&gt;=1,$B16/Capas!$B$15,$B16/(Capas!$B$15*AH16+1-AH16))</f>
        <v>0.244313400246791</v>
      </c>
      <c r="AI38" s="10" t="n">
        <f aca="false">IF(AI16&gt;=1,$B16/Capas!$B$15,$B16/(Capas!$B$15*AI16+1-AI16))</f>
        <v>0.23109005737793</v>
      </c>
      <c r="AJ38" s="10" t="n">
        <f aca="false">IF(AJ16&gt;=1,$B16/Capas!$B$15,$B16/(Capas!$B$15*AJ16+1-AJ16))</f>
        <v>0.23109005737793</v>
      </c>
      <c r="AK38" s="10" t="n">
        <f aca="false">IF(AK16&gt;=1,$B16/Capas!$B$15,$B16/(Capas!$B$15*AK16+1-AK16))</f>
        <v>0.23109005737793</v>
      </c>
      <c r="AL38" s="10" t="n">
        <f aca="false">IF(AL16&gt;=1,$B16/Capas!$B$15,$B16/(Capas!$B$15*AL16+1-AL16))</f>
        <v>0.23109005737793</v>
      </c>
      <c r="AM38" s="10" t="n">
        <f aca="false">IF(AM16&gt;=1,$B16/Capas!$B$15,$B16/(Capas!$B$15*AM16+1-AM16))</f>
        <v>0.23109005737793</v>
      </c>
      <c r="AN38" s="10" t="n">
        <f aca="false">IF(AN16&gt;=1,$B16/Capas!$B$15,$B16/(Capas!$B$15*AN16+1-AN16))</f>
        <v>0.23109005737793</v>
      </c>
      <c r="AO38" s="10" t="n">
        <f aca="false">IF(AO16&gt;=1,$B16/Capas!$B$15,$B16/(Capas!$B$15*AO16+1-AO16))</f>
        <v>0.23109005737793</v>
      </c>
      <c r="AP38" s="10" t="n">
        <f aca="false">IF(AP16&gt;=1,$B16/Capas!$B$15,$B16/(Capas!$B$15*AP16+1-AP16))</f>
        <v>0.23109005737793</v>
      </c>
      <c r="AQ38" s="10" t="n">
        <f aca="false">IF(AQ16&gt;=1,$B16/Capas!$B$15,$B16/(Capas!$B$15*AQ16+1-AQ16))</f>
        <v>0.23109005737793</v>
      </c>
      <c r="AR38" s="10" t="n">
        <f aca="false">IF(AR16&gt;=1,$B16/Capas!$B$15,$B16/(Capas!$B$15*AR16+1-AR16))</f>
        <v>0.23109005737793</v>
      </c>
      <c r="AS38" s="10" t="n">
        <f aca="false">IF(AS16&gt;=1,$B16/Capas!$B$15,$B16/(Capas!$B$15*AS16+1-AS16))</f>
        <v>0.23109005737793</v>
      </c>
      <c r="AT38" s="10" t="n">
        <f aca="false">IF(AT16&gt;=1,$B16/Capas!$B$15,$B16/(Capas!$B$15*AT16+1-AT16))</f>
        <v>0.23109005737793</v>
      </c>
      <c r="AU38" s="10" t="n">
        <f aca="false">IF(AU16&gt;=1,$B16/Capas!$B$15,$B16/(Capas!$B$15*AU16+1-AU16))</f>
        <v>0.23109005737793</v>
      </c>
      <c r="AV38" s="10" t="n">
        <f aca="false">IF(AV16&gt;=1,$B16/Capas!$B$15,$B16/(Capas!$B$15*AV16+1-AV16))</f>
        <v>0.23109005737793</v>
      </c>
      <c r="AW38" s="10" t="n">
        <f aca="false">IF(AW16&gt;=1,$B16/Capas!$B$15,$B16/(Capas!$B$15*AW16+1-AW16))</f>
        <v>0.23109005737793</v>
      </c>
      <c r="AX38" s="10" t="n">
        <f aca="false">IF(AX16&gt;=1,$B16/Capas!$B$15,$B16/(Capas!$B$15*AX16+1-AX16))</f>
        <v>0.23109005737793</v>
      </c>
      <c r="AY38" s="10" t="n">
        <f aca="false">IF(AY16&gt;=1,$B16/Capas!$B$15,$B16/(Capas!$B$15*AY16+1-AY16))</f>
        <v>0.23109005737793</v>
      </c>
      <c r="AZ38" s="10" t="n">
        <f aca="false">IF(AZ16&gt;=1,$B16/Capas!$B$15,$B16/(Capas!$B$15*AZ16+1-AZ16))</f>
        <v>0.23109005737793</v>
      </c>
      <c r="BA38" s="10" t="n">
        <f aca="false">IF(BA16&gt;=1,$B16/Capas!$B$15,$B16/(Capas!$B$15*BA16+1-BA16))</f>
        <v>0.23109005737793</v>
      </c>
      <c r="BB38" s="10" t="n">
        <f aca="false">IF(BB16&gt;=1,$B16/Capas!$B$15,$B16/(Capas!$B$15*BB16+1-BB16))</f>
        <v>0.23109005737793</v>
      </c>
      <c r="BC38" s="10" t="n">
        <f aca="false">IF(BC16&gt;=1,$B16/Capas!$B$15,$B16/(Capas!$B$15*BC16+1-BC16))</f>
        <v>0.23109005737793</v>
      </c>
      <c r="BD38" s="10" t="n">
        <f aca="false">IF(BD16&gt;=1,$B16/Capas!$B$15,$B16/(Capas!$B$15*BD16+1-BD16))</f>
        <v>0.23109005737793</v>
      </c>
      <c r="BE38" s="10" t="n">
        <f aca="false">IF(BE16&gt;=1,$B16/Capas!$B$15,$B16/(Capas!$B$15*BE16+1-BE16))</f>
        <v>0.23109005737793</v>
      </c>
      <c r="BF38" s="10" t="n">
        <f aca="false">IF(BF16&gt;=1,$B16/Capas!$B$15,$B16/(Capas!$B$15*BF16+1-BF16))</f>
        <v>0.23109005737793</v>
      </c>
      <c r="BG38" s="10" t="n">
        <f aca="false">IF(BG16&gt;=1,$B16/Capas!$B$15,$B16/(Capas!$B$15*BG16+1-BG16))</f>
        <v>0.23109005737793</v>
      </c>
      <c r="BH38" s="10" t="n">
        <f aca="false">IF(BH16&gt;=1,$B16/Capas!$B$15,$B16/(Capas!$B$15*BH16+1-BH16))</f>
        <v>0.23109005737793</v>
      </c>
      <c r="BI38" s="10" t="n">
        <f aca="false">IF(BI16&gt;=1,$B16/Capas!$B$15,$B16/(Capas!$B$15*BI16+1-BI16))</f>
        <v>0.23109005737793</v>
      </c>
      <c r="BJ38" s="10" t="n">
        <f aca="false">IF(BJ16&gt;=1,$B16/Capas!$B$15,$B16/(Capas!$B$15*BJ16+1-BJ16))</f>
        <v>0.23109005737793</v>
      </c>
      <c r="BK38" s="10" t="n">
        <f aca="false">IF(BK16&gt;=1,$B16/Capas!$B$15,$B16/(Capas!$B$15*BK16+1-BK16))</f>
        <v>0.23109005737793</v>
      </c>
    </row>
    <row r="39" customFormat="false" ht="15" hidden="false" customHeight="false" outlineLevel="0" collapsed="false">
      <c r="A39" s="0" t="n">
        <v>12</v>
      </c>
      <c r="D39" s="10" t="n">
        <f aca="false">IF(D17&gt;=1,$B17/Capas!$B$15,$B17/(Capas!$B$15*D17+1-D17))</f>
        <v>1.02773641328036</v>
      </c>
      <c r="E39" s="10" t="n">
        <f aca="false">IF(E17&gt;=1,$B17/Capas!$B$15,$B17/(Capas!$B$15*E17+1-E17))</f>
        <v>1.00570664109201</v>
      </c>
      <c r="F39" s="10" t="n">
        <f aca="false">IF(F17&gt;=1,$B17/Capas!$B$15,$B17/(Capas!$B$15*F17+1-F17))</f>
        <v>0.982358024673139</v>
      </c>
      <c r="G39" s="10" t="n">
        <f aca="false">IF(G17&gt;=1,$B17/Capas!$B$15,$B17/(Capas!$B$15*G17+1-G17))</f>
        <v>0.957748679456521</v>
      </c>
      <c r="H39" s="10" t="n">
        <f aca="false">IF(H17&gt;=1,$B17/Capas!$B$15,$B17/(Capas!$B$15*H17+1-H17))</f>
        <v>0.931958278756727</v>
      </c>
      <c r="I39" s="10" t="n">
        <f aca="false">IF(I17&gt;=1,$B17/Capas!$B$15,$B17/(Capas!$B$15*I17+1-I17))</f>
        <v>0.905087271389391</v>
      </c>
      <c r="J39" s="10" t="n">
        <f aca="false">IF(J17&gt;=1,$B17/Capas!$B$15,$B17/(Capas!$B$15*J17+1-J17))</f>
        <v>0.877255219660836</v>
      </c>
      <c r="K39" s="10" t="n">
        <f aca="false">IF(K17&gt;=1,$B17/Capas!$B$15,$B17/(Capas!$B$15*K17+1-K17))</f>
        <v>0.848598307824651</v>
      </c>
      <c r="L39" s="10" t="n">
        <f aca="false">IF(L17&gt;=1,$B17/Capas!$B$15,$B17/(Capas!$B$15*L17+1-L17))</f>
        <v>0.819266138091316</v>
      </c>
      <c r="M39" s="10" t="n">
        <f aca="false">IF(M17&gt;=1,$B17/Capas!$B$15,$B17/(Capas!$B$15*M17+1-M17))</f>
        <v>0.789417988800842</v>
      </c>
      <c r="N39" s="10" t="n">
        <f aca="false">IF(N17&gt;=1,$B17/Capas!$B$15,$B17/(Capas!$B$15*N17+1-N17))</f>
        <v>0.759218749940868</v>
      </c>
      <c r="O39" s="10" t="n">
        <f aca="false">IF(O17&gt;=1,$B17/Capas!$B$15,$B17/(Capas!$B$15*O17+1-O17))</f>
        <v>0.72883476987739</v>
      </c>
      <c r="P39" s="10" t="n">
        <f aca="false">IF(P17&gt;=1,$B17/Capas!$B$15,$B17/(Capas!$B$15*P17+1-P17))</f>
        <v>0.698429842452749</v>
      </c>
      <c r="Q39" s="10" t="n">
        <f aca="false">IF(Q17&gt;=1,$B17/Capas!$B$15,$B17/(Capas!$B$15*Q17+1-Q17))</f>
        <v>0.668161537533442</v>
      </c>
      <c r="R39" s="10" t="n">
        <f aca="false">IF(R17&gt;=1,$B17/Capas!$B$15,$B17/(Capas!$B$15*R17+1-R17))</f>
        <v>0.638178035616565</v>
      </c>
      <c r="S39" s="10" t="n">
        <f aca="false">IF(S17&gt;=1,$B17/Capas!$B$15,$B17/(Capas!$B$15*S17+1-S17))</f>
        <v>0.608615574946661</v>
      </c>
      <c r="T39" s="10" t="n">
        <f aca="false">IF(T17&gt;=1,$B17/Capas!$B$15,$B17/(Capas!$B$15*T17+1-T17))</f>
        <v>0.579596564877414</v>
      </c>
      <c r="U39" s="10" t="n">
        <f aca="false">IF(U17&gt;=1,$B17/Capas!$B$15,$B17/(Capas!$B$15*U17+1-U17))</f>
        <v>0.551228368245922</v>
      </c>
      <c r="V39" s="10" t="n">
        <f aca="false">IF(V17&gt;=1,$B17/Capas!$B$15,$B17/(Capas!$B$15*V17+1-V17))</f>
        <v>0.523602712974303</v>
      </c>
      <c r="W39" s="10" t="n">
        <f aca="false">IF(W17&gt;=1,$B17/Capas!$B$15,$B17/(Capas!$B$15*W17+1-W17))</f>
        <v>0.496795661629029</v>
      </c>
      <c r="X39" s="10" t="n">
        <f aca="false">IF(X17&gt;=1,$B17/Capas!$B$15,$B17/(Capas!$B$15*X17+1-X17))</f>
        <v>0.470868047975055</v>
      </c>
      <c r="Y39" s="10" t="n">
        <f aca="false">IF(Y17&gt;=1,$B17/Capas!$B$15,$B17/(Capas!$B$15*Y17+1-Y17))</f>
        <v>0.445866280831474</v>
      </c>
      <c r="Z39" s="10" t="n">
        <f aca="false">IF(Z17&gt;=1,$B17/Capas!$B$15,$B17/(Capas!$B$15*Z17+1-Z17))</f>
        <v>0.42182341591689</v>
      </c>
      <c r="AA39" s="10" t="n">
        <f aca="false">IF(AA17&gt;=1,$B17/Capas!$B$15,$B17/(Capas!$B$15*AA17+1-AA17))</f>
        <v>0.398760403524917</v>
      </c>
      <c r="AB39" s="10" t="n">
        <f aca="false">IF(AB17&gt;=1,$B17/Capas!$B$15,$B17/(Capas!$B$15*AB17+1-AB17))</f>
        <v>0.376687431403501</v>
      </c>
      <c r="AC39" s="10" t="n">
        <f aca="false">IF(AC17&gt;=1,$B17/Capas!$B$15,$B17/(Capas!$B$15*AC17+1-AC17))</f>
        <v>0.355605295993772</v>
      </c>
      <c r="AD39" s="10" t="n">
        <f aca="false">IF(AD17&gt;=1,$B17/Capas!$B$15,$B17/(Capas!$B$15*AD17+1-AD17))</f>
        <v>0.335506749507439</v>
      </c>
      <c r="AE39" s="10" t="n">
        <f aca="false">IF(AE17&gt;=1,$B17/Capas!$B$15,$B17/(Capas!$B$15*AE17+1-AE17))</f>
        <v>0.316377783956287</v>
      </c>
      <c r="AF39" s="10" t="n">
        <f aca="false">IF(AF17&gt;=1,$B17/Capas!$B$15,$B17/(Capas!$B$15*AF17+1-AF17))</f>
        <v>0.298198825413049</v>
      </c>
      <c r="AG39" s="10" t="n">
        <f aca="false">IF(AG17&gt;=1,$B17/Capas!$B$15,$B17/(Capas!$B$15*AG17+1-AG17))</f>
        <v>0.280945822076467</v>
      </c>
      <c r="AH39" s="10" t="n">
        <f aca="false">IF(AH17&gt;=1,$B17/Capas!$B$15,$B17/(Capas!$B$15*AH17+1-AH17))</f>
        <v>0.269078640317156</v>
      </c>
      <c r="AI39" s="10" t="n">
        <f aca="false">IF(AI17&gt;=1,$B17/Capas!$B$15,$B17/(Capas!$B$15*AI17+1-AI17))</f>
        <v>0.269078640317156</v>
      </c>
      <c r="AJ39" s="10" t="n">
        <f aca="false">IF(AJ17&gt;=1,$B17/Capas!$B$15,$B17/(Capas!$B$15*AJ17+1-AJ17))</f>
        <v>0.269078640317156</v>
      </c>
      <c r="AK39" s="10" t="n">
        <f aca="false">IF(AK17&gt;=1,$B17/Capas!$B$15,$B17/(Capas!$B$15*AK17+1-AK17))</f>
        <v>0.269078640317156</v>
      </c>
      <c r="AL39" s="10" t="n">
        <f aca="false">IF(AL17&gt;=1,$B17/Capas!$B$15,$B17/(Capas!$B$15*AL17+1-AL17))</f>
        <v>0.269078640317156</v>
      </c>
      <c r="AM39" s="10" t="n">
        <f aca="false">IF(AM17&gt;=1,$B17/Capas!$B$15,$B17/(Capas!$B$15*AM17+1-AM17))</f>
        <v>0.269078640317156</v>
      </c>
      <c r="AN39" s="10" t="n">
        <f aca="false">IF(AN17&gt;=1,$B17/Capas!$B$15,$B17/(Capas!$B$15*AN17+1-AN17))</f>
        <v>0.269078640317156</v>
      </c>
      <c r="AO39" s="10" t="n">
        <f aca="false">IF(AO17&gt;=1,$B17/Capas!$B$15,$B17/(Capas!$B$15*AO17+1-AO17))</f>
        <v>0.269078640317156</v>
      </c>
      <c r="AP39" s="10" t="n">
        <f aca="false">IF(AP17&gt;=1,$B17/Capas!$B$15,$B17/(Capas!$B$15*AP17+1-AP17))</f>
        <v>0.269078640317156</v>
      </c>
      <c r="AQ39" s="10" t="n">
        <f aca="false">IF(AQ17&gt;=1,$B17/Capas!$B$15,$B17/(Capas!$B$15*AQ17+1-AQ17))</f>
        <v>0.269078640317156</v>
      </c>
      <c r="AR39" s="10" t="n">
        <f aca="false">IF(AR17&gt;=1,$B17/Capas!$B$15,$B17/(Capas!$B$15*AR17+1-AR17))</f>
        <v>0.269078640317156</v>
      </c>
      <c r="AS39" s="10" t="n">
        <f aca="false">IF(AS17&gt;=1,$B17/Capas!$B$15,$B17/(Capas!$B$15*AS17+1-AS17))</f>
        <v>0.269078640317156</v>
      </c>
      <c r="AT39" s="10" t="n">
        <f aca="false">IF(AT17&gt;=1,$B17/Capas!$B$15,$B17/(Capas!$B$15*AT17+1-AT17))</f>
        <v>0.269078640317156</v>
      </c>
      <c r="AU39" s="10" t="n">
        <f aca="false">IF(AU17&gt;=1,$B17/Capas!$B$15,$B17/(Capas!$B$15*AU17+1-AU17))</f>
        <v>0.269078640317156</v>
      </c>
      <c r="AV39" s="10" t="n">
        <f aca="false">IF(AV17&gt;=1,$B17/Capas!$B$15,$B17/(Capas!$B$15*AV17+1-AV17))</f>
        <v>0.269078640317156</v>
      </c>
      <c r="AW39" s="10" t="n">
        <f aca="false">IF(AW17&gt;=1,$B17/Capas!$B$15,$B17/(Capas!$B$15*AW17+1-AW17))</f>
        <v>0.269078640317156</v>
      </c>
      <c r="AX39" s="10" t="n">
        <f aca="false">IF(AX17&gt;=1,$B17/Capas!$B$15,$B17/(Capas!$B$15*AX17+1-AX17))</f>
        <v>0.269078640317156</v>
      </c>
      <c r="AY39" s="10" t="n">
        <f aca="false">IF(AY17&gt;=1,$B17/Capas!$B$15,$B17/(Capas!$B$15*AY17+1-AY17))</f>
        <v>0.269078640317156</v>
      </c>
      <c r="AZ39" s="10" t="n">
        <f aca="false">IF(AZ17&gt;=1,$B17/Capas!$B$15,$B17/(Capas!$B$15*AZ17+1-AZ17))</f>
        <v>0.269078640317156</v>
      </c>
      <c r="BA39" s="10" t="n">
        <f aca="false">IF(BA17&gt;=1,$B17/Capas!$B$15,$B17/(Capas!$B$15*BA17+1-BA17))</f>
        <v>0.269078640317156</v>
      </c>
      <c r="BB39" s="10" t="n">
        <f aca="false">IF(BB17&gt;=1,$B17/Capas!$B$15,$B17/(Capas!$B$15*BB17+1-BB17))</f>
        <v>0.269078640317156</v>
      </c>
      <c r="BC39" s="10" t="n">
        <f aca="false">IF(BC17&gt;=1,$B17/Capas!$B$15,$B17/(Capas!$B$15*BC17+1-BC17))</f>
        <v>0.269078640317156</v>
      </c>
      <c r="BD39" s="10" t="n">
        <f aca="false">IF(BD17&gt;=1,$B17/Capas!$B$15,$B17/(Capas!$B$15*BD17+1-BD17))</f>
        <v>0.269078640317156</v>
      </c>
      <c r="BE39" s="10" t="n">
        <f aca="false">IF(BE17&gt;=1,$B17/Capas!$B$15,$B17/(Capas!$B$15*BE17+1-BE17))</f>
        <v>0.269078640317156</v>
      </c>
      <c r="BF39" s="10" t="n">
        <f aca="false">IF(BF17&gt;=1,$B17/Capas!$B$15,$B17/(Capas!$B$15*BF17+1-BF17))</f>
        <v>0.269078640317156</v>
      </c>
      <c r="BG39" s="10" t="n">
        <f aca="false">IF(BG17&gt;=1,$B17/Capas!$B$15,$B17/(Capas!$B$15*BG17+1-BG17))</f>
        <v>0.269078640317156</v>
      </c>
      <c r="BH39" s="10" t="n">
        <f aca="false">IF(BH17&gt;=1,$B17/Capas!$B$15,$B17/(Capas!$B$15*BH17+1-BH17))</f>
        <v>0.269078640317156</v>
      </c>
      <c r="BI39" s="10" t="n">
        <f aca="false">IF(BI17&gt;=1,$B17/Capas!$B$15,$B17/(Capas!$B$15*BI17+1-BI17))</f>
        <v>0.269078640317156</v>
      </c>
      <c r="BJ39" s="10" t="n">
        <f aca="false">IF(BJ17&gt;=1,$B17/Capas!$B$15,$B17/(Capas!$B$15*BJ17+1-BJ17))</f>
        <v>0.269078640317156</v>
      </c>
      <c r="BK39" s="10" t="n">
        <f aca="false">IF(BK17&gt;=1,$B17/Capas!$B$15,$B17/(Capas!$B$15*BK17+1-BK17))</f>
        <v>0.269078640317156</v>
      </c>
    </row>
    <row r="40" customFormat="false" ht="15" hidden="false" customHeight="false" outlineLevel="0" collapsed="false">
      <c r="A40" s="0" t="n">
        <v>13</v>
      </c>
      <c r="D40" s="10" t="n">
        <f aca="false">IF(D18&gt;=1,$B18/Capas!$B$15,$B18/(Capas!$B$15*D18+1-D18))</f>
        <v>1.1690496349884</v>
      </c>
      <c r="E40" s="10" t="n">
        <f aca="false">IF(E18&gt;=1,$B18/Capas!$B$15,$B18/(Capas!$B$15*E18+1-E18))</f>
        <v>1.14140197285288</v>
      </c>
      <c r="F40" s="10" t="n">
        <f aca="false">IF(F18&gt;=1,$B18/Capas!$B$15,$B18/(Capas!$B$15*F18+1-F18))</f>
        <v>1.11230078151477</v>
      </c>
      <c r="G40" s="10" t="n">
        <f aca="false">IF(G18&gt;=1,$B18/Capas!$B$15,$B18/(Capas!$B$15*G18+1-G18))</f>
        <v>1.08184509732816</v>
      </c>
      <c r="H40" s="10" t="n">
        <f aca="false">IF(H18&gt;=1,$B18/Capas!$B$15,$B18/(Capas!$B$15*H18+1-H18))</f>
        <v>1.0501578670249</v>
      </c>
      <c r="I40" s="10" t="n">
        <f aca="false">IF(I18&gt;=1,$B18/Capas!$B$15,$B18/(Capas!$B$15*I18+1-I18))</f>
        <v>1.01738376546291</v>
      </c>
      <c r="J40" s="10" t="n">
        <f aca="false">IF(J18&gt;=1,$B18/Capas!$B$15,$B18/(Capas!$B$15*J18+1-J18))</f>
        <v>0.983686069655395</v>
      </c>
      <c r="K40" s="10" t="n">
        <f aca="false">IF(K18&gt;=1,$B18/Capas!$B$15,$B18/(Capas!$B$15*K18+1-K18))</f>
        <v>0.949242743342477</v>
      </c>
      <c r="L40" s="10" t="n">
        <f aca="false">IF(L18&gt;=1,$B18/Capas!$B$15,$B18/(Capas!$B$15*L18+1-L18))</f>
        <v>0.914241949576589</v>
      </c>
      <c r="M40" s="10" t="n">
        <f aca="false">IF(M18&gt;=1,$B18/Capas!$B$15,$B18/(Capas!$B$15*M18+1-M18))</f>
        <v>0.878877250490654</v>
      </c>
      <c r="N40" s="10" t="n">
        <f aca="false">IF(N18&gt;=1,$B18/Capas!$B$15,$B18/(Capas!$B$15*N18+1-N18))</f>
        <v>0.843342768729103</v>
      </c>
      <c r="O40" s="10" t="n">
        <f aca="false">IF(O18&gt;=1,$B18/Capas!$B$15,$B18/(Capas!$B$15*O18+1-O18))</f>
        <v>0.807828573192805</v>
      </c>
      <c r="P40" s="10" t="n">
        <f aca="false">IF(P18&gt;=1,$B18/Capas!$B$15,$B18/(Capas!$B$15*P18+1-P18))</f>
        <v>0.772516516072264</v>
      </c>
      <c r="Q40" s="10" t="n">
        <f aca="false">IF(Q18&gt;=1,$B18/Capas!$B$15,$B18/(Capas!$B$15*Q18+1-Q18))</f>
        <v>0.737576695043227</v>
      </c>
      <c r="R40" s="10" t="n">
        <f aca="false">IF(R18&gt;=1,$B18/Capas!$B$15,$B18/(Capas!$B$15*R18+1-R18))</f>
        <v>0.703164652084052</v>
      </c>
      <c r="S40" s="10" t="n">
        <f aca="false">IF(S18&gt;=1,$B18/Capas!$B$15,$B18/(Capas!$B$15*S18+1-S18))</f>
        <v>0.669419356859239</v>
      </c>
      <c r="T40" s="10" t="n">
        <f aca="false">IF(T18&gt;=1,$B18/Capas!$B$15,$B18/(Capas!$B$15*T18+1-T18))</f>
        <v>0.636461964983228</v>
      </c>
      <c r="U40" s="10" t="n">
        <f aca="false">IF(U18&gt;=1,$B18/Capas!$B$15,$B18/(Capas!$B$15*U18+1-U18))</f>
        <v>0.604395294639852</v>
      </c>
      <c r="V40" s="10" t="n">
        <f aca="false">IF(V18&gt;=1,$B18/Capas!$B$15,$B18/(Capas!$B$15*V18+1-V18))</f>
        <v>0.573303931525289</v>
      </c>
      <c r="W40" s="10" t="n">
        <f aca="false">IF(W18&gt;=1,$B18/Capas!$B$15,$B18/(Capas!$B$15*W18+1-W18))</f>
        <v>0.543254852267575</v>
      </c>
      <c r="X40" s="10" t="n">
        <f aca="false">IF(X18&gt;=1,$B18/Capas!$B$15,$B18/(Capas!$B$15*X18+1-X18))</f>
        <v>0.514298449041891</v>
      </c>
      <c r="Y40" s="10" t="n">
        <f aca="false">IF(Y18&gt;=1,$B18/Capas!$B$15,$B18/(Capas!$B$15*Y18+1-Y18))</f>
        <v>0.486469840693723</v>
      </c>
      <c r="Z40" s="10" t="n">
        <f aca="false">IF(Z18&gt;=1,$B18/Capas!$B$15,$B18/(Capas!$B$15*Z18+1-Z18))</f>
        <v>0.459790365510553</v>
      </c>
      <c r="AA40" s="10" t="n">
        <f aca="false">IF(AA18&gt;=1,$B18/Capas!$B$15,$B18/(Capas!$B$15*AA18+1-AA18))</f>
        <v>0.434269165099559</v>
      </c>
      <c r="AB40" s="10" t="n">
        <f aca="false">IF(AB18&gt;=1,$B18/Capas!$B$15,$B18/(Capas!$B$15*AB18+1-AB18))</f>
        <v>0.409904785248215</v>
      </c>
      <c r="AC40" s="10" t="n">
        <f aca="false">IF(AC18&gt;=1,$B18/Capas!$B$15,$B18/(Capas!$B$15*AC18+1-AC18))</f>
        <v>0.386686736302775</v>
      </c>
      <c r="AD40" s="10" t="n">
        <f aca="false">IF(AD18&gt;=1,$B18/Capas!$B$15,$B18/(Capas!$B$15*AD18+1-AD18))</f>
        <v>0.364596971190007</v>
      </c>
      <c r="AE40" s="10" t="n">
        <f aca="false">IF(AE18&gt;=1,$B18/Capas!$B$15,$B18/(Capas!$B$15*AE18+1-AE18))</f>
        <v>0.343611252932491</v>
      </c>
      <c r="AF40" s="10" t="n">
        <f aca="false">IF(AF18&gt;=1,$B18/Capas!$B$15,$B18/(Capas!$B$15*AF18+1-AF18))</f>
        <v>0.323700394985542</v>
      </c>
      <c r="AG40" s="10" t="n">
        <f aca="false">IF(AG18&gt;=1,$B18/Capas!$B$15,$B18/(Capas!$B$15*AG18+1-AG18))</f>
        <v>0.314487197121377</v>
      </c>
      <c r="AH40" s="10" t="n">
        <f aca="false">IF(AH18&gt;=1,$B18/Capas!$B$15,$B18/(Capas!$B$15*AH18+1-AH18))</f>
        <v>0.314487197121377</v>
      </c>
      <c r="AI40" s="10" t="n">
        <f aca="false">IF(AI18&gt;=1,$B18/Capas!$B$15,$B18/(Capas!$B$15*AI18+1-AI18))</f>
        <v>0.314487197121377</v>
      </c>
      <c r="AJ40" s="10" t="n">
        <f aca="false">IF(AJ18&gt;=1,$B18/Capas!$B$15,$B18/(Capas!$B$15*AJ18+1-AJ18))</f>
        <v>0.314487197121377</v>
      </c>
      <c r="AK40" s="10" t="n">
        <f aca="false">IF(AK18&gt;=1,$B18/Capas!$B$15,$B18/(Capas!$B$15*AK18+1-AK18))</f>
        <v>0.314487197121377</v>
      </c>
      <c r="AL40" s="10" t="n">
        <f aca="false">IF(AL18&gt;=1,$B18/Capas!$B$15,$B18/(Capas!$B$15*AL18+1-AL18))</f>
        <v>0.314487197121377</v>
      </c>
      <c r="AM40" s="10" t="n">
        <f aca="false">IF(AM18&gt;=1,$B18/Capas!$B$15,$B18/(Capas!$B$15*AM18+1-AM18))</f>
        <v>0.314487197121377</v>
      </c>
      <c r="AN40" s="10" t="n">
        <f aca="false">IF(AN18&gt;=1,$B18/Capas!$B$15,$B18/(Capas!$B$15*AN18+1-AN18))</f>
        <v>0.314487197121377</v>
      </c>
      <c r="AO40" s="10" t="n">
        <f aca="false">IF(AO18&gt;=1,$B18/Capas!$B$15,$B18/(Capas!$B$15*AO18+1-AO18))</f>
        <v>0.314487197121377</v>
      </c>
      <c r="AP40" s="10" t="n">
        <f aca="false">IF(AP18&gt;=1,$B18/Capas!$B$15,$B18/(Capas!$B$15*AP18+1-AP18))</f>
        <v>0.314487197121377</v>
      </c>
      <c r="AQ40" s="10" t="n">
        <f aca="false">IF(AQ18&gt;=1,$B18/Capas!$B$15,$B18/(Capas!$B$15*AQ18+1-AQ18))</f>
        <v>0.314487197121377</v>
      </c>
      <c r="AR40" s="10" t="n">
        <f aca="false">IF(AR18&gt;=1,$B18/Capas!$B$15,$B18/(Capas!$B$15*AR18+1-AR18))</f>
        <v>0.314487197121377</v>
      </c>
      <c r="AS40" s="10" t="n">
        <f aca="false">IF(AS18&gt;=1,$B18/Capas!$B$15,$B18/(Capas!$B$15*AS18+1-AS18))</f>
        <v>0.314487197121377</v>
      </c>
      <c r="AT40" s="10" t="n">
        <f aca="false">IF(AT18&gt;=1,$B18/Capas!$B$15,$B18/(Capas!$B$15*AT18+1-AT18))</f>
        <v>0.314487197121377</v>
      </c>
      <c r="AU40" s="10" t="n">
        <f aca="false">IF(AU18&gt;=1,$B18/Capas!$B$15,$B18/(Capas!$B$15*AU18+1-AU18))</f>
        <v>0.314487197121377</v>
      </c>
      <c r="AV40" s="10" t="n">
        <f aca="false">IF(AV18&gt;=1,$B18/Capas!$B$15,$B18/(Capas!$B$15*AV18+1-AV18))</f>
        <v>0.314487197121377</v>
      </c>
      <c r="AW40" s="10" t="n">
        <f aca="false">IF(AW18&gt;=1,$B18/Capas!$B$15,$B18/(Capas!$B$15*AW18+1-AW18))</f>
        <v>0.314487197121377</v>
      </c>
      <c r="AX40" s="10" t="n">
        <f aca="false">IF(AX18&gt;=1,$B18/Capas!$B$15,$B18/(Capas!$B$15*AX18+1-AX18))</f>
        <v>0.314487197121377</v>
      </c>
      <c r="AY40" s="10" t="n">
        <f aca="false">IF(AY18&gt;=1,$B18/Capas!$B$15,$B18/(Capas!$B$15*AY18+1-AY18))</f>
        <v>0.314487197121377</v>
      </c>
      <c r="AZ40" s="10" t="n">
        <f aca="false">IF(AZ18&gt;=1,$B18/Capas!$B$15,$B18/(Capas!$B$15*AZ18+1-AZ18))</f>
        <v>0.314487197121377</v>
      </c>
      <c r="BA40" s="10" t="n">
        <f aca="false">IF(BA18&gt;=1,$B18/Capas!$B$15,$B18/(Capas!$B$15*BA18+1-BA18))</f>
        <v>0.314487197121377</v>
      </c>
      <c r="BB40" s="10" t="n">
        <f aca="false">IF(BB18&gt;=1,$B18/Capas!$B$15,$B18/(Capas!$B$15*BB18+1-BB18))</f>
        <v>0.314487197121377</v>
      </c>
      <c r="BC40" s="10" t="n">
        <f aca="false">IF(BC18&gt;=1,$B18/Capas!$B$15,$B18/(Capas!$B$15*BC18+1-BC18))</f>
        <v>0.314487197121377</v>
      </c>
      <c r="BD40" s="10" t="n">
        <f aca="false">IF(BD18&gt;=1,$B18/Capas!$B$15,$B18/(Capas!$B$15*BD18+1-BD18))</f>
        <v>0.314487197121377</v>
      </c>
      <c r="BE40" s="10" t="n">
        <f aca="false">IF(BE18&gt;=1,$B18/Capas!$B$15,$B18/(Capas!$B$15*BE18+1-BE18))</f>
        <v>0.314487197121377</v>
      </c>
      <c r="BF40" s="10" t="n">
        <f aca="false">IF(BF18&gt;=1,$B18/Capas!$B$15,$B18/(Capas!$B$15*BF18+1-BF18))</f>
        <v>0.314487197121377</v>
      </c>
      <c r="BG40" s="10" t="n">
        <f aca="false">IF(BG18&gt;=1,$B18/Capas!$B$15,$B18/(Capas!$B$15*BG18+1-BG18))</f>
        <v>0.314487197121377</v>
      </c>
      <c r="BH40" s="10" t="n">
        <f aca="false">IF(BH18&gt;=1,$B18/Capas!$B$15,$B18/(Capas!$B$15*BH18+1-BH18))</f>
        <v>0.314487197121377</v>
      </c>
      <c r="BI40" s="10" t="n">
        <f aca="false">IF(BI18&gt;=1,$B18/Capas!$B$15,$B18/(Capas!$B$15*BI18+1-BI18))</f>
        <v>0.314487197121377</v>
      </c>
      <c r="BJ40" s="10" t="n">
        <f aca="false">IF(BJ18&gt;=1,$B18/Capas!$B$15,$B18/(Capas!$B$15*BJ18+1-BJ18))</f>
        <v>0.314487197121377</v>
      </c>
      <c r="BK40" s="10" t="n">
        <f aca="false">IF(BK18&gt;=1,$B18/Capas!$B$15,$B18/(Capas!$B$15*BK18+1-BK18))</f>
        <v>0.314487197121377</v>
      </c>
    </row>
    <row r="41" customFormat="false" ht="15" hidden="false" customHeight="false" outlineLevel="0" collapsed="false">
      <c r="A41" s="0" t="n">
        <v>14</v>
      </c>
      <c r="D41" s="10" t="n">
        <f aca="false">IF(D19&gt;=1,$B19/Capas!$B$15,$B19/(Capas!$B$15*D19+1-D19))</f>
        <v>1.33321211395433</v>
      </c>
      <c r="E41" s="10" t="n">
        <f aca="false">IF(E19&gt;=1,$B19/Capas!$B$15,$B19/(Capas!$B$15*E19+1-E19))</f>
        <v>1.2984906047561</v>
      </c>
      <c r="F41" s="10" t="n">
        <f aca="false">IF(F19&gt;=1,$B19/Capas!$B$15,$B19/(Capas!$B$15*F19+1-F19))</f>
        <v>1.26221477491958</v>
      </c>
      <c r="G41" s="10" t="n">
        <f aca="false">IF(G19&gt;=1,$B19/Capas!$B$15,$B19/(Capas!$B$15*G19+1-G19))</f>
        <v>1.22453708150603</v>
      </c>
      <c r="H41" s="10" t="n">
        <f aca="false">IF(H19&gt;=1,$B19/Capas!$B$15,$B19/(Capas!$B$15*H19+1-H19))</f>
        <v>1.18563458165676</v>
      </c>
      <c r="I41" s="10" t="n">
        <f aca="false">IF(I19&gt;=1,$B19/Capas!$B$15,$B19/(Capas!$B$15*I19+1-I19))</f>
        <v>1.14570496039612</v>
      </c>
      <c r="J41" s="10" t="n">
        <f aca="false">IF(J19&gt;=1,$B19/Capas!$B$15,$B19/(Capas!$B$15*J19+1-J19))</f>
        <v>1.10496169757638</v>
      </c>
      <c r="K41" s="10" t="n">
        <f aca="false">IF(K19&gt;=1,$B19/Capas!$B$15,$B19/(Capas!$B$15*K19+1-K19))</f>
        <v>1.06362864715516</v>
      </c>
      <c r="L41" s="10" t="n">
        <f aca="false">IF(L19&gt;=1,$B19/Capas!$B$15,$B19/(Capas!$B$15*L19+1-L19))</f>
        <v>1.0219343423723</v>
      </c>
      <c r="M41" s="10" t="n">
        <f aca="false">IF(M19&gt;=1,$B19/Capas!$B$15,$B19/(Capas!$B$15*M19+1-M19))</f>
        <v>0.980106348944152</v>
      </c>
      <c r="N41" s="10" t="n">
        <f aca="false">IF(N19&gt;=1,$B19/Capas!$B$15,$B19/(Capas!$B$15*N19+1-N19))</f>
        <v>0.938365965680453</v>
      </c>
      <c r="O41" s="10" t="n">
        <f aca="false">IF(O19&gt;=1,$B19/Capas!$B$15,$B19/(Capas!$B$15*O19+1-O19))</f>
        <v>0.896923523052011</v>
      </c>
      <c r="P41" s="10" t="n">
        <f aca="false">IF(P19&gt;=1,$B19/Capas!$B$15,$B19/(Capas!$B$15*P19+1-P19))</f>
        <v>0.855974463525869</v>
      </c>
      <c r="Q41" s="10" t="n">
        <f aca="false">IF(Q19&gt;=1,$B19/Capas!$B$15,$B19/(Capas!$B$15*Q19+1-Q19))</f>
        <v>0.815696312704417</v>
      </c>
      <c r="R41" s="10" t="n">
        <f aca="false">IF(R19&gt;=1,$B19/Capas!$B$15,$B19/(Capas!$B$15*R19+1-R19))</f>
        <v>0.776246576838392</v>
      </c>
      <c r="S41" s="10" t="n">
        <f aca="false">IF(S19&gt;=1,$B19/Capas!$B$15,$B19/(Capas!$B$15*S19+1-S19))</f>
        <v>0.737761537709445</v>
      </c>
      <c r="T41" s="10" t="n">
        <f aca="false">IF(T19&gt;=1,$B19/Capas!$B$15,$B19/(Capas!$B$15*T19+1-T19))</f>
        <v>0.700355865162552</v>
      </c>
      <c r="U41" s="10" t="n">
        <f aca="false">IF(U19&gt;=1,$B19/Capas!$B$15,$B19/(Capas!$B$15*U19+1-U19))</f>
        <v>0.664122932907486</v>
      </c>
      <c r="V41" s="10" t="n">
        <f aca="false">IF(V19&gt;=1,$B19/Capas!$B$15,$B19/(Capas!$B$15*V19+1-V19))</f>
        <v>0.629135704379764</v>
      </c>
      <c r="W41" s="10" t="n">
        <f aca="false">IF(W19&gt;=1,$B19/Capas!$B$15,$B19/(Capas!$B$15*W19+1-W19))</f>
        <v>0.595448050474565</v>
      </c>
      <c r="X41" s="10" t="n">
        <f aca="false">IF(X19&gt;=1,$B19/Capas!$B$15,$B19/(Capas!$B$15*X19+1-X19))</f>
        <v>0.5630963668529</v>
      </c>
      <c r="Y41" s="10" t="n">
        <f aca="false">IF(Y19&gt;=1,$B19/Capas!$B$15,$B19/(Capas!$B$15*Y19+1-Y19))</f>
        <v>0.532101371948578</v>
      </c>
      <c r="Z41" s="10" t="n">
        <f aca="false">IF(Z19&gt;=1,$B19/Capas!$B$15,$B19/(Capas!$B$15*Z19+1-Z19))</f>
        <v>0.502469984638761</v>
      </c>
      <c r="AA41" s="10" t="n">
        <f aca="false">IF(AA19&gt;=1,$B19/Capas!$B$15,$B19/(Capas!$B$15*AA19+1-AA19))</f>
        <v>0.474197200140508</v>
      </c>
      <c r="AB41" s="10" t="n">
        <f aca="false">IF(AB19&gt;=1,$B19/Capas!$B$15,$B19/(Capas!$B$15*AB19+1-AB19))</f>
        <v>0.447267902060095</v>
      </c>
      <c r="AC41" s="10" t="n">
        <f aca="false">IF(AC19&gt;=1,$B19/Capas!$B$15,$B19/(Capas!$B$15*AC19+1-AC19))</f>
        <v>0.421658566297951</v>
      </c>
      <c r="AD41" s="10" t="n">
        <f aca="false">IF(AD19&gt;=1,$B19/Capas!$B$15,$B19/(Capas!$B$15*AD19+1-AD19))</f>
        <v>0.397338827916832</v>
      </c>
      <c r="AE41" s="10" t="n">
        <f aca="false">IF(AE19&gt;=1,$B19/Capas!$B$15,$B19/(Capas!$B$15*AE19+1-AE19))</f>
        <v>0.37427289478411</v>
      </c>
      <c r="AF41" s="10" t="n">
        <f aca="false">IF(AF19&gt;=1,$B19/Capas!$B$15,$B19/(Capas!$B$15*AF19+1-AF19))</f>
        <v>0.370046093398116</v>
      </c>
      <c r="AG41" s="10" t="n">
        <f aca="false">IF(AG19&gt;=1,$B19/Capas!$B$15,$B19/(Capas!$B$15*AG19+1-AG19))</f>
        <v>0.370046093398116</v>
      </c>
      <c r="AH41" s="10" t="n">
        <f aca="false">IF(AH19&gt;=1,$B19/Capas!$B$15,$B19/(Capas!$B$15*AH19+1-AH19))</f>
        <v>0.370046093398116</v>
      </c>
      <c r="AI41" s="10" t="n">
        <f aca="false">IF(AI19&gt;=1,$B19/Capas!$B$15,$B19/(Capas!$B$15*AI19+1-AI19))</f>
        <v>0.370046093398116</v>
      </c>
      <c r="AJ41" s="10" t="n">
        <f aca="false">IF(AJ19&gt;=1,$B19/Capas!$B$15,$B19/(Capas!$B$15*AJ19+1-AJ19))</f>
        <v>0.370046093398116</v>
      </c>
      <c r="AK41" s="10" t="n">
        <f aca="false">IF(AK19&gt;=1,$B19/Capas!$B$15,$B19/(Capas!$B$15*AK19+1-AK19))</f>
        <v>0.370046093398116</v>
      </c>
      <c r="AL41" s="10" t="n">
        <f aca="false">IF(AL19&gt;=1,$B19/Capas!$B$15,$B19/(Capas!$B$15*AL19+1-AL19))</f>
        <v>0.370046093398116</v>
      </c>
      <c r="AM41" s="10" t="n">
        <f aca="false">IF(AM19&gt;=1,$B19/Capas!$B$15,$B19/(Capas!$B$15*AM19+1-AM19))</f>
        <v>0.370046093398116</v>
      </c>
      <c r="AN41" s="10" t="n">
        <f aca="false">IF(AN19&gt;=1,$B19/Capas!$B$15,$B19/(Capas!$B$15*AN19+1-AN19))</f>
        <v>0.370046093398116</v>
      </c>
      <c r="AO41" s="10" t="n">
        <f aca="false">IF(AO19&gt;=1,$B19/Capas!$B$15,$B19/(Capas!$B$15*AO19+1-AO19))</f>
        <v>0.370046093398116</v>
      </c>
      <c r="AP41" s="10" t="n">
        <f aca="false">IF(AP19&gt;=1,$B19/Capas!$B$15,$B19/(Capas!$B$15*AP19+1-AP19))</f>
        <v>0.370046093398116</v>
      </c>
      <c r="AQ41" s="10" t="n">
        <f aca="false">IF(AQ19&gt;=1,$B19/Capas!$B$15,$B19/(Capas!$B$15*AQ19+1-AQ19))</f>
        <v>0.370046093398116</v>
      </c>
      <c r="AR41" s="10" t="n">
        <f aca="false">IF(AR19&gt;=1,$B19/Capas!$B$15,$B19/(Capas!$B$15*AR19+1-AR19))</f>
        <v>0.370046093398116</v>
      </c>
      <c r="AS41" s="10" t="n">
        <f aca="false">IF(AS19&gt;=1,$B19/Capas!$B$15,$B19/(Capas!$B$15*AS19+1-AS19))</f>
        <v>0.370046093398116</v>
      </c>
      <c r="AT41" s="10" t="n">
        <f aca="false">IF(AT19&gt;=1,$B19/Capas!$B$15,$B19/(Capas!$B$15*AT19+1-AT19))</f>
        <v>0.370046093398116</v>
      </c>
      <c r="AU41" s="10" t="n">
        <f aca="false">IF(AU19&gt;=1,$B19/Capas!$B$15,$B19/(Capas!$B$15*AU19+1-AU19))</f>
        <v>0.370046093398116</v>
      </c>
      <c r="AV41" s="10" t="n">
        <f aca="false">IF(AV19&gt;=1,$B19/Capas!$B$15,$B19/(Capas!$B$15*AV19+1-AV19))</f>
        <v>0.370046093398116</v>
      </c>
      <c r="AW41" s="10" t="n">
        <f aca="false">IF(AW19&gt;=1,$B19/Capas!$B$15,$B19/(Capas!$B$15*AW19+1-AW19))</f>
        <v>0.370046093398116</v>
      </c>
      <c r="AX41" s="10" t="n">
        <f aca="false">IF(AX19&gt;=1,$B19/Capas!$B$15,$B19/(Capas!$B$15*AX19+1-AX19))</f>
        <v>0.370046093398116</v>
      </c>
      <c r="AY41" s="10" t="n">
        <f aca="false">IF(AY19&gt;=1,$B19/Capas!$B$15,$B19/(Capas!$B$15*AY19+1-AY19))</f>
        <v>0.370046093398116</v>
      </c>
      <c r="AZ41" s="10" t="n">
        <f aca="false">IF(AZ19&gt;=1,$B19/Capas!$B$15,$B19/(Capas!$B$15*AZ19+1-AZ19))</f>
        <v>0.370046093398116</v>
      </c>
      <c r="BA41" s="10" t="n">
        <f aca="false">IF(BA19&gt;=1,$B19/Capas!$B$15,$B19/(Capas!$B$15*BA19+1-BA19))</f>
        <v>0.370046093398116</v>
      </c>
      <c r="BB41" s="10" t="n">
        <f aca="false">IF(BB19&gt;=1,$B19/Capas!$B$15,$B19/(Capas!$B$15*BB19+1-BB19))</f>
        <v>0.370046093398116</v>
      </c>
      <c r="BC41" s="10" t="n">
        <f aca="false">IF(BC19&gt;=1,$B19/Capas!$B$15,$B19/(Capas!$B$15*BC19+1-BC19))</f>
        <v>0.370046093398116</v>
      </c>
      <c r="BD41" s="10" t="n">
        <f aca="false">IF(BD19&gt;=1,$B19/Capas!$B$15,$B19/(Capas!$B$15*BD19+1-BD19))</f>
        <v>0.370046093398116</v>
      </c>
      <c r="BE41" s="10" t="n">
        <f aca="false">IF(BE19&gt;=1,$B19/Capas!$B$15,$B19/(Capas!$B$15*BE19+1-BE19))</f>
        <v>0.370046093398116</v>
      </c>
      <c r="BF41" s="10" t="n">
        <f aca="false">IF(BF19&gt;=1,$B19/Capas!$B$15,$B19/(Capas!$B$15*BF19+1-BF19))</f>
        <v>0.370046093398116</v>
      </c>
      <c r="BG41" s="10" t="n">
        <f aca="false">IF(BG19&gt;=1,$B19/Capas!$B$15,$B19/(Capas!$B$15*BG19+1-BG19))</f>
        <v>0.370046093398116</v>
      </c>
      <c r="BH41" s="10" t="n">
        <f aca="false">IF(BH19&gt;=1,$B19/Capas!$B$15,$B19/(Capas!$B$15*BH19+1-BH19))</f>
        <v>0.370046093398116</v>
      </c>
      <c r="BI41" s="10" t="n">
        <f aca="false">IF(BI19&gt;=1,$B19/Capas!$B$15,$B19/(Capas!$B$15*BI19+1-BI19))</f>
        <v>0.370046093398116</v>
      </c>
      <c r="BJ41" s="10" t="n">
        <f aca="false">IF(BJ19&gt;=1,$B19/Capas!$B$15,$B19/(Capas!$B$15*BJ19+1-BJ19))</f>
        <v>0.370046093398116</v>
      </c>
      <c r="BK41" s="10" t="n">
        <f aca="false">IF(BK19&gt;=1,$B19/Capas!$B$15,$B19/(Capas!$B$15*BK19+1-BK19))</f>
        <v>0.370046093398116</v>
      </c>
    </row>
    <row r="42" customFormat="false" ht="15" hidden="false" customHeight="false" outlineLevel="0" collapsed="false">
      <c r="A42" s="0" t="n">
        <v>15</v>
      </c>
      <c r="D42" s="10" t="n">
        <f aca="false">IF(D20&gt;=1,$B20/Capas!$B$15,$B20/(Capas!$B$15*D20+1-D20))</f>
        <v>1.52823891542014</v>
      </c>
      <c r="E42" s="10" t="n">
        <f aca="false">IF(E20&gt;=1,$B20/Capas!$B$15,$B20/(Capas!$B$15*E20+1-E20))</f>
        <v>1.48444410937652</v>
      </c>
      <c r="F42" s="10" t="n">
        <f aca="false">IF(F20&gt;=1,$B20/Capas!$B$15,$B20/(Capas!$B$15*F20+1-F20))</f>
        <v>1.43905826952757</v>
      </c>
      <c r="G42" s="10" t="n">
        <f aca="false">IF(G20&gt;=1,$B20/Capas!$B$15,$B20/(Capas!$B$15*G20+1-G20))</f>
        <v>1.39230183978205</v>
      </c>
      <c r="H42" s="10" t="n">
        <f aca="false">IF(H20&gt;=1,$B20/Capas!$B$15,$B20/(Capas!$B$15*H20+1-H20))</f>
        <v>1.34441773327084</v>
      </c>
      <c r="I42" s="10" t="n">
        <f aca="false">IF(I20&gt;=1,$B20/Capas!$B$15,$B20/(Capas!$B$15*I20+1-I20))</f>
        <v>1.2956652792287</v>
      </c>
      <c r="J42" s="10" t="n">
        <f aca="false">IF(J20&gt;=1,$B20/Capas!$B$15,$B20/(Capas!$B$15*J20+1-J20))</f>
        <v>1.24631360795512</v>
      </c>
      <c r="K42" s="10" t="n">
        <f aca="false">IF(K20&gt;=1,$B20/Capas!$B$15,$B20/(Capas!$B$15*K20+1-K20))</f>
        <v>1.19663485515527</v>
      </c>
      <c r="L42" s="10" t="n">
        <f aca="false">IF(L20&gt;=1,$B20/Capas!$B$15,$B20/(Capas!$B$15*L20+1-L20))</f>
        <v>1.14689756271625</v>
      </c>
      <c r="M42" s="10" t="n">
        <f aca="false">IF(M20&gt;=1,$B20/Capas!$B$15,$B20/(Capas!$B$15*M20+1-M20))</f>
        <v>1.09736061326346</v>
      </c>
      <c r="N42" s="10" t="n">
        <f aca="false">IF(N20&gt;=1,$B20/Capas!$B$15,$B20/(Capas!$B$15*N20+1-N20))</f>
        <v>1.04826796840747</v>
      </c>
      <c r="O42" s="10" t="n">
        <f aca="false">IF(O20&gt;=1,$B20/Capas!$B$15,$B20/(Capas!$B$15*O20+1-O20))</f>
        <v>0.99984439624851</v>
      </c>
      <c r="P42" s="10" t="n">
        <f aca="false">IF(P20&gt;=1,$B20/Capas!$B$15,$B20/(Capas!$B$15*P20+1-P20))</f>
        <v>0.952292284133334</v>
      </c>
      <c r="Q42" s="10" t="n">
        <f aca="false">IF(Q20&gt;=1,$B20/Capas!$B$15,$B20/(Capas!$B$15*Q20+1-Q20))</f>
        <v>0.905789548369905</v>
      </c>
      <c r="R42" s="10" t="n">
        <f aca="false">IF(R20&gt;=1,$B20/Capas!$B$15,$B20/(Capas!$B$15*R20+1-R20))</f>
        <v>0.860488581510122</v>
      </c>
      <c r="S42" s="10" t="n">
        <f aca="false">IF(S20&gt;=1,$B20/Capas!$B$15,$B20/(Capas!$B$15*S20+1-S20))</f>
        <v>0.816516124558407</v>
      </c>
      <c r="T42" s="10" t="n">
        <f aca="false">IF(T20&gt;=1,$B20/Capas!$B$15,$B20/(Capas!$B$15*T20+1-T20))</f>
        <v>0.773973917505885</v>
      </c>
      <c r="U42" s="10" t="n">
        <f aca="false">IF(U20&gt;=1,$B20/Capas!$B$15,$B20/(Capas!$B$15*U20+1-U20))</f>
        <v>0.732939965770475</v>
      </c>
      <c r="V42" s="10" t="n">
        <f aca="false">IF(V20&gt;=1,$B20/Capas!$B$15,$B20/(Capas!$B$15*V20+1-V20))</f>
        <v>0.693470259531165</v>
      </c>
      <c r="W42" s="10" t="n">
        <f aca="false">IF(W20&gt;=1,$B20/Capas!$B$15,$B20/(Capas!$B$15*W20+1-W20))</f>
        <v>0.655600793791289</v>
      </c>
      <c r="X42" s="10" t="n">
        <f aca="false">IF(X20&gt;=1,$B20/Capas!$B$15,$B20/(Capas!$B$15*X20+1-X20))</f>
        <v>0.619349755365236</v>
      </c>
      <c r="Y42" s="10" t="n">
        <f aca="false">IF(Y20&gt;=1,$B20/Capas!$B$15,$B20/(Capas!$B$15*Y20+1-Y20))</f>
        <v>0.584719765314738</v>
      </c>
      <c r="Z42" s="10" t="n">
        <f aca="false">IF(Z20&gt;=1,$B20/Capas!$B$15,$B20/(Capas!$B$15*Z20+1-Z20))</f>
        <v>0.551700088802144</v>
      </c>
      <c r="AA42" s="10" t="n">
        <f aca="false">IF(AA20&gt;=1,$B20/Capas!$B$15,$B20/(Capas!$B$15*AA20+1-AA20))</f>
        <v>0.520268746795542</v>
      </c>
      <c r="AB42" s="10" t="n">
        <f aca="false">IF(AB20&gt;=1,$B20/Capas!$B$15,$B20/(Capas!$B$15*AB20+1-AB20))</f>
        <v>0.4903944842152</v>
      </c>
      <c r="AC42" s="10" t="n">
        <f aca="false">IF(AC20&gt;=1,$B20/Capas!$B$15,$B20/(Capas!$B$15*AC20+1-AC20))</f>
        <v>0.462038566241966</v>
      </c>
      <c r="AD42" s="10" t="n">
        <f aca="false">IF(AD20&gt;=1,$B20/Capas!$B$15,$B20/(Capas!$B$15*AD20+1-AD20))</f>
        <v>0.440097887297773</v>
      </c>
      <c r="AE42" s="10" t="n">
        <f aca="false">IF(AE20&gt;=1,$B20/Capas!$B$15,$B20/(Capas!$B$15*AE20+1-AE20))</f>
        <v>0.440097887297773</v>
      </c>
      <c r="AF42" s="10" t="n">
        <f aca="false">IF(AF20&gt;=1,$B20/Capas!$B$15,$B20/(Capas!$B$15*AF20+1-AF20))</f>
        <v>0.440097887297773</v>
      </c>
      <c r="AG42" s="10" t="n">
        <f aca="false">IF(AG20&gt;=1,$B20/Capas!$B$15,$B20/(Capas!$B$15*AG20+1-AG20))</f>
        <v>0.440097887297773</v>
      </c>
      <c r="AH42" s="10" t="n">
        <f aca="false">IF(AH20&gt;=1,$B20/Capas!$B$15,$B20/(Capas!$B$15*AH20+1-AH20))</f>
        <v>0.440097887297773</v>
      </c>
      <c r="AI42" s="10" t="n">
        <f aca="false">IF(AI20&gt;=1,$B20/Capas!$B$15,$B20/(Capas!$B$15*AI20+1-AI20))</f>
        <v>0.440097887297773</v>
      </c>
      <c r="AJ42" s="10" t="n">
        <f aca="false">IF(AJ20&gt;=1,$B20/Capas!$B$15,$B20/(Capas!$B$15*AJ20+1-AJ20))</f>
        <v>0.440097887297773</v>
      </c>
      <c r="AK42" s="10" t="n">
        <f aca="false">IF(AK20&gt;=1,$B20/Capas!$B$15,$B20/(Capas!$B$15*AK20+1-AK20))</f>
        <v>0.440097887297773</v>
      </c>
      <c r="AL42" s="10" t="n">
        <f aca="false">IF(AL20&gt;=1,$B20/Capas!$B$15,$B20/(Capas!$B$15*AL20+1-AL20))</f>
        <v>0.440097887297773</v>
      </c>
      <c r="AM42" s="10" t="n">
        <f aca="false">IF(AM20&gt;=1,$B20/Capas!$B$15,$B20/(Capas!$B$15*AM20+1-AM20))</f>
        <v>0.440097887297773</v>
      </c>
      <c r="AN42" s="10" t="n">
        <f aca="false">IF(AN20&gt;=1,$B20/Capas!$B$15,$B20/(Capas!$B$15*AN20+1-AN20))</f>
        <v>0.440097887297773</v>
      </c>
      <c r="AO42" s="10" t="n">
        <f aca="false">IF(AO20&gt;=1,$B20/Capas!$B$15,$B20/(Capas!$B$15*AO20+1-AO20))</f>
        <v>0.440097887297773</v>
      </c>
      <c r="AP42" s="10" t="n">
        <f aca="false">IF(AP20&gt;=1,$B20/Capas!$B$15,$B20/(Capas!$B$15*AP20+1-AP20))</f>
        <v>0.440097887297773</v>
      </c>
      <c r="AQ42" s="10" t="n">
        <f aca="false">IF(AQ20&gt;=1,$B20/Capas!$B$15,$B20/(Capas!$B$15*AQ20+1-AQ20))</f>
        <v>0.440097887297773</v>
      </c>
      <c r="AR42" s="10" t="n">
        <f aca="false">IF(AR20&gt;=1,$B20/Capas!$B$15,$B20/(Capas!$B$15*AR20+1-AR20))</f>
        <v>0.440097887297773</v>
      </c>
      <c r="AS42" s="10" t="n">
        <f aca="false">IF(AS20&gt;=1,$B20/Capas!$B$15,$B20/(Capas!$B$15*AS20+1-AS20))</f>
        <v>0.440097887297773</v>
      </c>
      <c r="AT42" s="10" t="n">
        <f aca="false">IF(AT20&gt;=1,$B20/Capas!$B$15,$B20/(Capas!$B$15*AT20+1-AT20))</f>
        <v>0.440097887297773</v>
      </c>
      <c r="AU42" s="10" t="n">
        <f aca="false">IF(AU20&gt;=1,$B20/Capas!$B$15,$B20/(Capas!$B$15*AU20+1-AU20))</f>
        <v>0.440097887297773</v>
      </c>
      <c r="AV42" s="10" t="n">
        <f aca="false">IF(AV20&gt;=1,$B20/Capas!$B$15,$B20/(Capas!$B$15*AV20+1-AV20))</f>
        <v>0.440097887297773</v>
      </c>
      <c r="AW42" s="10" t="n">
        <f aca="false">IF(AW20&gt;=1,$B20/Capas!$B$15,$B20/(Capas!$B$15*AW20+1-AW20))</f>
        <v>0.440097887297773</v>
      </c>
      <c r="AX42" s="10" t="n">
        <f aca="false">IF(AX20&gt;=1,$B20/Capas!$B$15,$B20/(Capas!$B$15*AX20+1-AX20))</f>
        <v>0.440097887297773</v>
      </c>
      <c r="AY42" s="10" t="n">
        <f aca="false">IF(AY20&gt;=1,$B20/Capas!$B$15,$B20/(Capas!$B$15*AY20+1-AY20))</f>
        <v>0.440097887297773</v>
      </c>
      <c r="AZ42" s="10" t="n">
        <f aca="false">IF(AZ20&gt;=1,$B20/Capas!$B$15,$B20/(Capas!$B$15*AZ20+1-AZ20))</f>
        <v>0.440097887297773</v>
      </c>
      <c r="BA42" s="10" t="n">
        <f aca="false">IF(BA20&gt;=1,$B20/Capas!$B$15,$B20/(Capas!$B$15*BA20+1-BA20))</f>
        <v>0.440097887297773</v>
      </c>
      <c r="BB42" s="10" t="n">
        <f aca="false">IF(BB20&gt;=1,$B20/Capas!$B$15,$B20/(Capas!$B$15*BB20+1-BB20))</f>
        <v>0.440097887297773</v>
      </c>
      <c r="BC42" s="10" t="n">
        <f aca="false">IF(BC20&gt;=1,$B20/Capas!$B$15,$B20/(Capas!$B$15*BC20+1-BC20))</f>
        <v>0.440097887297773</v>
      </c>
      <c r="BD42" s="10" t="n">
        <f aca="false">IF(BD20&gt;=1,$B20/Capas!$B$15,$B20/(Capas!$B$15*BD20+1-BD20))</f>
        <v>0.440097887297773</v>
      </c>
      <c r="BE42" s="10" t="n">
        <f aca="false">IF(BE20&gt;=1,$B20/Capas!$B$15,$B20/(Capas!$B$15*BE20+1-BE20))</f>
        <v>0.440097887297773</v>
      </c>
      <c r="BF42" s="10" t="n">
        <f aca="false">IF(BF20&gt;=1,$B20/Capas!$B$15,$B20/(Capas!$B$15*BF20+1-BF20))</f>
        <v>0.440097887297773</v>
      </c>
      <c r="BG42" s="10" t="n">
        <f aca="false">IF(BG20&gt;=1,$B20/Capas!$B$15,$B20/(Capas!$B$15*BG20+1-BG20))</f>
        <v>0.440097887297773</v>
      </c>
      <c r="BH42" s="10" t="n">
        <f aca="false">IF(BH20&gt;=1,$B20/Capas!$B$15,$B20/(Capas!$B$15*BH20+1-BH20))</f>
        <v>0.440097887297773</v>
      </c>
      <c r="BI42" s="10" t="n">
        <f aca="false">IF(BI20&gt;=1,$B20/Capas!$B$15,$B20/(Capas!$B$15*BI20+1-BI20))</f>
        <v>0.440097887297773</v>
      </c>
      <c r="BJ42" s="10" t="n">
        <f aca="false">IF(BJ20&gt;=1,$B20/Capas!$B$15,$B20/(Capas!$B$15*BJ20+1-BJ20))</f>
        <v>0.440097887297773</v>
      </c>
      <c r="BK42" s="10" t="n">
        <f aca="false">IF(BK20&gt;=1,$B20/Capas!$B$15,$B20/(Capas!$B$15*BK20+1-BK20))</f>
        <v>0.440097887297773</v>
      </c>
    </row>
    <row r="43" customFormat="false" ht="15" hidden="false" customHeight="false" outlineLevel="0" collapsed="false">
      <c r="A43" s="0" t="n">
        <v>16</v>
      </c>
      <c r="D43" s="10" t="n">
        <f aca="false">IF(D21&gt;=1,$B21/Capas!$B$15,$B21/(Capas!$B$15*D21+1-D21))</f>
        <v>1.76708885409725</v>
      </c>
      <c r="E43" s="10" t="n">
        <f aca="false">IF(E21&gt;=1,$B21/Capas!$B$15,$B21/(Capas!$B$15*E21+1-E21))</f>
        <v>1.71133978599264</v>
      </c>
      <c r="F43" s="10" t="n">
        <f aca="false">IF(F21&gt;=1,$B21/Capas!$B$15,$B21/(Capas!$B$15*F21+1-F21))</f>
        <v>1.65407980927584</v>
      </c>
      <c r="G43" s="10" t="n">
        <f aca="false">IF(G21&gt;=1,$B21/Capas!$B$15,$B21/(Capas!$B$15*G21+1-G21))</f>
        <v>1.59561365686308</v>
      </c>
      <c r="H43" s="10" t="n">
        <f aca="false">IF(H21&gt;=1,$B21/Capas!$B$15,$B21/(Capas!$B$15*H21+1-H21))</f>
        <v>1.53626190457352</v>
      </c>
      <c r="I43" s="10" t="n">
        <f aca="false">IF(I21&gt;=1,$B21/Capas!$B$15,$B21/(Capas!$B$15*I21+1-I21))</f>
        <v>1.47635280415042</v>
      </c>
      <c r="J43" s="10" t="n">
        <f aca="false">IF(J21&gt;=1,$B21/Capas!$B$15,$B21/(Capas!$B$15*J21+1-J21))</f>
        <v>1.41621413287238</v>
      </c>
      <c r="K43" s="10" t="n">
        <f aca="false">IF(K21&gt;=1,$B21/Capas!$B$15,$B21/(Capas!$B$15*K21+1-K21))</f>
        <v>1.35616549613253</v>
      </c>
      <c r="L43" s="10" t="n">
        <f aca="false">IF(L21&gt;=1,$B21/Capas!$B$15,$B21/(Capas!$B$15*L21+1-L21))</f>
        <v>1.29651145286973</v>
      </c>
      <c r="M43" s="10" t="n">
        <f aca="false">IF(M21&gt;=1,$B21/Capas!$B$15,$B21/(Capas!$B$15*M21+1-M21))</f>
        <v>1.23753574006298</v>
      </c>
      <c r="N43" s="10" t="n">
        <f aca="false">IF(N21&gt;=1,$B21/Capas!$B$15,$B21/(Capas!$B$15*N21+1-N21))</f>
        <v>1.17949676559025</v>
      </c>
      <c r="O43" s="10" t="n">
        <f aca="false">IF(O21&gt;=1,$B21/Capas!$B$15,$B21/(Capas!$B$15*O21+1-O21))</f>
        <v>1.12262443228059</v>
      </c>
      <c r="P43" s="10" t="n">
        <f aca="false">IF(P21&gt;=1,$B21/Capas!$B$15,$B21/(Capas!$B$15*P21+1-P21))</f>
        <v>1.0671182612251</v>
      </c>
      <c r="Q43" s="10" t="n">
        <f aca="false">IF(Q21&gt;=1,$B21/Capas!$B$15,$B21/(Capas!$B$15*Q21+1-Q21))</f>
        <v>1.01314670696163</v>
      </c>
      <c r="R43" s="10" t="n">
        <f aca="false">IF(R21&gt;=1,$B21/Capas!$B$15,$B21/(Capas!$B$15*R21+1-R21))</f>
        <v>0.96084750460945</v>
      </c>
      <c r="S43" s="10" t="n">
        <f aca="false">IF(S21&gt;=1,$B21/Capas!$B$15,$B21/(Capas!$B$15*S21+1-S21))</f>
        <v>0.910328859443529</v>
      </c>
      <c r="T43" s="10" t="n">
        <f aca="false">IF(T21&gt;=1,$B21/Capas!$B$15,$B21/(Capas!$B$15*T21+1-T21))</f>
        <v>0.8616712801494</v>
      </c>
      <c r="U43" s="10" t="n">
        <f aca="false">IF(U21&gt;=1,$B21/Capas!$B$15,$B21/(Capas!$B$15*U21+1-U21))</f>
        <v>0.814929863907275</v>
      </c>
      <c r="V43" s="10" t="n">
        <f aca="false">IF(V21&gt;=1,$B21/Capas!$B$15,$B21/(Capas!$B$15*V21+1-V21))</f>
        <v>0.77013685975506</v>
      </c>
      <c r="W43" s="10" t="n">
        <f aca="false">IF(W21&gt;=1,$B21/Capas!$B$15,$B21/(Capas!$B$15*W21+1-W21))</f>
        <v>0.727304361804394</v>
      </c>
      <c r="X43" s="10" t="n">
        <f aca="false">IF(X21&gt;=1,$B21/Capas!$B$15,$B21/(Capas!$B$15*X21+1-X21))</f>
        <v>0.686427011938424</v>
      </c>
      <c r="Y43" s="10" t="n">
        <f aca="false">IF(Y21&gt;=1,$B21/Capas!$B$15,$B21/(Capas!$B$15*Y21+1-Y21))</f>
        <v>0.647484619619042</v>
      </c>
      <c r="Z43" s="10" t="n">
        <f aca="false">IF(Z21&gt;=1,$B21/Capas!$B$15,$B21/(Capas!$B$15*Z21+1-Z21))</f>
        <v>0.610444632325759</v>
      </c>
      <c r="AA43" s="10" t="n">
        <f aca="false">IF(AA21&gt;=1,$B21/Capas!$B$15,$B21/(Capas!$B$15*AA21+1-AA21))</f>
        <v>0.575264412726161</v>
      </c>
      <c r="AB43" s="10" t="n">
        <f aca="false">IF(AB21&gt;=1,$B21/Capas!$B$15,$B21/(Capas!$B$15*AB21+1-AB21))</f>
        <v>0.541893297398616</v>
      </c>
      <c r="AC43" s="10" t="n">
        <f aca="false">IF(AC21&gt;=1,$B21/Capas!$B$15,$B21/(Capas!$B$15*AC21+1-AC21))</f>
        <v>0.532088264211546</v>
      </c>
      <c r="AD43" s="10" t="n">
        <f aca="false">IF(AD21&gt;=1,$B21/Capas!$B$15,$B21/(Capas!$B$15*AD21+1-AD21))</f>
        <v>0.532088264211546</v>
      </c>
      <c r="AE43" s="10" t="n">
        <f aca="false">IF(AE21&gt;=1,$B21/Capas!$B$15,$B21/(Capas!$B$15*AE21+1-AE21))</f>
        <v>0.532088264211546</v>
      </c>
      <c r="AF43" s="10" t="n">
        <f aca="false">IF(AF21&gt;=1,$B21/Capas!$B$15,$B21/(Capas!$B$15*AF21+1-AF21))</f>
        <v>0.532088264211546</v>
      </c>
      <c r="AG43" s="10" t="n">
        <f aca="false">IF(AG21&gt;=1,$B21/Capas!$B$15,$B21/(Capas!$B$15*AG21+1-AG21))</f>
        <v>0.532088264211546</v>
      </c>
      <c r="AH43" s="10" t="n">
        <f aca="false">IF(AH21&gt;=1,$B21/Capas!$B$15,$B21/(Capas!$B$15*AH21+1-AH21))</f>
        <v>0.532088264211546</v>
      </c>
      <c r="AI43" s="10" t="n">
        <f aca="false">IF(AI21&gt;=1,$B21/Capas!$B$15,$B21/(Capas!$B$15*AI21+1-AI21))</f>
        <v>0.532088264211546</v>
      </c>
      <c r="AJ43" s="10" t="n">
        <f aca="false">IF(AJ21&gt;=1,$B21/Capas!$B$15,$B21/(Capas!$B$15*AJ21+1-AJ21))</f>
        <v>0.532088264211546</v>
      </c>
      <c r="AK43" s="10" t="n">
        <f aca="false">IF(AK21&gt;=1,$B21/Capas!$B$15,$B21/(Capas!$B$15*AK21+1-AK21))</f>
        <v>0.532088264211546</v>
      </c>
      <c r="AL43" s="10" t="n">
        <f aca="false">IF(AL21&gt;=1,$B21/Capas!$B$15,$B21/(Capas!$B$15*AL21+1-AL21))</f>
        <v>0.532088264211546</v>
      </c>
      <c r="AM43" s="10" t="n">
        <f aca="false">IF(AM21&gt;=1,$B21/Capas!$B$15,$B21/(Capas!$B$15*AM21+1-AM21))</f>
        <v>0.532088264211546</v>
      </c>
      <c r="AN43" s="10" t="n">
        <f aca="false">IF(AN21&gt;=1,$B21/Capas!$B$15,$B21/(Capas!$B$15*AN21+1-AN21))</f>
        <v>0.532088264211546</v>
      </c>
      <c r="AO43" s="10" t="n">
        <f aca="false">IF(AO21&gt;=1,$B21/Capas!$B$15,$B21/(Capas!$B$15*AO21+1-AO21))</f>
        <v>0.532088264211546</v>
      </c>
      <c r="AP43" s="10" t="n">
        <f aca="false">IF(AP21&gt;=1,$B21/Capas!$B$15,$B21/(Capas!$B$15*AP21+1-AP21))</f>
        <v>0.532088264211546</v>
      </c>
      <c r="AQ43" s="10" t="n">
        <f aca="false">IF(AQ21&gt;=1,$B21/Capas!$B$15,$B21/(Capas!$B$15*AQ21+1-AQ21))</f>
        <v>0.532088264211546</v>
      </c>
      <c r="AR43" s="10" t="n">
        <f aca="false">IF(AR21&gt;=1,$B21/Capas!$B$15,$B21/(Capas!$B$15*AR21+1-AR21))</f>
        <v>0.532088264211546</v>
      </c>
      <c r="AS43" s="10" t="n">
        <f aca="false">IF(AS21&gt;=1,$B21/Capas!$B$15,$B21/(Capas!$B$15*AS21+1-AS21))</f>
        <v>0.532088264211546</v>
      </c>
      <c r="AT43" s="10" t="n">
        <f aca="false">IF(AT21&gt;=1,$B21/Capas!$B$15,$B21/(Capas!$B$15*AT21+1-AT21))</f>
        <v>0.532088264211546</v>
      </c>
      <c r="AU43" s="10" t="n">
        <f aca="false">IF(AU21&gt;=1,$B21/Capas!$B$15,$B21/(Capas!$B$15*AU21+1-AU21))</f>
        <v>0.532088264211546</v>
      </c>
      <c r="AV43" s="10" t="n">
        <f aca="false">IF(AV21&gt;=1,$B21/Capas!$B$15,$B21/(Capas!$B$15*AV21+1-AV21))</f>
        <v>0.532088264211546</v>
      </c>
      <c r="AW43" s="10" t="n">
        <f aca="false">IF(AW21&gt;=1,$B21/Capas!$B$15,$B21/(Capas!$B$15*AW21+1-AW21))</f>
        <v>0.532088264211546</v>
      </c>
      <c r="AX43" s="10" t="n">
        <f aca="false">IF(AX21&gt;=1,$B21/Capas!$B$15,$B21/(Capas!$B$15*AX21+1-AX21))</f>
        <v>0.532088264211546</v>
      </c>
      <c r="AY43" s="10" t="n">
        <f aca="false">IF(AY21&gt;=1,$B21/Capas!$B$15,$B21/(Capas!$B$15*AY21+1-AY21))</f>
        <v>0.532088264211546</v>
      </c>
      <c r="AZ43" s="10" t="n">
        <f aca="false">IF(AZ21&gt;=1,$B21/Capas!$B$15,$B21/(Capas!$B$15*AZ21+1-AZ21))</f>
        <v>0.532088264211546</v>
      </c>
      <c r="BA43" s="10" t="n">
        <f aca="false">IF(BA21&gt;=1,$B21/Capas!$B$15,$B21/(Capas!$B$15*BA21+1-BA21))</f>
        <v>0.532088264211546</v>
      </c>
      <c r="BB43" s="10" t="n">
        <f aca="false">IF(BB21&gt;=1,$B21/Capas!$B$15,$B21/(Capas!$B$15*BB21+1-BB21))</f>
        <v>0.532088264211546</v>
      </c>
      <c r="BC43" s="10" t="n">
        <f aca="false">IF(BC21&gt;=1,$B21/Capas!$B$15,$B21/(Capas!$B$15*BC21+1-BC21))</f>
        <v>0.532088264211546</v>
      </c>
      <c r="BD43" s="10" t="n">
        <f aca="false">IF(BD21&gt;=1,$B21/Capas!$B$15,$B21/(Capas!$B$15*BD21+1-BD21))</f>
        <v>0.532088264211546</v>
      </c>
      <c r="BE43" s="10" t="n">
        <f aca="false">IF(BE21&gt;=1,$B21/Capas!$B$15,$B21/(Capas!$B$15*BE21+1-BE21))</f>
        <v>0.532088264211546</v>
      </c>
      <c r="BF43" s="10" t="n">
        <f aca="false">IF(BF21&gt;=1,$B21/Capas!$B$15,$B21/(Capas!$B$15*BF21+1-BF21))</f>
        <v>0.532088264211546</v>
      </c>
      <c r="BG43" s="10" t="n">
        <f aca="false">IF(BG21&gt;=1,$B21/Capas!$B$15,$B21/(Capas!$B$15*BG21+1-BG21))</f>
        <v>0.532088264211546</v>
      </c>
      <c r="BH43" s="10" t="n">
        <f aca="false">IF(BH21&gt;=1,$B21/Capas!$B$15,$B21/(Capas!$B$15*BH21+1-BH21))</f>
        <v>0.532088264211546</v>
      </c>
      <c r="BI43" s="10" t="n">
        <f aca="false">IF(BI21&gt;=1,$B21/Capas!$B$15,$B21/(Capas!$B$15*BI21+1-BI21))</f>
        <v>0.532088264211546</v>
      </c>
      <c r="BJ43" s="10" t="n">
        <f aca="false">IF(BJ21&gt;=1,$B21/Capas!$B$15,$B21/(Capas!$B$15*BJ21+1-BJ21))</f>
        <v>0.532088264211546</v>
      </c>
      <c r="BK43" s="10" t="n">
        <f aca="false">IF(BK21&gt;=1,$B21/Capas!$B$15,$B21/(Capas!$B$15*BK21+1-BK21))</f>
        <v>0.532088264211546</v>
      </c>
    </row>
    <row r="44" customFormat="false" ht="15" hidden="false" customHeight="false" outlineLevel="0" collapsed="false">
      <c r="A44" s="0" t="n">
        <v>17</v>
      </c>
      <c r="D44" s="10" t="n">
        <f aca="false">IF(D22&gt;=1,$B22/Capas!$B$15,$B22/(Capas!$B$15*D22+1-D22))</f>
        <v>2.07282982774709</v>
      </c>
      <c r="E44" s="10" t="n">
        <f aca="false">IF(E22&gt;=1,$B22/Capas!$B$15,$B22/(Capas!$B$15*E22+1-E22))</f>
        <v>2.00067629422062</v>
      </c>
      <c r="F44" s="10" t="n">
        <f aca="false">IF(F22&gt;=1,$B22/Capas!$B$15,$B22/(Capas!$B$15*F22+1-F22))</f>
        <v>1.92730859230811</v>
      </c>
      <c r="G44" s="10" t="n">
        <f aca="false">IF(G22&gt;=1,$B22/Capas!$B$15,$B22/(Capas!$B$15*G22+1-G22))</f>
        <v>1.85313231936633</v>
      </c>
      <c r="H44" s="10" t="n">
        <f aca="false">IF(H22&gt;=1,$B22/Capas!$B$15,$B22/(Capas!$B$15*H22+1-H22))</f>
        <v>1.77855534582334</v>
      </c>
      <c r="I44" s="10" t="n">
        <f aca="false">IF(I22&gt;=1,$B22/Capas!$B$15,$B22/(Capas!$B$15*I22+1-I22))</f>
        <v>1.70397805228062</v>
      </c>
      <c r="J44" s="10" t="n">
        <f aca="false">IF(J22&gt;=1,$B22/Capas!$B$15,$B22/(Capas!$B$15*J22+1-J22))</f>
        <v>1.6297844668291</v>
      </c>
      <c r="K44" s="10" t="n">
        <f aca="false">IF(K22&gt;=1,$B22/Capas!$B$15,$B22/(Capas!$B$15*K22+1-K22))</f>
        <v>1.55633468103856</v>
      </c>
      <c r="L44" s="10" t="n">
        <f aca="false">IF(L22&gt;=1,$B22/Capas!$B$15,$B22/(Capas!$B$15*L22+1-L22))</f>
        <v>1.48395879332901</v>
      </c>
      <c r="M44" s="10" t="n">
        <f aca="false">IF(M22&gt;=1,$B22/Capas!$B$15,$B22/(Capas!$B$15*M22+1-M22))</f>
        <v>1.41295249457125</v>
      </c>
      <c r="N44" s="10" t="n">
        <f aca="false">IF(N22&gt;=1,$B22/Capas!$B$15,$B22/(Capas!$B$15*N22+1-N22))</f>
        <v>1.34357428784341</v>
      </c>
      <c r="O44" s="10" t="n">
        <f aca="false">IF(O22&gt;=1,$B22/Capas!$B$15,$B22/(Capas!$B$15*O22+1-O22))</f>
        <v>1.27604423311969</v>
      </c>
      <c r="P44" s="10" t="n">
        <f aca="false">IF(P22&gt;=1,$B22/Capas!$B$15,$B22/(Capas!$B$15*P22+1-P22))</f>
        <v>1.21054403415643</v>
      </c>
      <c r="Q44" s="10" t="n">
        <f aca="false">IF(Q22&gt;=1,$B22/Capas!$B$15,$B22/(Capas!$B$15*Q22+1-Q22))</f>
        <v>1.14721824018501</v>
      </c>
      <c r="R44" s="10" t="n">
        <f aca="false">IF(R22&gt;=1,$B22/Capas!$B$15,$B22/(Capas!$B$15*R22+1-R22))</f>
        <v>1.08617631678812</v>
      </c>
      <c r="S44" s="10" t="n">
        <f aca="false">IF(S22&gt;=1,$B22/Capas!$B$15,$B22/(Capas!$B$15*S22+1-S22))</f>
        <v>1.02749534375758</v>
      </c>
      <c r="T44" s="10" t="n">
        <f aca="false">IF(T22&gt;=1,$B22/Capas!$B$15,$B22/(Capas!$B$15*T22+1-T22))</f>
        <v>0.971223116994107</v>
      </c>
      <c r="U44" s="10" t="n">
        <f aca="false">IF(U22&gt;=1,$B22/Capas!$B$15,$B22/(Capas!$B$15*U22+1-U22))</f>
        <v>0.917381460795987</v>
      </c>
      <c r="V44" s="10" t="n">
        <f aca="false">IF(V22&gt;=1,$B22/Capas!$B$15,$B22/(Capas!$B$15*V22+1-V22))</f>
        <v>0.865969591081666</v>
      </c>
      <c r="W44" s="10" t="n">
        <f aca="false">IF(W22&gt;=1,$B22/Capas!$B$15,$B22/(Capas!$B$15*W22+1-W22))</f>
        <v>0.816967405160303</v>
      </c>
      <c r="X44" s="10" t="n">
        <f aca="false">IF(X22&gt;=1,$B22/Capas!$B$15,$B22/(Capas!$B$15*X22+1-X22))</f>
        <v>0.770338606736861</v>
      </c>
      <c r="Y44" s="10" t="n">
        <f aca="false">IF(Y22&gt;=1,$B22/Capas!$B$15,$B22/(Capas!$B$15*Y22+1-Y22))</f>
        <v>0.726033604131325</v>
      </c>
      <c r="Z44" s="10" t="n">
        <f aca="false">IF(Z22&gt;=1,$B22/Capas!$B$15,$B22/(Capas!$B$15*Z22+1-Z22))</f>
        <v>0.683992144319176</v>
      </c>
      <c r="AA44" s="10" t="n">
        <f aca="false">IF(AA22&gt;=1,$B22/Capas!$B$15,$B22/(Capas!$B$15*AA22+1-AA22))</f>
        <v>0.660191753019696</v>
      </c>
      <c r="AB44" s="10" t="n">
        <f aca="false">IF(AB22&gt;=1,$B22/Capas!$B$15,$B22/(Capas!$B$15*AB22+1-AB22))</f>
        <v>0.660191753019696</v>
      </c>
      <c r="AC44" s="10" t="n">
        <f aca="false">IF(AC22&gt;=1,$B22/Capas!$B$15,$B22/(Capas!$B$15*AC22+1-AC22))</f>
        <v>0.660191753019696</v>
      </c>
      <c r="AD44" s="10" t="n">
        <f aca="false">IF(AD22&gt;=1,$B22/Capas!$B$15,$B22/(Capas!$B$15*AD22+1-AD22))</f>
        <v>0.660191753019696</v>
      </c>
      <c r="AE44" s="10" t="n">
        <f aca="false">IF(AE22&gt;=1,$B22/Capas!$B$15,$B22/(Capas!$B$15*AE22+1-AE22))</f>
        <v>0.660191753019696</v>
      </c>
      <c r="AF44" s="10" t="n">
        <f aca="false">IF(AF22&gt;=1,$B22/Capas!$B$15,$B22/(Capas!$B$15*AF22+1-AF22))</f>
        <v>0.660191753019696</v>
      </c>
      <c r="AG44" s="10" t="n">
        <f aca="false">IF(AG22&gt;=1,$B22/Capas!$B$15,$B22/(Capas!$B$15*AG22+1-AG22))</f>
        <v>0.660191753019696</v>
      </c>
      <c r="AH44" s="10" t="n">
        <f aca="false">IF(AH22&gt;=1,$B22/Capas!$B$15,$B22/(Capas!$B$15*AH22+1-AH22))</f>
        <v>0.660191753019696</v>
      </c>
      <c r="AI44" s="10" t="n">
        <f aca="false">IF(AI22&gt;=1,$B22/Capas!$B$15,$B22/(Capas!$B$15*AI22+1-AI22))</f>
        <v>0.660191753019696</v>
      </c>
      <c r="AJ44" s="10" t="n">
        <f aca="false">IF(AJ22&gt;=1,$B22/Capas!$B$15,$B22/(Capas!$B$15*AJ22+1-AJ22))</f>
        <v>0.660191753019696</v>
      </c>
      <c r="AK44" s="10" t="n">
        <f aca="false">IF(AK22&gt;=1,$B22/Capas!$B$15,$B22/(Capas!$B$15*AK22+1-AK22))</f>
        <v>0.660191753019696</v>
      </c>
      <c r="AL44" s="10" t="n">
        <f aca="false">IF(AL22&gt;=1,$B22/Capas!$B$15,$B22/(Capas!$B$15*AL22+1-AL22))</f>
        <v>0.660191753019696</v>
      </c>
      <c r="AM44" s="10" t="n">
        <f aca="false">IF(AM22&gt;=1,$B22/Capas!$B$15,$B22/(Capas!$B$15*AM22+1-AM22))</f>
        <v>0.660191753019696</v>
      </c>
      <c r="AN44" s="10" t="n">
        <f aca="false">IF(AN22&gt;=1,$B22/Capas!$B$15,$B22/(Capas!$B$15*AN22+1-AN22))</f>
        <v>0.660191753019696</v>
      </c>
      <c r="AO44" s="10" t="n">
        <f aca="false">IF(AO22&gt;=1,$B22/Capas!$B$15,$B22/(Capas!$B$15*AO22+1-AO22))</f>
        <v>0.660191753019696</v>
      </c>
      <c r="AP44" s="10" t="n">
        <f aca="false">IF(AP22&gt;=1,$B22/Capas!$B$15,$B22/(Capas!$B$15*AP22+1-AP22))</f>
        <v>0.660191753019696</v>
      </c>
      <c r="AQ44" s="10" t="n">
        <f aca="false">IF(AQ22&gt;=1,$B22/Capas!$B$15,$B22/(Capas!$B$15*AQ22+1-AQ22))</f>
        <v>0.660191753019696</v>
      </c>
      <c r="AR44" s="10" t="n">
        <f aca="false">IF(AR22&gt;=1,$B22/Capas!$B$15,$B22/(Capas!$B$15*AR22+1-AR22))</f>
        <v>0.660191753019696</v>
      </c>
      <c r="AS44" s="10" t="n">
        <f aca="false">IF(AS22&gt;=1,$B22/Capas!$B$15,$B22/(Capas!$B$15*AS22+1-AS22))</f>
        <v>0.660191753019696</v>
      </c>
      <c r="AT44" s="10" t="n">
        <f aca="false">IF(AT22&gt;=1,$B22/Capas!$B$15,$B22/(Capas!$B$15*AT22+1-AT22))</f>
        <v>0.660191753019696</v>
      </c>
      <c r="AU44" s="10" t="n">
        <f aca="false">IF(AU22&gt;=1,$B22/Capas!$B$15,$B22/(Capas!$B$15*AU22+1-AU22))</f>
        <v>0.660191753019696</v>
      </c>
      <c r="AV44" s="10" t="n">
        <f aca="false">IF(AV22&gt;=1,$B22/Capas!$B$15,$B22/(Capas!$B$15*AV22+1-AV22))</f>
        <v>0.660191753019696</v>
      </c>
      <c r="AW44" s="10" t="n">
        <f aca="false">IF(AW22&gt;=1,$B22/Capas!$B$15,$B22/(Capas!$B$15*AW22+1-AW22))</f>
        <v>0.660191753019696</v>
      </c>
      <c r="AX44" s="10" t="n">
        <f aca="false">IF(AX22&gt;=1,$B22/Capas!$B$15,$B22/(Capas!$B$15*AX22+1-AX22))</f>
        <v>0.660191753019696</v>
      </c>
      <c r="AY44" s="10" t="n">
        <f aca="false">IF(AY22&gt;=1,$B22/Capas!$B$15,$B22/(Capas!$B$15*AY22+1-AY22))</f>
        <v>0.660191753019696</v>
      </c>
      <c r="AZ44" s="10" t="n">
        <f aca="false">IF(AZ22&gt;=1,$B22/Capas!$B$15,$B22/(Capas!$B$15*AZ22+1-AZ22))</f>
        <v>0.660191753019696</v>
      </c>
      <c r="BA44" s="10" t="n">
        <f aca="false">IF(BA22&gt;=1,$B22/Capas!$B$15,$B22/(Capas!$B$15*BA22+1-BA22))</f>
        <v>0.660191753019696</v>
      </c>
      <c r="BB44" s="10" t="n">
        <f aca="false">IF(BB22&gt;=1,$B22/Capas!$B$15,$B22/(Capas!$B$15*BB22+1-BB22))</f>
        <v>0.660191753019696</v>
      </c>
      <c r="BC44" s="10" t="n">
        <f aca="false">IF(BC22&gt;=1,$B22/Capas!$B$15,$B22/(Capas!$B$15*BC22+1-BC22))</f>
        <v>0.660191753019696</v>
      </c>
      <c r="BD44" s="10" t="n">
        <f aca="false">IF(BD22&gt;=1,$B22/Capas!$B$15,$B22/(Capas!$B$15*BD22+1-BD22))</f>
        <v>0.660191753019696</v>
      </c>
      <c r="BE44" s="10" t="n">
        <f aca="false">IF(BE22&gt;=1,$B22/Capas!$B$15,$B22/(Capas!$B$15*BE22+1-BE22))</f>
        <v>0.660191753019696</v>
      </c>
      <c r="BF44" s="10" t="n">
        <f aca="false">IF(BF22&gt;=1,$B22/Capas!$B$15,$B22/(Capas!$B$15*BF22+1-BF22))</f>
        <v>0.660191753019696</v>
      </c>
      <c r="BG44" s="10" t="n">
        <f aca="false">IF(BG22&gt;=1,$B22/Capas!$B$15,$B22/(Capas!$B$15*BG22+1-BG22))</f>
        <v>0.660191753019696</v>
      </c>
      <c r="BH44" s="10" t="n">
        <f aca="false">IF(BH22&gt;=1,$B22/Capas!$B$15,$B22/(Capas!$B$15*BH22+1-BH22))</f>
        <v>0.660191753019696</v>
      </c>
      <c r="BI44" s="10" t="n">
        <f aca="false">IF(BI22&gt;=1,$B22/Capas!$B$15,$B22/(Capas!$B$15*BI22+1-BI22))</f>
        <v>0.660191753019696</v>
      </c>
      <c r="BJ44" s="10" t="n">
        <f aca="false">IF(BJ22&gt;=1,$B22/Capas!$B$15,$B22/(Capas!$B$15*BJ22+1-BJ22))</f>
        <v>0.660191753019696</v>
      </c>
      <c r="BK44" s="10" t="n">
        <f aca="false">IF(BK22&gt;=1,$B22/Capas!$B$15,$B22/(Capas!$B$15*BK22+1-BK22))</f>
        <v>0.660191753019696</v>
      </c>
    </row>
    <row r="45" customFormat="false" ht="15" hidden="false" customHeight="false" outlineLevel="0" collapsed="false">
      <c r="A45" s="0" t="n">
        <v>18</v>
      </c>
      <c r="D45" s="10" t="n">
        <f aca="false">IF(D23&gt;=1,$B23/Capas!$B$15,$B23/(Capas!$B$15*D23+1-D23))</f>
        <v>2.49293038481726</v>
      </c>
      <c r="E45" s="10" t="n">
        <f aca="false">IF(E23&gt;=1,$B23/Capas!$B$15,$B23/(Capas!$B$15*E23+1-E23))</f>
        <v>2.39670249411899</v>
      </c>
      <c r="F45" s="10" t="n">
        <f aca="false">IF(F23&gt;=1,$B23/Capas!$B$15,$B23/(Capas!$B$15*F23+1-F23))</f>
        <v>2.29998840176371</v>
      </c>
      <c r="G45" s="10" t="n">
        <f aca="false">IF(G23&gt;=1,$B23/Capas!$B$15,$B23/(Capas!$B$15*G23+1-G23))</f>
        <v>2.20330623433025</v>
      </c>
      <c r="H45" s="10" t="n">
        <f aca="false">IF(H23&gt;=1,$B23/Capas!$B$15,$B23/(Capas!$B$15*H23+1-H23))</f>
        <v>2.10715223767917</v>
      </c>
      <c r="I45" s="10" t="n">
        <f aca="false">IF(I23&gt;=1,$B23/Capas!$B$15,$B23/(Capas!$B$15*I23+1-I23))</f>
        <v>2.01199106122394</v>
      </c>
      <c r="J45" s="10" t="n">
        <f aca="false">IF(J23&gt;=1,$B23/Capas!$B$15,$B23/(Capas!$B$15*J23+1-J23))</f>
        <v>1.91824803720009</v>
      </c>
      <c r="K45" s="10" t="n">
        <f aca="false">IF(K23&gt;=1,$B23/Capas!$B$15,$B23/(Capas!$B$15*K23+1-K23))</f>
        <v>1.82630359313222</v>
      </c>
      <c r="L45" s="10" t="n">
        <f aca="false">IF(L23&gt;=1,$B23/Capas!$B$15,$B23/(Capas!$B$15*L23+1-L23))</f>
        <v>1.73648977775623</v>
      </c>
      <c r="M45" s="10" t="n">
        <f aca="false">IF(M23&gt;=1,$B23/Capas!$B$15,$B23/(Capas!$B$15*M23+1-M23))</f>
        <v>1.64908875161547</v>
      </c>
      <c r="N45" s="10" t="n">
        <f aca="false">IF(N23&gt;=1,$B23/Capas!$B$15,$B23/(Capas!$B$15*N23+1-N23))</f>
        <v>1.56433300061752</v>
      </c>
      <c r="O45" s="10" t="n">
        <f aca="false">IF(O23&gt;=1,$B23/Capas!$B$15,$B23/(Capas!$B$15*O23+1-O23))</f>
        <v>1.48240697524545</v>
      </c>
      <c r="P45" s="10" t="n">
        <f aca="false">IF(P23&gt;=1,$B23/Capas!$B$15,$B23/(Capas!$B$15*P23+1-P23))</f>
        <v>1.40344983646337</v>
      </c>
      <c r="Q45" s="10" t="n">
        <f aca="false">IF(Q23&gt;=1,$B23/Capas!$B$15,$B23/(Capas!$B$15*Q23+1-Q23))</f>
        <v>1.3275589953265</v>
      </c>
      <c r="R45" s="10" t="n">
        <f aca="false">IF(R23&gt;=1,$B23/Capas!$B$15,$B23/(Capas!$B$15*R23+1-R23))</f>
        <v>1.25479415932442</v>
      </c>
      <c r="S45" s="10" t="n">
        <f aca="false">IF(S23&gt;=1,$B23/Capas!$B$15,$B23/(Capas!$B$15*S23+1-S23))</f>
        <v>1.18518163704861</v>
      </c>
      <c r="T45" s="10" t="n">
        <f aca="false">IF(T23&gt;=1,$B23/Capas!$B$15,$B23/(Capas!$B$15*T23+1-T23))</f>
        <v>1.11871869732853</v>
      </c>
      <c r="U45" s="10" t="n">
        <f aca="false">IF(U23&gt;=1,$B23/Capas!$B$15,$B23/(Capas!$B$15*U23+1-U23))</f>
        <v>1.05537782438286</v>
      </c>
      <c r="V45" s="10" t="n">
        <f aca="false">IF(V23&gt;=1,$B23/Capas!$B$15,$B23/(Capas!$B$15*V23+1-V23))</f>
        <v>0.995110753159252</v>
      </c>
      <c r="W45" s="10" t="n">
        <f aca="false">IF(W23&gt;=1,$B23/Capas!$B$15,$B23/(Capas!$B$15*W23+1-W23))</f>
        <v>0.937852206657752</v>
      </c>
      <c r="X45" s="10" t="n">
        <f aca="false">IF(X23&gt;=1,$B23/Capas!$B$15,$B23/(Capas!$B$15*X23+1-X23))</f>
        <v>0.883523288565221</v>
      </c>
      <c r="Y45" s="10" t="n">
        <f aca="false">IF(Y23&gt;=1,$B23/Capas!$B$15,$B23/(Capas!$B$15*Y23+1-Y23))</f>
        <v>0.856025022392031</v>
      </c>
      <c r="Z45" s="10" t="n">
        <f aca="false">IF(Z23&gt;=1,$B23/Capas!$B$15,$B23/(Capas!$B$15*Z23+1-Z23))</f>
        <v>0.856025022392031</v>
      </c>
      <c r="AA45" s="10" t="n">
        <f aca="false">IF(AA23&gt;=1,$B23/Capas!$B$15,$B23/(Capas!$B$15*AA23+1-AA23))</f>
        <v>0.856025022392031</v>
      </c>
      <c r="AB45" s="10" t="n">
        <f aca="false">IF(AB23&gt;=1,$B23/Capas!$B$15,$B23/(Capas!$B$15*AB23+1-AB23))</f>
        <v>0.856025022392031</v>
      </c>
      <c r="AC45" s="10" t="n">
        <f aca="false">IF(AC23&gt;=1,$B23/Capas!$B$15,$B23/(Capas!$B$15*AC23+1-AC23))</f>
        <v>0.856025022392031</v>
      </c>
      <c r="AD45" s="10" t="n">
        <f aca="false">IF(AD23&gt;=1,$B23/Capas!$B$15,$B23/(Capas!$B$15*AD23+1-AD23))</f>
        <v>0.856025022392031</v>
      </c>
      <c r="AE45" s="10" t="n">
        <f aca="false">IF(AE23&gt;=1,$B23/Capas!$B$15,$B23/(Capas!$B$15*AE23+1-AE23))</f>
        <v>0.856025022392031</v>
      </c>
      <c r="AF45" s="10" t="n">
        <f aca="false">IF(AF23&gt;=1,$B23/Capas!$B$15,$B23/(Capas!$B$15*AF23+1-AF23))</f>
        <v>0.856025022392031</v>
      </c>
      <c r="AG45" s="10" t="n">
        <f aca="false">IF(AG23&gt;=1,$B23/Capas!$B$15,$B23/(Capas!$B$15*AG23+1-AG23))</f>
        <v>0.856025022392031</v>
      </c>
      <c r="AH45" s="10" t="n">
        <f aca="false">IF(AH23&gt;=1,$B23/Capas!$B$15,$B23/(Capas!$B$15*AH23+1-AH23))</f>
        <v>0.856025022392031</v>
      </c>
      <c r="AI45" s="10" t="n">
        <f aca="false">IF(AI23&gt;=1,$B23/Capas!$B$15,$B23/(Capas!$B$15*AI23+1-AI23))</f>
        <v>0.856025022392031</v>
      </c>
      <c r="AJ45" s="10" t="n">
        <f aca="false">IF(AJ23&gt;=1,$B23/Capas!$B$15,$B23/(Capas!$B$15*AJ23+1-AJ23))</f>
        <v>0.856025022392031</v>
      </c>
      <c r="AK45" s="10" t="n">
        <f aca="false">IF(AK23&gt;=1,$B23/Capas!$B$15,$B23/(Capas!$B$15*AK23+1-AK23))</f>
        <v>0.856025022392031</v>
      </c>
      <c r="AL45" s="10" t="n">
        <f aca="false">IF(AL23&gt;=1,$B23/Capas!$B$15,$B23/(Capas!$B$15*AL23+1-AL23))</f>
        <v>0.856025022392031</v>
      </c>
      <c r="AM45" s="10" t="n">
        <f aca="false">IF(AM23&gt;=1,$B23/Capas!$B$15,$B23/(Capas!$B$15*AM23+1-AM23))</f>
        <v>0.856025022392031</v>
      </c>
      <c r="AN45" s="10" t="n">
        <f aca="false">IF(AN23&gt;=1,$B23/Capas!$B$15,$B23/(Capas!$B$15*AN23+1-AN23))</f>
        <v>0.856025022392031</v>
      </c>
      <c r="AO45" s="10" t="n">
        <f aca="false">IF(AO23&gt;=1,$B23/Capas!$B$15,$B23/(Capas!$B$15*AO23+1-AO23))</f>
        <v>0.856025022392031</v>
      </c>
      <c r="AP45" s="10" t="n">
        <f aca="false">IF(AP23&gt;=1,$B23/Capas!$B$15,$B23/(Capas!$B$15*AP23+1-AP23))</f>
        <v>0.856025022392031</v>
      </c>
      <c r="AQ45" s="10" t="n">
        <f aca="false">IF(AQ23&gt;=1,$B23/Capas!$B$15,$B23/(Capas!$B$15*AQ23+1-AQ23))</f>
        <v>0.856025022392031</v>
      </c>
      <c r="AR45" s="10" t="n">
        <f aca="false">IF(AR23&gt;=1,$B23/Capas!$B$15,$B23/(Capas!$B$15*AR23+1-AR23))</f>
        <v>0.856025022392031</v>
      </c>
      <c r="AS45" s="10" t="n">
        <f aca="false">IF(AS23&gt;=1,$B23/Capas!$B$15,$B23/(Capas!$B$15*AS23+1-AS23))</f>
        <v>0.856025022392031</v>
      </c>
      <c r="AT45" s="10" t="n">
        <f aca="false">IF(AT23&gt;=1,$B23/Capas!$B$15,$B23/(Capas!$B$15*AT23+1-AT23))</f>
        <v>0.856025022392031</v>
      </c>
      <c r="AU45" s="10" t="n">
        <f aca="false">IF(AU23&gt;=1,$B23/Capas!$B$15,$B23/(Capas!$B$15*AU23+1-AU23))</f>
        <v>0.856025022392031</v>
      </c>
      <c r="AV45" s="10" t="n">
        <f aca="false">IF(AV23&gt;=1,$B23/Capas!$B$15,$B23/(Capas!$B$15*AV23+1-AV23))</f>
        <v>0.856025022392031</v>
      </c>
      <c r="AW45" s="10" t="n">
        <f aca="false">IF(AW23&gt;=1,$B23/Capas!$B$15,$B23/(Capas!$B$15*AW23+1-AW23))</f>
        <v>0.856025022392031</v>
      </c>
      <c r="AX45" s="10" t="n">
        <f aca="false">IF(AX23&gt;=1,$B23/Capas!$B$15,$B23/(Capas!$B$15*AX23+1-AX23))</f>
        <v>0.856025022392031</v>
      </c>
      <c r="AY45" s="10" t="n">
        <f aca="false">IF(AY23&gt;=1,$B23/Capas!$B$15,$B23/(Capas!$B$15*AY23+1-AY23))</f>
        <v>0.856025022392031</v>
      </c>
      <c r="AZ45" s="10" t="n">
        <f aca="false">IF(AZ23&gt;=1,$B23/Capas!$B$15,$B23/(Capas!$B$15*AZ23+1-AZ23))</f>
        <v>0.856025022392031</v>
      </c>
      <c r="BA45" s="10" t="n">
        <f aca="false">IF(BA23&gt;=1,$B23/Capas!$B$15,$B23/(Capas!$B$15*BA23+1-BA23))</f>
        <v>0.856025022392031</v>
      </c>
      <c r="BB45" s="10" t="n">
        <f aca="false">IF(BB23&gt;=1,$B23/Capas!$B$15,$B23/(Capas!$B$15*BB23+1-BB23))</f>
        <v>0.856025022392031</v>
      </c>
      <c r="BC45" s="10" t="n">
        <f aca="false">IF(BC23&gt;=1,$B23/Capas!$B$15,$B23/(Capas!$B$15*BC23+1-BC23))</f>
        <v>0.856025022392031</v>
      </c>
      <c r="BD45" s="10" t="n">
        <f aca="false">IF(BD23&gt;=1,$B23/Capas!$B$15,$B23/(Capas!$B$15*BD23+1-BD23))</f>
        <v>0.856025022392031</v>
      </c>
      <c r="BE45" s="10" t="n">
        <f aca="false">IF(BE23&gt;=1,$B23/Capas!$B$15,$B23/(Capas!$B$15*BE23+1-BE23))</f>
        <v>0.856025022392031</v>
      </c>
      <c r="BF45" s="10" t="n">
        <f aca="false">IF(BF23&gt;=1,$B23/Capas!$B$15,$B23/(Capas!$B$15*BF23+1-BF23))</f>
        <v>0.856025022392031</v>
      </c>
      <c r="BG45" s="10" t="n">
        <f aca="false">IF(BG23&gt;=1,$B23/Capas!$B$15,$B23/(Capas!$B$15*BG23+1-BG23))</f>
        <v>0.856025022392031</v>
      </c>
      <c r="BH45" s="10" t="n">
        <f aca="false">IF(BH23&gt;=1,$B23/Capas!$B$15,$B23/(Capas!$B$15*BH23+1-BH23))</f>
        <v>0.856025022392031</v>
      </c>
      <c r="BI45" s="10" t="n">
        <f aca="false">IF(BI23&gt;=1,$B23/Capas!$B$15,$B23/(Capas!$B$15*BI23+1-BI23))</f>
        <v>0.856025022392031</v>
      </c>
      <c r="BJ45" s="10" t="n">
        <f aca="false">IF(BJ23&gt;=1,$B23/Capas!$B$15,$B23/(Capas!$B$15*BJ23+1-BJ23))</f>
        <v>0.856025022392031</v>
      </c>
      <c r="BK45" s="10" t="n">
        <f aca="false">IF(BK23&gt;=1,$B23/Capas!$B$15,$B23/(Capas!$B$15*BK23+1-BK23))</f>
        <v>0.856025022392031</v>
      </c>
    </row>
    <row r="46" customFormat="false" ht="15" hidden="false" customHeight="false" outlineLevel="0" collapsed="false">
      <c r="A46" s="0" t="n">
        <v>19</v>
      </c>
      <c r="D46" s="10" t="n">
        <f aca="false">IF(D24&gt;=1,$B24/Capas!$B$15,$B24/(Capas!$B$15*D24+1-D24))</f>
        <v>3.15296915355988</v>
      </c>
      <c r="E46" s="10" t="n">
        <f aca="false">IF(E24&gt;=1,$B24/Capas!$B$15,$B24/(Capas!$B$15*E24+1-E24))</f>
        <v>3.0165337319686</v>
      </c>
      <c r="F46" s="10" t="n">
        <f aca="false">IF(F24&gt;=1,$B24/Capas!$B$15,$B24/(Capas!$B$15*F24+1-F24))</f>
        <v>2.88135500280876</v>
      </c>
      <c r="G46" s="10" t="n">
        <f aca="false">IF(G24&gt;=1,$B24/Capas!$B$15,$B24/(Capas!$B$15*G24+1-G24))</f>
        <v>2.74804931083506</v>
      </c>
      <c r="H46" s="10" t="n">
        <f aca="false">IF(H24&gt;=1,$B24/Capas!$B$15,$B24/(Capas!$B$15*H24+1-H24))</f>
        <v>2.61717097659298</v>
      </c>
      <c r="I46" s="10" t="n">
        <f aca="false">IF(I24&gt;=1,$B24/Capas!$B$15,$B24/(Capas!$B$15*I24+1-I24))</f>
        <v>2.48920668684644</v>
      </c>
      <c r="J46" s="10" t="n">
        <f aca="false">IF(J24&gt;=1,$B24/Capas!$B$15,$B24/(Capas!$B$15*J24+1-J24))</f>
        <v>2.3645727310794</v>
      </c>
      <c r="K46" s="10" t="n">
        <f aca="false">IF(K24&gt;=1,$B24/Capas!$B$15,$B24/(Capas!$B$15*K24+1-K24))</f>
        <v>2.24361476773795</v>
      </c>
      <c r="L46" s="10" t="n">
        <f aca="false">IF(L24&gt;=1,$B24/Capas!$B$15,$B24/(Capas!$B$15*L24+1-L24))</f>
        <v>2.12660971296651</v>
      </c>
      <c r="M46" s="10" t="n">
        <f aca="false">IF(M24&gt;=1,$B24/Capas!$B$15,$B24/(Capas!$B$15*M24+1-M24))</f>
        <v>2.01376930334368</v>
      </c>
      <c r="N46" s="10" t="n">
        <f aca="false">IF(N24&gt;=1,$B24/Capas!$B$15,$B24/(Capas!$B$15*N24+1-N24))</f>
        <v>1.90524488434086</v>
      </c>
      <c r="O46" s="10" t="n">
        <f aca="false">IF(O24&gt;=1,$B24/Capas!$B$15,$B24/(Capas!$B$15*O24+1-O24))</f>
        <v>1.80113300740933</v>
      </c>
      <c r="P46" s="10" t="n">
        <f aca="false">IF(P24&gt;=1,$B24/Capas!$B$15,$B24/(Capas!$B$15*P24+1-P24))</f>
        <v>1.70148146995607</v>
      </c>
      <c r="Q46" s="10" t="n">
        <f aca="false">IF(Q24&gt;=1,$B24/Capas!$B$15,$B24/(Capas!$B$15*Q24+1-Q24))</f>
        <v>1.60629549432161</v>
      </c>
      <c r="R46" s="10" t="n">
        <f aca="false">IF(R24&gt;=1,$B24/Capas!$B$15,$B24/(Capas!$B$15*R24+1-R24))</f>
        <v>1.51554380644063</v>
      </c>
      <c r="S46" s="10" t="n">
        <f aca="false">IF(S24&gt;=1,$B24/Capas!$B$15,$B24/(Capas!$B$15*S24+1-S24))</f>
        <v>1.42916443651869</v>
      </c>
      <c r="T46" s="10" t="n">
        <f aca="false">IF(T24&gt;=1,$B24/Capas!$B$15,$B24/(Capas!$B$15*T24+1-T24))</f>
        <v>1.3470701192011</v>
      </c>
      <c r="U46" s="10" t="n">
        <f aca="false">IF(U24&gt;=1,$B24/Capas!$B$15,$B24/(Capas!$B$15*U24+1-U24))</f>
        <v>1.26915321746307</v>
      </c>
      <c r="V46" s="10" t="n">
        <f aca="false">IF(V24&gt;=1,$B24/Capas!$B$15,$B24/(Capas!$B$15*V24+1-V24))</f>
        <v>1.21253317106426</v>
      </c>
      <c r="W46" s="10" t="n">
        <f aca="false">IF(W24&gt;=1,$B24/Capas!$B$15,$B24/(Capas!$B$15*W24+1-W24))</f>
        <v>1.21253317106426</v>
      </c>
      <c r="X46" s="10" t="n">
        <f aca="false">IF(X24&gt;=1,$B24/Capas!$B$15,$B24/(Capas!$B$15*X24+1-X24))</f>
        <v>1.21253317106426</v>
      </c>
      <c r="Y46" s="10" t="n">
        <f aca="false">IF(Y24&gt;=1,$B24/Capas!$B$15,$B24/(Capas!$B$15*Y24+1-Y24))</f>
        <v>1.21253317106426</v>
      </c>
      <c r="Z46" s="10" t="n">
        <f aca="false">IF(Z24&gt;=1,$B24/Capas!$B$15,$B24/(Capas!$B$15*Z24+1-Z24))</f>
        <v>1.21253317106426</v>
      </c>
      <c r="AA46" s="10" t="n">
        <f aca="false">IF(AA24&gt;=1,$B24/Capas!$B$15,$B24/(Capas!$B$15*AA24+1-AA24))</f>
        <v>1.21253317106426</v>
      </c>
      <c r="AB46" s="10" t="n">
        <f aca="false">IF(AB24&gt;=1,$B24/Capas!$B$15,$B24/(Capas!$B$15*AB24+1-AB24))</f>
        <v>1.21253317106426</v>
      </c>
      <c r="AC46" s="10" t="n">
        <f aca="false">IF(AC24&gt;=1,$B24/Capas!$B$15,$B24/(Capas!$B$15*AC24+1-AC24))</f>
        <v>1.21253317106426</v>
      </c>
      <c r="AD46" s="10" t="n">
        <f aca="false">IF(AD24&gt;=1,$B24/Capas!$B$15,$B24/(Capas!$B$15*AD24+1-AD24))</f>
        <v>1.21253317106426</v>
      </c>
      <c r="AE46" s="10" t="n">
        <f aca="false">IF(AE24&gt;=1,$B24/Capas!$B$15,$B24/(Capas!$B$15*AE24+1-AE24))</f>
        <v>1.21253317106426</v>
      </c>
      <c r="AF46" s="10" t="n">
        <f aca="false">IF(AF24&gt;=1,$B24/Capas!$B$15,$B24/(Capas!$B$15*AF24+1-AF24))</f>
        <v>1.21253317106426</v>
      </c>
      <c r="AG46" s="10" t="n">
        <f aca="false">IF(AG24&gt;=1,$B24/Capas!$B$15,$B24/(Capas!$B$15*AG24+1-AG24))</f>
        <v>1.21253317106426</v>
      </c>
      <c r="AH46" s="10" t="n">
        <f aca="false">IF(AH24&gt;=1,$B24/Capas!$B$15,$B24/(Capas!$B$15*AH24+1-AH24))</f>
        <v>1.21253317106426</v>
      </c>
      <c r="AI46" s="10" t="n">
        <f aca="false">IF(AI24&gt;=1,$B24/Capas!$B$15,$B24/(Capas!$B$15*AI24+1-AI24))</f>
        <v>1.21253317106426</v>
      </c>
      <c r="AJ46" s="10" t="n">
        <f aca="false">IF(AJ24&gt;=1,$B24/Capas!$B$15,$B24/(Capas!$B$15*AJ24+1-AJ24))</f>
        <v>1.21253317106426</v>
      </c>
      <c r="AK46" s="10" t="n">
        <f aca="false">IF(AK24&gt;=1,$B24/Capas!$B$15,$B24/(Capas!$B$15*AK24+1-AK24))</f>
        <v>1.21253317106426</v>
      </c>
      <c r="AL46" s="10" t="n">
        <f aca="false">IF(AL24&gt;=1,$B24/Capas!$B$15,$B24/(Capas!$B$15*AL24+1-AL24))</f>
        <v>1.21253317106426</v>
      </c>
      <c r="AM46" s="10" t="n">
        <f aca="false">IF(AM24&gt;=1,$B24/Capas!$B$15,$B24/(Capas!$B$15*AM24+1-AM24))</f>
        <v>1.21253317106426</v>
      </c>
      <c r="AN46" s="10" t="n">
        <f aca="false">IF(AN24&gt;=1,$B24/Capas!$B$15,$B24/(Capas!$B$15*AN24+1-AN24))</f>
        <v>1.21253317106426</v>
      </c>
      <c r="AO46" s="10" t="n">
        <f aca="false">IF(AO24&gt;=1,$B24/Capas!$B$15,$B24/(Capas!$B$15*AO24+1-AO24))</f>
        <v>1.21253317106426</v>
      </c>
      <c r="AP46" s="10" t="n">
        <f aca="false">IF(AP24&gt;=1,$B24/Capas!$B$15,$B24/(Capas!$B$15*AP24+1-AP24))</f>
        <v>1.21253317106426</v>
      </c>
      <c r="AQ46" s="10" t="n">
        <f aca="false">IF(AQ24&gt;=1,$B24/Capas!$B$15,$B24/(Capas!$B$15*AQ24+1-AQ24))</f>
        <v>1.21253317106426</v>
      </c>
      <c r="AR46" s="10" t="n">
        <f aca="false">IF(AR24&gt;=1,$B24/Capas!$B$15,$B24/(Capas!$B$15*AR24+1-AR24))</f>
        <v>1.21253317106426</v>
      </c>
      <c r="AS46" s="10" t="n">
        <f aca="false">IF(AS24&gt;=1,$B24/Capas!$B$15,$B24/(Capas!$B$15*AS24+1-AS24))</f>
        <v>1.21253317106426</v>
      </c>
      <c r="AT46" s="10" t="n">
        <f aca="false">IF(AT24&gt;=1,$B24/Capas!$B$15,$B24/(Capas!$B$15*AT24+1-AT24))</f>
        <v>1.21253317106426</v>
      </c>
      <c r="AU46" s="10" t="n">
        <f aca="false">IF(AU24&gt;=1,$B24/Capas!$B$15,$B24/(Capas!$B$15*AU24+1-AU24))</f>
        <v>1.21253317106426</v>
      </c>
      <c r="AV46" s="10" t="n">
        <f aca="false">IF(AV24&gt;=1,$B24/Capas!$B$15,$B24/(Capas!$B$15*AV24+1-AV24))</f>
        <v>1.21253317106426</v>
      </c>
      <c r="AW46" s="10" t="n">
        <f aca="false">IF(AW24&gt;=1,$B24/Capas!$B$15,$B24/(Capas!$B$15*AW24+1-AW24))</f>
        <v>1.21253317106426</v>
      </c>
      <c r="AX46" s="10" t="n">
        <f aca="false">IF(AX24&gt;=1,$B24/Capas!$B$15,$B24/(Capas!$B$15*AX24+1-AX24))</f>
        <v>1.21253317106426</v>
      </c>
      <c r="AY46" s="10" t="n">
        <f aca="false">IF(AY24&gt;=1,$B24/Capas!$B$15,$B24/(Capas!$B$15*AY24+1-AY24))</f>
        <v>1.21253317106426</v>
      </c>
      <c r="AZ46" s="10" t="n">
        <f aca="false">IF(AZ24&gt;=1,$B24/Capas!$B$15,$B24/(Capas!$B$15*AZ24+1-AZ24))</f>
        <v>1.21253317106426</v>
      </c>
      <c r="BA46" s="10" t="n">
        <f aca="false">IF(BA24&gt;=1,$B24/Capas!$B$15,$B24/(Capas!$B$15*BA24+1-BA24))</f>
        <v>1.21253317106426</v>
      </c>
      <c r="BB46" s="10" t="n">
        <f aca="false">IF(BB24&gt;=1,$B24/Capas!$B$15,$B24/(Capas!$B$15*BB24+1-BB24))</f>
        <v>1.21253317106426</v>
      </c>
      <c r="BC46" s="10" t="n">
        <f aca="false">IF(BC24&gt;=1,$B24/Capas!$B$15,$B24/(Capas!$B$15*BC24+1-BC24))</f>
        <v>1.21253317106426</v>
      </c>
      <c r="BD46" s="10" t="n">
        <f aca="false">IF(BD24&gt;=1,$B24/Capas!$B$15,$B24/(Capas!$B$15*BD24+1-BD24))</f>
        <v>1.21253317106426</v>
      </c>
      <c r="BE46" s="10" t="n">
        <f aca="false">IF(BE24&gt;=1,$B24/Capas!$B$15,$B24/(Capas!$B$15*BE24+1-BE24))</f>
        <v>1.21253317106426</v>
      </c>
      <c r="BF46" s="10" t="n">
        <f aca="false">IF(BF24&gt;=1,$B24/Capas!$B$15,$B24/(Capas!$B$15*BF24+1-BF24))</f>
        <v>1.21253317106426</v>
      </c>
      <c r="BG46" s="10" t="n">
        <f aca="false">IF(BG24&gt;=1,$B24/Capas!$B$15,$B24/(Capas!$B$15*BG24+1-BG24))</f>
        <v>1.21253317106426</v>
      </c>
      <c r="BH46" s="10" t="n">
        <f aca="false">IF(BH24&gt;=1,$B24/Capas!$B$15,$B24/(Capas!$B$15*BH24+1-BH24))</f>
        <v>1.21253317106426</v>
      </c>
      <c r="BI46" s="10" t="n">
        <f aca="false">IF(BI24&gt;=1,$B24/Capas!$B$15,$B24/(Capas!$B$15*BI24+1-BI24))</f>
        <v>1.21253317106426</v>
      </c>
      <c r="BJ46" s="10" t="n">
        <f aca="false">IF(BJ24&gt;=1,$B24/Capas!$B$15,$B24/(Capas!$B$15*BJ24+1-BJ24))</f>
        <v>1.21253317106426</v>
      </c>
      <c r="BK46" s="10" t="n">
        <f aca="false">IF(BK24&gt;=1,$B24/Capas!$B$15,$B24/(Capas!$B$15*BK24+1-BK24))</f>
        <v>1.21253317106426</v>
      </c>
    </row>
    <row r="47" customFormat="false" ht="15" hidden="false" customHeight="false" outlineLevel="0" collapsed="false">
      <c r="A47" s="0" t="n">
        <v>20</v>
      </c>
      <c r="D47" s="10" t="n">
        <f aca="false">IF(D25&gt;=1,$B25/Capas!$B$15,$B25/(Capas!$B$15*D25+1-D25))</f>
        <v>4.66321858823926</v>
      </c>
      <c r="E47" s="10" t="n">
        <f aca="false">IF(E25&gt;=1,$B25/Capas!$B$15,$B25/(Capas!$B$15*E25+1-E25))</f>
        <v>4.42985243088275</v>
      </c>
      <c r="F47" s="10" t="n">
        <f aca="false">IF(F25&gt;=1,$B25/Capas!$B$15,$B25/(Capas!$B$15*F25+1-F25))</f>
        <v>4.20335156365132</v>
      </c>
      <c r="G47" s="10" t="n">
        <f aca="false">IF(G25&gt;=1,$B25/Capas!$B$15,$B25/(Capas!$B$15*G25+1-G25))</f>
        <v>3.9842370196921</v>
      </c>
      <c r="H47" s="10" t="n">
        <f aca="false">IF(H25&gt;=1,$B25/Capas!$B$15,$B25/(Capas!$B$15*H25+1-H25))</f>
        <v>3.77290768696384</v>
      </c>
      <c r="I47" s="10" t="n">
        <f aca="false">IF(I25&gt;=1,$B25/Capas!$B$15,$B25/(Capas!$B$15*I25+1-I25))</f>
        <v>3.5696492252385</v>
      </c>
      <c r="J47" s="10" t="n">
        <f aca="false">IF(J25&gt;=1,$B25/Capas!$B$15,$B25/(Capas!$B$15*J25+1-J25))</f>
        <v>3.37464451302246</v>
      </c>
      <c r="K47" s="10" t="n">
        <f aca="false">IF(K25&gt;=1,$B25/Capas!$B$15,$B25/(Capas!$B$15*K25+1-K25))</f>
        <v>3.18798493755242</v>
      </c>
      <c r="L47" s="10" t="n">
        <f aca="false">IF(L25&gt;=1,$B25/Capas!$B$15,$B25/(Capas!$B$15*L25+1-L25))</f>
        <v>3.00968195649007</v>
      </c>
      <c r="M47" s="10" t="n">
        <f aca="false">IF(M25&gt;=1,$B25/Capas!$B$15,$B25/(Capas!$B$15*M25+1-M25))</f>
        <v>2.83967848077672</v>
      </c>
      <c r="N47" s="10" t="n">
        <f aca="false">IF(N25&gt;=1,$B25/Capas!$B$15,$B25/(Capas!$B$15*N25+1-N25))</f>
        <v>2.67785974368608</v>
      </c>
      <c r="O47" s="10" t="n">
        <f aca="false">IF(O25&gt;=1,$B25/Capas!$B$15,$B25/(Capas!$B$15*O25+1-O25))</f>
        <v>2.52406342462454</v>
      </c>
      <c r="P47" s="10" t="n">
        <f aca="false">IF(P25&gt;=1,$B25/Capas!$B$15,$B25/(Capas!$B$15*P25+1-P25))</f>
        <v>2.37808888409014</v>
      </c>
      <c r="Q47" s="10" t="n">
        <f aca="false">IF(Q25&gt;=1,$B25/Capas!$B$15,$B25/(Capas!$B$15*Q25+1-Q25))</f>
        <v>2.26890717279703</v>
      </c>
      <c r="R47" s="10" t="n">
        <f aca="false">IF(R25&gt;=1,$B25/Capas!$B$15,$B25/(Capas!$B$15*R25+1-R25))</f>
        <v>2.26890717279703</v>
      </c>
      <c r="S47" s="10" t="n">
        <f aca="false">IF(S25&gt;=1,$B25/Capas!$B$15,$B25/(Capas!$B$15*S25+1-S25))</f>
        <v>2.26890717279703</v>
      </c>
      <c r="T47" s="10" t="n">
        <f aca="false">IF(T25&gt;=1,$B25/Capas!$B$15,$B25/(Capas!$B$15*T25+1-T25))</f>
        <v>2.26890717279703</v>
      </c>
      <c r="U47" s="10" t="n">
        <f aca="false">IF(U25&gt;=1,$B25/Capas!$B$15,$B25/(Capas!$B$15*U25+1-U25))</f>
        <v>2.26890717279703</v>
      </c>
      <c r="V47" s="10" t="n">
        <f aca="false">IF(V25&gt;=1,$B25/Capas!$B$15,$B25/(Capas!$B$15*V25+1-V25))</f>
        <v>2.26890717279703</v>
      </c>
      <c r="W47" s="10" t="n">
        <f aca="false">IF(W25&gt;=1,$B25/Capas!$B$15,$B25/(Capas!$B$15*W25+1-W25))</f>
        <v>2.26890717279703</v>
      </c>
      <c r="X47" s="10" t="n">
        <f aca="false">IF(X25&gt;=1,$B25/Capas!$B$15,$B25/(Capas!$B$15*X25+1-X25))</f>
        <v>2.26890717279703</v>
      </c>
      <c r="Y47" s="10" t="n">
        <f aca="false">IF(Y25&gt;=1,$B25/Capas!$B$15,$B25/(Capas!$B$15*Y25+1-Y25))</f>
        <v>2.26890717279703</v>
      </c>
      <c r="Z47" s="10" t="n">
        <f aca="false">IF(Z25&gt;=1,$B25/Capas!$B$15,$B25/(Capas!$B$15*Z25+1-Z25))</f>
        <v>2.26890717279703</v>
      </c>
      <c r="AA47" s="10" t="n">
        <f aca="false">IF(AA25&gt;=1,$B25/Capas!$B$15,$B25/(Capas!$B$15*AA25+1-AA25))</f>
        <v>2.26890717279703</v>
      </c>
      <c r="AB47" s="10" t="n">
        <f aca="false">IF(AB25&gt;=1,$B25/Capas!$B$15,$B25/(Capas!$B$15*AB25+1-AB25))</f>
        <v>2.26890717279703</v>
      </c>
      <c r="AC47" s="10" t="n">
        <f aca="false">IF(AC25&gt;=1,$B25/Capas!$B$15,$B25/(Capas!$B$15*AC25+1-AC25))</f>
        <v>2.26890717279703</v>
      </c>
      <c r="AD47" s="10" t="n">
        <f aca="false">IF(AD25&gt;=1,$B25/Capas!$B$15,$B25/(Capas!$B$15*AD25+1-AD25))</f>
        <v>2.26890717279703</v>
      </c>
      <c r="AE47" s="10" t="n">
        <f aca="false">IF(AE25&gt;=1,$B25/Capas!$B$15,$B25/(Capas!$B$15*AE25+1-AE25))</f>
        <v>2.26890717279703</v>
      </c>
      <c r="AF47" s="10" t="n">
        <f aca="false">IF(AF25&gt;=1,$B25/Capas!$B$15,$B25/(Capas!$B$15*AF25+1-AF25))</f>
        <v>2.26890717279703</v>
      </c>
      <c r="AG47" s="10" t="n">
        <f aca="false">IF(AG25&gt;=1,$B25/Capas!$B$15,$B25/(Capas!$B$15*AG25+1-AG25))</f>
        <v>2.26890717279703</v>
      </c>
      <c r="AH47" s="10" t="n">
        <f aca="false">IF(AH25&gt;=1,$B25/Capas!$B$15,$B25/(Capas!$B$15*AH25+1-AH25))</f>
        <v>2.26890717279703</v>
      </c>
      <c r="AI47" s="10" t="n">
        <f aca="false">IF(AI25&gt;=1,$B25/Capas!$B$15,$B25/(Capas!$B$15*AI25+1-AI25))</f>
        <v>2.26890717279703</v>
      </c>
      <c r="AJ47" s="10" t="n">
        <f aca="false">IF(AJ25&gt;=1,$B25/Capas!$B$15,$B25/(Capas!$B$15*AJ25+1-AJ25))</f>
        <v>2.26890717279703</v>
      </c>
      <c r="AK47" s="10" t="n">
        <f aca="false">IF(AK25&gt;=1,$B25/Capas!$B$15,$B25/(Capas!$B$15*AK25+1-AK25))</f>
        <v>2.26890717279703</v>
      </c>
      <c r="AL47" s="10" t="n">
        <f aca="false">IF(AL25&gt;=1,$B25/Capas!$B$15,$B25/(Capas!$B$15*AL25+1-AL25))</f>
        <v>2.26890717279703</v>
      </c>
      <c r="AM47" s="10" t="n">
        <f aca="false">IF(AM25&gt;=1,$B25/Capas!$B$15,$B25/(Capas!$B$15*AM25+1-AM25))</f>
        <v>2.26890717279703</v>
      </c>
      <c r="AN47" s="10" t="n">
        <f aca="false">IF(AN25&gt;=1,$B25/Capas!$B$15,$B25/(Capas!$B$15*AN25+1-AN25))</f>
        <v>2.26890717279703</v>
      </c>
      <c r="AO47" s="10" t="n">
        <f aca="false">IF(AO25&gt;=1,$B25/Capas!$B$15,$B25/(Capas!$B$15*AO25+1-AO25))</f>
        <v>2.26890717279703</v>
      </c>
      <c r="AP47" s="10" t="n">
        <f aca="false">IF(AP25&gt;=1,$B25/Capas!$B$15,$B25/(Capas!$B$15*AP25+1-AP25))</f>
        <v>2.26890717279703</v>
      </c>
      <c r="AQ47" s="10" t="n">
        <f aca="false">IF(AQ25&gt;=1,$B25/Capas!$B$15,$B25/(Capas!$B$15*AQ25+1-AQ25))</f>
        <v>2.26890717279703</v>
      </c>
      <c r="AR47" s="10" t="n">
        <f aca="false">IF(AR25&gt;=1,$B25/Capas!$B$15,$B25/(Capas!$B$15*AR25+1-AR25))</f>
        <v>2.26890717279703</v>
      </c>
      <c r="AS47" s="10" t="n">
        <f aca="false">IF(AS25&gt;=1,$B25/Capas!$B$15,$B25/(Capas!$B$15*AS25+1-AS25))</f>
        <v>2.26890717279703</v>
      </c>
      <c r="AT47" s="10" t="n">
        <f aca="false">IF(AT25&gt;=1,$B25/Capas!$B$15,$B25/(Capas!$B$15*AT25+1-AT25))</f>
        <v>2.26890717279703</v>
      </c>
      <c r="AU47" s="10" t="n">
        <f aca="false">IF(AU25&gt;=1,$B25/Capas!$B$15,$B25/(Capas!$B$15*AU25+1-AU25))</f>
        <v>2.26890717279703</v>
      </c>
      <c r="AV47" s="10" t="n">
        <f aca="false">IF(AV25&gt;=1,$B25/Capas!$B$15,$B25/(Capas!$B$15*AV25+1-AV25))</f>
        <v>2.26890717279703</v>
      </c>
      <c r="AW47" s="10" t="n">
        <f aca="false">IF(AW25&gt;=1,$B25/Capas!$B$15,$B25/(Capas!$B$15*AW25+1-AW25))</f>
        <v>2.26890717279703</v>
      </c>
      <c r="AX47" s="10" t="n">
        <f aca="false">IF(AX25&gt;=1,$B25/Capas!$B$15,$B25/(Capas!$B$15*AX25+1-AX25))</f>
        <v>2.26890717279703</v>
      </c>
      <c r="AY47" s="10" t="n">
        <f aca="false">IF(AY25&gt;=1,$B25/Capas!$B$15,$B25/(Capas!$B$15*AY25+1-AY25))</f>
        <v>2.26890717279703</v>
      </c>
      <c r="AZ47" s="10" t="n">
        <f aca="false">IF(AZ25&gt;=1,$B25/Capas!$B$15,$B25/(Capas!$B$15*AZ25+1-AZ25))</f>
        <v>2.26890717279703</v>
      </c>
      <c r="BA47" s="10" t="n">
        <f aca="false">IF(BA25&gt;=1,$B25/Capas!$B$15,$B25/(Capas!$B$15*BA25+1-BA25))</f>
        <v>2.26890717279703</v>
      </c>
      <c r="BB47" s="10" t="n">
        <f aca="false">IF(BB25&gt;=1,$B25/Capas!$B$15,$B25/(Capas!$B$15*BB25+1-BB25))</f>
        <v>2.26890717279703</v>
      </c>
      <c r="BC47" s="10" t="n">
        <f aca="false">IF(BC25&gt;=1,$B25/Capas!$B$15,$B25/(Capas!$B$15*BC25+1-BC25))</f>
        <v>2.26890717279703</v>
      </c>
      <c r="BD47" s="10" t="n">
        <f aca="false">IF(BD25&gt;=1,$B25/Capas!$B$15,$B25/(Capas!$B$15*BD25+1-BD25))</f>
        <v>2.26890717279703</v>
      </c>
      <c r="BE47" s="10" t="n">
        <f aca="false">IF(BE25&gt;=1,$B25/Capas!$B$15,$B25/(Capas!$B$15*BE25+1-BE25))</f>
        <v>2.26890717279703</v>
      </c>
      <c r="BF47" s="10" t="n">
        <f aca="false">IF(BF25&gt;=1,$B25/Capas!$B$15,$B25/(Capas!$B$15*BF25+1-BF25))</f>
        <v>2.26890717279703</v>
      </c>
      <c r="BG47" s="10" t="n">
        <f aca="false">IF(BG25&gt;=1,$B25/Capas!$B$15,$B25/(Capas!$B$15*BG25+1-BG25))</f>
        <v>2.26890717279703</v>
      </c>
      <c r="BH47" s="10" t="n">
        <f aca="false">IF(BH25&gt;=1,$B25/Capas!$B$15,$B25/(Capas!$B$15*BH25+1-BH25))</f>
        <v>2.26890717279703</v>
      </c>
      <c r="BI47" s="10" t="n">
        <f aca="false">IF(BI25&gt;=1,$B25/Capas!$B$15,$B25/(Capas!$B$15*BI25+1-BI25))</f>
        <v>2.26890717279703</v>
      </c>
      <c r="BJ47" s="10" t="n">
        <f aca="false">IF(BJ25&gt;=1,$B25/Capas!$B$15,$B25/(Capas!$B$15*BJ25+1-BJ25))</f>
        <v>2.26890717279703</v>
      </c>
      <c r="BK47" s="10" t="n">
        <f aca="false">IF(BK25&gt;=1,$B25/Capas!$B$15,$B25/(Capas!$B$15*BK25+1-BK25))</f>
        <v>2.26890717279703</v>
      </c>
    </row>
    <row r="49" customFormat="false" ht="15" hidden="false" customHeight="false" outlineLevel="0" collapsed="false">
      <c r="A49" s="0" t="s">
        <v>27</v>
      </c>
      <c r="D49" s="10" t="n">
        <f aca="false">SUMPRODUCT((D6:D25&gt;=1)*$B$6:$B$25/Capas!$B$15)/SUM(D28:D47)</f>
        <v>0</v>
      </c>
      <c r="E49" s="10" t="n">
        <f aca="false">SUMPRODUCT((E6:E25&gt;=1)*$B$6:$B$25/Capas!$B$15)/SUM(E28:E47)</f>
        <v>0</v>
      </c>
      <c r="F49" s="10" t="n">
        <f aca="false">SUMPRODUCT((F6:F25&gt;=1)*$B$6:$B$25/Capas!$B$15)/SUM(F28:F47)</f>
        <v>0</v>
      </c>
      <c r="G49" s="10" t="n">
        <f aca="false">SUMPRODUCT((G6:G25&gt;=1)*$B$6:$B$25/Capas!$B$15)/SUM(G28:G47)</f>
        <v>0</v>
      </c>
      <c r="H49" s="10" t="n">
        <f aca="false">SUMPRODUCT((H6:H25&gt;=1)*$B$6:$B$25/Capas!$B$15)/SUM(H28:H47)</f>
        <v>0</v>
      </c>
      <c r="I49" s="10" t="n">
        <f aca="false">SUMPRODUCT((I6:I25&gt;=1)*$B$6:$B$25/Capas!$B$15)/SUM(I28:I47)</f>
        <v>0</v>
      </c>
      <c r="J49" s="10" t="n">
        <f aca="false">SUMPRODUCT((J6:J25&gt;=1)*$B$6:$B$25/Capas!$B$15)/SUM(J28:J47)</f>
        <v>0</v>
      </c>
      <c r="K49" s="10" t="n">
        <f aca="false">SUMPRODUCT((K6:K25&gt;=1)*$B$6:$B$25/Capas!$B$15)/SUM(K28:K47)</f>
        <v>0</v>
      </c>
      <c r="L49" s="10" t="n">
        <f aca="false">SUMPRODUCT((L6:L25&gt;=1)*$B$6:$B$25/Capas!$B$15)/SUM(L28:L47)</f>
        <v>0</v>
      </c>
      <c r="M49" s="10" t="n">
        <f aca="false">SUMPRODUCT((M6:M25&gt;=1)*$B$6:$B$25/Capas!$B$15)/SUM(M28:M47)</f>
        <v>0</v>
      </c>
      <c r="N49" s="10" t="n">
        <f aca="false">SUMPRODUCT((N6:N25&gt;=1)*$B$6:$B$25/Capas!$B$15)/SUM(N28:N47)</f>
        <v>0</v>
      </c>
      <c r="O49" s="10" t="n">
        <f aca="false">SUMPRODUCT((O6:O25&gt;=1)*$B$6:$B$25/Capas!$B$15)/SUM(O28:O47)</f>
        <v>0</v>
      </c>
      <c r="P49" s="10" t="n">
        <f aca="false">SUMPRODUCT((P6:P25&gt;=1)*$B$6:$B$25/Capas!$B$15)/SUM(P28:P47)</f>
        <v>0</v>
      </c>
      <c r="Q49" s="10" t="n">
        <f aca="false">SUMPRODUCT((Q6:Q25&gt;=1)*$B$6:$B$25/Capas!$B$15)/SUM(Q28:Q47)</f>
        <v>0.158535255718405</v>
      </c>
      <c r="R49" s="10" t="n">
        <f aca="false">SUMPRODUCT((R6:R25&gt;=1)*$B$6:$B$25/Capas!$B$15)/SUM(R28:R47)</f>
        <v>0.164959742404749</v>
      </c>
      <c r="S49" s="10" t="n">
        <f aca="false">SUMPRODUCT((S6:S25&gt;=1)*$B$6:$B$25/Capas!$B$15)/SUM(S28:S47)</f>
        <v>0.171752879512685</v>
      </c>
      <c r="T49" s="10" t="n">
        <f aca="false">SUMPRODUCT((T6:T25&gt;=1)*$B$6:$B$25/Capas!$B$15)/SUM(T28:T47)</f>
        <v>0.178924566381434</v>
      </c>
      <c r="U49" s="10" t="n">
        <f aca="false">SUMPRODUCT((U6:U25&gt;=1)*$B$6:$B$25/Capas!$B$15)/SUM(U28:U47)</f>
        <v>0.186483889842296</v>
      </c>
      <c r="V49" s="10" t="n">
        <f aca="false">SUMPRODUCT((V6:V25&gt;=1)*$B$6:$B$25/Capas!$B$15)/SUM(V28:V47)</f>
        <v>0.297909464211401</v>
      </c>
      <c r="W49" s="10" t="n">
        <f aca="false">SUMPRODUCT((W6:W25&gt;=1)*$B$6:$B$25/Capas!$B$15)/SUM(W28:W47)</f>
        <v>0.308767950898878</v>
      </c>
      <c r="X49" s="10" t="n">
        <f aca="false">SUMPRODUCT((X6:X25&gt;=1)*$B$6:$B$25/Capas!$B$15)/SUM(X28:X47)</f>
        <v>0.320048951820529</v>
      </c>
      <c r="Y49" s="10" t="n">
        <f aca="false">SUMPRODUCT((Y6:Y25&gt;=1)*$B$6:$B$25/Capas!$B$15)/SUM(Y28:Y47)</f>
        <v>0.412369328587561</v>
      </c>
      <c r="Z49" s="10" t="n">
        <f aca="false">SUMPRODUCT((Z6:Z25&gt;=1)*$B$6:$B$25/Capas!$B$15)/SUM(Z28:Z47)</f>
        <v>0.425323476556475</v>
      </c>
      <c r="AA49" s="10" t="n">
        <f aca="false">SUMPRODUCT((AA6:AA25&gt;=1)*$B$6:$B$25/Capas!$B$15)/SUM(AA28:AA47)</f>
        <v>0.504528247969778</v>
      </c>
      <c r="AB49" s="10" t="n">
        <f aca="false">SUMPRODUCT((AB6:AB25&gt;=1)*$B$6:$B$25/Capas!$B$15)/SUM(AB28:AB47)</f>
        <v>0.518057176585157</v>
      </c>
      <c r="AC49" s="10" t="n">
        <f aca="false">SUMPRODUCT((AC6:AC25&gt;=1)*$B$6:$B$25/Capas!$B$15)/SUM(AC28:AC47)</f>
        <v>0.587010701484989</v>
      </c>
      <c r="AD49" s="10" t="n">
        <f aca="false">SUMPRODUCT((AD6:AD25&gt;=1)*$B$6:$B$25/Capas!$B$15)/SUM(AD28:AD47)</f>
        <v>0.647720152435911</v>
      </c>
      <c r="AE49" s="10" t="n">
        <f aca="false">SUMPRODUCT((AE6:AE25&gt;=1)*$B$6:$B$25/Capas!$B$15)/SUM(AE28:AE47)</f>
        <v>0.660210330979072</v>
      </c>
      <c r="AF49" s="10" t="n">
        <f aca="false">SUMPRODUCT((AF6:AF25&gt;=1)*$B$6:$B$25/Capas!$B$15)/SUM(AF28:AF47)</f>
        <v>0.712921860550169</v>
      </c>
      <c r="AG49" s="10" t="n">
        <f aca="false">SUMPRODUCT((AG6:AG25&gt;=1)*$B$6:$B$25/Capas!$B$15)/SUM(AG28:AG47)</f>
        <v>0.759349356272872</v>
      </c>
      <c r="AH49" s="10" t="n">
        <f aca="false">SUMPRODUCT((AH6:AH25&gt;=1)*$B$6:$B$25/Capas!$B$15)/SUM(AH28:AH47)</f>
        <v>0.800172322235218</v>
      </c>
      <c r="AI49" s="10" t="n">
        <f aca="false">SUMPRODUCT((AI6:AI25&gt;=1)*$B$6:$B$25/Capas!$B$15)/SUM(AI28:AI47)</f>
        <v>0.835939859787239</v>
      </c>
      <c r="AJ49" s="10" t="n">
        <f aca="false">SUMPRODUCT((AJ6:AJ25&gt;=1)*$B$6:$B$25/Capas!$B$15)/SUM(AJ28:AJ47)</f>
        <v>0.843540658692627</v>
      </c>
      <c r="AK49" s="10" t="n">
        <f aca="false">SUMPRODUCT((AK6:AK25&gt;=1)*$B$6:$B$25/Capas!$B$15)/SUM(AK28:AK47)</f>
        <v>0.873512416141693</v>
      </c>
      <c r="AL49" s="10" t="n">
        <f aca="false">SUMPRODUCT((AL6:AL25&gt;=1)*$B$6:$B$25/Capas!$B$15)/SUM(AL28:AL47)</f>
        <v>0.899401040913271</v>
      </c>
      <c r="AM49" s="10" t="n">
        <f aca="false">SUMPRODUCT((AM6:AM25&gt;=1)*$B$6:$B$25/Capas!$B$15)/SUM(AM28:AM47)</f>
        <v>0.921615307131978</v>
      </c>
      <c r="AN49" s="10" t="n">
        <f aca="false">SUMPRODUCT((AN6:AN25&gt;=1)*$B$6:$B$25/Capas!$B$15)/SUM(AN28:AN47)</f>
        <v>0.94052577767506</v>
      </c>
      <c r="AO49" s="10" t="n">
        <f aca="false">SUMPRODUCT((AO6:AO25&gt;=1)*$B$6:$B$25/Capas!$B$15)/SUM(AO28:AO47)</f>
        <v>0.943655167468028</v>
      </c>
      <c r="AP49" s="10" t="n">
        <f aca="false">SUMPRODUCT((AP6:AP25&gt;=1)*$B$6:$B$25/Capas!$B$15)/SUM(AP28:AP47)</f>
        <v>0.958792196476636</v>
      </c>
      <c r="AQ49" s="10" t="n">
        <f aca="false">SUMPRODUCT((AQ6:AQ25&gt;=1)*$B$6:$B$25/Capas!$B$15)/SUM(AQ28:AQ47)</f>
        <v>0.971370588641528</v>
      </c>
      <c r="AR49" s="10" t="n">
        <f aca="false">SUMPRODUCT((AR6:AR25&gt;=1)*$B$6:$B$25/Capas!$B$15)/SUM(AR28:AR47)</f>
        <v>0.972934362808261</v>
      </c>
      <c r="AS49" s="10" t="n">
        <f aca="false">SUMPRODUCT((AS6:AS25&gt;=1)*$B$6:$B$25/Capas!$B$15)/SUM(AS28:AS47)</f>
        <v>0.982653695351632</v>
      </c>
      <c r="AT49" s="10" t="n">
        <f aca="false">SUMPRODUCT((AT6:AT25&gt;=1)*$B$6:$B$25/Capas!$B$15)/SUM(AT28:AT47)</f>
        <v>0.983616618987313</v>
      </c>
      <c r="AU49" s="10" t="n">
        <f aca="false">SUMPRODUCT((AU6:AU25&gt;=1)*$B$6:$B$25/Capas!$B$15)/SUM(AU28:AU47)</f>
        <v>0.990911083405737</v>
      </c>
      <c r="AV49" s="10" t="n">
        <f aca="false">SUMPRODUCT((AV6:AV25&gt;=1)*$B$6:$B$25/Capas!$B$15)/SUM(AV28:AV47)</f>
        <v>0.991420493635901</v>
      </c>
      <c r="AW49" s="10" t="n">
        <f aca="false">SUMPRODUCT((AW6:AW25&gt;=1)*$B$6:$B$25/Capas!$B$15)/SUM(AW28:AW47)</f>
        <v>0.991905757373722</v>
      </c>
      <c r="AX49" s="10" t="n">
        <f aca="false">SUMPRODUCT((AX6:AX25&gt;=1)*$B$6:$B$25/Capas!$B$15)/SUM(AX28:AX47)</f>
        <v>0.996810807459416</v>
      </c>
      <c r="AY49" s="10" t="n">
        <f aca="false">SUMPRODUCT((AY6:AY25&gt;=1)*$B$6:$B$25/Capas!$B$15)/SUM(AY28:AY47)</f>
        <v>0.996991241736516</v>
      </c>
      <c r="AZ49" s="10" t="n">
        <f aca="false">SUMPRODUCT((AZ6:AZ25&gt;=1)*$B$6:$B$25/Capas!$B$15)/SUM(AZ28:AZ47)</f>
        <v>0.997162914073367</v>
      </c>
      <c r="BA49" s="10" t="n">
        <f aca="false">SUMPRODUCT((BA6:BA25&gt;=1)*$B$6:$B$25/Capas!$B$15)/SUM(BA28:BA47)</f>
        <v>0.99732601470513</v>
      </c>
      <c r="BB49" s="10" t="n">
        <f aca="false">SUMPRODUCT((BB6:BB25&gt;=1)*$B$6:$B$25/Capas!$B$15)/SUM(BB28:BB47)</f>
        <v>0.997480771581848</v>
      </c>
      <c r="BC49" s="10" t="n">
        <f aca="false">SUMPRODUCT((BC6:BC25&gt;=1)*$B$6:$B$25/Capas!$B$15)/SUM(BC28:BC47)</f>
        <v>1</v>
      </c>
      <c r="BD49" s="10" t="n">
        <f aca="false">SUMPRODUCT((BD6:BD25&gt;=1)*$B$6:$B$25/Capas!$B$15)/SUM(BD28:BD47)</f>
        <v>1</v>
      </c>
      <c r="BE49" s="10" t="n">
        <f aca="false">SUMPRODUCT((BE6:BE25&gt;=1)*$B$6:$B$25/Capas!$B$15)/SUM(BE28:BE47)</f>
        <v>1</v>
      </c>
      <c r="BF49" s="10" t="n">
        <f aca="false">SUMPRODUCT((BF6:BF25&gt;=1)*$B$6:$B$25/Capas!$B$15)/SUM(BF28:BF47)</f>
        <v>1</v>
      </c>
      <c r="BG49" s="10" t="n">
        <f aca="false">SUMPRODUCT((BG6:BG25&gt;=1)*$B$6:$B$25/Capas!$B$15)/SUM(BG28:BG47)</f>
        <v>1</v>
      </c>
      <c r="BH49" s="10" t="n">
        <f aca="false">SUMPRODUCT((BH6:BH25&gt;=1)*$B$6:$B$25/Capas!$B$15)/SUM(BH28:BH47)</f>
        <v>1</v>
      </c>
      <c r="BI49" s="10" t="n">
        <f aca="false">SUMPRODUCT((BI6:BI25&gt;=1)*$B$6:$B$25/Capas!$B$15)/SUM(BI28:BI47)</f>
        <v>1</v>
      </c>
      <c r="BJ49" s="10" t="n">
        <f aca="false">SUMPRODUCT((BJ6:BJ25&gt;=1)*$B$6:$B$25/Capas!$B$15)/SUM(BJ28:BJ47)</f>
        <v>1</v>
      </c>
      <c r="BK49" s="10" t="n">
        <f aca="false">SUMPRODUCT((BK6:BK25&gt;=1)*$B$6:$B$25/Capas!$B$15)/SUM(BK28:BK47)</f>
        <v>1</v>
      </c>
    </row>
    <row r="50" customFormat="false" ht="15" hidden="false" customHeight="false" outlineLevel="0" collapsed="false">
      <c r="A50" s="0" t="s">
        <v>28</v>
      </c>
      <c r="D50" s="9" t="n">
        <f aca="false">AVERAGE(D6:D25)</f>
        <v>0.078346897283818</v>
      </c>
      <c r="E50" s="9" t="n">
        <f aca="false">AVERAGE(E6:E25)</f>
        <v>0.0869460567690329</v>
      </c>
      <c r="F50" s="9" t="n">
        <f aca="false">AVERAGE(F6:F25)</f>
        <v>0.0963749674223298</v>
      </c>
      <c r="G50" s="9" t="n">
        <f aca="false">AVERAGE(G6:G25)</f>
        <v>0.106699072546648</v>
      </c>
      <c r="H50" s="9" t="n">
        <f aca="false">AVERAGE(H6:H25)</f>
        <v>0.1179875696054</v>
      </c>
      <c r="I50" s="9" t="n">
        <f aca="false">AVERAGE(I6:I25)</f>
        <v>0.130313557136779</v>
      </c>
      <c r="J50" s="9" t="n">
        <f aca="false">AVERAGE(J6:J25)</f>
        <v>0.143754194983819</v>
      </c>
      <c r="K50" s="9" t="n">
        <f aca="false">AVERAGE(K6:K25)</f>
        <v>0.158390880390833</v>
      </c>
      <c r="L50" s="9" t="n">
        <f aca="false">AVERAGE(L6:L25)</f>
        <v>0.174309442608385</v>
      </c>
      <c r="M50" s="9" t="n">
        <f aca="false">AVERAGE(M6:M25)</f>
        <v>0.191600358696597</v>
      </c>
      <c r="N50" s="9" t="n">
        <f aca="false">AVERAGE(N6:N25)</f>
        <v>0.210358993221337</v>
      </c>
      <c r="O50" s="9" t="n">
        <f aca="false">AVERAGE(O6:O25)</f>
        <v>0.23068586450228</v>
      </c>
      <c r="P50" s="9" t="n">
        <f aca="false">AVERAGE(P6:P25)</f>
        <v>0.252686940000856</v>
      </c>
      <c r="Q50" s="9" t="n">
        <f aca="false">AVERAGE(Q6:Q25)</f>
        <v>0.275644259470129</v>
      </c>
      <c r="R50" s="9" t="n">
        <f aca="false">AVERAGE(R6:R25)</f>
        <v>0.297328771831358</v>
      </c>
      <c r="S50" s="9" t="n">
        <f aca="false">AVERAGE(S6:S25)</f>
        <v>0.320770571805698</v>
      </c>
      <c r="T50" s="9" t="n">
        <f aca="false">AVERAGE(T6:T25)</f>
        <v>0.346084020731227</v>
      </c>
      <c r="U50" s="9" t="n">
        <f aca="false">AVERAGE(U6:U25)</f>
        <v>0.373389795948341</v>
      </c>
      <c r="V50" s="9" t="n">
        <f aca="false">AVERAGE(V6:V25)</f>
        <v>0.401897328363531</v>
      </c>
      <c r="W50" s="9" t="n">
        <f aca="false">AVERAGE(W6:W25)</f>
        <v>0.429564986657276</v>
      </c>
      <c r="X50" s="9" t="n">
        <f aca="false">AVERAGE(X6:X25)</f>
        <v>0.459358208137474</v>
      </c>
      <c r="Y50" s="9" t="n">
        <f aca="false">AVERAGE(Y6:Y25)</f>
        <v>0.489575865839182</v>
      </c>
      <c r="Z50" s="9" t="n">
        <f aca="false">AVERAGE(Z6:Z25)</f>
        <v>0.519954790287362</v>
      </c>
      <c r="AA50" s="9" t="n">
        <f aca="false">AVERAGE(AA6:AA25)</f>
        <v>0.551024052899902</v>
      </c>
      <c r="AB50" s="9" t="n">
        <f aca="false">AVERAGE(AB6:AB25)</f>
        <v>0.58203821561737</v>
      </c>
      <c r="AC50" s="9" t="n">
        <f aca="false">AVERAGE(AC6:AC25)</f>
        <v>0.612625206866454</v>
      </c>
      <c r="AD50" s="9" t="n">
        <f aca="false">AVERAGE(AD6:AD25)</f>
        <v>0.643510952356325</v>
      </c>
      <c r="AE50" s="9" t="n">
        <f aca="false">AVERAGE(AE6:AE25)</f>
        <v>0.67342744211828</v>
      </c>
      <c r="AF50" s="9" t="n">
        <f aca="false">AVERAGE(AF6:AF25)</f>
        <v>0.702340656281071</v>
      </c>
      <c r="AG50" s="9" t="n">
        <f aca="false">AVERAGE(AG6:AG25)</f>
        <v>0.730568899989068</v>
      </c>
      <c r="AH50" s="9" t="n">
        <f aca="false">AVERAGE(AH6:AH25)</f>
        <v>0.757822693633337</v>
      </c>
      <c r="AI50" s="9" t="n">
        <f aca="false">AVERAGE(AI6:AI25)</f>
        <v>0.783895065014831</v>
      </c>
      <c r="AJ50" s="9" t="n">
        <f aca="false">AVERAGE(AJ6:AJ25)</f>
        <v>0.80815773903265</v>
      </c>
      <c r="AK50" s="9" t="n">
        <f aca="false">AVERAGE(AK6:AK25)</f>
        <v>0.830727825017534</v>
      </c>
      <c r="AL50" s="9" t="n">
        <f aca="false">AVERAGE(AL6:AL25)</f>
        <v>0.851797402864554</v>
      </c>
      <c r="AM50" s="9" t="n">
        <f aca="false">AVERAGE(AM6:AM25)</f>
        <v>0.871360429509416</v>
      </c>
      <c r="AN50" s="9" t="n">
        <f aca="false">AVERAGE(AN6:AN25)</f>
        <v>0.889497855219557</v>
      </c>
      <c r="AO50" s="9" t="n">
        <f aca="false">AVERAGE(AO6:AO25)</f>
        <v>0.905472000517875</v>
      </c>
      <c r="AP50" s="9" t="n">
        <f aca="false">AVERAGE(AP6:AP25)</f>
        <v>0.919618177545152</v>
      </c>
      <c r="AQ50" s="9" t="n">
        <f aca="false">AVERAGE(AQ6:AQ25)</f>
        <v>0.932816705045462</v>
      </c>
      <c r="AR50" s="9" t="n">
        <f aca="false">AVERAGE(AR6:AR25)</f>
        <v>0.94394202255632</v>
      </c>
      <c r="AS50" s="9" t="n">
        <f aca="false">AVERAGE(AS6:AS25)</f>
        <v>0.953774806302429</v>
      </c>
      <c r="AT50" s="9" t="n">
        <f aca="false">AVERAGE(AT6:AT25)</f>
        <v>0.962419216803965</v>
      </c>
      <c r="AU50" s="9" t="n">
        <f aca="false">AVERAGE(AU6:AU25)</f>
        <v>0.96984484203794</v>
      </c>
      <c r="AV50" s="9" t="n">
        <f aca="false">AVERAGE(AV6:AV25)</f>
        <v>0.975660698128269</v>
      </c>
      <c r="AW50" s="9" t="n">
        <f aca="false">AVERAGE(AW6:AW25)</f>
        <v>0.981882241224126</v>
      </c>
      <c r="AX50" s="9" t="n">
        <f aca="false">AVERAGE(AX6:AX25)</f>
        <v>0.985780914330077</v>
      </c>
      <c r="AY50" s="9" t="n">
        <f aca="false">AVERAGE(AY6:AY25)</f>
        <v>0.988753934321737</v>
      </c>
      <c r="AZ50" s="9" t="n">
        <f aca="false">AVERAGE(AZ6:AZ25)</f>
        <v>0.991933643164872</v>
      </c>
      <c r="BA50" s="9" t="n">
        <f aca="false">AVERAGE(BA6:BA25)</f>
        <v>0.995332798100925</v>
      </c>
      <c r="BB50" s="9" t="n">
        <f aca="false">AVERAGE(BB6:BB25)</f>
        <v>0.998965001966107</v>
      </c>
      <c r="BC50" s="9" t="n">
        <f aca="false">AVERAGE(BC6:BC25)</f>
        <v>1</v>
      </c>
      <c r="BD50" s="9" t="n">
        <f aca="false">AVERAGE(BD6:BD25)</f>
        <v>1</v>
      </c>
      <c r="BE50" s="9" t="n">
        <f aca="false">AVERAGE(BE6:BE25)</f>
        <v>1</v>
      </c>
      <c r="BF50" s="9" t="n">
        <f aca="false">AVERAGE(BF6:BF25)</f>
        <v>1</v>
      </c>
      <c r="BG50" s="9" t="n">
        <f aca="false">AVERAGE(BG6:BG25)</f>
        <v>1</v>
      </c>
      <c r="BH50" s="9" t="n">
        <f aca="false">AVERAGE(BH6:BH25)</f>
        <v>1</v>
      </c>
      <c r="BI50" s="9" t="n">
        <f aca="false">AVERAGE(BI6:BI25)</f>
        <v>1</v>
      </c>
      <c r="BJ50" s="9" t="n">
        <f aca="false">AVERAGE(BJ6:BJ25)</f>
        <v>1</v>
      </c>
      <c r="BK50" s="9" t="n">
        <f aca="false">AVERAGE(BK6:BK25)</f>
        <v>1</v>
      </c>
    </row>
    <row r="51" customFormat="false" ht="15" hidden="false" customHeight="false" outlineLevel="0" collapsed="false">
      <c r="A51" s="0" t="s">
        <v>29</v>
      </c>
      <c r="D51" s="0" t="n">
        <f aca="false">IF(D49&gt;=Capas!$B$12,1,0)</f>
        <v>0</v>
      </c>
      <c r="E51" s="0" t="n">
        <f aca="false">IF(E49&gt;=Capas!$B$12,1,0)</f>
        <v>0</v>
      </c>
      <c r="F51" s="0" t="n">
        <f aca="false">IF(F49&gt;=Capas!$B$12,1,0)</f>
        <v>0</v>
      </c>
      <c r="G51" s="0" t="n">
        <f aca="false">IF(G49&gt;=Capas!$B$12,1,0)</f>
        <v>0</v>
      </c>
      <c r="H51" s="0" t="n">
        <f aca="false">IF(H49&gt;=Capas!$B$12,1,0)</f>
        <v>0</v>
      </c>
      <c r="I51" s="0" t="n">
        <f aca="false">IF(I49&gt;=Capas!$B$12,1,0)</f>
        <v>0</v>
      </c>
      <c r="J51" s="0" t="n">
        <f aca="false">IF(J49&gt;=Capas!$B$12,1,0)</f>
        <v>0</v>
      </c>
      <c r="K51" s="0" t="n">
        <f aca="false">IF(K49&gt;=Capas!$B$12,1,0)</f>
        <v>0</v>
      </c>
      <c r="L51" s="0" t="n">
        <f aca="false">IF(L49&gt;=Capas!$B$12,1,0)</f>
        <v>0</v>
      </c>
      <c r="M51" s="0" t="n">
        <f aca="false">IF(M49&gt;=Capas!$B$12,1,0)</f>
        <v>0</v>
      </c>
      <c r="N51" s="0" t="n">
        <f aca="false">IF(N49&gt;=Capas!$B$12,1,0)</f>
        <v>0</v>
      </c>
      <c r="O51" s="0" t="n">
        <f aca="false">IF(O49&gt;=Capas!$B$12,1,0)</f>
        <v>0</v>
      </c>
      <c r="P51" s="0" t="n">
        <f aca="false">IF(P49&gt;=Capas!$B$12,1,0)</f>
        <v>0</v>
      </c>
      <c r="Q51" s="0" t="n">
        <f aca="false">IF(Q49&gt;=Capas!$B$12,1,0)</f>
        <v>0</v>
      </c>
      <c r="R51" s="0" t="n">
        <f aca="false">IF(R49&gt;=Capas!$B$12,1,0)</f>
        <v>0</v>
      </c>
      <c r="S51" s="0" t="n">
        <f aca="false">IF(S49&gt;=Capas!$B$12,1,0)</f>
        <v>0</v>
      </c>
      <c r="T51" s="0" t="n">
        <f aca="false">IF(T49&gt;=Capas!$B$12,1,0)</f>
        <v>0</v>
      </c>
      <c r="U51" s="0" t="n">
        <f aca="false">IF(U49&gt;=Capas!$B$12,1,0)</f>
        <v>0</v>
      </c>
      <c r="V51" s="0" t="n">
        <f aca="false">IF(V49&gt;=Capas!$B$12,1,0)</f>
        <v>0</v>
      </c>
      <c r="W51" s="0" t="n">
        <f aca="false">IF(W49&gt;=Capas!$B$12,1,0)</f>
        <v>0</v>
      </c>
      <c r="X51" s="0" t="n">
        <f aca="false">IF(X49&gt;=Capas!$B$12,1,0)</f>
        <v>0</v>
      </c>
      <c r="Y51" s="0" t="n">
        <f aca="false">IF(Y49&gt;=Capas!$B$12,1,0)</f>
        <v>0</v>
      </c>
      <c r="Z51" s="0" t="n">
        <f aca="false">IF(Z49&gt;=Capas!$B$12,1,0)</f>
        <v>0</v>
      </c>
      <c r="AA51" s="0" t="n">
        <f aca="false">IF(AA49&gt;=Capas!$B$12,1,0)</f>
        <v>0</v>
      </c>
      <c r="AB51" s="0" t="n">
        <f aca="false">IF(AB49&gt;=Capas!$B$12,1,0)</f>
        <v>0</v>
      </c>
      <c r="AC51" s="0" t="n">
        <f aca="false">IF(AC49&gt;=Capas!$B$12,1,0)</f>
        <v>0</v>
      </c>
      <c r="AD51" s="0" t="n">
        <f aca="false">IF(AD49&gt;=Capas!$B$12,1,0)</f>
        <v>0</v>
      </c>
      <c r="AE51" s="0" t="n">
        <f aca="false">IF(AE49&gt;=Capas!$B$12,1,0)</f>
        <v>0</v>
      </c>
      <c r="AF51" s="0" t="n">
        <f aca="false">IF(AF49&gt;=Capas!$B$12,1,0)</f>
        <v>0</v>
      </c>
      <c r="AG51" s="0" t="n">
        <f aca="false">IF(AG49&gt;=Capas!$B$12,1,0)</f>
        <v>0</v>
      </c>
      <c r="AH51" s="0" t="n">
        <f aca="false">IF(AH49&gt;=Capas!$B$12,1,0)</f>
        <v>0</v>
      </c>
      <c r="AI51" s="0" t="n">
        <f aca="false">IF(AI49&gt;=Capas!$B$12,1,0)</f>
        <v>0</v>
      </c>
      <c r="AJ51" s="0" t="n">
        <f aca="false">IF(AJ49&gt;=Capas!$B$12,1,0)</f>
        <v>0</v>
      </c>
      <c r="AK51" s="0" t="n">
        <f aca="false">IF(AK49&gt;=Capas!$B$12,1,0)</f>
        <v>0</v>
      </c>
      <c r="AL51" s="0" t="n">
        <f aca="false">IF(AL49&gt;=Capas!$B$12,1,0)</f>
        <v>0</v>
      </c>
      <c r="AM51" s="0" t="n">
        <f aca="false">IF(AM49&gt;=Capas!$B$12,1,0)</f>
        <v>0</v>
      </c>
      <c r="AN51" s="0" t="n">
        <f aca="false">IF(AN49&gt;=Capas!$B$12,1,0)</f>
        <v>0</v>
      </c>
      <c r="AO51" s="0" t="n">
        <f aca="false">IF(AO49&gt;=Capas!$B$12,1,0)</f>
        <v>0</v>
      </c>
      <c r="AP51" s="0" t="n">
        <f aca="false">IF(AP49&gt;=Capas!$B$12,1,0)</f>
        <v>1</v>
      </c>
      <c r="AQ51" s="0" t="n">
        <f aca="false">IF(AQ49&gt;=Capas!$B$12,1,0)</f>
        <v>1</v>
      </c>
      <c r="AR51" s="0" t="n">
        <f aca="false">IF(AR49&gt;=Capas!$B$12,1,0)</f>
        <v>1</v>
      </c>
      <c r="AS51" s="0" t="n">
        <f aca="false">IF(AS49&gt;=Capas!$B$12,1,0)</f>
        <v>1</v>
      </c>
      <c r="AT51" s="0" t="n">
        <f aca="false">IF(AT49&gt;=Capas!$B$12,1,0)</f>
        <v>1</v>
      </c>
      <c r="AU51" s="0" t="n">
        <f aca="false">IF(AU49&gt;=Capas!$B$12,1,0)</f>
        <v>1</v>
      </c>
      <c r="AV51" s="0" t="n">
        <f aca="false">IF(AV49&gt;=Capas!$B$12,1,0)</f>
        <v>1</v>
      </c>
      <c r="AW51" s="0" t="n">
        <f aca="false">IF(AW49&gt;=Capas!$B$12,1,0)</f>
        <v>1</v>
      </c>
      <c r="AX51" s="0" t="n">
        <f aca="false">IF(AX49&gt;=Capas!$B$12,1,0)</f>
        <v>1</v>
      </c>
      <c r="AY51" s="0" t="n">
        <f aca="false">IF(AY49&gt;=Capas!$B$12,1,0)</f>
        <v>1</v>
      </c>
      <c r="AZ51" s="0" t="n">
        <f aca="false">IF(AZ49&gt;=Capas!$B$12,1,0)</f>
        <v>1</v>
      </c>
      <c r="BA51" s="0" t="n">
        <f aca="false">IF(BA49&gt;=Capas!$B$12,1,0)</f>
        <v>1</v>
      </c>
      <c r="BB51" s="0" t="n">
        <f aca="false">IF(BB49&gt;=Capas!$B$12,1,0)</f>
        <v>1</v>
      </c>
      <c r="BC51" s="0" t="n">
        <f aca="false">IF(BC49&gt;=Capas!$B$12,1,0)</f>
        <v>1</v>
      </c>
      <c r="BD51" s="0" t="n">
        <f aca="false">IF(BD49&gt;=Capas!$B$12,1,0)</f>
        <v>1</v>
      </c>
      <c r="BE51" s="0" t="n">
        <f aca="false">IF(BE49&gt;=Capas!$B$12,1,0)</f>
        <v>1</v>
      </c>
      <c r="BF51" s="0" t="n">
        <f aca="false">IF(BF49&gt;=Capas!$B$12,1,0)</f>
        <v>1</v>
      </c>
      <c r="BG51" s="0" t="n">
        <f aca="false">IF(BG49&gt;=Capas!$B$12,1,0)</f>
        <v>1</v>
      </c>
      <c r="BH51" s="0" t="n">
        <f aca="false">IF(BH49&gt;=Capas!$B$12,1,0)</f>
        <v>1</v>
      </c>
      <c r="BI51" s="0" t="n">
        <f aca="false">IF(BI49&gt;=Capas!$B$12,1,0)</f>
        <v>1</v>
      </c>
      <c r="BJ51" s="0" t="n">
        <f aca="false">IF(BJ49&gt;=Capas!$B$12,1,0)</f>
        <v>1</v>
      </c>
      <c r="BK51" s="0" t="n">
        <f aca="false">IF(BK49&gt;=Capas!$B$12,1,0)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44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</row>
    <row r="5" customFormat="false" ht="15" hidden="false" customHeight="false" outlineLevel="0" collapsed="false">
      <c r="A5" s="0" t="s">
        <v>37</v>
      </c>
      <c r="B5" s="0" t="s">
        <v>38</v>
      </c>
      <c r="C5" s="0" t="s">
        <v>39</v>
      </c>
      <c r="D5" s="0" t="s">
        <v>40</v>
      </c>
      <c r="E5" s="11"/>
    </row>
    <row r="6" customFormat="false" ht="15" hidden="false" customHeight="false" outlineLevel="0" collapsed="false">
      <c r="A6" s="0" t="s">
        <v>41</v>
      </c>
      <c r="B6" s="0" t="s">
        <v>42</v>
      </c>
      <c r="C6" s="0" t="s">
        <v>39</v>
      </c>
      <c r="D6" s="0" t="s">
        <v>43</v>
      </c>
      <c r="E6" s="11"/>
    </row>
    <row r="7" customFormat="false" ht="15" hidden="false" customHeight="false" outlineLevel="0" collapsed="false">
      <c r="A7" s="0" t="s">
        <v>44</v>
      </c>
      <c r="B7" s="0" t="s">
        <v>45</v>
      </c>
      <c r="C7" s="0" t="s">
        <v>46</v>
      </c>
      <c r="D7" s="0" t="s">
        <v>47</v>
      </c>
      <c r="E7" s="11"/>
    </row>
    <row r="8" customFormat="false" ht="15" hidden="false" customHeight="false" outlineLevel="0" collapsed="false">
      <c r="A8" s="0" t="s">
        <v>48</v>
      </c>
      <c r="B8" s="0" t="s">
        <v>49</v>
      </c>
      <c r="C8" s="0" t="s">
        <v>50</v>
      </c>
      <c r="D8" s="0" t="s">
        <v>51</v>
      </c>
      <c r="E8" s="11"/>
    </row>
    <row r="9" customFormat="false" ht="15" hidden="false" customHeight="false" outlineLevel="0" collapsed="false">
      <c r="A9" s="0" t="s">
        <v>52</v>
      </c>
      <c r="B9" s="0" t="s">
        <v>53</v>
      </c>
      <c r="C9" s="0" t="s">
        <v>46</v>
      </c>
      <c r="D9" s="0" t="s">
        <v>54</v>
      </c>
      <c r="E9" s="11"/>
    </row>
    <row r="10" customFormat="false" ht="15" hidden="false" customHeight="false" outlineLevel="0" collapsed="false">
      <c r="A10" s="0" t="s">
        <v>55</v>
      </c>
      <c r="B10" s="0" t="s">
        <v>56</v>
      </c>
      <c r="C10" s="0" t="s">
        <v>57</v>
      </c>
      <c r="D10" s="0" t="s">
        <v>58</v>
      </c>
      <c r="E10" s="11"/>
    </row>
    <row r="11" customFormat="false" ht="15" hidden="false" customHeight="false" outlineLevel="0" collapsed="false">
      <c r="A11" s="0" t="s">
        <v>59</v>
      </c>
      <c r="B11" s="0" t="s">
        <v>60</v>
      </c>
      <c r="C11" s="0" t="s">
        <v>57</v>
      </c>
      <c r="D11" s="0" t="s">
        <v>61</v>
      </c>
      <c r="E11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2026-10-31T14:17:37Z</dcterms:created>
  <dc:creator>openpyxl</dc:creator>
  <dc:description/>
  <dc:language>en-US</dc:language>
  <cp:lastModifiedBy/>
  <dcterms:modified xsi:type="dcterms:W3CDTF">2026-10-31T14:17:37Z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