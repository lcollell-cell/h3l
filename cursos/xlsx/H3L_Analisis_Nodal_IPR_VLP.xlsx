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ros" sheetId="1" state="visible" r:id="rId3"/>
    <sheet name="Curvas" sheetId="2" state="visible" r:id="rId4"/>
    <sheet name="Resultados" sheetId="3" state="visible" r:id="rId5"/>
    <sheet name="GasLif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<sst xmlns="http://schemas.openxmlformats.org/spreadsheetml/2006/main" count="56" uniqueCount="46">
  <si>
    <t xml:space="preserve">Análisis nodal: IPR de Vogel y VLP simplificada (modelo didáctico)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</si>
  <si>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</si>
  <si>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</si>
  <si>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</si>
  <si>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</si>
  <si>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Presión de reservorio pr</t>
  </si>
  <si>
    <t xml:space="preserve">bar</t>
  </si>
  <si>
    <t xml:space="preserve">Índice de productividad J</t>
  </si>
  <si>
    <t xml:space="preserve">m³/d/bar</t>
  </si>
  <si>
    <t xml:space="preserve">Corte de agua</t>
  </si>
  <si>
    <t xml:space="preserve">fracción</t>
  </si>
  <si>
    <t xml:space="preserve">Presión en boca de pozo</t>
  </si>
  <si>
    <t xml:space="preserve">Gas inyectado (gas lift)</t>
  </si>
  <si>
    <t xml:space="preserve">m³/m³</t>
  </si>
  <si>
    <t xml:space="preserve">Diámetro de tubing</t>
  </si>
  <si>
    <t xml:space="preserve">pulgadas</t>
  </si>
  <si>
    <t xml:space="preserve">Profundidad vertical</t>
  </si>
  <si>
    <t xml:space="preserve">m</t>
  </si>
  <si>
    <t xml:space="preserve">Densidad del petróleo</t>
  </si>
  <si>
    <t xml:space="preserve">kg/m³</t>
  </si>
  <si>
    <t xml:space="preserve">Densidad del agua</t>
  </si>
  <si>
    <t xml:space="preserve">qmáx de Vogel = J·pr/1,8</t>
  </si>
  <si>
    <t xml:space="preserve">m³/d</t>
  </si>
  <si>
    <t xml:space="preserve">Modelo didáctico: columna de mezcla aligerada por el gas y fricción escalada con el caudal y el diámetro. No reemplaza a un simulador de flujo multifásico calibrado con datos del pozo.</t>
  </si>
  <si>
    <t xml:space="preserve">Curvas IPR y VLP</t>
  </si>
  <si>
    <t xml:space="preserve">Caudal (m³/d)</t>
  </si>
  <si>
    <t xml:space="preserve">IPR: Pwf (bar)</t>
  </si>
  <si>
    <t xml:space="preserve">VLP: Pwf (bar)</t>
  </si>
  <si>
    <t xml:space="preserve">IPR − VLP</t>
  </si>
  <si>
    <t xml:space="preserve">Antes del cruce (1/0)</t>
  </si>
  <si>
    <t xml:space="preserve">Punto de operación</t>
  </si>
  <si>
    <t xml:space="preserve">Indicador</t>
  </si>
  <si>
    <t xml:space="preserve">Puntos de la IPR por encima de la VLP</t>
  </si>
  <si>
    <t xml:space="preserve">Caudal de líquido en el punto de operación</t>
  </si>
  <si>
    <t xml:space="preserve">Presión de fondo fluyente</t>
  </si>
  <si>
    <t xml:space="preserve">Caudal de petróleo</t>
  </si>
  <si>
    <t xml:space="preserve">¿Surge el pozo?</t>
  </si>
  <si>
    <t xml:space="preserve">La resolución del cruce es del 1 % del caudal máximo. Si B5 es cero, la VLP está por encima de la IPR desde el primer punto y el pozo no surge.</t>
  </si>
  <si>
    <t xml:space="preserve">Rendimiento del gas lift: caudal contra gas inyectado</t>
  </si>
  <si>
    <t xml:space="preserve">Gas inyectado (m³/m³)</t>
  </si>
  <si>
    <t xml:space="preserve">Puntos IPR sobre VLP</t>
  </si>
  <si>
    <t xml:space="preserve">Caudal de líquido (m³/d)</t>
  </si>
  <si>
    <t xml:space="preserve">Ganancia marginal (m³/d por 50 m³/m³)</t>
  </si>
  <si>
    <t xml:space="preserve">Matriz de VLP por gas inyectado (bar)</t>
  </si>
  <si>
    <t xml:space="preserve">Q \ GLR</t>
  </si>
  <si>
    <t xml:space="preserve">Gas lift: se busca el valor de gas inyectado donde el caudal deja de crecer. La matriz usa los demás parámetros de la hoja Parametros.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</si>
</sst>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8DC"/>
      <rgbColor rgb="FFE3F7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Caudal contra gas inyectado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GasLift!C4</c:f>
              <c:strCache>
                <c:ptCount val="1"/>
                <c:pt idx="0">
                  <c:v>Caudal de líquido (m³/d)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GasLift!$A$5:$A$13</c:f>
              <c:strCach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strCache>
            </c:strRef>
          </c:cat>
          <c:val>
            <c:numRef>
              <c:f>GasLift!$C$5:$C$13</c:f>
              <c:numCache>
                <c:formatCode>0.0</c:formatCode>
                <c:ptCount val="9"/>
                <c:pt idx="0">
                  <c:v>106.25</c:v>
                </c:pt>
                <c:pt idx="1">
                  <c:v>127.083333333333</c:v>
                </c:pt>
                <c:pt idx="2">
                  <c:v>137.5</c:v>
                </c:pt>
                <c:pt idx="3">
                  <c:v>145.833333333333</c:v>
                </c:pt>
                <c:pt idx="4">
                  <c:v>150</c:v>
                </c:pt>
                <c:pt idx="5">
                  <c:v>154.166666666667</c:v>
                </c:pt>
                <c:pt idx="6">
                  <c:v>156.25</c:v>
                </c:pt>
                <c:pt idx="7">
                  <c:v>158.333333333333</c:v>
                </c:pt>
                <c:pt idx="8">
                  <c:v>160.416666666667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634969"/>
        <c:axId val="31561155"/>
      </c:lineChart>
      <c:catAx>
        <c:axId val="22634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m³/m³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61155"/>
        <c:crosses val="autoZero"/>
        <c:auto val="1"/>
        <c:lblAlgn val="ctr"/>
        <c:lblOffset val="100"/>
        <c:noMultiLvlLbl val="0"/>
      </c:catAx>
      <c:valAx>
        <c:axId val="31561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m³/d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34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181800</xdr:rowOff>
    </xdr:from>
    <xdr:to>
      <xdr:col>3</xdr:col>
      <xdr:colOff>966600</xdr:colOff>
      <xdr:row>29</xdr:row>
      <xdr:rowOff>13320</xdr:rowOff>
    </xdr:to>
    <xdr:graphicFrame>
      <xdr:nvGraphicFramePr>
        <xdr:cNvPr id="0" name="Chart 1"/>
        <xdr:cNvGraphicFramePr/>
      </xdr:nvGraphicFramePr>
      <xdr:xfrm>
        <a:off x="0" y="2857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250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1.5</v>
      </c>
      <c r="C6" s="2" t="s">
        <v>8</v>
      </c>
    </row>
    <row r="7" customFormat="false" ht="15" hidden="false" customHeight="false" outlineLevel="0" collapsed="false">
      <c r="A7" s="0" t="s">
        <v>9</v>
      </c>
      <c r="B7" s="6" t="n">
        <v>0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v>10</v>
      </c>
      <c r="C8" s="2" t="s">
        <v>6</v>
      </c>
    </row>
    <row r="9" customFormat="false" ht="15" hidden="false" customHeight="false" outlineLevel="0" collapsed="false">
      <c r="A9" s="0" t="s">
        <v>12</v>
      </c>
      <c r="B9" s="4" t="n">
        <v>0</v>
      </c>
      <c r="C9" s="2" t="s">
        <v>13</v>
      </c>
    </row>
    <row r="10" customFormat="false" ht="15" hidden="false" customHeight="false" outlineLevel="0" collapsed="false">
      <c r="A10" s="0" t="s">
        <v>14</v>
      </c>
      <c r="B10" s="7" t="n">
        <v>3.5</v>
      </c>
      <c r="C10" s="2" t="s">
        <v>15</v>
      </c>
    </row>
    <row r="11" customFormat="false" ht="15" hidden="false" customHeight="false" outlineLevel="0" collapsed="false">
      <c r="A11" s="0" t="s">
        <v>16</v>
      </c>
      <c r="B11" s="4" t="n">
        <v>2000</v>
      </c>
      <c r="C11" s="2" t="s">
        <v>17</v>
      </c>
    </row>
    <row r="12" customFormat="false" ht="15" hidden="false" customHeight="false" outlineLevel="0" collapsed="false">
      <c r="A12" s="0" t="s">
        <v>18</v>
      </c>
      <c r="B12" s="4" t="n">
        <v>800</v>
      </c>
      <c r="C12" s="2" t="s">
        <v>19</v>
      </c>
    </row>
    <row r="13" customFormat="false" ht="15" hidden="false" customHeight="false" outlineLevel="0" collapsed="false">
      <c r="A13" s="0" t="s">
        <v>20</v>
      </c>
      <c r="B13" s="4" t="n">
        <v>1030</v>
      </c>
      <c r="C13" s="2" t="s">
        <v>19</v>
      </c>
    </row>
    <row r="15" customFormat="false" ht="15" hidden="false" customHeight="false" outlineLevel="0" collapsed="false">
      <c r="A15" s="0" t="s">
        <v>21</v>
      </c>
      <c r="B15" s="8" t="n">
        <f aca="false">B6*B5/1.8</f>
        <v>208.333333333333</v>
      </c>
      <c r="C15" s="9" t="s">
        <v>22</v>
      </c>
    </row>
    <row r="17" customFormat="false" ht="15" hidden="false" customHeight="false" outlineLevel="0" collapsed="false">
      <c r="A17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</row>
    <row r="5" customFormat="false" ht="15" hidden="false" customHeight="false" outlineLevel="0" collapsed="false">
      <c r="A5" s="8" t="n">
        <f aca="false">0/100*Parametros!$B$15</f>
        <v>0</v>
      </c>
      <c r="B5" s="8" t="n">
        <f aca="false">IF(A5&gt;=Parametros!$B$15,0,Parametros!$B$5*(-0.2+SQRT(0.04+3.2*(1-A5/Parametros!$B$15)))/1.6)</f>
        <v>250</v>
      </c>
      <c r="C5" s="8" t="n">
        <f aca="false">Parametros!$B$8+(Parametros!$B$12*(1-Parametros!$B$7)+Parametros!$B$13*Parametros!$B$7)*(1-0.55*Parametros!$B$9/(Parametros!$B$9+150))*9.81*Parametros!$B$11/100000+5*(A5/200)^1.8*(3.5/Parametros!$B$10)^4.8</f>
        <v>166.96</v>
      </c>
      <c r="D5" s="8" t="n">
        <f aca="false">B5-C5</f>
        <v>83.04</v>
      </c>
      <c r="E5" s="10" t="n">
        <f aca="false">IF(D5&gt;0,1,0)</f>
        <v>1</v>
      </c>
    </row>
    <row r="6" customFormat="false" ht="15" hidden="false" customHeight="false" outlineLevel="0" collapsed="false">
      <c r="A6" s="8" t="n">
        <f aca="false">1/100*Parametros!$B$15</f>
        <v>2.08333333333333</v>
      </c>
      <c r="B6" s="8" t="n">
        <f aca="false">IF(A6&gt;=Parametros!$B$15,0,Parametros!$B$5*(-0.2+SQRT(0.04+3.2*(1-A6/Parametros!$B$15)))/1.6)</f>
        <v>248.607664715476</v>
      </c>
      <c r="C6" s="8" t="n">
        <f aca="false">Parametros!$B$8+(Parametros!$B$12*(1-Parametros!$B$7)+Parametros!$B$13*Parametros!$B$7)*(1-0.55*Parametros!$B$9/(Parametros!$B$9+150))*9.81*Parametros!$B$11/100000+5*(A6/200)^1.8*(3.5/Parametros!$B$10)^4.8</f>
        <v>166.961351704579</v>
      </c>
      <c r="D6" s="8" t="n">
        <f aca="false">B6-C6</f>
        <v>81.6463130108978</v>
      </c>
      <c r="E6" s="10" t="n">
        <f aca="false">IF(D6&gt;0,1,0)</f>
        <v>1</v>
      </c>
    </row>
    <row r="7" customFormat="false" ht="15" hidden="false" customHeight="false" outlineLevel="0" collapsed="false">
      <c r="A7" s="8" t="n">
        <f aca="false">2/100*Parametros!$B$15</f>
        <v>4.16666666666667</v>
      </c>
      <c r="B7" s="8" t="n">
        <f aca="false">IF(A7&gt;=Parametros!$B$15,0,Parametros!$B$5*(-0.2+SQRT(0.04+3.2*(1-A7/Parametros!$B$15)))/1.6)</f>
        <v>247.208367624318</v>
      </c>
      <c r="C7" s="8" t="n">
        <f aca="false">Parametros!$B$8+(Parametros!$B$12*(1-Parametros!$B$7)+Parametros!$B$13*Parametros!$B$7)*(1-0.55*Parametros!$B$9/(Parametros!$B$9+150))*9.81*Parametros!$B$11/100000+5*(A7/200)^1.8*(3.5/Parametros!$B$10)^4.8</f>
        <v>166.964706908729</v>
      </c>
      <c r="D7" s="8" t="n">
        <f aca="false">B7-C7</f>
        <v>80.2436607155892</v>
      </c>
      <c r="E7" s="10" t="n">
        <f aca="false">IF(D7&gt;0,1,0)</f>
        <v>1</v>
      </c>
    </row>
    <row r="8" customFormat="false" ht="15" hidden="false" customHeight="false" outlineLevel="0" collapsed="false">
      <c r="A8" s="8" t="n">
        <f aca="false">3/100*Parametros!$B$15</f>
        <v>6.25</v>
      </c>
      <c r="B8" s="8" t="n">
        <f aca="false">IF(A8&gt;=Parametros!$B$15,0,Parametros!$B$5*(-0.2+SQRT(0.04+3.2*(1-A8/Parametros!$B$15)))/1.6)</f>
        <v>245.802003241269</v>
      </c>
      <c r="C8" s="8" t="n">
        <f aca="false">Parametros!$B$8+(Parametros!$B$12*(1-Parametros!$B$7)+Parametros!$B$13*Parametros!$B$7)*(1-0.55*Parametros!$B$9/(Parametros!$B$9+150))*9.81*Parametros!$B$11/100000+5*(A8/200)^1.8*(3.5/Parametros!$B$10)^4.8</f>
        <v>166.969765625</v>
      </c>
      <c r="D8" s="8" t="n">
        <f aca="false">B8-C8</f>
        <v>78.8322376162688</v>
      </c>
      <c r="E8" s="10" t="n">
        <f aca="false">IF(D8&gt;0,1,0)</f>
        <v>1</v>
      </c>
    </row>
    <row r="9" customFormat="false" ht="15" hidden="false" customHeight="false" outlineLevel="0" collapsed="false">
      <c r="A9" s="8" t="n">
        <f aca="false">4/100*Parametros!$B$15</f>
        <v>8.33333333333333</v>
      </c>
      <c r="B9" s="8" t="n">
        <f aca="false">IF(A9&gt;=Parametros!$B$15,0,Parametros!$B$5*(-0.2+SQRT(0.04+3.2*(1-A9/Parametros!$B$15)))/1.6)</f>
        <v>244.388463389999</v>
      </c>
      <c r="C9" s="8" t="n">
        <f aca="false">Parametros!$B$8+(Parametros!$B$12*(1-Parametros!$B$7)+Parametros!$B$13*Parametros!$B$7)*(1-0.55*Parametros!$B$9/(Parametros!$B$9+150))*9.81*Parametros!$B$11/100000+5*(A9/200)^1.8*(3.5/Parametros!$B$10)^4.8</f>
        <v>166.976390408182</v>
      </c>
      <c r="D9" s="8" t="n">
        <f aca="false">B9-C9</f>
        <v>77.4120729818171</v>
      </c>
      <c r="E9" s="10" t="n">
        <f aca="false">IF(D9&gt;0,1,0)</f>
        <v>1</v>
      </c>
    </row>
    <row r="10" customFormat="false" ht="15" hidden="false" customHeight="false" outlineLevel="0" collapsed="false">
      <c r="A10" s="8" t="n">
        <f aca="false">5/100*Parametros!$B$15</f>
        <v>10.4166666666667</v>
      </c>
      <c r="B10" s="8" t="n">
        <f aca="false">IF(A10&gt;=Parametros!$B$15,0,Parametros!$B$5*(-0.2+SQRT(0.04+3.2*(1-A10/Parametros!$B$15)))/1.6)</f>
        <v>242.967637106004</v>
      </c>
      <c r="C10" s="8" t="n">
        <f aca="false">Parametros!$B$8+(Parametros!$B$12*(1-Parametros!$B$7)+Parametros!$B$13*Parametros!$B$7)*(1-0.55*Parametros!$B$9/(Parametros!$B$9+150))*9.81*Parametros!$B$11/100000+5*(A10/200)^1.8*(3.5/Parametros!$B$10)^4.8</f>
        <v>166.984492199746</v>
      </c>
      <c r="D10" s="8" t="n">
        <f aca="false">B10-C10</f>
        <v>75.9831449062575</v>
      </c>
      <c r="E10" s="10" t="n">
        <f aca="false">IF(D10&gt;0,1,0)</f>
        <v>1</v>
      </c>
    </row>
    <row r="11" customFormat="false" ht="15" hidden="false" customHeight="false" outlineLevel="0" collapsed="false">
      <c r="A11" s="8" t="n">
        <f aca="false">6/100*Parametros!$B$15</f>
        <v>12.5</v>
      </c>
      <c r="B11" s="8" t="n">
        <f aca="false">IF(A11&gt;=Parametros!$B$15,0,Parametros!$B$5*(-0.2+SQRT(0.04+3.2*(1-A11/Parametros!$B$15)))/1.6)</f>
        <v>241.53941053494</v>
      </c>
      <c r="C11" s="8" t="n">
        <f aca="false">Parametros!$B$8+(Parametros!$B$12*(1-Parametros!$B$7)+Parametros!$B$13*Parametros!$B$7)*(1-0.55*Parametros!$B$9/(Parametros!$B$9+150))*9.81*Parametros!$B$11/100000+5*(A11/200)^1.8*(3.5/Parametros!$B$10)^4.8</f>
        <v>166.994005881379</v>
      </c>
      <c r="D11" s="8" t="n">
        <f aca="false">B11-C11</f>
        <v>74.5454046535612</v>
      </c>
      <c r="E11" s="10" t="n">
        <f aca="false">IF(D11&gt;0,1,0)</f>
        <v>1</v>
      </c>
    </row>
    <row r="12" customFormat="false" ht="15" hidden="false" customHeight="false" outlineLevel="0" collapsed="false">
      <c r="A12" s="8" t="n">
        <f aca="false">7/100*Parametros!$B$15</f>
        <v>14.5833333333333</v>
      </c>
      <c r="B12" s="8" t="n">
        <f aca="false">IF(A12&gt;=Parametros!$B$15,0,Parametros!$B$5*(-0.2+SQRT(0.04+3.2*(1-A12/Parametros!$B$15)))/1.6)</f>
        <v>240.103666826155</v>
      </c>
      <c r="C12" s="8" t="n">
        <f aca="false">Parametros!$B$8+(Parametros!$B$12*(1-Parametros!$B$7)+Parametros!$B$13*Parametros!$B$7)*(1-0.55*Parametros!$B$9/(Parametros!$B$9+150))*9.81*Parametros!$B$11/100000+5*(A12/200)^1.8*(3.5/Parametros!$B$10)^4.8</f>
        <v>167.004880558933</v>
      </c>
      <c r="D12" s="8" t="n">
        <f aca="false">B12-C12</f>
        <v>73.0987862672225</v>
      </c>
      <c r="E12" s="10" t="n">
        <f aca="false">IF(D12&gt;0,1,0)</f>
        <v>1</v>
      </c>
    </row>
    <row r="13" customFormat="false" ht="15" hidden="false" customHeight="false" outlineLevel="0" collapsed="false">
      <c r="A13" s="8" t="n">
        <f aca="false">8/100*Parametros!$B$15</f>
        <v>16.6666666666667</v>
      </c>
      <c r="B13" s="8" t="n">
        <f aca="false">IF(A13&gt;=Parametros!$B$15,0,Parametros!$B$5*(-0.2+SQRT(0.04+3.2*(1-A13/Parametros!$B$15)))/1.6)</f>
        <v>238.660286021115</v>
      </c>
      <c r="C13" s="8" t="n">
        <f aca="false">Parametros!$B$8+(Parametros!$B$12*(1-Parametros!$B$7)+Parametros!$B$13*Parametros!$B$7)*(1-0.55*Parametros!$B$9/(Parametros!$B$9+150))*9.81*Parametros!$B$11/100000+5*(A13/200)^1.8*(3.5/Parametros!$B$10)^4.8</f>
        <v>167.017074716303</v>
      </c>
      <c r="D13" s="8" t="n">
        <f aca="false">B13-C13</f>
        <v>71.6432113048122</v>
      </c>
      <c r="E13" s="10" t="n">
        <f aca="false">IF(D13&gt;0,1,0)</f>
        <v>1</v>
      </c>
    </row>
    <row r="14" customFormat="false" ht="15" hidden="false" customHeight="false" outlineLevel="0" collapsed="false">
      <c r="A14" s="8" t="n">
        <f aca="false">9/100*Parametros!$B$15</f>
        <v>18.75</v>
      </c>
      <c r="B14" s="8" t="n">
        <f aca="false">IF(A14&gt;=Parametros!$B$15,0,Parametros!$B$5*(-0.2+SQRT(0.04+3.2*(1-A14/Parametros!$B$15)))/1.6)</f>
        <v>237.209144936432</v>
      </c>
      <c r="C14" s="8" t="n">
        <f aca="false">Parametros!$B$8+(Parametros!$B$12*(1-Parametros!$B$7)+Parametros!$B$13*Parametros!$B$7)*(1-0.55*Parametros!$B$9/(Parametros!$B$9+150))*9.81*Parametros!$B$11/100000+5*(A14/200)^1.8*(3.5/Parametros!$B$10)^4.8</f>
        <v>167.030553457577</v>
      </c>
      <c r="D14" s="8" t="n">
        <f aca="false">B14-C14</f>
        <v>70.1785914788551</v>
      </c>
      <c r="E14" s="10" t="n">
        <f aca="false">IF(D14&gt;0,1,0)</f>
        <v>1</v>
      </c>
    </row>
    <row r="15" customFormat="false" ht="15" hidden="false" customHeight="false" outlineLevel="0" collapsed="false">
      <c r="A15" s="8" t="n">
        <f aca="false">10/100*Parametros!$B$15</f>
        <v>20.8333333333333</v>
      </c>
      <c r="B15" s="8" t="n">
        <f aca="false">IF(A15&gt;=Parametros!$B$15,0,Parametros!$B$5*(-0.2+SQRT(0.04+3.2*(1-A15/Parametros!$B$15)))/1.6)</f>
        <v>235.750117041173</v>
      </c>
      <c r="C15" s="8" t="n">
        <f aca="false">Parametros!$B$8+(Parametros!$B$12*(1-Parametros!$B$7)+Parametros!$B$13*Parametros!$B$7)*(1-0.55*Parametros!$B$9/(Parametros!$B$9+150))*9.81*Parametros!$B$11/100000+5*(A15/200)^1.8*(3.5/Parametros!$B$10)^4.8</f>
        <v>167.045286793142</v>
      </c>
      <c r="D15" s="8" t="n">
        <f aca="false">B15-C15</f>
        <v>68.7048302480309</v>
      </c>
      <c r="E15" s="10" t="n">
        <f aca="false">IF(D15&gt;0,1,0)</f>
        <v>1</v>
      </c>
    </row>
    <row r="16" customFormat="false" ht="15" hidden="false" customHeight="false" outlineLevel="0" collapsed="false">
      <c r="A16" s="8" t="n">
        <f aca="false">11/100*Parametros!$B$15</f>
        <v>22.9166666666667</v>
      </c>
      <c r="B16" s="8" t="n">
        <f aca="false">IF(A16&gt;=Parametros!$B$15,0,Parametros!$B$5*(-0.2+SQRT(0.04+3.2*(1-A16/Parametros!$B$15)))/1.6)</f>
        <v>234.2830723281</v>
      </c>
      <c r="C16" s="8" t="n">
        <f aca="false">Parametros!$B$8+(Parametros!$B$12*(1-Parametros!$B$7)+Parametros!$B$13*Parametros!$B$7)*(1-0.55*Parametros!$B$9/(Parametros!$B$9+150))*9.81*Parametros!$B$11/100000+5*(A16/200)^1.8*(3.5/Parametros!$B$10)^4.8</f>
        <v>167.061248504733</v>
      </c>
      <c r="D16" s="8" t="n">
        <f aca="false">B16-C16</f>
        <v>67.2218238233668</v>
      </c>
      <c r="E16" s="10" t="n">
        <f aca="false">IF(D16&gt;0,1,0)</f>
        <v>1</v>
      </c>
    </row>
    <row r="17" customFormat="false" ht="15" hidden="false" customHeight="false" outlineLevel="0" collapsed="false">
      <c r="A17" s="8" t="n">
        <f aca="false">12/100*Parametros!$B$15</f>
        <v>25</v>
      </c>
      <c r="B17" s="8" t="n">
        <f aca="false">IF(A17&gt;=Parametros!$B$15,0,Parametros!$B$5*(-0.2+SQRT(0.04+3.2*(1-A17/Parametros!$B$15)))/1.6)</f>
        <v>232.80787717847</v>
      </c>
      <c r="C17" s="8" t="n">
        <f aca="false">Parametros!$B$8+(Parametros!$B$12*(1-Parametros!$B$7)+Parametros!$B$13*Parametros!$B$7)*(1-0.55*Parametros!$B$9/(Parametros!$B$9+150))*9.81*Parametros!$B$11/100000+5*(A17/200)^1.8*(3.5/Parametros!$B$10)^4.8</f>
        <v>167.078415356759</v>
      </c>
      <c r="D17" s="8" t="n">
        <f aca="false">B17-C17</f>
        <v>65.7294618217115</v>
      </c>
      <c r="E17" s="10" t="n">
        <f aca="false">IF(D17&gt;0,1,0)</f>
        <v>1</v>
      </c>
    </row>
    <row r="18" customFormat="false" ht="15" hidden="false" customHeight="false" outlineLevel="0" collapsed="false">
      <c r="A18" s="8" t="n">
        <f aca="false">13/100*Parametros!$B$15</f>
        <v>27.0833333333333</v>
      </c>
      <c r="B18" s="8" t="n">
        <f aca="false">IF(A18&gt;=Parametros!$B$15,0,Parametros!$B$5*(-0.2+SQRT(0.04+3.2*(1-A18/Parametros!$B$15)))/1.6)</f>
        <v>231.32439422</v>
      </c>
      <c r="C18" s="8" t="n">
        <f aca="false">Parametros!$B$8+(Parametros!$B$12*(1-Parametros!$B$7)+Parametros!$B$13*Parametros!$B$7)*(1-0.55*Parametros!$B$9/(Parametros!$B$9+150))*9.81*Parametros!$B$11/100000+5*(A18/200)^1.8*(3.5/Parametros!$B$10)^4.8</f>
        <v>167.096766527086</v>
      </c>
      <c r="D18" s="8" t="n">
        <f aca="false">B18-C18</f>
        <v>64.227627692914</v>
      </c>
      <c r="E18" s="10" t="n">
        <f aca="false">IF(D18&gt;0,1,0)</f>
        <v>1</v>
      </c>
    </row>
    <row r="19" customFormat="false" ht="15" hidden="false" customHeight="false" outlineLevel="0" collapsed="false">
      <c r="A19" s="8" t="n">
        <f aca="false">14/100*Parametros!$B$15</f>
        <v>29.1666666666667</v>
      </c>
      <c r="B19" s="8" t="n">
        <f aca="false">IF(A19&gt;=Parametros!$B$15,0,Parametros!$B$5*(-0.2+SQRT(0.04+3.2*(1-A19/Parametros!$B$15)))/1.6)</f>
        <v>229.832482177568</v>
      </c>
      <c r="C19" s="8" t="n">
        <f aca="false">Parametros!$B$8+(Parametros!$B$12*(1-Parametros!$B$7)+Parametros!$B$13*Parametros!$B$7)*(1-0.55*Parametros!$B$9/(Parametros!$B$9+150))*9.81*Parametros!$B$11/100000+5*(A19/200)^1.8*(3.5/Parametros!$B$10)^4.8</f>
        <v>167.11628318344</v>
      </c>
      <c r="D19" s="8" t="n">
        <f aca="false">B19-C19</f>
        <v>62.7161989941282</v>
      </c>
      <c r="E19" s="10" t="n">
        <f aca="false">IF(D19&gt;0,1,0)</f>
        <v>1</v>
      </c>
    </row>
    <row r="20" customFormat="false" ht="15" hidden="false" customHeight="false" outlineLevel="0" collapsed="false">
      <c r="A20" s="8" t="n">
        <f aca="false">15/100*Parametros!$B$15</f>
        <v>31.25</v>
      </c>
      <c r="B20" s="8" t="n">
        <f aca="false">IF(A20&gt;=Parametros!$B$15,0,Parametros!$B$5*(-0.2+SQRT(0.04+3.2*(1-A20/Parametros!$B$15)))/1.6)</f>
        <v>228.33199571619</v>
      </c>
      <c r="C20" s="8" t="n">
        <f aca="false">Parametros!$B$8+(Parametros!$B$12*(1-Parametros!$B$7)+Parametros!$B$13*Parametros!$B$7)*(1-0.55*Parametros!$B$9/(Parametros!$B$9+150))*9.81*Parametros!$B$11/100000+5*(A20/200)^1.8*(3.5/Parametros!$B$10)^4.8</f>
        <v>167.136948160078</v>
      </c>
      <c r="D20" s="8" t="n">
        <f aca="false">B20-C20</f>
        <v>61.1950475561123</v>
      </c>
      <c r="E20" s="10" t="n">
        <f aca="false">IF(D20&gt;0,1,0)</f>
        <v>1</v>
      </c>
    </row>
    <row r="21" customFormat="false" ht="15" hidden="false" customHeight="false" outlineLevel="0" collapsed="false">
      <c r="A21" s="8" t="n">
        <f aca="false">16/100*Parametros!$B$15</f>
        <v>33.3333333333333</v>
      </c>
      <c r="B21" s="8" t="n">
        <f aca="false">IF(A21&gt;=Parametros!$B$15,0,Parametros!$B$5*(-0.2+SQRT(0.04+3.2*(1-A21/Parametros!$B$15)))/1.6)</f>
        <v>226.822785275782</v>
      </c>
      <c r="C21" s="8" t="n">
        <f aca="false">Parametros!$B$8+(Parametros!$B$12*(1-Parametros!$B$7)+Parametros!$B$13*Parametros!$B$7)*(1-0.55*Parametros!$B$9/(Parametros!$B$9+150))*9.81*Parametros!$B$11/100000+5*(A21/200)^1.8*(3.5/Parametros!$B$10)^4.8</f>
        <v>167.158745705709</v>
      </c>
      <c r="D21" s="8" t="n">
        <f aca="false">B21-C21</f>
        <v>59.6640395700732</v>
      </c>
      <c r="E21" s="10" t="n">
        <f aca="false">IF(D21&gt;0,1,0)</f>
        <v>1</v>
      </c>
    </row>
    <row r="22" customFormat="false" ht="15" hidden="false" customHeight="false" outlineLevel="0" collapsed="false">
      <c r="A22" s="8" t="n">
        <f aca="false">17/100*Parametros!$B$15</f>
        <v>35.4166666666667</v>
      </c>
      <c r="B22" s="8" t="n">
        <f aca="false">IF(A22&gt;=Parametros!$B$15,0,Parametros!$B$5*(-0.2+SQRT(0.04+3.2*(1-A22/Parametros!$B$15)))/1.6)</f>
        <v>225.304696897172</v>
      </c>
      <c r="C22" s="8" t="n">
        <f aca="false">Parametros!$B$8+(Parametros!$B$12*(1-Parametros!$B$7)+Parametros!$B$13*Parametros!$B$7)*(1-0.55*Parametros!$B$9/(Parametros!$B$9+150))*9.81*Parametros!$B$11/100000+5*(A22/200)^1.8*(3.5/Parametros!$B$10)^4.8</f>
        <v>167.181661283355</v>
      </c>
      <c r="D22" s="8" t="n">
        <f aca="false">B22-C22</f>
        <v>58.1230356138176</v>
      </c>
      <c r="E22" s="10" t="n">
        <f aca="false">IF(D22&gt;0,1,0)</f>
        <v>1</v>
      </c>
    </row>
    <row r="23" customFormat="false" ht="15" hidden="false" customHeight="false" outlineLevel="0" collapsed="false">
      <c r="A23" s="8" t="n">
        <f aca="false">18/100*Parametros!$B$15</f>
        <v>37.5</v>
      </c>
      <c r="B23" s="8" t="n">
        <f aca="false">IF(A23&gt;=Parametros!$B$15,0,Parametros!$B$5*(-0.2+SQRT(0.04+3.2*(1-A23/Parametros!$B$15)))/1.6)</f>
        <v>223.77757203879</v>
      </c>
      <c r="C23" s="8" t="n">
        <f aca="false">Parametros!$B$8+(Parametros!$B$12*(1-Parametros!$B$7)+Parametros!$B$13*Parametros!$B$7)*(1-0.55*Parametros!$B$9/(Parametros!$B$9+150))*9.81*Parametros!$B$11/100000+5*(A23/200)^1.8*(3.5/Parametros!$B$10)^4.8</f>
        <v>167.205681408943</v>
      </c>
      <c r="D23" s="8" t="n">
        <f aca="false">B23-C23</f>
        <v>56.5718906298465</v>
      </c>
      <c r="E23" s="10" t="n">
        <f aca="false">IF(D23&gt;0,1,0)</f>
        <v>1</v>
      </c>
    </row>
    <row r="24" customFormat="false" ht="15" hidden="false" customHeight="false" outlineLevel="0" collapsed="false">
      <c r="A24" s="8" t="n">
        <f aca="false">19/100*Parametros!$B$15</f>
        <v>39.5833333333333</v>
      </c>
      <c r="B24" s="8" t="n">
        <f aca="false">IF(A24&gt;=Parametros!$B$15,0,Parametros!$B$5*(-0.2+SQRT(0.04+3.2*(1-A24/Parametros!$B$15)))/1.6)</f>
        <v>222.241247383416</v>
      </c>
      <c r="C24" s="8" t="n">
        <f aca="false">Parametros!$B$8+(Parametros!$B$12*(1-Parametros!$B$7)+Parametros!$B$13*Parametros!$B$7)*(1-0.55*Parametros!$B$9/(Parametros!$B$9+150))*9.81*Parametros!$B$11/100000+5*(A24/200)^1.8*(3.5/Parametros!$B$10)^4.8</f>
        <v>167.230793519356</v>
      </c>
      <c r="D24" s="8" t="n">
        <f aca="false">B24-C24</f>
        <v>55.0104538640599</v>
      </c>
      <c r="E24" s="10" t="n">
        <f aca="false">IF(D24&gt;0,1,0)</f>
        <v>1</v>
      </c>
    </row>
    <row r="25" customFormat="false" ht="15" hidden="false" customHeight="false" outlineLevel="0" collapsed="false">
      <c r="A25" s="8" t="n">
        <f aca="false">20/100*Parametros!$B$15</f>
        <v>41.6666666666667</v>
      </c>
      <c r="B25" s="8" t="n">
        <f aca="false">IF(A25&gt;=Parametros!$B$15,0,Parametros!$B$5*(-0.2+SQRT(0.04+3.2*(1-A25/Parametros!$B$15)))/1.6)</f>
        <v>220.69555463433</v>
      </c>
      <c r="C25" s="8" t="n">
        <f aca="false">Parametros!$B$8+(Parametros!$B$12*(1-Parametros!$B$7)+Parametros!$B$13*Parametros!$B$7)*(1-0.55*Parametros!$B$9/(Parametros!$B$9+150))*9.81*Parametros!$B$11/100000+5*(A25/200)^1.8*(3.5/Parametros!$B$10)^4.8</f>
        <v>167.256985863246</v>
      </c>
      <c r="D25" s="8" t="n">
        <f aca="false">B25-C25</f>
        <v>53.4385687710837</v>
      </c>
      <c r="E25" s="10" t="n">
        <f aca="false">IF(D25&gt;0,1,0)</f>
        <v>1</v>
      </c>
    </row>
    <row r="26" customFormat="false" ht="15" hidden="false" customHeight="false" outlineLevel="0" collapsed="false">
      <c r="A26" s="8" t="n">
        <f aca="false">21/100*Parametros!$B$15</f>
        <v>43.75</v>
      </c>
      <c r="B26" s="8" t="n">
        <f aca="false">IF(A26&gt;=Parametros!$B$15,0,Parametros!$B$5*(-0.2+SQRT(0.04+3.2*(1-A26/Parametros!$B$15)))/1.6)</f>
        <v>219.140320300127</v>
      </c>
      <c r="C26" s="8" t="n">
        <f aca="false">Parametros!$B$8+(Parametros!$B$12*(1-Parametros!$B$7)+Parametros!$B$13*Parametros!$B$7)*(1-0.55*Parametros!$B$9/(Parametros!$B$9+150))*9.81*Parametros!$B$11/100000+5*(A26/200)^1.8*(3.5/Parametros!$B$10)^4.8</f>
        <v>167.284247409733</v>
      </c>
      <c r="D26" s="8" t="n">
        <f aca="false">B26-C26</f>
        <v>51.856072890394</v>
      </c>
      <c r="E26" s="10" t="n">
        <f aca="false">IF(D26&gt;0,1,0)</f>
        <v>1</v>
      </c>
    </row>
    <row r="27" customFormat="false" ht="15" hidden="false" customHeight="false" outlineLevel="0" collapsed="false">
      <c r="A27" s="8" t="n">
        <f aca="false">22/100*Parametros!$B$15</f>
        <v>45.8333333333333</v>
      </c>
      <c r="B27" s="8" t="n">
        <f aca="false">IF(A27&gt;=Parametros!$B$15,0,Parametros!$B$5*(-0.2+SQRT(0.04+3.2*(1-A27/Parametros!$B$15)))/1.6)</f>
        <v>217.57536546743</v>
      </c>
      <c r="C27" s="8" t="n">
        <f aca="false">Parametros!$B$8+(Parametros!$B$12*(1-Parametros!$B$7)+Parametros!$B$13*Parametros!$B$7)*(1-0.55*Parametros!$B$9/(Parametros!$B$9+150))*9.81*Parametros!$B$11/100000+5*(A27/200)^1.8*(3.5/Parametros!$B$10)^4.8</f>
        <v>167.312567771314</v>
      </c>
      <c r="D27" s="8" t="n">
        <f aca="false">B27-C27</f>
        <v>50.2627976961161</v>
      </c>
      <c r="E27" s="10" t="n">
        <f aca="false">IF(D27&gt;0,1,0)</f>
        <v>1</v>
      </c>
    </row>
    <row r="28" customFormat="false" ht="15" hidden="false" customHeight="false" outlineLevel="0" collapsed="false">
      <c r="A28" s="8" t="n">
        <f aca="false">23/100*Parametros!$B$15</f>
        <v>47.9166666666667</v>
      </c>
      <c r="B28" s="8" t="n">
        <f aca="false">IF(A28&gt;=Parametros!$B$15,0,Parametros!$B$5*(-0.2+SQRT(0.04+3.2*(1-A28/Parametros!$B$15)))/1.6)</f>
        <v>216.000505560656</v>
      </c>
      <c r="C28" s="8" t="n">
        <f aca="false">Parametros!$B$8+(Parametros!$B$12*(1-Parametros!$B$7)+Parametros!$B$13*Parametros!$B$7)*(1-0.55*Parametros!$B$9/(Parametros!$B$9+150))*9.81*Parametros!$B$11/100000+5*(A28/200)^1.8*(3.5/Parametros!$B$10)^4.8</f>
        <v>167.341937138226</v>
      </c>
      <c r="D28" s="8" t="n">
        <f aca="false">B28-C28</f>
        <v>48.6585684224303</v>
      </c>
      <c r="E28" s="10" t="n">
        <f aca="false">IF(D28&gt;0,1,0)</f>
        <v>1</v>
      </c>
    </row>
    <row r="29" customFormat="false" ht="15" hidden="false" customHeight="false" outlineLevel="0" collapsed="false">
      <c r="A29" s="8" t="n">
        <f aca="false">24/100*Parametros!$B$15</f>
        <v>50</v>
      </c>
      <c r="B29" s="8" t="n">
        <f aca="false">IF(A29&gt;=Parametros!$B$15,0,Parametros!$B$5*(-0.2+SQRT(0.04+3.2*(1-A29/Parametros!$B$15)))/1.6)</f>
        <v>214.415550087919</v>
      </c>
      <c r="C29" s="8" t="n">
        <f aca="false">Parametros!$B$8+(Parametros!$B$12*(1-Parametros!$B$7)+Parametros!$B$13*Parametros!$B$7)*(1-0.55*Parametros!$B$9/(Parametros!$B$9+150))*9.81*Parametros!$B$11/100000+5*(A29/200)^1.8*(3.5/Parametros!$B$10)^4.8</f>
        <v>167.372346222117</v>
      </c>
      <c r="D29" s="8" t="n">
        <f aca="false">B29-C29</f>
        <v>47.0432038658028</v>
      </c>
      <c r="E29" s="10" t="n">
        <f aca="false">IF(D29&gt;0,1,0)</f>
        <v>1</v>
      </c>
    </row>
    <row r="30" customFormat="false" ht="15" hidden="false" customHeight="false" outlineLevel="0" collapsed="false">
      <c r="A30" s="8" t="n">
        <f aca="false">25/100*Parametros!$B$15</f>
        <v>52.0833333333333</v>
      </c>
      <c r="B30" s="8" t="n">
        <f aca="false">IF(A30&gt;=Parametros!$B$15,0,Parametros!$B$5*(-0.2+SQRT(0.04+3.2*(1-A30/Parametros!$B$15)))/1.6)</f>
        <v>212.820302372083</v>
      </c>
      <c r="C30" s="8" t="n">
        <f aca="false">Parametros!$B$8+(Parametros!$B$12*(1-Parametros!$B$7)+Parametros!$B$13*Parametros!$B$7)*(1-0.55*Parametros!$B$9/(Parametros!$B$9+150))*9.81*Parametros!$B$11/100000+5*(A30/200)^1.8*(3.5/Parametros!$B$10)^4.8</f>
        <v>167.403786207371</v>
      </c>
      <c r="D30" s="8" t="n">
        <f aca="false">B30-C30</f>
        <v>45.4165161647118</v>
      </c>
      <c r="E30" s="10" t="n">
        <f aca="false">IF(D30&gt;0,1,0)</f>
        <v>1</v>
      </c>
    </row>
    <row r="31" customFormat="false" ht="15" hidden="false" customHeight="false" outlineLevel="0" collapsed="false">
      <c r="A31" s="8" t="n">
        <f aca="false">26/100*Parametros!$B$15</f>
        <v>54.1666666666667</v>
      </c>
      <c r="B31" s="8" t="n">
        <f aca="false">IF(A31&gt;=Parametros!$B$15,0,Parametros!$B$5*(-0.2+SQRT(0.04+3.2*(1-A31/Parametros!$B$15)))/1.6)</f>
        <v>211.214559265885</v>
      </c>
      <c r="C31" s="8" t="n">
        <f aca="false">Parametros!$B$8+(Parametros!$B$12*(1-Parametros!$B$7)+Parametros!$B$13*Parametros!$B$7)*(1-0.55*Parametros!$B$9/(Parametros!$B$9+150))*9.81*Parametros!$B$11/100000+5*(A31/200)^1.8*(3.5/Parametros!$B$10)^4.8</f>
        <v>167.436248708779</v>
      </c>
      <c r="D31" s="8" t="n">
        <f aca="false">B31-C31</f>
        <v>43.7783105571059</v>
      </c>
      <c r="E31" s="10" t="n">
        <f aca="false">IF(D31&gt;0,1,0)</f>
        <v>1</v>
      </c>
    </row>
    <row r="32" customFormat="false" ht="15" hidden="false" customHeight="false" outlineLevel="0" collapsed="false">
      <c r="A32" s="8" t="n">
        <f aca="false">27/100*Parametros!$B$15</f>
        <v>56.25</v>
      </c>
      <c r="B32" s="8" t="n">
        <f aca="false">IF(A32&gt;=Parametros!$B$15,0,Parametros!$B$5*(-0.2+SQRT(0.04+3.2*(1-A32/Parametros!$B$15)))/1.6)</f>
        <v>209.598110849971</v>
      </c>
      <c r="C32" s="8" t="n">
        <f aca="false">Parametros!$B$8+(Parametros!$B$12*(1-Parametros!$B$7)+Parametros!$B$13*Parametros!$B$7)*(1-0.55*Parametros!$B$9/(Parametros!$B$9+150))*9.81*Parametros!$B$11/100000+5*(A32/200)^1.8*(3.5/Parametros!$B$10)^4.8</f>
        <v>167.469725734504</v>
      </c>
      <c r="D32" s="8" t="n">
        <f aca="false">B32-C32</f>
        <v>42.1283851154676</v>
      </c>
      <c r="E32" s="10" t="n">
        <f aca="false">IF(D32&gt;0,1,0)</f>
        <v>1</v>
      </c>
    </row>
    <row r="33" customFormat="false" ht="15" hidden="false" customHeight="false" outlineLevel="0" collapsed="false">
      <c r="A33" s="8" t="n">
        <f aca="false">28/100*Parametros!$B$15</f>
        <v>58.3333333333333</v>
      </c>
      <c r="B33" s="8" t="n">
        <f aca="false">IF(A33&gt;=Parametros!$B$15,0,Parametros!$B$5*(-0.2+SQRT(0.04+3.2*(1-A33/Parametros!$B$15)))/1.6)</f>
        <v>207.970740112558</v>
      </c>
      <c r="C33" s="8" t="n">
        <f aca="false">Parametros!$B$8+(Parametros!$B$12*(1-Parametros!$B$7)+Parametros!$B$13*Parametros!$B$7)*(1-0.55*Parametros!$B$9/(Parametros!$B$9+150))*9.81*Parametros!$B$11/100000+5*(A33/200)^1.8*(3.5/Parametros!$B$10)^4.8</f>
        <v>167.504209653508</v>
      </c>
      <c r="D33" s="8" t="n">
        <f aca="false">B33-C33</f>
        <v>40.4665304590498</v>
      </c>
      <c r="E33" s="10" t="n">
        <f aca="false">IF(D33&gt;0,1,0)</f>
        <v>1</v>
      </c>
    </row>
    <row r="34" customFormat="false" ht="15" hidden="false" customHeight="false" outlineLevel="0" collapsed="false">
      <c r="A34" s="8" t="n">
        <f aca="false">29/100*Parametros!$B$15</f>
        <v>60.4166666666667</v>
      </c>
      <c r="B34" s="8" t="n">
        <f aca="false">IF(A34&gt;=Parametros!$B$15,0,Parametros!$B$5*(-0.2+SQRT(0.04+3.2*(1-A34/Parametros!$B$15)))/1.6)</f>
        <v>206.332222609353</v>
      </c>
      <c r="C34" s="8" t="n">
        <f aca="false">Parametros!$B$8+(Parametros!$B$12*(1-Parametros!$B$7)+Parametros!$B$13*Parametros!$B$7)*(1-0.55*Parametros!$B$9/(Parametros!$B$9+150))*9.81*Parametros!$B$11/100000+5*(A34/200)^1.8*(3.5/Parametros!$B$10)^4.8</f>
        <v>167.539693166771</v>
      </c>
      <c r="D34" s="8" t="n">
        <f aca="false">B34-C34</f>
        <v>38.7925294425817</v>
      </c>
      <c r="E34" s="10" t="n">
        <f aca="false">IF(D34&gt;0,1,0)</f>
        <v>1</v>
      </c>
    </row>
    <row r="35" customFormat="false" ht="15" hidden="false" customHeight="false" outlineLevel="0" collapsed="false">
      <c r="A35" s="8" t="n">
        <f aca="false">30/100*Parametros!$B$15</f>
        <v>62.5</v>
      </c>
      <c r="B35" s="8" t="n">
        <f aca="false">IF(A35&gt;=Parametros!$B$15,0,Parametros!$B$5*(-0.2+SQRT(0.04+3.2*(1-A35/Parametros!$B$15)))/1.6)</f>
        <v>204.682326102211</v>
      </c>
      <c r="C35" s="8" t="n">
        <f aca="false">Parametros!$B$8+(Parametros!$B$12*(1-Parametros!$B$7)+Parametros!$B$13*Parametros!$B$7)*(1-0.55*Parametros!$B$9/(Parametros!$B$9+150))*9.81*Parametros!$B$11/100000+5*(A35/200)^1.8*(3.5/Parametros!$B$10)^4.8</f>
        <v>167.576169281719</v>
      </c>
      <c r="D35" s="8" t="n">
        <f aca="false">B35-C35</f>
        <v>37.106156820492</v>
      </c>
      <c r="E35" s="10" t="n">
        <f aca="false">IF(D35&gt;0,1,0)</f>
        <v>1</v>
      </c>
    </row>
    <row r="36" customFormat="false" ht="15" hidden="false" customHeight="false" outlineLevel="0" collapsed="false">
      <c r="A36" s="8" t="n">
        <f aca="false">31/100*Parametros!$B$15</f>
        <v>64.5833333333333</v>
      </c>
      <c r="B36" s="8" t="n">
        <f aca="false">IF(A36&gt;=Parametros!$B$15,0,Parametros!$B$5*(-0.2+SQRT(0.04+3.2*(1-A36/Parametros!$B$15)))/1.6)</f>
        <v>203.020810174891</v>
      </c>
      <c r="C36" s="8" t="n">
        <f aca="false">Parametros!$B$8+(Parametros!$B$12*(1-Parametros!$B$7)+Parametros!$B$13*Parametros!$B$7)*(1-0.55*Parametros!$B$9/(Parametros!$B$9+150))*9.81*Parametros!$B$11/100000+5*(A36/200)^1.8*(3.5/Parametros!$B$10)^4.8</f>
        <v>167.613631289432</v>
      </c>
      <c r="D36" s="8" t="n">
        <f aca="false">B36-C36</f>
        <v>35.4071788854597</v>
      </c>
      <c r="E36" s="10" t="n">
        <f aca="false">IF(D36&gt;0,1,0)</f>
        <v>1</v>
      </c>
    </row>
    <row r="37" customFormat="false" ht="15" hidden="false" customHeight="false" outlineLevel="0" collapsed="false">
      <c r="A37" s="8" t="n">
        <f aca="false">32/100*Parametros!$B$15</f>
        <v>66.6666666666667</v>
      </c>
      <c r="B37" s="8" t="n">
        <f aca="false">IF(A37&gt;=Parametros!$B$15,0,Parametros!$B$5*(-0.2+SQRT(0.04+3.2*(1-A37/Parametros!$B$15)))/1.6)</f>
        <v>201.347425824105</v>
      </c>
      <c r="C37" s="8" t="n">
        <f aca="false">Parametros!$B$8+(Parametros!$B$12*(1-Parametros!$B$7)+Parametros!$B$13*Parametros!$B$7)*(1-0.55*Parametros!$B$9/(Parametros!$B$9+150))*9.81*Parametros!$B$11/100000+5*(A37/200)^1.8*(3.5/Parametros!$B$10)^4.8</f>
        <v>167.652072744231</v>
      </c>
      <c r="D37" s="8" t="n">
        <f aca="false">B37-C37</f>
        <v>33.6953530798741</v>
      </c>
      <c r="E37" s="10" t="n">
        <f aca="false">IF(D37&gt;0,1,0)</f>
        <v>1</v>
      </c>
    </row>
    <row r="38" customFormat="false" ht="15" hidden="false" customHeight="false" outlineLevel="0" collapsed="false">
      <c r="A38" s="8" t="n">
        <f aca="false">33/100*Parametros!$B$15</f>
        <v>68.75</v>
      </c>
      <c r="B38" s="8" t="n">
        <f aca="false">IF(A38&gt;=Parametros!$B$15,0,Parametros!$B$5*(-0.2+SQRT(0.04+3.2*(1-A38/Parametros!$B$15)))/1.6)</f>
        <v>199.66191502389</v>
      </c>
      <c r="C38" s="8" t="n">
        <f aca="false">Parametros!$B$8+(Parametros!$B$12*(1-Parametros!$B$7)+Parametros!$B$13*Parametros!$B$7)*(1-0.55*Parametros!$B$9/(Parametros!$B$9+150))*9.81*Parametros!$B$11/100000+5*(A38/200)^1.8*(3.5/Parametros!$B$10)^4.8</f>
        <v>167.691487445339</v>
      </c>
      <c r="D38" s="8" t="n">
        <f aca="false">B38-C38</f>
        <v>31.9704275785503</v>
      </c>
      <c r="E38" s="10" t="n">
        <f aca="false">IF(D38&gt;0,1,0)</f>
        <v>1</v>
      </c>
    </row>
    <row r="39" customFormat="false" ht="15" hidden="false" customHeight="false" outlineLevel="0" collapsed="false">
      <c r="A39" s="8" t="n">
        <f aca="false">34/100*Parametros!$B$15</f>
        <v>70.8333333333333</v>
      </c>
      <c r="B39" s="8" t="n">
        <f aca="false">IF(A39&gt;=Parametros!$B$15,0,Parametros!$B$5*(-0.2+SQRT(0.04+3.2*(1-A39/Parametros!$B$15)))/1.6)</f>
        <v>197.964010261153</v>
      </c>
      <c r="C39" s="8" t="n">
        <f aca="false">Parametros!$B$8+(Parametros!$B$12*(1-Parametros!$B$7)+Parametros!$B$13*Parametros!$B$7)*(1-0.55*Parametros!$B$9/(Parametros!$B$9+150))*9.81*Parametros!$B$11/100000+5*(A39/200)^1.8*(3.5/Parametros!$B$10)^4.8</f>
        <v>167.731869420342</v>
      </c>
      <c r="D39" s="8" t="n">
        <f aca="false">B39-C39</f>
        <v>30.2321408408113</v>
      </c>
      <c r="E39" s="10" t="n">
        <f aca="false">IF(D39&gt;0,1,0)</f>
        <v>1</v>
      </c>
    </row>
    <row r="40" customFormat="false" ht="15" hidden="false" customHeight="false" outlineLevel="0" collapsed="false">
      <c r="A40" s="8" t="n">
        <f aca="false">35/100*Parametros!$B$15</f>
        <v>72.9166666666667</v>
      </c>
      <c r="B40" s="8" t="n">
        <f aca="false">IF(A40&gt;=Parametros!$B$15,0,Parametros!$B$5*(-0.2+SQRT(0.04+3.2*(1-A40/Parametros!$B$15)))/1.6)</f>
        <v>196.253434040016</v>
      </c>
      <c r="C40" s="8" t="n">
        <f aca="false">Parametros!$B$8+(Parametros!$B$12*(1-Parametros!$B$7)+Parametros!$B$13*Parametros!$B$7)*(1-0.55*Parametros!$B$9/(Parametros!$B$9+150))*9.81*Parametros!$B$11/100000+5*(A40/200)^1.8*(3.5/Parametros!$B$10)^4.8</f>
        <v>167.773212910222</v>
      </c>
      <c r="D40" s="8" t="n">
        <f aca="false">B40-C40</f>
        <v>28.4802211297937</v>
      </c>
      <c r="E40" s="10" t="n">
        <f aca="false">IF(D40&gt;0,1,0)</f>
        <v>1</v>
      </c>
    </row>
    <row r="41" customFormat="false" ht="15" hidden="false" customHeight="false" outlineLevel="0" collapsed="false">
      <c r="A41" s="8" t="n">
        <f aca="false">36/100*Parametros!$B$15</f>
        <v>75</v>
      </c>
      <c r="B41" s="8" t="n">
        <f aca="false">IF(A41&gt;=Parametros!$B$15,0,Parametros!$B$5*(-0.2+SQRT(0.04+3.2*(1-A41/Parametros!$B$15)))/1.6)</f>
        <v>194.529898352356</v>
      </c>
      <c r="C41" s="8" t="n">
        <f aca="false">Parametros!$B$8+(Parametros!$B$12*(1-Parametros!$B$7)+Parametros!$B$13*Parametros!$B$7)*(1-0.55*Parametros!$B$9/(Parametros!$B$9+150))*9.81*Parametros!$B$11/100000+5*(A41/200)^1.8*(3.5/Parametros!$B$10)^4.8</f>
        <v>167.815512355787</v>
      </c>
      <c r="D41" s="8" t="n">
        <f aca="false">B41-C41</f>
        <v>26.7143859965682</v>
      </c>
      <c r="E41" s="10" t="n">
        <f aca="false">IF(D41&gt;0,1,0)</f>
        <v>1</v>
      </c>
    </row>
    <row r="42" customFormat="false" ht="15" hidden="false" customHeight="false" outlineLevel="0" collapsed="false">
      <c r="A42" s="8" t="n">
        <f aca="false">37/100*Parametros!$B$15</f>
        <v>77.0833333333333</v>
      </c>
      <c r="B42" s="8" t="n">
        <f aca="false">IF(A42&gt;=Parametros!$B$15,0,Parametros!$B$5*(-0.2+SQRT(0.04+3.2*(1-A42/Parametros!$B$15)))/1.6)</f>
        <v>192.793104111687</v>
      </c>
      <c r="C42" s="8" t="n">
        <f aca="false">Parametros!$B$8+(Parametros!$B$12*(1-Parametros!$B$7)+Parametros!$B$13*Parametros!$B$7)*(1-0.55*Parametros!$B$9/(Parametros!$B$9+150))*9.81*Parametros!$B$11/100000+5*(A42/200)^1.8*(3.5/Parametros!$B$10)^4.8</f>
        <v>167.858762385308</v>
      </c>
      <c r="D42" s="8" t="n">
        <f aca="false">B42-C42</f>
        <v>24.9343417263782</v>
      </c>
      <c r="E42" s="10" t="n">
        <f aca="false">IF(D42&gt;0,1,0)</f>
        <v>1</v>
      </c>
    </row>
    <row r="43" customFormat="false" ht="15" hidden="false" customHeight="false" outlineLevel="0" collapsed="false">
      <c r="A43" s="8" t="n">
        <f aca="false">38/100*Parametros!$B$15</f>
        <v>79.1666666666667</v>
      </c>
      <c r="B43" s="8" t="n">
        <f aca="false">IF(A43&gt;=Parametros!$B$15,0,Parametros!$B$5*(-0.2+SQRT(0.04+3.2*(1-A43/Parametros!$B$15)))/1.6)</f>
        <v>191.042740547234</v>
      </c>
      <c r="C43" s="8" t="n">
        <f aca="false">Parametros!$B$8+(Parametros!$B$12*(1-Parametros!$B$7)+Parametros!$B$13*Parametros!$B$7)*(1-0.55*Parametros!$B$9/(Parametros!$B$9+150))*9.81*Parametros!$B$11/100000+5*(A43/200)^1.8*(3.5/Parametros!$B$10)^4.8</f>
        <v>167.902957803248</v>
      </c>
      <c r="D43" s="8" t="n">
        <f aca="false">B43-C43</f>
        <v>23.1397827439859</v>
      </c>
      <c r="E43" s="10" t="n">
        <f aca="false">IF(D43&gt;0,1,0)</f>
        <v>1</v>
      </c>
    </row>
    <row r="44" customFormat="false" ht="15" hidden="false" customHeight="false" outlineLevel="0" collapsed="false">
      <c r="A44" s="8" t="n">
        <f aca="false">39/100*Parametros!$B$15</f>
        <v>81.25</v>
      </c>
      <c r="B44" s="8" t="n">
        <f aca="false">IF(A44&gt;=Parametros!$B$15,0,Parametros!$B$5*(-0.2+SQRT(0.04+3.2*(1-A44/Parametros!$B$15)))/1.6)</f>
        <v>189.278484554717</v>
      </c>
      <c r="C44" s="8" t="n">
        <f aca="false">Parametros!$B$8+(Parametros!$B$12*(1-Parametros!$B$7)+Parametros!$B$13*Parametros!$B$7)*(1-0.55*Parametros!$B$9/(Parametros!$B$9+150))*9.81*Parametros!$B$11/100000+5*(A44/200)^1.8*(3.5/Parametros!$B$10)^4.8</f>
        <v>167.948093579946</v>
      </c>
      <c r="D44" s="8" t="n">
        <f aca="false">B44-C44</f>
        <v>21.3303909747705</v>
      </c>
      <c r="E44" s="10" t="n">
        <f aca="false">IF(D44&gt;0,1,0)</f>
        <v>1</v>
      </c>
    </row>
    <row r="45" customFormat="false" ht="15" hidden="false" customHeight="false" outlineLevel="0" collapsed="false">
      <c r="A45" s="8" t="n">
        <f aca="false">40/100*Parametros!$B$15</f>
        <v>83.3333333333333</v>
      </c>
      <c r="B45" s="8" t="n">
        <f aca="false">IF(A45&gt;=Parametros!$B$15,0,Parametros!$B$5*(-0.2+SQRT(0.04+3.2*(1-A45/Parametros!$B$15)))/1.6)</f>
        <v>187.5</v>
      </c>
      <c r="C45" s="8" t="n">
        <f aca="false">Parametros!$B$8+(Parametros!$B$12*(1-Parametros!$B$7)+Parametros!$B$13*Parametros!$B$7)*(1-0.55*Parametros!$B$9/(Parametros!$B$9+150))*9.81*Parametros!$B$11/100000+5*(A45/200)^1.8*(3.5/Parametros!$B$10)^4.8</f>
        <v>167.994164842159</v>
      </c>
      <c r="D45" s="8" t="n">
        <f aca="false">B45-C45</f>
        <v>19.5058351578411</v>
      </c>
      <c r="E45" s="10" t="n">
        <f aca="false">IF(D45&gt;0,1,0)</f>
        <v>1</v>
      </c>
    </row>
    <row r="46" customFormat="false" ht="15" hidden="false" customHeight="false" outlineLevel="0" collapsed="false">
      <c r="A46" s="8" t="n">
        <f aca="false">41/100*Parametros!$B$15</f>
        <v>85.4166666666667</v>
      </c>
      <c r="B46" s="8" t="n">
        <f aca="false">IF(A46&gt;=Parametros!$B$15,0,Parametros!$B$5*(-0.2+SQRT(0.04+3.2*(1-A46/Parametros!$B$15)))/1.6)</f>
        <v>185.706936971372</v>
      </c>
      <c r="C46" s="8" t="n">
        <f aca="false">Parametros!$B$8+(Parametros!$B$12*(1-Parametros!$B$7)+Parametros!$B$13*Parametros!$B$7)*(1-0.55*Parametros!$B$9/(Parametros!$B$9+150))*9.81*Parametros!$B$11/100000+5*(A46/200)^1.8*(3.5/Parametros!$B$10)^4.8</f>
        <v>168.041166864365</v>
      </c>
      <c r="D46" s="8" t="n">
        <f aca="false">B46-C46</f>
        <v>17.6657701070068</v>
      </c>
      <c r="E46" s="10" t="n">
        <f aca="false">IF(D46&gt;0,1,0)</f>
        <v>1</v>
      </c>
    </row>
    <row r="47" customFormat="false" ht="15" hidden="false" customHeight="false" outlineLevel="0" collapsed="false">
      <c r="A47" s="8" t="n">
        <f aca="false">42/100*Parametros!$B$15</f>
        <v>87.5</v>
      </c>
      <c r="B47" s="8" t="n">
        <f aca="false">IF(A47&gt;=Parametros!$B$15,0,Parametros!$B$5*(-0.2+SQRT(0.04+3.2*(1-A47/Parametros!$B$15)))/1.6)</f>
        <v>183.898930975731</v>
      </c>
      <c r="C47" s="8" t="n">
        <f aca="false">Parametros!$B$8+(Parametros!$B$12*(1-Parametros!$B$7)+Parametros!$B$13*Parametros!$B$7)*(1-0.55*Parametros!$B$9/(Parametros!$B$9+150))*9.81*Parametros!$B$11/100000+5*(A47/200)^1.8*(3.5/Parametros!$B$10)^4.8</f>
        <v>168.08909506076</v>
      </c>
      <c r="D47" s="8" t="n">
        <f aca="false">B47-C47</f>
        <v>15.8098359149711</v>
      </c>
      <c r="E47" s="10" t="n">
        <f aca="false">IF(D47&gt;0,1,0)</f>
        <v>1</v>
      </c>
    </row>
    <row r="48" customFormat="false" ht="15" hidden="false" customHeight="false" outlineLevel="0" collapsed="false">
      <c r="A48" s="8" t="n">
        <f aca="false">43/100*Parametros!$B$15</f>
        <v>89.5833333333333</v>
      </c>
      <c r="B48" s="8" t="n">
        <f aca="false">IF(A48&gt;=Parametros!$B$15,0,Parametros!$B$5*(-0.2+SQRT(0.04+3.2*(1-A48/Parametros!$B$15)))/1.6)</f>
        <v>182.07560207345</v>
      </c>
      <c r="C48" s="8" t="n">
        <f aca="false">Parametros!$B$8+(Parametros!$B$12*(1-Parametros!$B$7)+Parametros!$B$13*Parametros!$B$7)*(1-0.55*Parametros!$B$9/(Parametros!$B$9+150))*9.81*Parametros!$B$11/100000+5*(A48/200)^1.8*(3.5/Parametros!$B$10)^4.8</f>
        <v>168.13794497786</v>
      </c>
      <c r="D48" s="8" t="n">
        <f aca="false">B48-C48</f>
        <v>13.9376570955898</v>
      </c>
      <c r="E48" s="10" t="n">
        <f aca="false">IF(D48&gt;0,1,0)</f>
        <v>1</v>
      </c>
    </row>
    <row r="49" customFormat="false" ht="15" hidden="false" customHeight="false" outlineLevel="0" collapsed="false">
      <c r="A49" s="8" t="n">
        <f aca="false">44/100*Parametros!$B$15</f>
        <v>91.6666666666667</v>
      </c>
      <c r="B49" s="8" t="n">
        <f aca="false">IF(A49&gt;=Parametros!$B$15,0,Parametros!$B$5*(-0.2+SQRT(0.04+3.2*(1-A49/Parametros!$B$15)))/1.6)</f>
        <v>180.236553946108</v>
      </c>
      <c r="C49" s="8" t="n">
        <f aca="false">Parametros!$B$8+(Parametros!$B$12*(1-Parametros!$B$7)+Parametros!$B$13*Parametros!$B$7)*(1-0.55*Parametros!$B$9/(Parametros!$B$9+150))*9.81*Parametros!$B$11/100000+5*(A49/200)^1.8*(3.5/Parametros!$B$10)^4.8</f>
        <v>168.187712287669</v>
      </c>
      <c r="D49" s="8" t="n">
        <f aca="false">B49-C49</f>
        <v>12.0488416584388</v>
      </c>
      <c r="E49" s="10" t="n">
        <f aca="false">IF(D49&gt;0,1,0)</f>
        <v>1</v>
      </c>
    </row>
    <row r="50" customFormat="false" ht="15" hidden="false" customHeight="false" outlineLevel="0" collapsed="false">
      <c r="A50" s="8" t="n">
        <f aca="false">45/100*Parametros!$B$15</f>
        <v>93.75</v>
      </c>
      <c r="B50" s="8" t="n">
        <f aca="false">IF(A50&gt;=Parametros!$B$15,0,Parametros!$B$5*(-0.2+SQRT(0.04+3.2*(1-A50/Parametros!$B$15)))/1.6)</f>
        <v>178.381372890605</v>
      </c>
      <c r="C50" s="8" t="n">
        <f aca="false">Parametros!$B$8+(Parametros!$B$12*(1-Parametros!$B$7)+Parametros!$B$13*Parametros!$B$7)*(1-0.55*Parametros!$B$9/(Parametros!$B$9+150))*9.81*Parametros!$B$11/100000+5*(A50/200)^1.8*(3.5/Parametros!$B$10)^4.8</f>
        <v>168.238392781341</v>
      </c>
      <c r="D50" s="8" t="n">
        <f aca="false">B50-C50</f>
        <v>10.1429801092639</v>
      </c>
      <c r="E50" s="10" t="n">
        <f aca="false">IF(D50&gt;0,1,0)</f>
        <v>1</v>
      </c>
    </row>
    <row r="51" customFormat="false" ht="15" hidden="false" customHeight="false" outlineLevel="0" collapsed="false">
      <c r="A51" s="8" t="n">
        <f aca="false">46/100*Parametros!$B$15</f>
        <v>95.8333333333333</v>
      </c>
      <c r="B51" s="8" t="n">
        <f aca="false">IF(A51&gt;=Parametros!$B$15,0,Parametros!$B$5*(-0.2+SQRT(0.04+3.2*(1-A51/Parametros!$B$15)))/1.6)</f>
        <v>176.509626732433</v>
      </c>
      <c r="C51" s="8" t="n">
        <f aca="false">Parametros!$B$8+(Parametros!$B$12*(1-Parametros!$B$7)+Parametros!$B$13*Parametros!$B$7)*(1-0.55*Parametros!$B$9/(Parametros!$B$9+150))*9.81*Parametros!$B$11/100000+5*(A51/200)^1.8*(3.5/Parametros!$B$10)^4.8</f>
        <v>168.289982363304</v>
      </c>
      <c r="D51" s="8" t="n">
        <f aca="false">B51-C51</f>
        <v>8.21964436912884</v>
      </c>
      <c r="E51" s="10" t="n">
        <f aca="false">IF(D51&gt;0,1,0)</f>
        <v>1</v>
      </c>
    </row>
    <row r="52" customFormat="false" ht="15" hidden="false" customHeight="false" outlineLevel="0" collapsed="false">
      <c r="A52" s="8" t="n">
        <f aca="false">47/100*Parametros!$B$15</f>
        <v>97.9166666666667</v>
      </c>
      <c r="B52" s="8" t="n">
        <f aca="false">IF(A52&gt;=Parametros!$B$15,0,Parametros!$B$5*(-0.2+SQRT(0.04+3.2*(1-A52/Parametros!$B$15)))/1.6)</f>
        <v>174.620863650008</v>
      </c>
      <c r="C52" s="8" t="n">
        <f aca="false">Parametros!$B$8+(Parametros!$B$12*(1-Parametros!$B$7)+Parametros!$B$13*Parametros!$B$7)*(1-0.55*Parametros!$B$9/(Parametros!$B$9+150))*9.81*Parametros!$B$11/100000+5*(A52/200)^1.8*(3.5/Parametros!$B$10)^4.8</f>
        <v>168.342477045791</v>
      </c>
      <c r="D52" s="8" t="n">
        <f aca="false">B52-C52</f>
        <v>6.27838660421693</v>
      </c>
      <c r="E52" s="10" t="n">
        <f aca="false">IF(D52&gt;0,1,0)</f>
        <v>1</v>
      </c>
    </row>
    <row r="53" customFormat="false" ht="15" hidden="false" customHeight="false" outlineLevel="0" collapsed="false">
      <c r="A53" s="8" t="n">
        <f aca="false">48/100*Parametros!$B$15</f>
        <v>100</v>
      </c>
      <c r="B53" s="8" t="n">
        <f aca="false">IF(A53&gt;=Parametros!$B$15,0,Parametros!$B$5*(-0.2+SQRT(0.04+3.2*(1-A53/Parametros!$B$15)))/1.6)</f>
        <v>172.714610901009</v>
      </c>
      <c r="C53" s="8" t="n">
        <f aca="false">Parametros!$B$8+(Parametros!$B$12*(1-Parametros!$B$7)+Parametros!$B$13*Parametros!$B$7)*(1-0.55*Parametros!$B$9/(Parametros!$B$9+150))*9.81*Parametros!$B$11/100000+5*(A53/200)^1.8*(3.5/Parametros!$B$10)^4.8</f>
        <v>168.395872943746</v>
      </c>
      <c r="D53" s="8" t="n">
        <f aca="false">B53-C53</f>
        <v>4.3187379572627</v>
      </c>
      <c r="E53" s="10" t="n">
        <f aca="false">IF(D53&gt;0,1,0)</f>
        <v>1</v>
      </c>
    </row>
    <row r="54" customFormat="false" ht="15" hidden="false" customHeight="false" outlineLevel="0" collapsed="false">
      <c r="A54" s="8" t="n">
        <f aca="false">49/100*Parametros!$B$15</f>
        <v>102.083333333333</v>
      </c>
      <c r="B54" s="8" t="n">
        <f aca="false">IF(A54&gt;=Parametros!$B$15,0,Parametros!$B$5*(-0.2+SQRT(0.04+3.2*(1-A54/Parametros!$B$15)))/1.6)</f>
        <v>170.790373440558</v>
      </c>
      <c r="C54" s="8" t="n">
        <f aca="false">Parametros!$B$8+(Parametros!$B$12*(1-Parametros!$B$7)+Parametros!$B$13*Parametros!$B$7)*(1-0.55*Parametros!$B$9/(Parametros!$B$9+150))*9.81*Parametros!$B$11/100000+5*(A54/200)^1.8*(3.5/Parametros!$B$10)^4.8</f>
        <v>168.450166270083</v>
      </c>
      <c r="D54" s="8" t="n">
        <f aca="false">B54-C54</f>
        <v>2.34020717047494</v>
      </c>
      <c r="E54" s="10" t="n">
        <f aca="false">IF(D54&gt;0,1,0)</f>
        <v>1</v>
      </c>
    </row>
    <row r="55" customFormat="false" ht="15" hidden="false" customHeight="false" outlineLevel="0" collapsed="false">
      <c r="A55" s="8" t="n">
        <f aca="false">50/100*Parametros!$B$15</f>
        <v>104.166666666667</v>
      </c>
      <c r="B55" s="8" t="n">
        <f aca="false">IF(A55&gt;=Parametros!$B$15,0,Parametros!$B$5*(-0.2+SQRT(0.04+3.2*(1-A55/Parametros!$B$15)))/1.6)</f>
        <v>168.847632419777</v>
      </c>
      <c r="C55" s="8" t="n">
        <f aca="false">Parametros!$B$8+(Parametros!$B$12*(1-Parametros!$B$7)+Parametros!$B$13*Parametros!$B$7)*(1-0.55*Parametros!$B$9/(Parametros!$B$9+150))*9.81*Parametros!$B$11/100000+5*(A55/200)^1.8*(3.5/Parametros!$B$10)^4.8</f>
        <v>168.50535333124</v>
      </c>
      <c r="D55" s="8" t="n">
        <f aca="false">B55-C55</f>
        <v>0.342279088536429</v>
      </c>
      <c r="E55" s="10" t="n">
        <f aca="false">IF(D55&gt;0,1,0)</f>
        <v>1</v>
      </c>
    </row>
    <row r="56" customFormat="false" ht="15" hidden="false" customHeight="false" outlineLevel="0" collapsed="false">
      <c r="A56" s="8" t="n">
        <f aca="false">51/100*Parametros!$B$15</f>
        <v>106.25</v>
      </c>
      <c r="B56" s="8" t="n">
        <f aca="false">IF(A56&gt;=Parametros!$B$15,0,Parametros!$B$5*(-0.2+SQRT(0.04+3.2*(1-A56/Parametros!$B$15)))/1.6)</f>
        <v>166.885843551842</v>
      </c>
      <c r="C56" s="8" t="n">
        <f aca="false">Parametros!$B$8+(Parametros!$B$12*(1-Parametros!$B$7)+Parametros!$B$13*Parametros!$B$7)*(1-0.55*Parametros!$B$9/(Parametros!$B$9+150))*9.81*Parametros!$B$11/100000+5*(A56/200)^1.8*(3.5/Parametros!$B$10)^4.8</f>
        <v>168.561430523038</v>
      </c>
      <c r="D56" s="8" t="n">
        <f aca="false">B56-C56</f>
        <v>-1.675586971196</v>
      </c>
      <c r="E56" s="10" t="n">
        <f aca="false">IF(D56&gt;0,1,0)</f>
        <v>0</v>
      </c>
    </row>
    <row r="57" customFormat="false" ht="15" hidden="false" customHeight="false" outlineLevel="0" collapsed="false">
      <c r="A57" s="8" t="n">
        <f aca="false">52/100*Parametros!$B$15</f>
        <v>108.333333333333</v>
      </c>
      <c r="B57" s="8" t="n">
        <f aca="false">IF(A57&gt;=Parametros!$B$15,0,Parametros!$B$5*(-0.2+SQRT(0.04+3.2*(1-A57/Parametros!$B$15)))/1.6)</f>
        <v>164.90443533094</v>
      </c>
      <c r="C57" s="8" t="n">
        <f aca="false">Parametros!$B$8+(Parametros!$B$12*(1-Parametros!$B$7)+Parametros!$B$13*Parametros!$B$7)*(1-0.55*Parametros!$B$9/(Parametros!$B$9+150))*9.81*Parametros!$B$11/100000+5*(A57/200)^1.8*(3.5/Parametros!$B$10)^4.8</f>
        <v>168.618394326788</v>
      </c>
      <c r="D57" s="8" t="n">
        <f aca="false">B57-C57</f>
        <v>-3.71395899584755</v>
      </c>
      <c r="E57" s="10" t="n">
        <f aca="false">IF(D57&gt;0,1,0)</f>
        <v>0</v>
      </c>
    </row>
    <row r="58" customFormat="false" ht="15" hidden="false" customHeight="false" outlineLevel="0" collapsed="false">
      <c r="A58" s="8" t="n">
        <f aca="false">53/100*Parametros!$B$15</f>
        <v>110.416666666667</v>
      </c>
      <c r="B58" s="8" t="n">
        <f aca="false">IF(A58&gt;=Parametros!$B$15,0,Parametros!$B$5*(-0.2+SQRT(0.04+3.2*(1-A58/Parametros!$B$15)))/1.6)</f>
        <v>162.902807087613</v>
      </c>
      <c r="C58" s="8" t="n">
        <f aca="false">Parametros!$B$8+(Parametros!$B$12*(1-Parametros!$B$7)+Parametros!$B$13*Parametros!$B$7)*(1-0.55*Parametros!$B$9/(Parametros!$B$9+150))*9.81*Parametros!$B$11/100000+5*(A58/200)^1.8*(3.5/Parametros!$B$10)^4.8</f>
        <v>168.676241305647</v>
      </c>
      <c r="D58" s="8" t="n">
        <f aca="false">B58-C58</f>
        <v>-5.77343421803337</v>
      </c>
      <c r="E58" s="10" t="n">
        <f aca="false">IF(D58&gt;0,1,0)</f>
        <v>0</v>
      </c>
    </row>
    <row r="59" customFormat="false" ht="15" hidden="false" customHeight="false" outlineLevel="0" collapsed="false">
      <c r="A59" s="8" t="n">
        <f aca="false">54/100*Parametros!$B$15</f>
        <v>112.5</v>
      </c>
      <c r="B59" s="8" t="n">
        <f aca="false">IF(A59&gt;=Parametros!$B$15,0,Parametros!$B$5*(-0.2+SQRT(0.04+3.2*(1-A59/Parametros!$B$15)))/1.6)</f>
        <v>160.880326861742</v>
      </c>
      <c r="C59" s="8" t="n">
        <f aca="false">Parametros!$B$8+(Parametros!$B$12*(1-Parametros!$B$7)+Parametros!$B$13*Parametros!$B$7)*(1-0.55*Parametros!$B$9/(Parametros!$B$9+150))*9.81*Parametros!$B$11/100000+5*(A59/200)^1.8*(3.5/Parametros!$B$10)^4.8</f>
        <v>168.734968101194</v>
      </c>
      <c r="D59" s="8" t="n">
        <f aca="false">B59-C59</f>
        <v>-7.85464123945172</v>
      </c>
      <c r="E59" s="10" t="n">
        <f aca="false">IF(D59&gt;0,1,0)</f>
        <v>0</v>
      </c>
    </row>
    <row r="60" customFormat="false" ht="15" hidden="false" customHeight="false" outlineLevel="0" collapsed="false">
      <c r="A60" s="8" t="n">
        <f aca="false">55/100*Parametros!$B$15</f>
        <v>114.583333333333</v>
      </c>
      <c r="B60" s="8" t="n">
        <f aca="false">IF(A60&gt;=Parametros!$B$15,0,Parametros!$B$5*(-0.2+SQRT(0.04+3.2*(1-A60/Parametros!$B$15)))/1.6)</f>
        <v>158.836329071819</v>
      </c>
      <c r="C60" s="8" t="n">
        <f aca="false">Parametros!$B$8+(Parametros!$B$12*(1-Parametros!$B$7)+Parametros!$B$13*Parametros!$B$7)*(1-0.55*Parametros!$B$9/(Parametros!$B$9+150))*9.81*Parametros!$B$11/100000+5*(A60/200)^1.8*(3.5/Parametros!$B$10)^4.8</f>
        <v>168.794571430211</v>
      </c>
      <c r="D60" s="8" t="n">
        <f aca="false">B60-C60</f>
        <v>-9.95824235839203</v>
      </c>
      <c r="E60" s="10" t="n">
        <f aca="false">IF(D60&gt;0,1,0)</f>
        <v>0</v>
      </c>
    </row>
    <row r="61" customFormat="false" ht="15" hidden="false" customHeight="false" outlineLevel="0" collapsed="false">
      <c r="A61" s="8" t="n">
        <f aca="false">56/100*Parametros!$B$15</f>
        <v>116.666666666667</v>
      </c>
      <c r="B61" s="8" t="n">
        <f aca="false">IF(A61&gt;=Parametros!$B$15,0,Parametros!$B$5*(-0.2+SQRT(0.04+3.2*(1-A61/Parametros!$B$15)))/1.6)</f>
        <v>156.770111956142</v>
      </c>
      <c r="C61" s="8" t="n">
        <f aca="false">Parametros!$B$8+(Parametros!$B$12*(1-Parametros!$B$7)+Parametros!$B$13*Parametros!$B$7)*(1-0.55*Parametros!$B$9/(Parametros!$B$9+150))*9.81*Parametros!$B$11/100000+5*(A61/200)^1.8*(3.5/Parametros!$B$10)^4.8</f>
        <v>168.855048081651</v>
      </c>
      <c r="D61" s="8" t="n">
        <f aca="false">B61-C61</f>
        <v>-12.0849361255092</v>
      </c>
      <c r="E61" s="10" t="n">
        <f aca="false">IF(D61&gt;0,1,0)</f>
        <v>0</v>
      </c>
    </row>
    <row r="62" customFormat="false" ht="15" hidden="false" customHeight="false" outlineLevel="0" collapsed="false">
      <c r="A62" s="8" t="n">
        <f aca="false">57/100*Parametros!$B$15</f>
        <v>118.75</v>
      </c>
      <c r="B62" s="8" t="n">
        <f aca="false">IF(A62&gt;=Parametros!$B$15,0,Parametros!$B$5*(-0.2+SQRT(0.04+3.2*(1-A62/Parametros!$B$15)))/1.6)</f>
        <v>154.680934758044</v>
      </c>
      <c r="C62" s="8" t="n">
        <f aca="false">Parametros!$B$8+(Parametros!$B$12*(1-Parametros!$B$7)+Parametros!$B$13*Parametros!$B$7)*(1-0.55*Parametros!$B$9/(Parametros!$B$9+150))*9.81*Parametros!$B$11/100000+5*(A62/200)^1.8*(3.5/Parametros!$B$10)^4.8</f>
        <v>168.91639491378</v>
      </c>
      <c r="D62" s="8" t="n">
        <f aca="false">B62-C62</f>
        <v>-14.2354601557357</v>
      </c>
      <c r="E62" s="10" t="n">
        <f aca="false">IF(D62&gt;0,1,0)</f>
        <v>0</v>
      </c>
    </row>
    <row r="63" customFormat="false" ht="15" hidden="false" customHeight="false" outlineLevel="0" collapsed="false">
      <c r="A63" s="8" t="n">
        <f aca="false">58/100*Parametros!$B$15</f>
        <v>120.833333333333</v>
      </c>
      <c r="B63" s="8" t="n">
        <f aca="false">IF(A63&gt;=Parametros!$B$15,0,Parametros!$B$5*(-0.2+SQRT(0.04+3.2*(1-A63/Parametros!$B$15)))/1.6)</f>
        <v>152.568014623159</v>
      </c>
      <c r="C63" s="8" t="n">
        <f aca="false">Parametros!$B$8+(Parametros!$B$12*(1-Parametros!$B$7)+Parametros!$B$13*Parametros!$B$7)*(1-0.55*Parametros!$B$9/(Parametros!$B$9+150))*9.81*Parametros!$B$11/100000+5*(A63/200)^1.8*(3.5/Parametros!$B$10)^4.8</f>
        <v>168.978608851485</v>
      </c>
      <c r="D63" s="8" t="n">
        <f aca="false">B63-C63</f>
        <v>-16.4105942283261</v>
      </c>
      <c r="E63" s="10" t="n">
        <f aca="false">IF(D63&gt;0,1,0)</f>
        <v>0</v>
      </c>
    </row>
    <row r="64" customFormat="false" ht="15" hidden="false" customHeight="false" outlineLevel="0" collapsed="false">
      <c r="A64" s="8" t="n">
        <f aca="false">59/100*Parametros!$B$15</f>
        <v>122.916666666667</v>
      </c>
      <c r="B64" s="8" t="n">
        <f aca="false">IF(A64&gt;=Parametros!$B$15,0,Parametros!$B$5*(-0.2+SQRT(0.04+3.2*(1-A64/Parametros!$B$15)))/1.6)</f>
        <v>150.430523171858</v>
      </c>
      <c r="C64" s="8" t="n">
        <f aca="false">Parametros!$B$8+(Parametros!$B$12*(1-Parametros!$B$7)+Parametros!$B$13*Parametros!$B$7)*(1-0.55*Parametros!$B$9/(Parametros!$B$9+150))*9.81*Parametros!$B$11/100000+5*(A64/200)^1.8*(3.5/Parametros!$B$10)^4.8</f>
        <v>169.04168688373</v>
      </c>
      <c r="D64" s="8" t="n">
        <f aca="false">B64-C64</f>
        <v>-18.6111637118722</v>
      </c>
      <c r="E64" s="10" t="n">
        <f aca="false">IF(D64&gt;0,1,0)</f>
        <v>0</v>
      </c>
    </row>
    <row r="65" customFormat="false" ht="15" hidden="false" customHeight="false" outlineLevel="0" collapsed="false">
      <c r="A65" s="8" t="n">
        <f aca="false">60/100*Parametros!$B$15</f>
        <v>125</v>
      </c>
      <c r="B65" s="8" t="n">
        <f aca="false">IF(A65&gt;=Parametros!$B$15,0,Parametros!$B$5*(-0.2+SQRT(0.04+3.2*(1-A65/Parametros!$B$15)))/1.6)</f>
        <v>148.267582704313</v>
      </c>
      <c r="C65" s="8" t="n">
        <f aca="false">Parametros!$B$8+(Parametros!$B$12*(1-Parametros!$B$7)+Parametros!$B$13*Parametros!$B$7)*(1-0.55*Parametros!$B$9/(Parametros!$B$9+150))*9.81*Parametros!$B$11/100000+5*(A65/200)^1.8*(3.5/Parametros!$B$10)^4.8</f>
        <v>169.105626061145</v>
      </c>
      <c r="D65" s="8" t="n">
        <f aca="false">B65-C65</f>
        <v>-20.8380433568314</v>
      </c>
      <c r="E65" s="10" t="n">
        <f aca="false">IF(D65&gt;0,1,0)</f>
        <v>0</v>
      </c>
    </row>
    <row r="66" customFormat="false" ht="15" hidden="false" customHeight="false" outlineLevel="0" collapsed="false">
      <c r="A66" s="8" t="n">
        <f aca="false">61/100*Parametros!$B$15</f>
        <v>127.083333333333</v>
      </c>
      <c r="B66" s="8" t="n">
        <f aca="false">IF(A66&gt;=Parametros!$B$15,0,Parametros!$B$5*(-0.2+SQRT(0.04+3.2*(1-A66/Parametros!$B$15)))/1.6)</f>
        <v>146.078261988889</v>
      </c>
      <c r="C66" s="8" t="n">
        <f aca="false">Parametros!$B$8+(Parametros!$B$12*(1-Parametros!$B$7)+Parametros!$B$13*Parametros!$B$7)*(1-0.55*Parametros!$B$9/(Parametros!$B$9+150))*9.81*Parametros!$B$11/100000+5*(A66/200)^1.8*(3.5/Parametros!$B$10)^4.8</f>
        <v>169.170423493752</v>
      </c>
      <c r="D66" s="8" t="n">
        <f aca="false">B66-C66</f>
        <v>-23.0921615048634</v>
      </c>
      <c r="E66" s="10" t="n">
        <f aca="false">IF(D66&gt;0,1,0)</f>
        <v>0</v>
      </c>
    </row>
    <row r="67" customFormat="false" ht="15" hidden="false" customHeight="false" outlineLevel="0" collapsed="false">
      <c r="A67" s="8" t="n">
        <f aca="false">62/100*Parametros!$B$15</f>
        <v>129.166666666667</v>
      </c>
      <c r="B67" s="8" t="n">
        <f aca="false">IF(A67&gt;=Parametros!$B$15,0,Parametros!$B$5*(-0.2+SQRT(0.04+3.2*(1-A67/Parametros!$B$15)))/1.6)</f>
        <v>143.861571576524</v>
      </c>
      <c r="C67" s="8" t="n">
        <f aca="false">Parametros!$B$8+(Parametros!$B$12*(1-Parametros!$B$7)+Parametros!$B$13*Parametros!$B$7)*(1-0.55*Parametros!$B$9/(Parametros!$B$9+150))*9.81*Parametros!$B$11/100000+5*(A67/200)^1.8*(3.5/Parametros!$B$10)^4.8</f>
        <v>169.236076348811</v>
      </c>
      <c r="D67" s="8" t="n">
        <f aca="false">B67-C67</f>
        <v>-25.374504772287</v>
      </c>
      <c r="E67" s="10" t="n">
        <f aca="false">IF(D67&gt;0,1,0)</f>
        <v>0</v>
      </c>
    </row>
    <row r="68" customFormat="false" ht="15" hidden="false" customHeight="false" outlineLevel="0" collapsed="false">
      <c r="A68" s="8" t="n">
        <f aca="false">63/100*Parametros!$B$15</f>
        <v>131.25</v>
      </c>
      <c r="B68" s="8" t="n">
        <f aca="false">IF(A68&gt;=Parametros!$B$15,0,Parametros!$B$5*(-0.2+SQRT(0.04+3.2*(1-A68/Parametros!$B$15)))/1.6)</f>
        <v>141.616458574242</v>
      </c>
      <c r="C68" s="8" t="n">
        <f aca="false">Parametros!$B$8+(Parametros!$B$12*(1-Parametros!$B$7)+Parametros!$B$13*Parametros!$B$7)*(1-0.55*Parametros!$B$9/(Parametros!$B$9+150))*9.81*Parametros!$B$11/100000+5*(A68/200)^1.8*(3.5/Parametros!$B$10)^4.8</f>
        <v>169.30258184877</v>
      </c>
      <c r="D68" s="8" t="n">
        <f aca="false">B68-C68</f>
        <v>-27.6861232745279</v>
      </c>
      <c r="E68" s="10" t="n">
        <f aca="false">IF(D68&gt;0,1,0)</f>
        <v>0</v>
      </c>
    </row>
    <row r="69" customFormat="false" ht="15" hidden="false" customHeight="false" outlineLevel="0" collapsed="false">
      <c r="A69" s="8" t="n">
        <f aca="false">64/100*Parametros!$B$15</f>
        <v>133.333333333333</v>
      </c>
      <c r="B69" s="8" t="n">
        <f aca="false">IF(A69&gt;=Parametros!$B$15,0,Parametros!$B$5*(-0.2+SQRT(0.04+3.2*(1-A69/Parametros!$B$15)))/1.6)</f>
        <v>139.341800799452</v>
      </c>
      <c r="C69" s="8" t="n">
        <f aca="false">Parametros!$B$8+(Parametros!$B$12*(1-Parametros!$B$7)+Parametros!$B$13*Parametros!$B$7)*(1-0.55*Parametros!$B$9/(Parametros!$B$9+150))*9.81*Parametros!$B$11/100000+5*(A69/200)^1.8*(3.5/Parametros!$B$10)^4.8</f>
        <v>169.369937269328</v>
      </c>
      <c r="D69" s="8" t="n">
        <f aca="false">B69-C69</f>
        <v>-30.028136469876</v>
      </c>
      <c r="E69" s="10" t="n">
        <f aca="false">IF(D69&gt;0,1,0)</f>
        <v>0</v>
      </c>
    </row>
    <row r="70" customFormat="false" ht="15" hidden="false" customHeight="false" outlineLevel="0" collapsed="false">
      <c r="A70" s="8" t="n">
        <f aca="false">65/100*Parametros!$B$15</f>
        <v>135.416666666667</v>
      </c>
      <c r="B70" s="8" t="n">
        <f aca="false">IF(A70&gt;=Parametros!$B$15,0,Parametros!$B$5*(-0.2+SQRT(0.04+3.2*(1-A70/Parametros!$B$15)))/1.6)</f>
        <v>137.036400222953</v>
      </c>
      <c r="C70" s="8" t="n">
        <f aca="false">Parametros!$B$8+(Parametros!$B$12*(1-Parametros!$B$7)+Parametros!$B$13*Parametros!$B$7)*(1-0.55*Parametros!$B$9/(Parametros!$B$9+150))*9.81*Parametros!$B$11/100000+5*(A70/200)^1.8*(3.5/Parametros!$B$10)^4.8</f>
        <v>169.438139937595</v>
      </c>
      <c r="D70" s="8" t="n">
        <f aca="false">B70-C70</f>
        <v>-32.4017397146421</v>
      </c>
      <c r="E70" s="10" t="n">
        <f aca="false">IF(D70&gt;0,1,0)</f>
        <v>0</v>
      </c>
    </row>
    <row r="71" customFormat="false" ht="15" hidden="false" customHeight="false" outlineLevel="0" collapsed="false">
      <c r="A71" s="8" t="n">
        <f aca="false">66/100*Parametros!$B$15</f>
        <v>137.5</v>
      </c>
      <c r="B71" s="8" t="n">
        <f aca="false">IF(A71&gt;=Parametros!$B$15,0,Parametros!$B$5*(-0.2+SQRT(0.04+3.2*(1-A71/Parametros!$B$15)))/1.6)</f>
        <v>134.698975591897</v>
      </c>
      <c r="C71" s="8" t="n">
        <f aca="false">Parametros!$B$8+(Parametros!$B$12*(1-Parametros!$B$7)+Parametros!$B$13*Parametros!$B$7)*(1-0.55*Parametros!$B$9/(Parametros!$B$9+150))*9.81*Parametros!$B$11/100000+5*(A71/200)^1.8*(3.5/Parametros!$B$10)^4.8</f>
        <v>169.507187230337</v>
      </c>
      <c r="D71" s="8" t="n">
        <f aca="false">B71-C71</f>
        <v>-34.8082116384398</v>
      </c>
      <c r="E71" s="10" t="n">
        <f aca="false">IF(D71&gt;0,1,0)</f>
        <v>0</v>
      </c>
    </row>
    <row r="72" customFormat="false" ht="15" hidden="false" customHeight="false" outlineLevel="0" collapsed="false">
      <c r="A72" s="8" t="n">
        <f aca="false">67/100*Parametros!$B$15</f>
        <v>139.583333333333</v>
      </c>
      <c r="B72" s="8" t="n">
        <f aca="false">IF(A72&gt;=Parametros!$B$15,0,Parametros!$B$5*(-0.2+SQRT(0.04+3.2*(1-A72/Parametros!$B$15)))/1.6)</f>
        <v>132.32815410378</v>
      </c>
      <c r="C72" s="8" t="n">
        <f aca="false">Parametros!$B$8+(Parametros!$B$12*(1-Parametros!$B$7)+Parametros!$B$13*Parametros!$B$7)*(1-0.55*Parametros!$B$9/(Parametros!$B$9+150))*9.81*Parametros!$B$11/100000+5*(A72/200)^1.8*(3.5/Parametros!$B$10)^4.8</f>
        <v>169.57707657231</v>
      </c>
      <c r="D72" s="8" t="n">
        <f aca="false">B72-C72</f>
        <v>-37.2489224685299</v>
      </c>
      <c r="E72" s="10" t="n">
        <f aca="false">IF(D72&gt;0,1,0)</f>
        <v>0</v>
      </c>
    </row>
    <row r="73" customFormat="false" ht="15" hidden="false" customHeight="false" outlineLevel="0" collapsed="false">
      <c r="A73" s="8" t="n">
        <f aca="false">68/100*Parametros!$B$15</f>
        <v>141.666666666667</v>
      </c>
      <c r="B73" s="8" t="n">
        <f aca="false">IF(A73&gt;=Parametros!$B$15,0,Parametros!$B$5*(-0.2+SQRT(0.04+3.2*(1-A73/Parametros!$B$15)))/1.6)</f>
        <v>129.922461977845</v>
      </c>
      <c r="C73" s="8" t="n">
        <f aca="false">Parametros!$B$8+(Parametros!$B$12*(1-Parametros!$B$7)+Parametros!$B$13*Parametros!$B$7)*(1-0.55*Parametros!$B$9/(Parametros!$B$9+150))*9.81*Parametros!$B$11/100000+5*(A73/200)^1.8*(3.5/Parametros!$B$10)^4.8</f>
        <v>169.647805434678</v>
      </c>
      <c r="D73" s="8" t="n">
        <f aca="false">B73-C73</f>
        <v>-39.7253434568331</v>
      </c>
      <c r="E73" s="10" t="n">
        <f aca="false">IF(D73&gt;0,1,0)</f>
        <v>0</v>
      </c>
    </row>
    <row r="74" customFormat="false" ht="15" hidden="false" customHeight="false" outlineLevel="0" collapsed="false">
      <c r="A74" s="8" t="n">
        <f aca="false">69/100*Parametros!$B$15</f>
        <v>143.75</v>
      </c>
      <c r="B74" s="8" t="n">
        <f aca="false">IF(A74&gt;=Parametros!$B$15,0,Parametros!$B$5*(-0.2+SQRT(0.04+3.2*(1-A74/Parametros!$B$15)))/1.6)</f>
        <v>127.480313740004</v>
      </c>
      <c r="C74" s="8" t="n">
        <f aca="false">Parametros!$B$8+(Parametros!$B$12*(1-Parametros!$B$7)+Parametros!$B$13*Parametros!$B$7)*(1-0.55*Parametros!$B$9/(Parametros!$B$9+150))*9.81*Parametros!$B$11/100000+5*(A74/200)^1.8*(3.5/Parametros!$B$10)^4.8</f>
        <v>169.719371333502</v>
      </c>
      <c r="D74" s="8" t="n">
        <f aca="false">B74-C74</f>
        <v>-42.2390575934982</v>
      </c>
      <c r="E74" s="10" t="n">
        <f aca="false">IF(D74&gt;0,1,0)</f>
        <v>0</v>
      </c>
    </row>
    <row r="75" customFormat="false" ht="15" hidden="false" customHeight="false" outlineLevel="0" collapsed="false">
      <c r="A75" s="8" t="n">
        <f aca="false">70/100*Parametros!$B$15</f>
        <v>145.833333333333</v>
      </c>
      <c r="B75" s="8" t="n">
        <f aca="false">IF(A75&gt;=Parametros!$B$15,0,Parametros!$B$5*(-0.2+SQRT(0.04+3.2*(1-A75/Parametros!$B$15)))/1.6)</f>
        <v>125</v>
      </c>
      <c r="C75" s="8" t="n">
        <f aca="false">Parametros!$B$8+(Parametros!$B$12*(1-Parametros!$B$7)+Parametros!$B$13*Parametros!$B$7)*(1-0.55*Parametros!$B$9/(Parametros!$B$9+150))*9.81*Parametros!$B$11/100000+5*(A75/200)^1.8*(3.5/Parametros!$B$10)^4.8</f>
        <v>169.791771828295</v>
      </c>
      <c r="D75" s="8" t="n">
        <f aca="false">B75-C75</f>
        <v>-44.7917718282953</v>
      </c>
      <c r="E75" s="10" t="n">
        <f aca="false">IF(D75&gt;0,1,0)</f>
        <v>0</v>
      </c>
    </row>
    <row r="76" customFormat="false" ht="15" hidden="false" customHeight="false" outlineLevel="0" collapsed="false">
      <c r="A76" s="8" t="n">
        <f aca="false">71/100*Parametros!$B$15</f>
        <v>147.916666666667</v>
      </c>
      <c r="B76" s="8" t="n">
        <f aca="false">IF(A76&gt;=Parametros!$B$15,0,Parametros!$B$5*(-0.2+SQRT(0.04+3.2*(1-A76/Parametros!$B$15)))/1.6)</f>
        <v>122.479673453111</v>
      </c>
      <c r="C76" s="8" t="n">
        <f aca="false">Parametros!$B$8+(Parametros!$B$12*(1-Parametros!$B$7)+Parametros!$B$13*Parametros!$B$7)*(1-0.55*Parametros!$B$9/(Parametros!$B$9+150))*9.81*Parametros!$B$11/100000+5*(A76/200)^1.8*(3.5/Parametros!$B$10)^4.8</f>
        <v>169.865004520656</v>
      </c>
      <c r="D76" s="8" t="n">
        <f aca="false">B76-C76</f>
        <v>-47.385331067545</v>
      </c>
      <c r="E76" s="10" t="n">
        <f aca="false">IF(D76&gt;0,1,0)</f>
        <v>0</v>
      </c>
    </row>
    <row r="77" customFormat="false" ht="15" hidden="false" customHeight="false" outlineLevel="0" collapsed="false">
      <c r="A77" s="8" t="n">
        <f aca="false">72/100*Parametros!$B$15</f>
        <v>150</v>
      </c>
      <c r="B77" s="8" t="n">
        <f aca="false">IF(A77&gt;=Parametros!$B$15,0,Parametros!$B$5*(-0.2+SQRT(0.04+3.2*(1-A77/Parametros!$B$15)))/1.6)</f>
        <v>119.917332780598</v>
      </c>
      <c r="C77" s="8" t="n">
        <f aca="false">Parametros!$B$8+(Parametros!$B$12*(1-Parametros!$B$7)+Parametros!$B$13*Parametros!$B$7)*(1-0.55*Parametros!$B$9/(Parametros!$B$9+150))*9.81*Parametros!$B$11/100000+5*(A77/200)^1.8*(3.5/Parametros!$B$10)^4.8</f>
        <v>169.93906705295</v>
      </c>
      <c r="D77" s="8" t="n">
        <f aca="false">B77-C77</f>
        <v>-50.021734272352</v>
      </c>
      <c r="E77" s="10" t="n">
        <f aca="false">IF(D77&gt;0,1,0)</f>
        <v>0</v>
      </c>
    </row>
    <row r="78" customFormat="false" ht="15" hidden="false" customHeight="false" outlineLevel="0" collapsed="false">
      <c r="A78" s="8" t="n">
        <f aca="false">73/100*Parametros!$B$15</f>
        <v>152.083333333333</v>
      </c>
      <c r="B78" s="8" t="n">
        <f aca="false">IF(A78&gt;=Parametros!$B$15,0,Parametros!$B$5*(-0.2+SQRT(0.04+3.2*(1-A78/Parametros!$B$15)))/1.6)</f>
        <v>117.310804050059</v>
      </c>
      <c r="C78" s="8" t="n">
        <f aca="false">Parametros!$B$8+(Parametros!$B$12*(1-Parametros!$B$7)+Parametros!$B$13*Parametros!$B$7)*(1-0.55*Parametros!$B$9/(Parametros!$B$9+150))*9.81*Parametros!$B$11/100000+5*(A78/200)^1.8*(3.5/Parametros!$B$10)^4.8</f>
        <v>170.013957107063</v>
      </c>
      <c r="D78" s="8" t="n">
        <f aca="false">B78-C78</f>
        <v>-52.7031530570037</v>
      </c>
      <c r="E78" s="10" t="n">
        <f aca="false">IF(D78&gt;0,1,0)</f>
        <v>0</v>
      </c>
    </row>
    <row r="79" customFormat="false" ht="15" hidden="false" customHeight="false" outlineLevel="0" collapsed="false">
      <c r="A79" s="8" t="n">
        <f aca="false">74/100*Parametros!$B$15</f>
        <v>154.166666666667</v>
      </c>
      <c r="B79" s="8" t="n">
        <f aca="false">IF(A79&gt;=Parametros!$B$15,0,Parametros!$B$5*(-0.2+SQRT(0.04+3.2*(1-A79/Parametros!$B$15)))/1.6)</f>
        <v>114.657719124109</v>
      </c>
      <c r="C79" s="8" t="n">
        <f aca="false">Parametros!$B$8+(Parametros!$B$12*(1-Parametros!$B$7)+Parametros!$B$13*Parametros!$B$7)*(1-0.55*Parametros!$B$9/(Parametros!$B$9+150))*9.81*Parametros!$B$11/100000+5*(A79/200)^1.8*(3.5/Parametros!$B$10)^4.8</f>
        <v>170.089672403198</v>
      </c>
      <c r="D79" s="8" t="n">
        <f aca="false">B79-C79</f>
        <v>-55.4319532790888</v>
      </c>
      <c r="E79" s="10" t="n">
        <f aca="false">IF(D79&gt;0,1,0)</f>
        <v>0</v>
      </c>
    </row>
    <row r="80" customFormat="false" ht="15" hidden="false" customHeight="false" outlineLevel="0" collapsed="false">
      <c r="A80" s="8" t="n">
        <f aca="false">75/100*Parametros!$B$15</f>
        <v>156.25</v>
      </c>
      <c r="B80" s="8" t="n">
        <f aca="false">IF(A80&gt;=Parametros!$B$15,0,Parametros!$B$5*(-0.2+SQRT(0.04+3.2*(1-A80/Parametros!$B$15)))/1.6)</f>
        <v>111.95549046737</v>
      </c>
      <c r="C80" s="8" t="n">
        <f aca="false">Parametros!$B$8+(Parametros!$B$12*(1-Parametros!$B$7)+Parametros!$B$13*Parametros!$B$7)*(1-0.55*Parametros!$B$9/(Parametros!$B$9+150))*9.81*Parametros!$B$11/100000+5*(A80/200)^1.8*(3.5/Parametros!$B$10)^4.8</f>
        <v>170.166210698735</v>
      </c>
      <c r="D80" s="8" t="n">
        <f aca="false">B80-C80</f>
        <v>-58.2107202313651</v>
      </c>
      <c r="E80" s="10" t="n">
        <f aca="false">IF(D80&gt;0,1,0)</f>
        <v>0</v>
      </c>
    </row>
    <row r="81" customFormat="false" ht="15" hidden="false" customHeight="false" outlineLevel="0" collapsed="false">
      <c r="A81" s="8" t="n">
        <f aca="false">76/100*Parametros!$B$15</f>
        <v>158.333333333333</v>
      </c>
      <c r="B81" s="8" t="n">
        <f aca="false">IF(A81&gt;=Parametros!$B$15,0,Parametros!$B$5*(-0.2+SQRT(0.04+3.2*(1-A81/Parametros!$B$15)))/1.6)</f>
        <v>109.201281589026</v>
      </c>
      <c r="C81" s="8" t="n">
        <f aca="false">Parametros!$B$8+(Parametros!$B$12*(1-Parametros!$B$7)+Parametros!$B$13*Parametros!$B$7)*(1-0.55*Parametros!$B$9/(Parametros!$B$9+150))*9.81*Parametros!$B$11/100000+5*(A81/200)^1.8*(3.5/Parametros!$B$10)^4.8</f>
        <v>170.243569787129</v>
      </c>
      <c r="D81" s="8" t="n">
        <f aca="false">B81-C81</f>
        <v>-61.0422881981029</v>
      </c>
      <c r="E81" s="10" t="n">
        <f aca="false">IF(D81&gt;0,1,0)</f>
        <v>0</v>
      </c>
    </row>
    <row r="82" customFormat="false" ht="15" hidden="false" customHeight="false" outlineLevel="0" collapsed="false">
      <c r="A82" s="8" t="n">
        <f aca="false">77/100*Parametros!$B$15</f>
        <v>160.416666666667</v>
      </c>
      <c r="B82" s="8" t="n">
        <f aca="false">IF(A82&gt;=Parametros!$B$15,0,Parametros!$B$5*(-0.2+SQRT(0.04+3.2*(1-A82/Parametros!$B$15)))/1.6)</f>
        <v>106.391972159658</v>
      </c>
      <c r="C82" s="8" t="n">
        <f aca="false">Parametros!$B$8+(Parametros!$B$12*(1-Parametros!$B$7)+Parametros!$B$13*Parametros!$B$7)*(1-0.55*Parametros!$B$9/(Parametros!$B$9+150))*9.81*Parametros!$B$11/100000+5*(A82/200)^1.8*(3.5/Parametros!$B$10)^4.8</f>
        <v>170.321747496865</v>
      </c>
      <c r="D82" s="8" t="n">
        <f aca="false">B82-C82</f>
        <v>-63.929775337207</v>
      </c>
      <c r="E82" s="10" t="n">
        <f aca="false">IF(D82&gt;0,1,0)</f>
        <v>0</v>
      </c>
    </row>
    <row r="83" customFormat="false" ht="15" hidden="false" customHeight="false" outlineLevel="0" collapsed="false">
      <c r="A83" s="8" t="n">
        <f aca="false">78/100*Parametros!$B$15</f>
        <v>162.5</v>
      </c>
      <c r="B83" s="8" t="n">
        <f aca="false">IF(A83&gt;=Parametros!$B$15,0,Parametros!$B$5*(-0.2+SQRT(0.04+3.2*(1-A83/Parametros!$B$15)))/1.6)</f>
        <v>103.524116580299</v>
      </c>
      <c r="C83" s="8" t="n">
        <f aca="false">Parametros!$B$8+(Parametros!$B$12*(1-Parametros!$B$7)+Parametros!$B$13*Parametros!$B$7)*(1-0.55*Parametros!$B$9/(Parametros!$B$9+150))*9.81*Parametros!$B$11/100000+5*(A83/200)^1.8*(3.5/Parametros!$B$10)^4.8</f>
        <v>170.400741690447</v>
      </c>
      <c r="D83" s="8" t="n">
        <f aca="false">B83-C83</f>
        <v>-66.8766251101477</v>
      </c>
      <c r="E83" s="10" t="n">
        <f aca="false">IF(D83&gt;0,1,0)</f>
        <v>0</v>
      </c>
    </row>
    <row r="84" customFormat="false" ht="15" hidden="false" customHeight="false" outlineLevel="0" collapsed="false">
      <c r="A84" s="8" t="n">
        <f aca="false">79/100*Parametros!$B$15</f>
        <v>164.583333333333</v>
      </c>
      <c r="B84" s="8" t="n">
        <f aca="false">IF(A84&gt;=Parametros!$B$15,0,Parametros!$B$5*(-0.2+SQRT(0.04+3.2*(1-A84/Parametros!$B$15)))/1.6)</f>
        <v>100.593894435806</v>
      </c>
      <c r="C84" s="8" t="n">
        <f aca="false">Parametros!$B$8+(Parametros!$B$12*(1-Parametros!$B$7)+Parametros!$B$13*Parametros!$B$7)*(1-0.55*Parametros!$B$9/(Parametros!$B$9+150))*9.81*Parametros!$B$11/100000+5*(A84/200)^1.8*(3.5/Parametros!$B$10)^4.8</f>
        <v>170.480550263437</v>
      </c>
      <c r="D84" s="8" t="n">
        <f aca="false">B84-C84</f>
        <v>-69.886655827631</v>
      </c>
      <c r="E84" s="10" t="n">
        <f aca="false">IF(D84&gt;0,1,0)</f>
        <v>0</v>
      </c>
    </row>
    <row r="85" customFormat="false" ht="15" hidden="false" customHeight="false" outlineLevel="0" collapsed="false">
      <c r="A85" s="8" t="n">
        <f aca="false">80/100*Parametros!$B$15</f>
        <v>166.666666666667</v>
      </c>
      <c r="B85" s="8" t="n">
        <f aca="false">IF(A85&gt;=Parametros!$B$15,0,Parametros!$B$5*(-0.2+SQRT(0.04+3.2*(1-A85/Parametros!$B$15)))/1.6)</f>
        <v>97.5970508005519</v>
      </c>
      <c r="C85" s="8" t="n">
        <f aca="false">Parametros!$B$8+(Parametros!$B$12*(1-Parametros!$B$7)+Parametros!$B$13*Parametros!$B$7)*(1-0.55*Parametros!$B$9/(Parametros!$B$9+150))*9.81*Parametros!$B$11/100000+5*(A85/200)^1.8*(3.5/Parametros!$B$10)^4.8</f>
        <v>170.56117114353</v>
      </c>
      <c r="D85" s="8" t="n">
        <f aca="false">B85-C85</f>
        <v>-72.9641203429782</v>
      </c>
      <c r="E85" s="10" t="n">
        <f aca="false">IF(D85&gt;0,1,0)</f>
        <v>0</v>
      </c>
    </row>
    <row r="86" customFormat="false" ht="15" hidden="false" customHeight="false" outlineLevel="0" collapsed="false">
      <c r="A86" s="8" t="n">
        <f aca="false">81/100*Parametros!$B$15</f>
        <v>168.75</v>
      </c>
      <c r="B86" s="8" t="n">
        <f aca="false">IF(A86&gt;=Parametros!$B$15,0,Parametros!$B$5*(-0.2+SQRT(0.04+3.2*(1-A86/Parametros!$B$15)))/1.6)</f>
        <v>94.5288237343631</v>
      </c>
      <c r="C86" s="8" t="n">
        <f aca="false">Parametros!$B$8+(Parametros!$B$12*(1-Parametros!$B$7)+Parametros!$B$13*Parametros!$B$7)*(1-0.55*Parametros!$B$9/(Parametros!$B$9+150))*9.81*Parametros!$B$11/100000+5*(A86/200)^1.8*(3.5/Parametros!$B$10)^4.8</f>
        <v>170.642602289662</v>
      </c>
      <c r="D86" s="8" t="n">
        <f aca="false">B86-C86</f>
        <v>-76.1137785552993</v>
      </c>
      <c r="E86" s="10" t="n">
        <f aca="false">IF(D86&gt;0,1,0)</f>
        <v>0</v>
      </c>
    </row>
    <row r="87" customFormat="false" ht="15" hidden="false" customHeight="false" outlineLevel="0" collapsed="false">
      <c r="A87" s="8" t="n">
        <f aca="false">82/100*Parametros!$B$15</f>
        <v>170.833333333333</v>
      </c>
      <c r="B87" s="8" t="n">
        <f aca="false">IF(A87&gt;=Parametros!$B$15,0,Parametros!$B$5*(-0.2+SQRT(0.04+3.2*(1-A87/Parametros!$B$15)))/1.6)</f>
        <v>91.3838554396787</v>
      </c>
      <c r="C87" s="8" t="n">
        <f aca="false">Parametros!$B$8+(Parametros!$B$12*(1-Parametros!$B$7)+Parametros!$B$13*Parametros!$B$7)*(1-0.55*Parametros!$B$9/(Parametros!$B$9+150))*9.81*Parametros!$B$11/100000+5*(A87/200)^1.8*(3.5/Parametros!$B$10)^4.8</f>
        <v>170.724841691162</v>
      </c>
      <c r="D87" s="8" t="n">
        <f aca="false">B87-C87</f>
        <v>-79.3409862514831</v>
      </c>
      <c r="E87" s="10" t="n">
        <f aca="false">IF(D87&gt;0,1,0)</f>
        <v>0</v>
      </c>
    </row>
    <row r="88" customFormat="false" ht="15" hidden="false" customHeight="false" outlineLevel="0" collapsed="false">
      <c r="A88" s="8" t="n">
        <f aca="false">83/100*Parametros!$B$15</f>
        <v>172.916666666667</v>
      </c>
      <c r="B88" s="8" t="n">
        <f aca="false">IF(A88&gt;=Parametros!$B$15,0,Parametros!$B$5*(-0.2+SQRT(0.04+3.2*(1-A88/Parametros!$B$15)))/1.6)</f>
        <v>88.1560823408925</v>
      </c>
      <c r="C88" s="8" t="n">
        <f aca="false">Parametros!$B$8+(Parametros!$B$12*(1-Parametros!$B$7)+Parametros!$B$13*Parametros!$B$7)*(1-0.55*Parametros!$B$9/(Parametros!$B$9+150))*9.81*Parametros!$B$11/100000+5*(A88/200)^1.8*(3.5/Parametros!$B$10)^4.8</f>
        <v>170.807887366927</v>
      </c>
      <c r="D88" s="8" t="n">
        <f aca="false">B88-C88</f>
        <v>-82.6518050260342</v>
      </c>
      <c r="E88" s="10" t="n">
        <f aca="false">IF(D88&gt;0,1,0)</f>
        <v>0</v>
      </c>
    </row>
    <row r="89" customFormat="false" ht="15" hidden="false" customHeight="false" outlineLevel="0" collapsed="false">
      <c r="A89" s="8" t="n">
        <f aca="false">84/100*Parametros!$B$15</f>
        <v>175</v>
      </c>
      <c r="B89" s="8" t="n">
        <f aca="false">IF(A89&gt;=Parametros!$B$15,0,Parametros!$B$5*(-0.2+SQRT(0.04+3.2*(1-A89/Parametros!$B$15)))/1.6)</f>
        <v>84.8385976312919</v>
      </c>
      <c r="C89" s="8" t="n">
        <f aca="false">Parametros!$B$8+(Parametros!$B$12*(1-Parametros!$B$7)+Parametros!$B$13*Parametros!$B$7)*(1-0.55*Parametros!$B$9/(Parametros!$B$9+150))*9.81*Parametros!$B$11/100000+5*(A89/200)^1.8*(3.5/Parametros!$B$10)^4.8</f>
        <v>170.891737364639</v>
      </c>
      <c r="D89" s="8" t="n">
        <f aca="false">B89-C89</f>
        <v>-86.053139733347</v>
      </c>
      <c r="E89" s="10" t="n">
        <f aca="false">IF(D89&gt;0,1,0)</f>
        <v>0</v>
      </c>
    </row>
    <row r="90" customFormat="false" ht="15" hidden="false" customHeight="false" outlineLevel="0" collapsed="false">
      <c r="A90" s="8" t="n">
        <f aca="false">85/100*Parametros!$B$15</f>
        <v>177.083333333333</v>
      </c>
      <c r="B90" s="8" t="n">
        <f aca="false">IF(A90&gt;=Parametros!$B$15,0,Parametros!$B$5*(-0.2+SQRT(0.04+3.2*(1-A90/Parametros!$B$15)))/1.6)</f>
        <v>81.4234773582497</v>
      </c>
      <c r="C90" s="8" t="n">
        <f aca="false">Parametros!$B$8+(Parametros!$B$12*(1-Parametros!$B$7)+Parametros!$B$13*Parametros!$B$7)*(1-0.55*Parametros!$B$9/(Parametros!$B$9+150))*9.81*Parametros!$B$11/100000+5*(A90/200)^1.8*(3.5/Parametros!$B$10)^4.8</f>
        <v>170.976389760006</v>
      </c>
      <c r="D90" s="8" t="n">
        <f aca="false">B90-C90</f>
        <v>-89.5529124017565</v>
      </c>
      <c r="E90" s="10" t="n">
        <f aca="false">IF(D90&gt;0,1,0)</f>
        <v>0</v>
      </c>
    </row>
    <row r="91" customFormat="false" ht="15" hidden="false" customHeight="false" outlineLevel="0" collapsed="false">
      <c r="A91" s="8" t="n">
        <f aca="false">86/100*Parametros!$B$15</f>
        <v>179.166666666667</v>
      </c>
      <c r="B91" s="8" t="n">
        <f aca="false">IF(A91&gt;=Parametros!$B$15,0,Parametros!$B$5*(-0.2+SQRT(0.04+3.2*(1-A91/Parametros!$B$15)))/1.6)</f>
        <v>77.9015574785811</v>
      </c>
      <c r="C91" s="8" t="n">
        <f aca="false">Parametros!$B$8+(Parametros!$B$12*(1-Parametros!$B$7)+Parametros!$B$13*Parametros!$B$7)*(1-0.55*Parametros!$B$9/(Parametros!$B$9+150))*9.81*Parametros!$B$11/100000+5*(A91/200)^1.8*(3.5/Parametros!$B$10)^4.8</f>
        <v>171.061842656033</v>
      </c>
      <c r="D91" s="8" t="n">
        <f aca="false">B91-C91</f>
        <v>-93.1602851774517</v>
      </c>
      <c r="E91" s="10" t="n">
        <f aca="false">IF(D91&gt;0,1,0)</f>
        <v>0</v>
      </c>
    </row>
    <row r="92" customFormat="false" ht="15" hidden="false" customHeight="false" outlineLevel="0" collapsed="false">
      <c r="A92" s="8" t="n">
        <f aca="false">87/100*Parametros!$B$15</f>
        <v>181.25</v>
      </c>
      <c r="B92" s="8" t="n">
        <f aca="false">IF(A92&gt;=Parametros!$B$15,0,Parametros!$B$5*(-0.2+SQRT(0.04+3.2*(1-A92/Parametros!$B$15)))/1.6)</f>
        <v>74.2621438508383</v>
      </c>
      <c r="C92" s="8" t="n">
        <f aca="false">Parametros!$B$8+(Parametros!$B$12*(1-Parametros!$B$7)+Parametros!$B$13*Parametros!$B$7)*(1-0.55*Parametros!$B$9/(Parametros!$B$9+150))*9.81*Parametros!$B$11/100000+5*(A92/200)^1.8*(3.5/Parametros!$B$10)^4.8</f>
        <v>171.148094182319</v>
      </c>
      <c r="D92" s="8" t="n">
        <f aca="false">B92-C92</f>
        <v>-96.8859503314806</v>
      </c>
      <c r="E92" s="10" t="n">
        <f aca="false">IF(D92&gt;0,1,0)</f>
        <v>0</v>
      </c>
    </row>
    <row r="93" customFormat="false" ht="15" hidden="false" customHeight="false" outlineLevel="0" collapsed="false">
      <c r="A93" s="8" t="n">
        <f aca="false">88/100*Parametros!$B$15</f>
        <v>183.333333333333</v>
      </c>
      <c r="B93" s="8" t="n">
        <f aca="false">IF(A93&gt;=Parametros!$B$15,0,Parametros!$B$5*(-0.2+SQRT(0.04+3.2*(1-A93/Parametros!$B$15)))/1.6)</f>
        <v>70.4926287256232</v>
      </c>
      <c r="C93" s="8" t="n">
        <f aca="false">Parametros!$B$8+(Parametros!$B$12*(1-Parametros!$B$7)+Parametros!$B$13*Parametros!$B$7)*(1-0.55*Parametros!$B$9/(Parametros!$B$9+150))*9.81*Parametros!$B$11/100000+5*(A93/200)^1.8*(3.5/Parametros!$B$10)^4.8</f>
        <v>171.235142494384</v>
      </c>
      <c r="D93" s="8" t="n">
        <f aca="false">B93-C93</f>
        <v>-100.74251376876</v>
      </c>
      <c r="E93" s="10" t="n">
        <f aca="false">IF(D93&gt;0,1,0)</f>
        <v>0</v>
      </c>
    </row>
    <row r="94" customFormat="false" ht="15" hidden="false" customHeight="false" outlineLevel="0" collapsed="false">
      <c r="A94" s="8" t="n">
        <f aca="false">89/100*Parametros!$B$15</f>
        <v>185.416666666667</v>
      </c>
      <c r="B94" s="8" t="n">
        <f aca="false">IF(A94&gt;=Parametros!$B$15,0,Parametros!$B$5*(-0.2+SQRT(0.04+3.2*(1-A94/Parametros!$B$15)))/1.6)</f>
        <v>66.5779740156158</v>
      </c>
      <c r="C94" s="8" t="n">
        <f aca="false">Parametros!$B$8+(Parametros!$B$12*(1-Parametros!$B$7)+Parametros!$B$13*Parametros!$B$7)*(1-0.55*Parametros!$B$9/(Parametros!$B$9+150))*9.81*Parametros!$B$11/100000+5*(A94/200)^1.8*(3.5/Parametros!$B$10)^4.8</f>
        <v>171.322985773015</v>
      </c>
      <c r="D94" s="8" t="n">
        <f aca="false">B94-C94</f>
        <v>-104.745011757399</v>
      </c>
      <c r="E94" s="10" t="n">
        <f aca="false">IF(D94&gt;0,1,0)</f>
        <v>0</v>
      </c>
    </row>
    <row r="95" customFormat="false" ht="15" hidden="false" customHeight="false" outlineLevel="0" collapsed="false">
      <c r="A95" s="8" t="n">
        <f aca="false">90/100*Parametros!$B$15</f>
        <v>187.5</v>
      </c>
      <c r="B95" s="8" t="n">
        <f aca="false">IF(A95&gt;=Parametros!$B$15,0,Parametros!$B$5*(-0.2+SQRT(0.04+3.2*(1-A95/Parametros!$B$15)))/1.6)</f>
        <v>62.4999999999999</v>
      </c>
      <c r="C95" s="8" t="n">
        <f aca="false">Parametros!$B$8+(Parametros!$B$12*(1-Parametros!$B$7)+Parametros!$B$13*Parametros!$B$7)*(1-0.55*Parametros!$B$9/(Parametros!$B$9+150))*9.81*Parametros!$B$11/100000+5*(A95/200)^1.8*(3.5/Parametros!$B$10)^4.8</f>
        <v>171.411622223642</v>
      </c>
      <c r="D95" s="8" t="n">
        <f aca="false">B95-C95</f>
        <v>-108.911622223642</v>
      </c>
      <c r="E95" s="10" t="n">
        <f aca="false">IF(D95&gt;0,1,0)</f>
        <v>0</v>
      </c>
    </row>
    <row r="96" customFormat="false" ht="15" hidden="false" customHeight="false" outlineLevel="0" collapsed="false">
      <c r="A96" s="8" t="n">
        <f aca="false">91/100*Parametros!$B$15</f>
        <v>189.583333333333</v>
      </c>
      <c r="B96" s="8" t="n">
        <f aca="false">IF(A96&gt;=Parametros!$B$15,0,Parametros!$B$5*(-0.2+SQRT(0.04+3.2*(1-A96/Parametros!$B$15)))/1.6)</f>
        <v>58.2363816454772</v>
      </c>
      <c r="C96" s="8" t="n">
        <f aca="false">Parametros!$B$8+(Parametros!$B$12*(1-Parametros!$B$7)+Parametros!$B$13*Parametros!$B$7)*(1-0.55*Parametros!$B$9/(Parametros!$B$9+150))*9.81*Parametros!$B$11/100000+5*(A96/200)^1.8*(3.5/Parametros!$B$10)^4.8</f>
        <v>171.501050075729</v>
      </c>
      <c r="D96" s="8" t="n">
        <f aca="false">B96-C96</f>
        <v>-113.264668430252</v>
      </c>
      <c r="E96" s="10" t="n">
        <f aca="false">IF(D96&gt;0,1,0)</f>
        <v>0</v>
      </c>
    </row>
    <row r="97" customFormat="false" ht="15" hidden="false" customHeight="false" outlineLevel="0" collapsed="false">
      <c r="A97" s="8" t="n">
        <f aca="false">92/100*Parametros!$B$15</f>
        <v>191.666666666667</v>
      </c>
      <c r="B97" s="8" t="n">
        <f aca="false">IF(A97&gt;=Parametros!$B$15,0,Parametros!$B$5*(-0.2+SQRT(0.04+3.2*(1-A97/Parametros!$B$15)))/1.6)</f>
        <v>53.7591906795965</v>
      </c>
      <c r="C97" s="8" t="n">
        <f aca="false">Parametros!$B$8+(Parametros!$B$12*(1-Parametros!$B$7)+Parametros!$B$13*Parametros!$B$7)*(1-0.55*Parametros!$B$9/(Parametros!$B$9+150))*9.81*Parametros!$B$11/100000+5*(A97/200)^1.8*(3.5/Parametros!$B$10)^4.8</f>
        <v>171.591267582194</v>
      </c>
      <c r="D97" s="8" t="n">
        <f aca="false">B97-C97</f>
        <v>-117.832076902598</v>
      </c>
      <c r="E97" s="10" t="n">
        <f aca="false">IF(D97&gt;0,1,0)</f>
        <v>0</v>
      </c>
    </row>
    <row r="98" customFormat="false" ht="15" hidden="false" customHeight="false" outlineLevel="0" collapsed="false">
      <c r="A98" s="8" t="n">
        <f aca="false">93/100*Parametros!$B$15</f>
        <v>193.75</v>
      </c>
      <c r="B98" s="8" t="n">
        <f aca="false">IF(A98&gt;=Parametros!$B$15,0,Parametros!$B$5*(-0.2+SQRT(0.04+3.2*(1-A98/Parametros!$B$15)))/1.6)</f>
        <v>49.032703616657</v>
      </c>
      <c r="C98" s="8" t="n">
        <f aca="false">Parametros!$B$8+(Parametros!$B$12*(1-Parametros!$B$7)+Parametros!$B$13*Parametros!$B$7)*(1-0.55*Parametros!$B$9/(Parametros!$B$9+150))*9.81*Parametros!$B$11/100000+5*(A98/200)^1.8*(3.5/Parametros!$B$10)^4.8</f>
        <v>171.682273018844</v>
      </c>
      <c r="D98" s="8" t="n">
        <f aca="false">B98-C98</f>
        <v>-122.649569402186</v>
      </c>
      <c r="E98" s="10" t="n">
        <f aca="false">IF(D98&gt;0,1,0)</f>
        <v>0</v>
      </c>
    </row>
    <row r="99" customFormat="false" ht="15" hidden="false" customHeight="false" outlineLevel="0" collapsed="false">
      <c r="A99" s="8" t="n">
        <f aca="false">94/100*Parametros!$B$15</f>
        <v>195.833333333333</v>
      </c>
      <c r="B99" s="8" t="n">
        <f aca="false">IF(A99&gt;=Parametros!$B$15,0,Parametros!$B$5*(-0.2+SQRT(0.04+3.2*(1-A99/Parametros!$B$15)))/1.6)</f>
        <v>44.0099661174519</v>
      </c>
      <c r="C99" s="8" t="n">
        <f aca="false">Parametros!$B$8+(Parametros!$B$12*(1-Parametros!$B$7)+Parametros!$B$13*Parametros!$B$7)*(1-0.55*Parametros!$B$9/(Parametros!$B$9+150))*9.81*Parametros!$B$11/100000+5*(A99/200)^1.8*(3.5/Parametros!$B$10)^4.8</f>
        <v>171.774064683828</v>
      </c>
      <c r="D99" s="8" t="n">
        <f aca="false">B99-C99</f>
        <v>-127.764098566376</v>
      </c>
      <c r="E99" s="10" t="n">
        <f aca="false">IF(D99&gt;0,1,0)</f>
        <v>0</v>
      </c>
    </row>
    <row r="100" customFormat="false" ht="15" hidden="false" customHeight="false" outlineLevel="0" collapsed="false">
      <c r="A100" s="8" t="n">
        <f aca="false">95/100*Parametros!$B$15</f>
        <v>197.916666666667</v>
      </c>
      <c r="B100" s="8" t="n">
        <f aca="false">IF(A100&gt;=Parametros!$B$15,0,Parametros!$B$5*(-0.2+SQRT(0.04+3.2*(1-A100/Parametros!$B$15)))/1.6)</f>
        <v>38.6271242968684</v>
      </c>
      <c r="C100" s="8" t="n">
        <f aca="false">Parametros!$B$8+(Parametros!$B$12*(1-Parametros!$B$7)+Parametros!$B$13*Parametros!$B$7)*(1-0.55*Parametros!$B$9/(Parametros!$B$9+150))*9.81*Parametros!$B$11/100000+5*(A100/200)^1.8*(3.5/Parametros!$B$10)^4.8</f>
        <v>171.866640897119</v>
      </c>
      <c r="D100" s="8" t="n">
        <f aca="false">B100-C100</f>
        <v>-133.239516600251</v>
      </c>
      <c r="E100" s="10" t="n">
        <f aca="false">IF(D100&gt;0,1,0)</f>
        <v>0</v>
      </c>
    </row>
    <row r="101" customFormat="false" ht="15" hidden="false" customHeight="false" outlineLevel="0" collapsed="false">
      <c r="A101" s="8" t="n">
        <f aca="false">96/100*Parametros!$B$15</f>
        <v>200</v>
      </c>
      <c r="B101" s="8" t="n">
        <f aca="false">IF(A101&gt;=Parametros!$B$15,0,Parametros!$B$5*(-0.2+SQRT(0.04+3.2*(1-A101/Parametros!$B$15)))/1.6)</f>
        <v>32.7934422872475</v>
      </c>
      <c r="C101" s="8" t="n">
        <f aca="false">Parametros!$B$8+(Parametros!$B$12*(1-Parametros!$B$7)+Parametros!$B$13*Parametros!$B$7)*(1-0.55*Parametros!$B$9/(Parametros!$B$9+150))*9.81*Parametros!$B$11/100000+5*(A101/200)^1.8*(3.5/Parametros!$B$10)^4.8</f>
        <v>171.96</v>
      </c>
      <c r="D101" s="8" t="n">
        <f aca="false">B101-C101</f>
        <v>-139.166557712753</v>
      </c>
      <c r="E101" s="10" t="n">
        <f aca="false">IF(D101&gt;0,1,0)</f>
        <v>0</v>
      </c>
    </row>
    <row r="102" customFormat="false" ht="15" hidden="false" customHeight="false" outlineLevel="0" collapsed="false">
      <c r="A102" s="8" t="n">
        <f aca="false">97/100*Parametros!$B$15</f>
        <v>202.083333333333</v>
      </c>
      <c r="B102" s="8" t="n">
        <f aca="false">IF(A102&gt;=Parametros!$B$15,0,Parametros!$B$5*(-0.2+SQRT(0.04+3.2*(1-A102/Parametros!$B$15)))/1.6)</f>
        <v>26.3721528580806</v>
      </c>
      <c r="C102" s="8" t="n">
        <f aca="false">Parametros!$B$8+(Parametros!$B$12*(1-Parametros!$B$7)+Parametros!$B$13*Parametros!$B$7)*(1-0.55*Parametros!$B$9/(Parametros!$B$9+150))*9.81*Parametros!$B$11/100000+5*(A102/200)^1.8*(3.5/Parametros!$B$10)^4.8</f>
        <v>172.054140354577</v>
      </c>
      <c r="D102" s="8" t="n">
        <f aca="false">B102-C102</f>
        <v>-145.681987496496</v>
      </c>
      <c r="E102" s="10" t="n">
        <f aca="false">IF(D102&gt;0,1,0)</f>
        <v>0</v>
      </c>
    </row>
    <row r="103" customFormat="false" ht="15" hidden="false" customHeight="false" outlineLevel="0" collapsed="false">
      <c r="A103" s="8" t="n">
        <f aca="false">98/100*Parametros!$B$15</f>
        <v>204.166666666667</v>
      </c>
      <c r="B103" s="8" t="n">
        <f aca="false">IF(A103&gt;=Parametros!$B$15,0,Parametros!$B$5*(-0.2+SQRT(0.04+3.2*(1-A103/Parametros!$B$15)))/1.6)</f>
        <v>19.1391109268659</v>
      </c>
      <c r="C103" s="8" t="n">
        <f aca="false">Parametros!$B$8+(Parametros!$B$12*(1-Parametros!$B$7)+Parametros!$B$13*Parametros!$B$7)*(1-0.55*Parametros!$B$9/(Parametros!$B$9+150))*9.81*Parametros!$B$11/100000+5*(A103/200)^1.8*(3.5/Parametros!$B$10)^4.8</f>
        <v>172.149060343302</v>
      </c>
      <c r="D103" s="8" t="n">
        <f aca="false">B103-C103</f>
        <v>-153.009949416436</v>
      </c>
      <c r="E103" s="10" t="n">
        <f aca="false">IF(D103&gt;0,1,0)</f>
        <v>0</v>
      </c>
    </row>
    <row r="104" customFormat="false" ht="15" hidden="false" customHeight="false" outlineLevel="0" collapsed="false">
      <c r="A104" s="8" t="n">
        <f aca="false">99/100*Parametros!$B$15</f>
        <v>206.25</v>
      </c>
      <c r="B104" s="8" t="n">
        <f aca="false">IF(A104&gt;=Parametros!$B$15,0,Parametros!$B$5*(-0.2+SQRT(0.04+3.2*(1-A104/Parametros!$B$15)))/1.6)</f>
        <v>10.6762745781211</v>
      </c>
      <c r="C104" s="8" t="n">
        <f aca="false">Parametros!$B$8+(Parametros!$B$12*(1-Parametros!$B$7)+Parametros!$B$13*Parametros!$B$7)*(1-0.55*Parametros!$B$9/(Parametros!$B$9+150))*9.81*Parametros!$B$11/100000+5*(A104/200)^1.8*(3.5/Parametros!$B$10)^4.8</f>
        <v>172.244758368517</v>
      </c>
      <c r="D104" s="8" t="n">
        <f aca="false">B104-C104</f>
        <v>-161.568483790396</v>
      </c>
      <c r="E104" s="10" t="n">
        <f aca="false">IF(D104&gt;0,1,0)</f>
        <v>0</v>
      </c>
    </row>
    <row r="105" customFormat="false" ht="15" hidden="false" customHeight="false" outlineLevel="0" collapsed="false">
      <c r="A105" s="8" t="n">
        <f aca="false">100/100*Parametros!$B$15</f>
        <v>208.333333333333</v>
      </c>
      <c r="B105" s="8" t="n">
        <f aca="false">IF(A105&gt;=Parametros!$B$15,0,Parametros!$B$5*(-0.2+SQRT(0.04+3.2*(1-A105/Parametros!$B$15)))/1.6)</f>
        <v>0</v>
      </c>
      <c r="C105" s="8" t="n">
        <f aca="false">Parametros!$B$8+(Parametros!$B$12*(1-Parametros!$B$7)+Parametros!$B$13*Parametros!$B$7)*(1-0.55*Parametros!$B$9/(Parametros!$B$9+150))*9.81*Parametros!$B$11/100000+5*(A105/200)^1.8*(3.5/Parametros!$B$10)^4.8</f>
        <v>172.34123285201</v>
      </c>
      <c r="D105" s="8" t="n">
        <f aca="false">B105-C105</f>
        <v>-172.34123285201</v>
      </c>
      <c r="E105" s="10" t="n">
        <f aca="false">IF(D105&gt;0,1,0)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31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32</v>
      </c>
      <c r="B5" s="10" t="n">
        <f aca="false">SUM(Curvas!E5:E105)</f>
        <v>51</v>
      </c>
    </row>
    <row r="6" customFormat="false" ht="15" hidden="false" customHeight="false" outlineLevel="0" collapsed="false">
      <c r="A6" s="0" t="s">
        <v>33</v>
      </c>
      <c r="B6" s="11" t="n">
        <f aca="false">IF(B5=0,0,INDEX(Curvas!A5:A105,MIN(B5+1,101)))</f>
        <v>106.25</v>
      </c>
      <c r="C6" s="9" t="s">
        <v>22</v>
      </c>
    </row>
    <row r="7" customFormat="false" ht="15" hidden="false" customHeight="false" outlineLevel="0" collapsed="false">
      <c r="A7" s="0" t="s">
        <v>34</v>
      </c>
      <c r="B7" s="11" t="n">
        <f aca="false">IF(B5=0,0,INDEX(Curvas!B5:B105,MIN(B5+1,101)))</f>
        <v>166.885843551842</v>
      </c>
      <c r="C7" s="9" t="s">
        <v>6</v>
      </c>
    </row>
    <row r="8" customFormat="false" ht="15" hidden="false" customHeight="false" outlineLevel="0" collapsed="false">
      <c r="A8" s="0" t="s">
        <v>35</v>
      </c>
      <c r="B8" s="11" t="n">
        <f aca="false">B6*(1-Parametros!B7)</f>
        <v>106.25</v>
      </c>
      <c r="C8" s="9" t="s">
        <v>22</v>
      </c>
    </row>
    <row r="9" customFormat="false" ht="15" hidden="false" customHeight="false" outlineLevel="0" collapsed="false">
      <c r="A9" s="0" t="s">
        <v>36</v>
      </c>
      <c r="B9" s="12" t="str">
        <f aca="false">IF(B5=0,"No: requiere levantamiento","Sí")</f>
        <v>Sí</v>
      </c>
    </row>
    <row r="11" customFormat="false" ht="15" hidden="false" customHeight="false" outlineLevel="0" collapsed="false">
      <c r="A1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15" min="7" style="0" width="9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G4" s="13" t="s">
        <v>43</v>
      </c>
    </row>
    <row r="5" customFormat="false" ht="15" hidden="false" customHeight="false" outlineLevel="0" collapsed="false">
      <c r="A5" s="0" t="n">
        <v>0</v>
      </c>
      <c r="B5" s="10" t="n">
        <f aca="false">SUMPRODUCT(--(Curvas!$B$5:$B$105&gt;G$6:G$106))</f>
        <v>51</v>
      </c>
      <c r="C5" s="11" t="n">
        <f aca="false">IF(B5=0,0,INDEX($F$6:$F$106,MIN(B5+1,101)))</f>
        <v>106.25</v>
      </c>
      <c r="F5" s="14" t="s">
        <v>44</v>
      </c>
      <c r="G5" s="14" t="n">
        <v>0</v>
      </c>
      <c r="H5" s="14" t="n">
        <v>50</v>
      </c>
      <c r="I5" s="14" t="n">
        <v>100</v>
      </c>
      <c r="J5" s="14" t="n">
        <v>150</v>
      </c>
      <c r="K5" s="14" t="n">
        <v>200</v>
      </c>
      <c r="L5" s="14" t="n">
        <v>250</v>
      </c>
      <c r="M5" s="14" t="n">
        <v>300</v>
      </c>
      <c r="N5" s="14" t="n">
        <v>350</v>
      </c>
      <c r="O5" s="14" t="n">
        <v>400</v>
      </c>
    </row>
    <row r="6" customFormat="false" ht="15" hidden="false" customHeight="false" outlineLevel="0" collapsed="false">
      <c r="A6" s="0" t="n">
        <v>50</v>
      </c>
      <c r="B6" s="10" t="n">
        <f aca="false">SUMPRODUCT(--(Curvas!$B$5:$B$105&gt;H$6:H$106))</f>
        <v>61</v>
      </c>
      <c r="C6" s="11" t="n">
        <f aca="false">IF(B6=0,0,INDEX($F$6:$F$106,MIN(B6+1,101)))</f>
        <v>127.083333333333</v>
      </c>
      <c r="D6" s="8" t="n">
        <f aca="false">C6-C5</f>
        <v>20.8333333333333</v>
      </c>
      <c r="F6" s="8" t="n">
        <f aca="false">Curvas!A5</f>
        <v>0</v>
      </c>
      <c r="G6" s="8" t="n">
        <f aca="false">Parametros!$B$8+(Parametros!$B$12*(1-Parametros!$B$7)+Parametros!$B$13*Parametros!$B$7)*(1-0.55*G$5/(G$5+150))*9.81*Parametros!$B$11/100000+5*($F6/200)^1.8*(3.5/Parametros!$B$10)^4.8</f>
        <v>166.96</v>
      </c>
      <c r="H6" s="8" t="n">
        <f aca="false">Parametros!$B$8+(Parametros!$B$12*(1-Parametros!$B$7)+Parametros!$B$13*Parametros!$B$7)*(1-0.55*H$5/(H$5+150))*9.81*Parametros!$B$11/100000+5*($F6/200)^1.8*(3.5/Parametros!$B$10)^4.8</f>
        <v>145.378</v>
      </c>
      <c r="I6" s="8" t="n">
        <f aca="false">Parametros!$B$8+(Parametros!$B$12*(1-Parametros!$B$7)+Parametros!$B$13*Parametros!$B$7)*(1-0.55*I$5/(I$5+150))*9.81*Parametros!$B$11/100000+5*($F6/200)^1.8*(3.5/Parametros!$B$10)^4.8</f>
        <v>132.4288</v>
      </c>
      <c r="J6" s="8" t="n">
        <f aca="false">Parametros!$B$8+(Parametros!$B$12*(1-Parametros!$B$7)+Parametros!$B$13*Parametros!$B$7)*(1-0.55*J$5/(J$5+150))*9.81*Parametros!$B$11/100000+5*($F6/200)^1.8*(3.5/Parametros!$B$10)^4.8</f>
        <v>123.796</v>
      </c>
      <c r="K6" s="8" t="n">
        <f aca="false">Parametros!$B$8+(Parametros!$B$12*(1-Parametros!$B$7)+Parametros!$B$13*Parametros!$B$7)*(1-0.55*K$5/(K$5+150))*9.81*Parametros!$B$11/100000+5*($F6/200)^1.8*(3.5/Parametros!$B$10)^4.8</f>
        <v>117.629714285714</v>
      </c>
      <c r="L6" s="8" t="n">
        <f aca="false">Parametros!$B$8+(Parametros!$B$12*(1-Parametros!$B$7)+Parametros!$B$13*Parametros!$B$7)*(1-0.55*L$5/(L$5+150))*9.81*Parametros!$B$11/100000+5*($F6/200)^1.8*(3.5/Parametros!$B$10)^4.8</f>
        <v>113.005</v>
      </c>
      <c r="M6" s="8" t="n">
        <f aca="false">Parametros!$B$8+(Parametros!$B$12*(1-Parametros!$B$7)+Parametros!$B$13*Parametros!$B$7)*(1-0.55*M$5/(M$5+150))*9.81*Parametros!$B$11/100000+5*($F6/200)^1.8*(3.5/Parametros!$B$10)^4.8</f>
        <v>109.408</v>
      </c>
      <c r="N6" s="8" t="n">
        <f aca="false">Parametros!$B$8+(Parametros!$B$12*(1-Parametros!$B$7)+Parametros!$B$13*Parametros!$B$7)*(1-0.55*N$5/(N$5+150))*9.81*Parametros!$B$11/100000+5*($F6/200)^1.8*(3.5/Parametros!$B$10)^4.8</f>
        <v>106.5304</v>
      </c>
      <c r="O6" s="8" t="n">
        <f aca="false">Parametros!$B$8+(Parametros!$B$12*(1-Parametros!$B$7)+Parametros!$B$13*Parametros!$B$7)*(1-0.55*O$5/(O$5+150))*9.81*Parametros!$B$11/100000+5*($F6/200)^1.8*(3.5/Parametros!$B$10)^4.8</f>
        <v>104.176</v>
      </c>
    </row>
    <row r="7" customFormat="false" ht="15" hidden="false" customHeight="false" outlineLevel="0" collapsed="false">
      <c r="A7" s="0" t="n">
        <v>100</v>
      </c>
      <c r="B7" s="10" t="n">
        <f aca="false">SUMPRODUCT(--(Curvas!$B$5:$B$105&gt;I$6:I$106))</f>
        <v>66</v>
      </c>
      <c r="C7" s="11" t="n">
        <f aca="false">IF(B7=0,0,INDEX($F$6:$F$106,MIN(B7+1,101)))</f>
        <v>137.5</v>
      </c>
      <c r="D7" s="8" t="n">
        <f aca="false">C7-C6</f>
        <v>10.4166666666667</v>
      </c>
      <c r="F7" s="8" t="n">
        <f aca="false">Curvas!A6</f>
        <v>2.08333333333333</v>
      </c>
      <c r="G7" s="8" t="n">
        <f aca="false">Parametros!$B$8+(Parametros!$B$12*(1-Parametros!$B$7)+Parametros!$B$13*Parametros!$B$7)*(1-0.55*G$5/(G$5+150))*9.81*Parametros!$B$11/100000+5*($F7/200)^1.8*(3.5/Parametros!$B$10)^4.8</f>
        <v>166.961351704579</v>
      </c>
      <c r="H7" s="8" t="n">
        <f aca="false">Parametros!$B$8+(Parametros!$B$12*(1-Parametros!$B$7)+Parametros!$B$13*Parametros!$B$7)*(1-0.55*H$5/(H$5+150))*9.81*Parametros!$B$11/100000+5*($F7/200)^1.8*(3.5/Parametros!$B$10)^4.8</f>
        <v>145.379351704579</v>
      </c>
      <c r="I7" s="8" t="n">
        <f aca="false">Parametros!$B$8+(Parametros!$B$12*(1-Parametros!$B$7)+Parametros!$B$13*Parametros!$B$7)*(1-0.55*I$5/(I$5+150))*9.81*Parametros!$B$11/100000+5*($F7/200)^1.8*(3.5/Parametros!$B$10)^4.8</f>
        <v>132.430151704579</v>
      </c>
      <c r="J7" s="8" t="n">
        <f aca="false">Parametros!$B$8+(Parametros!$B$12*(1-Parametros!$B$7)+Parametros!$B$13*Parametros!$B$7)*(1-0.55*J$5/(J$5+150))*9.81*Parametros!$B$11/100000+5*($F7/200)^1.8*(3.5/Parametros!$B$10)^4.8</f>
        <v>123.797351704579</v>
      </c>
      <c r="K7" s="8" t="n">
        <f aca="false">Parametros!$B$8+(Parametros!$B$12*(1-Parametros!$B$7)+Parametros!$B$13*Parametros!$B$7)*(1-0.55*K$5/(K$5+150))*9.81*Parametros!$B$11/100000+5*($F7/200)^1.8*(3.5/Parametros!$B$10)^4.8</f>
        <v>117.631065990293</v>
      </c>
      <c r="L7" s="8" t="n">
        <f aca="false">Parametros!$B$8+(Parametros!$B$12*(1-Parametros!$B$7)+Parametros!$B$13*Parametros!$B$7)*(1-0.55*L$5/(L$5+150))*9.81*Parametros!$B$11/100000+5*($F7/200)^1.8*(3.5/Parametros!$B$10)^4.8</f>
        <v>113.006351704579</v>
      </c>
      <c r="M7" s="8" t="n">
        <f aca="false">Parametros!$B$8+(Parametros!$B$12*(1-Parametros!$B$7)+Parametros!$B$13*Parametros!$B$7)*(1-0.55*M$5/(M$5+150))*9.81*Parametros!$B$11/100000+5*($F7/200)^1.8*(3.5/Parametros!$B$10)^4.8</f>
        <v>109.409351704579</v>
      </c>
      <c r="N7" s="8" t="n">
        <f aca="false">Parametros!$B$8+(Parametros!$B$12*(1-Parametros!$B$7)+Parametros!$B$13*Parametros!$B$7)*(1-0.55*N$5/(N$5+150))*9.81*Parametros!$B$11/100000+5*($F7/200)^1.8*(3.5/Parametros!$B$10)^4.8</f>
        <v>106.531751704579</v>
      </c>
      <c r="O7" s="8" t="n">
        <f aca="false">Parametros!$B$8+(Parametros!$B$12*(1-Parametros!$B$7)+Parametros!$B$13*Parametros!$B$7)*(1-0.55*O$5/(O$5+150))*9.81*Parametros!$B$11/100000+5*($F7/200)^1.8*(3.5/Parametros!$B$10)^4.8</f>
        <v>104.177351704579</v>
      </c>
    </row>
    <row r="8" customFormat="false" ht="15" hidden="false" customHeight="false" outlineLevel="0" collapsed="false">
      <c r="A8" s="0" t="n">
        <v>150</v>
      </c>
      <c r="B8" s="10" t="n">
        <f aca="false">SUMPRODUCT(--(Curvas!$B$5:$B$105&gt;J$6:J$106))</f>
        <v>70</v>
      </c>
      <c r="C8" s="11" t="n">
        <f aca="false">IF(B8=0,0,INDEX($F$6:$F$106,MIN(B8+1,101)))</f>
        <v>145.833333333333</v>
      </c>
      <c r="D8" s="8" t="n">
        <f aca="false">C8-C7</f>
        <v>8.33333333333331</v>
      </c>
      <c r="F8" s="8" t="n">
        <f aca="false">Curvas!A7</f>
        <v>4.16666666666667</v>
      </c>
      <c r="G8" s="8" t="n">
        <f aca="false">Parametros!$B$8+(Parametros!$B$12*(1-Parametros!$B$7)+Parametros!$B$13*Parametros!$B$7)*(1-0.55*G$5/(G$5+150))*9.81*Parametros!$B$11/100000+5*($F8/200)^1.8*(3.5/Parametros!$B$10)^4.8</f>
        <v>166.964706908729</v>
      </c>
      <c r="H8" s="8" t="n">
        <f aca="false">Parametros!$B$8+(Parametros!$B$12*(1-Parametros!$B$7)+Parametros!$B$13*Parametros!$B$7)*(1-0.55*H$5/(H$5+150))*9.81*Parametros!$B$11/100000+5*($F8/200)^1.8*(3.5/Parametros!$B$10)^4.8</f>
        <v>145.382706908729</v>
      </c>
      <c r="I8" s="8" t="n">
        <f aca="false">Parametros!$B$8+(Parametros!$B$12*(1-Parametros!$B$7)+Parametros!$B$13*Parametros!$B$7)*(1-0.55*I$5/(I$5+150))*9.81*Parametros!$B$11/100000+5*($F8/200)^1.8*(3.5/Parametros!$B$10)^4.8</f>
        <v>132.433506908729</v>
      </c>
      <c r="J8" s="8" t="n">
        <f aca="false">Parametros!$B$8+(Parametros!$B$12*(1-Parametros!$B$7)+Parametros!$B$13*Parametros!$B$7)*(1-0.55*J$5/(J$5+150))*9.81*Parametros!$B$11/100000+5*($F8/200)^1.8*(3.5/Parametros!$B$10)^4.8</f>
        <v>123.800706908729</v>
      </c>
      <c r="K8" s="8" t="n">
        <f aca="false">Parametros!$B$8+(Parametros!$B$12*(1-Parametros!$B$7)+Parametros!$B$13*Parametros!$B$7)*(1-0.55*K$5/(K$5+150))*9.81*Parametros!$B$11/100000+5*($F8/200)^1.8*(3.5/Parametros!$B$10)^4.8</f>
        <v>117.634421194443</v>
      </c>
      <c r="L8" s="8" t="n">
        <f aca="false">Parametros!$B$8+(Parametros!$B$12*(1-Parametros!$B$7)+Parametros!$B$13*Parametros!$B$7)*(1-0.55*L$5/(L$5+150))*9.81*Parametros!$B$11/100000+5*($F8/200)^1.8*(3.5/Parametros!$B$10)^4.8</f>
        <v>113.009706908729</v>
      </c>
      <c r="M8" s="8" t="n">
        <f aca="false">Parametros!$B$8+(Parametros!$B$12*(1-Parametros!$B$7)+Parametros!$B$13*Parametros!$B$7)*(1-0.55*M$5/(M$5+150))*9.81*Parametros!$B$11/100000+5*($F8/200)^1.8*(3.5/Parametros!$B$10)^4.8</f>
        <v>109.412706908729</v>
      </c>
      <c r="N8" s="8" t="n">
        <f aca="false">Parametros!$B$8+(Parametros!$B$12*(1-Parametros!$B$7)+Parametros!$B$13*Parametros!$B$7)*(1-0.55*N$5/(N$5+150))*9.81*Parametros!$B$11/100000+5*($F8/200)^1.8*(3.5/Parametros!$B$10)^4.8</f>
        <v>106.535106908729</v>
      </c>
      <c r="O8" s="8" t="n">
        <f aca="false">Parametros!$B$8+(Parametros!$B$12*(1-Parametros!$B$7)+Parametros!$B$13*Parametros!$B$7)*(1-0.55*O$5/(O$5+150))*9.81*Parametros!$B$11/100000+5*($F8/200)^1.8*(3.5/Parametros!$B$10)^4.8</f>
        <v>104.180706908729</v>
      </c>
    </row>
    <row r="9" customFormat="false" ht="15" hidden="false" customHeight="false" outlineLevel="0" collapsed="false">
      <c r="A9" s="0" t="n">
        <v>200</v>
      </c>
      <c r="B9" s="10" t="n">
        <f aca="false">SUMPRODUCT(--(Curvas!$B$5:$B$105&gt;K$6:K$106))</f>
        <v>72</v>
      </c>
      <c r="C9" s="11" t="n">
        <f aca="false">IF(B9=0,0,INDEX($F$6:$F$106,MIN(B9+1,101)))</f>
        <v>150</v>
      </c>
      <c r="D9" s="8" t="n">
        <f aca="false">C9-C8</f>
        <v>4.16666666666666</v>
      </c>
      <c r="F9" s="8" t="n">
        <f aca="false">Curvas!A8</f>
        <v>6.25</v>
      </c>
      <c r="G9" s="8" t="n">
        <f aca="false">Parametros!$B$8+(Parametros!$B$12*(1-Parametros!$B$7)+Parametros!$B$13*Parametros!$B$7)*(1-0.55*G$5/(G$5+150))*9.81*Parametros!$B$11/100000+5*($F9/200)^1.8*(3.5/Parametros!$B$10)^4.8</f>
        <v>166.969765625</v>
      </c>
      <c r="H9" s="8" t="n">
        <f aca="false">Parametros!$B$8+(Parametros!$B$12*(1-Parametros!$B$7)+Parametros!$B$13*Parametros!$B$7)*(1-0.55*H$5/(H$5+150))*9.81*Parametros!$B$11/100000+5*($F9/200)^1.8*(3.5/Parametros!$B$10)^4.8</f>
        <v>145.387765625</v>
      </c>
      <c r="I9" s="8" t="n">
        <f aca="false">Parametros!$B$8+(Parametros!$B$12*(1-Parametros!$B$7)+Parametros!$B$13*Parametros!$B$7)*(1-0.55*I$5/(I$5+150))*9.81*Parametros!$B$11/100000+5*($F9/200)^1.8*(3.5/Parametros!$B$10)^4.8</f>
        <v>132.438565625</v>
      </c>
      <c r="J9" s="8" t="n">
        <f aca="false">Parametros!$B$8+(Parametros!$B$12*(1-Parametros!$B$7)+Parametros!$B$13*Parametros!$B$7)*(1-0.55*J$5/(J$5+150))*9.81*Parametros!$B$11/100000+5*($F9/200)^1.8*(3.5/Parametros!$B$10)^4.8</f>
        <v>123.805765625</v>
      </c>
      <c r="K9" s="8" t="n">
        <f aca="false">Parametros!$B$8+(Parametros!$B$12*(1-Parametros!$B$7)+Parametros!$B$13*Parametros!$B$7)*(1-0.55*K$5/(K$5+150))*9.81*Parametros!$B$11/100000+5*($F9/200)^1.8*(3.5/Parametros!$B$10)^4.8</f>
        <v>117.639479910714</v>
      </c>
      <c r="L9" s="8" t="n">
        <f aca="false">Parametros!$B$8+(Parametros!$B$12*(1-Parametros!$B$7)+Parametros!$B$13*Parametros!$B$7)*(1-0.55*L$5/(L$5+150))*9.81*Parametros!$B$11/100000+5*($F9/200)^1.8*(3.5/Parametros!$B$10)^4.8</f>
        <v>113.014765625</v>
      </c>
      <c r="M9" s="8" t="n">
        <f aca="false">Parametros!$B$8+(Parametros!$B$12*(1-Parametros!$B$7)+Parametros!$B$13*Parametros!$B$7)*(1-0.55*M$5/(M$5+150))*9.81*Parametros!$B$11/100000+5*($F9/200)^1.8*(3.5/Parametros!$B$10)^4.8</f>
        <v>109.417765625</v>
      </c>
      <c r="N9" s="8" t="n">
        <f aca="false">Parametros!$B$8+(Parametros!$B$12*(1-Parametros!$B$7)+Parametros!$B$13*Parametros!$B$7)*(1-0.55*N$5/(N$5+150))*9.81*Parametros!$B$11/100000+5*($F9/200)^1.8*(3.5/Parametros!$B$10)^4.8</f>
        <v>106.540165625</v>
      </c>
      <c r="O9" s="8" t="n">
        <f aca="false">Parametros!$B$8+(Parametros!$B$12*(1-Parametros!$B$7)+Parametros!$B$13*Parametros!$B$7)*(1-0.55*O$5/(O$5+150))*9.81*Parametros!$B$11/100000+5*($F9/200)^1.8*(3.5/Parametros!$B$10)^4.8</f>
        <v>104.185765625</v>
      </c>
    </row>
    <row r="10" customFormat="false" ht="15" hidden="false" customHeight="false" outlineLevel="0" collapsed="false">
      <c r="A10" s="0" t="n">
        <v>250</v>
      </c>
      <c r="B10" s="10" t="n">
        <f aca="false">SUMPRODUCT(--(Curvas!$B$5:$B$105&gt;L$6:L$106))</f>
        <v>74</v>
      </c>
      <c r="C10" s="11" t="n">
        <f aca="false">IF(B10=0,0,INDEX($F$6:$F$106,MIN(B10+1,101)))</f>
        <v>154.166666666667</v>
      </c>
      <c r="D10" s="8" t="n">
        <f aca="false">C10-C9</f>
        <v>4.16666666666669</v>
      </c>
      <c r="F10" s="8" t="n">
        <f aca="false">Curvas!A9</f>
        <v>8.33333333333333</v>
      </c>
      <c r="G10" s="8" t="n">
        <f aca="false">Parametros!$B$8+(Parametros!$B$12*(1-Parametros!$B$7)+Parametros!$B$13*Parametros!$B$7)*(1-0.55*G$5/(G$5+150))*9.81*Parametros!$B$11/100000+5*($F10/200)^1.8*(3.5/Parametros!$B$10)^4.8</f>
        <v>166.976390408182</v>
      </c>
      <c r="H10" s="8" t="n">
        <f aca="false">Parametros!$B$8+(Parametros!$B$12*(1-Parametros!$B$7)+Parametros!$B$13*Parametros!$B$7)*(1-0.55*H$5/(H$5+150))*9.81*Parametros!$B$11/100000+5*($F10/200)^1.8*(3.5/Parametros!$B$10)^4.8</f>
        <v>145.394390408182</v>
      </c>
      <c r="I10" s="8" t="n">
        <f aca="false">Parametros!$B$8+(Parametros!$B$12*(1-Parametros!$B$7)+Parametros!$B$13*Parametros!$B$7)*(1-0.55*I$5/(I$5+150))*9.81*Parametros!$B$11/100000+5*($F10/200)^1.8*(3.5/Parametros!$B$10)^4.8</f>
        <v>132.445190408182</v>
      </c>
      <c r="J10" s="8" t="n">
        <f aca="false">Parametros!$B$8+(Parametros!$B$12*(1-Parametros!$B$7)+Parametros!$B$13*Parametros!$B$7)*(1-0.55*J$5/(J$5+150))*9.81*Parametros!$B$11/100000+5*($F10/200)^1.8*(3.5/Parametros!$B$10)^4.8</f>
        <v>123.812390408182</v>
      </c>
      <c r="K10" s="8" t="n">
        <f aca="false">Parametros!$B$8+(Parametros!$B$12*(1-Parametros!$B$7)+Parametros!$B$13*Parametros!$B$7)*(1-0.55*K$5/(K$5+150))*9.81*Parametros!$B$11/100000+5*($F10/200)^1.8*(3.5/Parametros!$B$10)^4.8</f>
        <v>117.646104693896</v>
      </c>
      <c r="L10" s="8" t="n">
        <f aca="false">Parametros!$B$8+(Parametros!$B$12*(1-Parametros!$B$7)+Parametros!$B$13*Parametros!$B$7)*(1-0.55*L$5/(L$5+150))*9.81*Parametros!$B$11/100000+5*($F10/200)^1.8*(3.5/Parametros!$B$10)^4.8</f>
        <v>113.021390408182</v>
      </c>
      <c r="M10" s="8" t="n">
        <f aca="false">Parametros!$B$8+(Parametros!$B$12*(1-Parametros!$B$7)+Parametros!$B$13*Parametros!$B$7)*(1-0.55*M$5/(M$5+150))*9.81*Parametros!$B$11/100000+5*($F10/200)^1.8*(3.5/Parametros!$B$10)^4.8</f>
        <v>109.424390408182</v>
      </c>
      <c r="N10" s="8" t="n">
        <f aca="false">Parametros!$B$8+(Parametros!$B$12*(1-Parametros!$B$7)+Parametros!$B$13*Parametros!$B$7)*(1-0.55*N$5/(N$5+150))*9.81*Parametros!$B$11/100000+5*($F10/200)^1.8*(3.5/Parametros!$B$10)^4.8</f>
        <v>106.546790408182</v>
      </c>
      <c r="O10" s="8" t="n">
        <f aca="false">Parametros!$B$8+(Parametros!$B$12*(1-Parametros!$B$7)+Parametros!$B$13*Parametros!$B$7)*(1-0.55*O$5/(O$5+150))*9.81*Parametros!$B$11/100000+5*($F10/200)^1.8*(3.5/Parametros!$B$10)^4.8</f>
        <v>104.192390408182</v>
      </c>
    </row>
    <row r="11" customFormat="false" ht="15" hidden="false" customHeight="false" outlineLevel="0" collapsed="false">
      <c r="A11" s="0" t="n">
        <v>300</v>
      </c>
      <c r="B11" s="10" t="n">
        <f aca="false">SUMPRODUCT(--(Curvas!$B$5:$B$105&gt;M$6:M$106))</f>
        <v>75</v>
      </c>
      <c r="C11" s="11" t="n">
        <f aca="false">IF(B11=0,0,INDEX($F$6:$F$106,MIN(B11+1,101)))</f>
        <v>156.25</v>
      </c>
      <c r="D11" s="8" t="n">
        <f aca="false">C11-C10</f>
        <v>2.08333333333334</v>
      </c>
      <c r="F11" s="8" t="n">
        <f aca="false">Curvas!A10</f>
        <v>10.4166666666667</v>
      </c>
      <c r="G11" s="8" t="n">
        <f aca="false">Parametros!$B$8+(Parametros!$B$12*(1-Parametros!$B$7)+Parametros!$B$13*Parametros!$B$7)*(1-0.55*G$5/(G$5+150))*9.81*Parametros!$B$11/100000+5*($F11/200)^1.8*(3.5/Parametros!$B$10)^4.8</f>
        <v>166.984492199746</v>
      </c>
      <c r="H11" s="8" t="n">
        <f aca="false">Parametros!$B$8+(Parametros!$B$12*(1-Parametros!$B$7)+Parametros!$B$13*Parametros!$B$7)*(1-0.55*H$5/(H$5+150))*9.81*Parametros!$B$11/100000+5*($F11/200)^1.8*(3.5/Parametros!$B$10)^4.8</f>
        <v>145.402492199746</v>
      </c>
      <c r="I11" s="8" t="n">
        <f aca="false">Parametros!$B$8+(Parametros!$B$12*(1-Parametros!$B$7)+Parametros!$B$13*Parametros!$B$7)*(1-0.55*I$5/(I$5+150))*9.81*Parametros!$B$11/100000+5*($F11/200)^1.8*(3.5/Parametros!$B$10)^4.8</f>
        <v>132.453292199746</v>
      </c>
      <c r="J11" s="8" t="n">
        <f aca="false">Parametros!$B$8+(Parametros!$B$12*(1-Parametros!$B$7)+Parametros!$B$13*Parametros!$B$7)*(1-0.55*J$5/(J$5+150))*9.81*Parametros!$B$11/100000+5*($F11/200)^1.8*(3.5/Parametros!$B$10)^4.8</f>
        <v>123.820492199746</v>
      </c>
      <c r="K11" s="8" t="n">
        <f aca="false">Parametros!$B$8+(Parametros!$B$12*(1-Parametros!$B$7)+Parametros!$B$13*Parametros!$B$7)*(1-0.55*K$5/(K$5+150))*9.81*Parametros!$B$11/100000+5*($F11/200)^1.8*(3.5/Parametros!$B$10)^4.8</f>
        <v>117.654206485461</v>
      </c>
      <c r="L11" s="8" t="n">
        <f aca="false">Parametros!$B$8+(Parametros!$B$12*(1-Parametros!$B$7)+Parametros!$B$13*Parametros!$B$7)*(1-0.55*L$5/(L$5+150))*9.81*Parametros!$B$11/100000+5*($F11/200)^1.8*(3.5/Parametros!$B$10)^4.8</f>
        <v>113.029492199746</v>
      </c>
      <c r="M11" s="8" t="n">
        <f aca="false">Parametros!$B$8+(Parametros!$B$12*(1-Parametros!$B$7)+Parametros!$B$13*Parametros!$B$7)*(1-0.55*M$5/(M$5+150))*9.81*Parametros!$B$11/100000+5*($F11/200)^1.8*(3.5/Parametros!$B$10)^4.8</f>
        <v>109.432492199746</v>
      </c>
      <c r="N11" s="8" t="n">
        <f aca="false">Parametros!$B$8+(Parametros!$B$12*(1-Parametros!$B$7)+Parametros!$B$13*Parametros!$B$7)*(1-0.55*N$5/(N$5+150))*9.81*Parametros!$B$11/100000+5*($F11/200)^1.8*(3.5/Parametros!$B$10)^4.8</f>
        <v>106.554892199746</v>
      </c>
      <c r="O11" s="8" t="n">
        <f aca="false">Parametros!$B$8+(Parametros!$B$12*(1-Parametros!$B$7)+Parametros!$B$13*Parametros!$B$7)*(1-0.55*O$5/(O$5+150))*9.81*Parametros!$B$11/100000+5*($F11/200)^1.8*(3.5/Parametros!$B$10)^4.8</f>
        <v>104.200492199746</v>
      </c>
    </row>
    <row r="12" customFormat="false" ht="15" hidden="false" customHeight="false" outlineLevel="0" collapsed="false">
      <c r="A12" s="0" t="n">
        <v>350</v>
      </c>
      <c r="B12" s="10" t="n">
        <f aca="false">SUMPRODUCT(--(Curvas!$B$5:$B$105&gt;N$6:N$106))</f>
        <v>76</v>
      </c>
      <c r="C12" s="11" t="n">
        <f aca="false">IF(B12=0,0,INDEX($F$6:$F$106,MIN(B12+1,101)))</f>
        <v>158.333333333333</v>
      </c>
      <c r="D12" s="8" t="n">
        <f aca="false">C12-C11</f>
        <v>2.08333333333331</v>
      </c>
      <c r="F12" s="8" t="n">
        <f aca="false">Curvas!A11</f>
        <v>12.5</v>
      </c>
      <c r="G12" s="8" t="n">
        <f aca="false">Parametros!$B$8+(Parametros!$B$12*(1-Parametros!$B$7)+Parametros!$B$13*Parametros!$B$7)*(1-0.55*G$5/(G$5+150))*9.81*Parametros!$B$11/100000+5*($F12/200)^1.8*(3.5/Parametros!$B$10)^4.8</f>
        <v>166.994005881379</v>
      </c>
      <c r="H12" s="8" t="n">
        <f aca="false">Parametros!$B$8+(Parametros!$B$12*(1-Parametros!$B$7)+Parametros!$B$13*Parametros!$B$7)*(1-0.55*H$5/(H$5+150))*9.81*Parametros!$B$11/100000+5*($F12/200)^1.8*(3.5/Parametros!$B$10)^4.8</f>
        <v>145.412005881379</v>
      </c>
      <c r="I12" s="8" t="n">
        <f aca="false">Parametros!$B$8+(Parametros!$B$12*(1-Parametros!$B$7)+Parametros!$B$13*Parametros!$B$7)*(1-0.55*I$5/(I$5+150))*9.81*Parametros!$B$11/100000+5*($F12/200)^1.8*(3.5/Parametros!$B$10)^4.8</f>
        <v>132.462805881379</v>
      </c>
      <c r="J12" s="8" t="n">
        <f aca="false">Parametros!$B$8+(Parametros!$B$12*(1-Parametros!$B$7)+Parametros!$B$13*Parametros!$B$7)*(1-0.55*J$5/(J$5+150))*9.81*Parametros!$B$11/100000+5*($F12/200)^1.8*(3.5/Parametros!$B$10)^4.8</f>
        <v>123.830005881379</v>
      </c>
      <c r="K12" s="8" t="n">
        <f aca="false">Parametros!$B$8+(Parametros!$B$12*(1-Parametros!$B$7)+Parametros!$B$13*Parametros!$B$7)*(1-0.55*K$5/(K$5+150))*9.81*Parametros!$B$11/100000+5*($F12/200)^1.8*(3.5/Parametros!$B$10)^4.8</f>
        <v>117.663720167093</v>
      </c>
      <c r="L12" s="8" t="n">
        <f aca="false">Parametros!$B$8+(Parametros!$B$12*(1-Parametros!$B$7)+Parametros!$B$13*Parametros!$B$7)*(1-0.55*L$5/(L$5+150))*9.81*Parametros!$B$11/100000+5*($F12/200)^1.8*(3.5/Parametros!$B$10)^4.8</f>
        <v>113.039005881379</v>
      </c>
      <c r="M12" s="8" t="n">
        <f aca="false">Parametros!$B$8+(Parametros!$B$12*(1-Parametros!$B$7)+Parametros!$B$13*Parametros!$B$7)*(1-0.55*M$5/(M$5+150))*9.81*Parametros!$B$11/100000+5*($F12/200)^1.8*(3.5/Parametros!$B$10)^4.8</f>
        <v>109.442005881379</v>
      </c>
      <c r="N12" s="8" t="n">
        <f aca="false">Parametros!$B$8+(Parametros!$B$12*(1-Parametros!$B$7)+Parametros!$B$13*Parametros!$B$7)*(1-0.55*N$5/(N$5+150))*9.81*Parametros!$B$11/100000+5*($F12/200)^1.8*(3.5/Parametros!$B$10)^4.8</f>
        <v>106.564405881379</v>
      </c>
      <c r="O12" s="8" t="n">
        <f aca="false">Parametros!$B$8+(Parametros!$B$12*(1-Parametros!$B$7)+Parametros!$B$13*Parametros!$B$7)*(1-0.55*O$5/(O$5+150))*9.81*Parametros!$B$11/100000+5*($F12/200)^1.8*(3.5/Parametros!$B$10)^4.8</f>
        <v>104.210005881379</v>
      </c>
    </row>
    <row r="13" customFormat="false" ht="15" hidden="false" customHeight="false" outlineLevel="0" collapsed="false">
      <c r="A13" s="0" t="n">
        <v>400</v>
      </c>
      <c r="B13" s="10" t="n">
        <f aca="false">SUMPRODUCT(--(Curvas!$B$5:$B$105&gt;O$6:O$106))</f>
        <v>77</v>
      </c>
      <c r="C13" s="11" t="n">
        <f aca="false">IF(B13=0,0,INDEX($F$6:$F$106,MIN(B13+1,101)))</f>
        <v>160.416666666667</v>
      </c>
      <c r="D13" s="8" t="n">
        <f aca="false">C13-C12</f>
        <v>2.08333333333334</v>
      </c>
      <c r="F13" s="8" t="n">
        <f aca="false">Curvas!A12</f>
        <v>14.5833333333333</v>
      </c>
      <c r="G13" s="8" t="n">
        <f aca="false">Parametros!$B$8+(Parametros!$B$12*(1-Parametros!$B$7)+Parametros!$B$13*Parametros!$B$7)*(1-0.55*G$5/(G$5+150))*9.81*Parametros!$B$11/100000+5*($F13/200)^1.8*(3.5/Parametros!$B$10)^4.8</f>
        <v>167.004880558933</v>
      </c>
      <c r="H13" s="8" t="n">
        <f aca="false">Parametros!$B$8+(Parametros!$B$12*(1-Parametros!$B$7)+Parametros!$B$13*Parametros!$B$7)*(1-0.55*H$5/(H$5+150))*9.81*Parametros!$B$11/100000+5*($F13/200)^1.8*(3.5/Parametros!$B$10)^4.8</f>
        <v>145.422880558933</v>
      </c>
      <c r="I13" s="8" t="n">
        <f aca="false">Parametros!$B$8+(Parametros!$B$12*(1-Parametros!$B$7)+Parametros!$B$13*Parametros!$B$7)*(1-0.55*I$5/(I$5+150))*9.81*Parametros!$B$11/100000+5*($F13/200)^1.8*(3.5/Parametros!$B$10)^4.8</f>
        <v>132.473680558933</v>
      </c>
      <c r="J13" s="8" t="n">
        <f aca="false">Parametros!$B$8+(Parametros!$B$12*(1-Parametros!$B$7)+Parametros!$B$13*Parametros!$B$7)*(1-0.55*J$5/(J$5+150))*9.81*Parametros!$B$11/100000+5*($F13/200)^1.8*(3.5/Parametros!$B$10)^4.8</f>
        <v>123.840880558933</v>
      </c>
      <c r="K13" s="8" t="n">
        <f aca="false">Parametros!$B$8+(Parametros!$B$12*(1-Parametros!$B$7)+Parametros!$B$13*Parametros!$B$7)*(1-0.55*K$5/(K$5+150))*9.81*Parametros!$B$11/100000+5*($F13/200)^1.8*(3.5/Parametros!$B$10)^4.8</f>
        <v>117.674594844647</v>
      </c>
      <c r="L13" s="8" t="n">
        <f aca="false">Parametros!$B$8+(Parametros!$B$12*(1-Parametros!$B$7)+Parametros!$B$13*Parametros!$B$7)*(1-0.55*L$5/(L$5+150))*9.81*Parametros!$B$11/100000+5*($F13/200)^1.8*(3.5/Parametros!$B$10)^4.8</f>
        <v>113.049880558933</v>
      </c>
      <c r="M13" s="8" t="n">
        <f aca="false">Parametros!$B$8+(Parametros!$B$12*(1-Parametros!$B$7)+Parametros!$B$13*Parametros!$B$7)*(1-0.55*M$5/(M$5+150))*9.81*Parametros!$B$11/100000+5*($F13/200)^1.8*(3.5/Parametros!$B$10)^4.8</f>
        <v>109.452880558933</v>
      </c>
      <c r="N13" s="8" t="n">
        <f aca="false">Parametros!$B$8+(Parametros!$B$12*(1-Parametros!$B$7)+Parametros!$B$13*Parametros!$B$7)*(1-0.55*N$5/(N$5+150))*9.81*Parametros!$B$11/100000+5*($F13/200)^1.8*(3.5/Parametros!$B$10)^4.8</f>
        <v>106.575280558933</v>
      </c>
      <c r="O13" s="8" t="n">
        <f aca="false">Parametros!$B$8+(Parametros!$B$12*(1-Parametros!$B$7)+Parametros!$B$13*Parametros!$B$7)*(1-0.55*O$5/(O$5+150))*9.81*Parametros!$B$11/100000+5*($F13/200)^1.8*(3.5/Parametros!$B$10)^4.8</f>
        <v>104.220880558933</v>
      </c>
    </row>
    <row r="14" customFormat="false" ht="15" hidden="false" customHeight="false" outlineLevel="0" collapsed="false">
      <c r="F14" s="8" t="n">
        <f aca="false">Curvas!A13</f>
        <v>16.6666666666667</v>
      </c>
      <c r="G14" s="8" t="n">
        <f aca="false">Parametros!$B$8+(Parametros!$B$12*(1-Parametros!$B$7)+Parametros!$B$13*Parametros!$B$7)*(1-0.55*G$5/(G$5+150))*9.81*Parametros!$B$11/100000+5*($F14/200)^1.8*(3.5/Parametros!$B$10)^4.8</f>
        <v>167.017074716303</v>
      </c>
      <c r="H14" s="8" t="n">
        <f aca="false">Parametros!$B$8+(Parametros!$B$12*(1-Parametros!$B$7)+Parametros!$B$13*Parametros!$B$7)*(1-0.55*H$5/(H$5+150))*9.81*Parametros!$B$11/100000+5*($F14/200)^1.8*(3.5/Parametros!$B$10)^4.8</f>
        <v>145.435074716303</v>
      </c>
      <c r="I14" s="8" t="n">
        <f aca="false">Parametros!$B$8+(Parametros!$B$12*(1-Parametros!$B$7)+Parametros!$B$13*Parametros!$B$7)*(1-0.55*I$5/(I$5+150))*9.81*Parametros!$B$11/100000+5*($F14/200)^1.8*(3.5/Parametros!$B$10)^4.8</f>
        <v>132.485874716303</v>
      </c>
      <c r="J14" s="8" t="n">
        <f aca="false">Parametros!$B$8+(Parametros!$B$12*(1-Parametros!$B$7)+Parametros!$B$13*Parametros!$B$7)*(1-0.55*J$5/(J$5+150))*9.81*Parametros!$B$11/100000+5*($F14/200)^1.8*(3.5/Parametros!$B$10)^4.8</f>
        <v>123.853074716303</v>
      </c>
      <c r="K14" s="8" t="n">
        <f aca="false">Parametros!$B$8+(Parametros!$B$12*(1-Parametros!$B$7)+Parametros!$B$13*Parametros!$B$7)*(1-0.55*K$5/(K$5+150))*9.81*Parametros!$B$11/100000+5*($F14/200)^1.8*(3.5/Parametros!$B$10)^4.8</f>
        <v>117.686789002017</v>
      </c>
      <c r="L14" s="8" t="n">
        <f aca="false">Parametros!$B$8+(Parametros!$B$12*(1-Parametros!$B$7)+Parametros!$B$13*Parametros!$B$7)*(1-0.55*L$5/(L$5+150))*9.81*Parametros!$B$11/100000+5*($F14/200)^1.8*(3.5/Parametros!$B$10)^4.8</f>
        <v>113.062074716303</v>
      </c>
      <c r="M14" s="8" t="n">
        <f aca="false">Parametros!$B$8+(Parametros!$B$12*(1-Parametros!$B$7)+Parametros!$B$13*Parametros!$B$7)*(1-0.55*M$5/(M$5+150))*9.81*Parametros!$B$11/100000+5*($F14/200)^1.8*(3.5/Parametros!$B$10)^4.8</f>
        <v>109.465074716303</v>
      </c>
      <c r="N14" s="8" t="n">
        <f aca="false">Parametros!$B$8+(Parametros!$B$12*(1-Parametros!$B$7)+Parametros!$B$13*Parametros!$B$7)*(1-0.55*N$5/(N$5+150))*9.81*Parametros!$B$11/100000+5*($F14/200)^1.8*(3.5/Parametros!$B$10)^4.8</f>
        <v>106.587474716303</v>
      </c>
      <c r="O14" s="8" t="n">
        <f aca="false">Parametros!$B$8+(Parametros!$B$12*(1-Parametros!$B$7)+Parametros!$B$13*Parametros!$B$7)*(1-0.55*O$5/(O$5+150))*9.81*Parametros!$B$11/100000+5*($F14/200)^1.8*(3.5/Parametros!$B$10)^4.8</f>
        <v>104.233074716303</v>
      </c>
    </row>
    <row r="15" customFormat="false" ht="15" hidden="false" customHeight="false" outlineLevel="0" collapsed="false">
      <c r="A15" s="2" t="s">
        <v>45</v>
      </c>
      <c r="F15" s="8" t="n">
        <f aca="false">Curvas!A14</f>
        <v>18.75</v>
      </c>
      <c r="G15" s="8" t="n">
        <f aca="false">Parametros!$B$8+(Parametros!$B$12*(1-Parametros!$B$7)+Parametros!$B$13*Parametros!$B$7)*(1-0.55*G$5/(G$5+150))*9.81*Parametros!$B$11/100000+5*($F15/200)^1.8*(3.5/Parametros!$B$10)^4.8</f>
        <v>167.030553457577</v>
      </c>
      <c r="H15" s="8" t="n">
        <f aca="false">Parametros!$B$8+(Parametros!$B$12*(1-Parametros!$B$7)+Parametros!$B$13*Parametros!$B$7)*(1-0.55*H$5/(H$5+150))*9.81*Parametros!$B$11/100000+5*($F15/200)^1.8*(3.5/Parametros!$B$10)^4.8</f>
        <v>145.448553457577</v>
      </c>
      <c r="I15" s="8" t="n">
        <f aca="false">Parametros!$B$8+(Parametros!$B$12*(1-Parametros!$B$7)+Parametros!$B$13*Parametros!$B$7)*(1-0.55*I$5/(I$5+150))*9.81*Parametros!$B$11/100000+5*($F15/200)^1.8*(3.5/Parametros!$B$10)^4.8</f>
        <v>132.499353457577</v>
      </c>
      <c r="J15" s="8" t="n">
        <f aca="false">Parametros!$B$8+(Parametros!$B$12*(1-Parametros!$B$7)+Parametros!$B$13*Parametros!$B$7)*(1-0.55*J$5/(J$5+150))*9.81*Parametros!$B$11/100000+5*($F15/200)^1.8*(3.5/Parametros!$B$10)^4.8</f>
        <v>123.866553457577</v>
      </c>
      <c r="K15" s="8" t="n">
        <f aca="false">Parametros!$B$8+(Parametros!$B$12*(1-Parametros!$B$7)+Parametros!$B$13*Parametros!$B$7)*(1-0.55*K$5/(K$5+150))*9.81*Parametros!$B$11/100000+5*($F15/200)^1.8*(3.5/Parametros!$B$10)^4.8</f>
        <v>117.700267743291</v>
      </c>
      <c r="L15" s="8" t="n">
        <f aca="false">Parametros!$B$8+(Parametros!$B$12*(1-Parametros!$B$7)+Parametros!$B$13*Parametros!$B$7)*(1-0.55*L$5/(L$5+150))*9.81*Parametros!$B$11/100000+5*($F15/200)^1.8*(3.5/Parametros!$B$10)^4.8</f>
        <v>113.075553457577</v>
      </c>
      <c r="M15" s="8" t="n">
        <f aca="false">Parametros!$B$8+(Parametros!$B$12*(1-Parametros!$B$7)+Parametros!$B$13*Parametros!$B$7)*(1-0.55*M$5/(M$5+150))*9.81*Parametros!$B$11/100000+5*($F15/200)^1.8*(3.5/Parametros!$B$10)^4.8</f>
        <v>109.478553457577</v>
      </c>
      <c r="N15" s="8" t="n">
        <f aca="false">Parametros!$B$8+(Parametros!$B$12*(1-Parametros!$B$7)+Parametros!$B$13*Parametros!$B$7)*(1-0.55*N$5/(N$5+150))*9.81*Parametros!$B$11/100000+5*($F15/200)^1.8*(3.5/Parametros!$B$10)^4.8</f>
        <v>106.600953457577</v>
      </c>
      <c r="O15" s="8" t="n">
        <f aca="false">Parametros!$B$8+(Parametros!$B$12*(1-Parametros!$B$7)+Parametros!$B$13*Parametros!$B$7)*(1-0.55*O$5/(O$5+150))*9.81*Parametros!$B$11/100000+5*($F15/200)^1.8*(3.5/Parametros!$B$10)^4.8</f>
        <v>104.246553457577</v>
      </c>
    </row>
    <row r="16" customFormat="false" ht="15" hidden="false" customHeight="false" outlineLevel="0" collapsed="false">
      <c r="F16" s="8" t="n">
        <f aca="false">Curvas!A15</f>
        <v>20.8333333333333</v>
      </c>
      <c r="G16" s="8" t="n">
        <f aca="false">Parametros!$B$8+(Parametros!$B$12*(1-Parametros!$B$7)+Parametros!$B$13*Parametros!$B$7)*(1-0.55*G$5/(G$5+150))*9.81*Parametros!$B$11/100000+5*($F16/200)^1.8*(3.5/Parametros!$B$10)^4.8</f>
        <v>167.045286793142</v>
      </c>
      <c r="H16" s="8" t="n">
        <f aca="false">Parametros!$B$8+(Parametros!$B$12*(1-Parametros!$B$7)+Parametros!$B$13*Parametros!$B$7)*(1-0.55*H$5/(H$5+150))*9.81*Parametros!$B$11/100000+5*($F16/200)^1.8*(3.5/Parametros!$B$10)^4.8</f>
        <v>145.463286793142</v>
      </c>
      <c r="I16" s="8" t="n">
        <f aca="false">Parametros!$B$8+(Parametros!$B$12*(1-Parametros!$B$7)+Parametros!$B$13*Parametros!$B$7)*(1-0.55*I$5/(I$5+150))*9.81*Parametros!$B$11/100000+5*($F16/200)^1.8*(3.5/Parametros!$B$10)^4.8</f>
        <v>132.514086793142</v>
      </c>
      <c r="J16" s="8" t="n">
        <f aca="false">Parametros!$B$8+(Parametros!$B$12*(1-Parametros!$B$7)+Parametros!$B$13*Parametros!$B$7)*(1-0.55*J$5/(J$5+150))*9.81*Parametros!$B$11/100000+5*($F16/200)^1.8*(3.5/Parametros!$B$10)^4.8</f>
        <v>123.881286793142</v>
      </c>
      <c r="K16" s="8" t="n">
        <f aca="false">Parametros!$B$8+(Parametros!$B$12*(1-Parametros!$B$7)+Parametros!$B$13*Parametros!$B$7)*(1-0.55*K$5/(K$5+150))*9.81*Parametros!$B$11/100000+5*($F16/200)^1.8*(3.5/Parametros!$B$10)^4.8</f>
        <v>117.715001078856</v>
      </c>
      <c r="L16" s="8" t="n">
        <f aca="false">Parametros!$B$8+(Parametros!$B$12*(1-Parametros!$B$7)+Parametros!$B$13*Parametros!$B$7)*(1-0.55*L$5/(L$5+150))*9.81*Parametros!$B$11/100000+5*($F16/200)^1.8*(3.5/Parametros!$B$10)^4.8</f>
        <v>113.090286793142</v>
      </c>
      <c r="M16" s="8" t="n">
        <f aca="false">Parametros!$B$8+(Parametros!$B$12*(1-Parametros!$B$7)+Parametros!$B$13*Parametros!$B$7)*(1-0.55*M$5/(M$5+150))*9.81*Parametros!$B$11/100000+5*($F16/200)^1.8*(3.5/Parametros!$B$10)^4.8</f>
        <v>109.493286793142</v>
      </c>
      <c r="N16" s="8" t="n">
        <f aca="false">Parametros!$B$8+(Parametros!$B$12*(1-Parametros!$B$7)+Parametros!$B$13*Parametros!$B$7)*(1-0.55*N$5/(N$5+150))*9.81*Parametros!$B$11/100000+5*($F16/200)^1.8*(3.5/Parametros!$B$10)^4.8</f>
        <v>106.615686793142</v>
      </c>
      <c r="O16" s="8" t="n">
        <f aca="false">Parametros!$B$8+(Parametros!$B$12*(1-Parametros!$B$7)+Parametros!$B$13*Parametros!$B$7)*(1-0.55*O$5/(O$5+150))*9.81*Parametros!$B$11/100000+5*($F16/200)^1.8*(3.5/Parametros!$B$10)^4.8</f>
        <v>104.261286793142</v>
      </c>
    </row>
    <row r="17" customFormat="false" ht="15" hidden="false" customHeight="false" outlineLevel="0" collapsed="false">
      <c r="F17" s="8" t="n">
        <f aca="false">Curvas!A16</f>
        <v>22.9166666666667</v>
      </c>
      <c r="G17" s="8" t="n">
        <f aca="false">Parametros!$B$8+(Parametros!$B$12*(1-Parametros!$B$7)+Parametros!$B$13*Parametros!$B$7)*(1-0.55*G$5/(G$5+150))*9.81*Parametros!$B$11/100000+5*($F17/200)^1.8*(3.5/Parametros!$B$10)^4.8</f>
        <v>167.061248504733</v>
      </c>
      <c r="H17" s="8" t="n">
        <f aca="false">Parametros!$B$8+(Parametros!$B$12*(1-Parametros!$B$7)+Parametros!$B$13*Parametros!$B$7)*(1-0.55*H$5/(H$5+150))*9.81*Parametros!$B$11/100000+5*($F17/200)^1.8*(3.5/Parametros!$B$10)^4.8</f>
        <v>145.479248504733</v>
      </c>
      <c r="I17" s="8" t="n">
        <f aca="false">Parametros!$B$8+(Parametros!$B$12*(1-Parametros!$B$7)+Parametros!$B$13*Parametros!$B$7)*(1-0.55*I$5/(I$5+150))*9.81*Parametros!$B$11/100000+5*($F17/200)^1.8*(3.5/Parametros!$B$10)^4.8</f>
        <v>132.530048504733</v>
      </c>
      <c r="J17" s="8" t="n">
        <f aca="false">Parametros!$B$8+(Parametros!$B$12*(1-Parametros!$B$7)+Parametros!$B$13*Parametros!$B$7)*(1-0.55*J$5/(J$5+150))*9.81*Parametros!$B$11/100000+5*($F17/200)^1.8*(3.5/Parametros!$B$10)^4.8</f>
        <v>123.897248504733</v>
      </c>
      <c r="K17" s="8" t="n">
        <f aca="false">Parametros!$B$8+(Parametros!$B$12*(1-Parametros!$B$7)+Parametros!$B$13*Parametros!$B$7)*(1-0.55*K$5/(K$5+150))*9.81*Parametros!$B$11/100000+5*($F17/200)^1.8*(3.5/Parametros!$B$10)^4.8</f>
        <v>117.730962790448</v>
      </c>
      <c r="L17" s="8" t="n">
        <f aca="false">Parametros!$B$8+(Parametros!$B$12*(1-Parametros!$B$7)+Parametros!$B$13*Parametros!$B$7)*(1-0.55*L$5/(L$5+150))*9.81*Parametros!$B$11/100000+5*($F17/200)^1.8*(3.5/Parametros!$B$10)^4.8</f>
        <v>113.106248504733</v>
      </c>
      <c r="M17" s="8" t="n">
        <f aca="false">Parametros!$B$8+(Parametros!$B$12*(1-Parametros!$B$7)+Parametros!$B$13*Parametros!$B$7)*(1-0.55*M$5/(M$5+150))*9.81*Parametros!$B$11/100000+5*($F17/200)^1.8*(3.5/Parametros!$B$10)^4.8</f>
        <v>109.509248504733</v>
      </c>
      <c r="N17" s="8" t="n">
        <f aca="false">Parametros!$B$8+(Parametros!$B$12*(1-Parametros!$B$7)+Parametros!$B$13*Parametros!$B$7)*(1-0.55*N$5/(N$5+150))*9.81*Parametros!$B$11/100000+5*($F17/200)^1.8*(3.5/Parametros!$B$10)^4.8</f>
        <v>106.631648504733</v>
      </c>
      <c r="O17" s="8" t="n">
        <f aca="false">Parametros!$B$8+(Parametros!$B$12*(1-Parametros!$B$7)+Parametros!$B$13*Parametros!$B$7)*(1-0.55*O$5/(O$5+150))*9.81*Parametros!$B$11/100000+5*($F17/200)^1.8*(3.5/Parametros!$B$10)^4.8</f>
        <v>104.277248504733</v>
      </c>
    </row>
    <row r="18" customFormat="false" ht="15" hidden="false" customHeight="false" outlineLevel="0" collapsed="false">
      <c r="F18" s="8" t="n">
        <f aca="false">Curvas!A17</f>
        <v>25</v>
      </c>
      <c r="G18" s="8" t="n">
        <f aca="false">Parametros!$B$8+(Parametros!$B$12*(1-Parametros!$B$7)+Parametros!$B$13*Parametros!$B$7)*(1-0.55*G$5/(G$5+150))*9.81*Parametros!$B$11/100000+5*($F18/200)^1.8*(3.5/Parametros!$B$10)^4.8</f>
        <v>167.078415356759</v>
      </c>
      <c r="H18" s="8" t="n">
        <f aca="false">Parametros!$B$8+(Parametros!$B$12*(1-Parametros!$B$7)+Parametros!$B$13*Parametros!$B$7)*(1-0.55*H$5/(H$5+150))*9.81*Parametros!$B$11/100000+5*($F18/200)^1.8*(3.5/Parametros!$B$10)^4.8</f>
        <v>145.496415356759</v>
      </c>
      <c r="I18" s="8" t="n">
        <f aca="false">Parametros!$B$8+(Parametros!$B$12*(1-Parametros!$B$7)+Parametros!$B$13*Parametros!$B$7)*(1-0.55*I$5/(I$5+150))*9.81*Parametros!$B$11/100000+5*($F18/200)^1.8*(3.5/Parametros!$B$10)^4.8</f>
        <v>132.547215356759</v>
      </c>
      <c r="J18" s="8" t="n">
        <f aca="false">Parametros!$B$8+(Parametros!$B$12*(1-Parametros!$B$7)+Parametros!$B$13*Parametros!$B$7)*(1-0.55*J$5/(J$5+150))*9.81*Parametros!$B$11/100000+5*($F18/200)^1.8*(3.5/Parametros!$B$10)^4.8</f>
        <v>123.914415356759</v>
      </c>
      <c r="K18" s="8" t="n">
        <f aca="false">Parametros!$B$8+(Parametros!$B$12*(1-Parametros!$B$7)+Parametros!$B$13*Parametros!$B$7)*(1-0.55*K$5/(K$5+150))*9.81*Parametros!$B$11/100000+5*($F18/200)^1.8*(3.5/Parametros!$B$10)^4.8</f>
        <v>117.748129642473</v>
      </c>
      <c r="L18" s="8" t="n">
        <f aca="false">Parametros!$B$8+(Parametros!$B$12*(1-Parametros!$B$7)+Parametros!$B$13*Parametros!$B$7)*(1-0.55*L$5/(L$5+150))*9.81*Parametros!$B$11/100000+5*($F18/200)^1.8*(3.5/Parametros!$B$10)^4.8</f>
        <v>113.123415356759</v>
      </c>
      <c r="M18" s="8" t="n">
        <f aca="false">Parametros!$B$8+(Parametros!$B$12*(1-Parametros!$B$7)+Parametros!$B$13*Parametros!$B$7)*(1-0.55*M$5/(M$5+150))*9.81*Parametros!$B$11/100000+5*($F18/200)^1.8*(3.5/Parametros!$B$10)^4.8</f>
        <v>109.526415356759</v>
      </c>
      <c r="N18" s="8" t="n">
        <f aca="false">Parametros!$B$8+(Parametros!$B$12*(1-Parametros!$B$7)+Parametros!$B$13*Parametros!$B$7)*(1-0.55*N$5/(N$5+150))*9.81*Parametros!$B$11/100000+5*($F18/200)^1.8*(3.5/Parametros!$B$10)^4.8</f>
        <v>106.648815356759</v>
      </c>
      <c r="O18" s="8" t="n">
        <f aca="false">Parametros!$B$8+(Parametros!$B$12*(1-Parametros!$B$7)+Parametros!$B$13*Parametros!$B$7)*(1-0.55*O$5/(O$5+150))*9.81*Parametros!$B$11/100000+5*($F18/200)^1.8*(3.5/Parametros!$B$10)^4.8</f>
        <v>104.294415356759</v>
      </c>
    </row>
    <row r="19" customFormat="false" ht="15" hidden="false" customHeight="false" outlineLevel="0" collapsed="false">
      <c r="F19" s="8" t="n">
        <f aca="false">Curvas!A18</f>
        <v>27.0833333333333</v>
      </c>
      <c r="G19" s="8" t="n">
        <f aca="false">Parametros!$B$8+(Parametros!$B$12*(1-Parametros!$B$7)+Parametros!$B$13*Parametros!$B$7)*(1-0.55*G$5/(G$5+150))*9.81*Parametros!$B$11/100000+5*($F19/200)^1.8*(3.5/Parametros!$B$10)^4.8</f>
        <v>167.096766527086</v>
      </c>
      <c r="H19" s="8" t="n">
        <f aca="false">Parametros!$B$8+(Parametros!$B$12*(1-Parametros!$B$7)+Parametros!$B$13*Parametros!$B$7)*(1-0.55*H$5/(H$5+150))*9.81*Parametros!$B$11/100000+5*($F19/200)^1.8*(3.5/Parametros!$B$10)^4.8</f>
        <v>145.514766527086</v>
      </c>
      <c r="I19" s="8" t="n">
        <f aca="false">Parametros!$B$8+(Parametros!$B$12*(1-Parametros!$B$7)+Parametros!$B$13*Parametros!$B$7)*(1-0.55*I$5/(I$5+150))*9.81*Parametros!$B$11/100000+5*($F19/200)^1.8*(3.5/Parametros!$B$10)^4.8</f>
        <v>132.565566527086</v>
      </c>
      <c r="J19" s="8" t="n">
        <f aca="false">Parametros!$B$8+(Parametros!$B$12*(1-Parametros!$B$7)+Parametros!$B$13*Parametros!$B$7)*(1-0.55*J$5/(J$5+150))*9.81*Parametros!$B$11/100000+5*($F19/200)^1.8*(3.5/Parametros!$B$10)^4.8</f>
        <v>123.932766527086</v>
      </c>
      <c r="K19" s="8" t="n">
        <f aca="false">Parametros!$B$8+(Parametros!$B$12*(1-Parametros!$B$7)+Parametros!$B$13*Parametros!$B$7)*(1-0.55*K$5/(K$5+150))*9.81*Parametros!$B$11/100000+5*($F19/200)^1.8*(3.5/Parametros!$B$10)^4.8</f>
        <v>117.7664808128</v>
      </c>
      <c r="L19" s="8" t="n">
        <f aca="false">Parametros!$B$8+(Parametros!$B$12*(1-Parametros!$B$7)+Parametros!$B$13*Parametros!$B$7)*(1-0.55*L$5/(L$5+150))*9.81*Parametros!$B$11/100000+5*($F19/200)^1.8*(3.5/Parametros!$B$10)^4.8</f>
        <v>113.141766527086</v>
      </c>
      <c r="M19" s="8" t="n">
        <f aca="false">Parametros!$B$8+(Parametros!$B$12*(1-Parametros!$B$7)+Parametros!$B$13*Parametros!$B$7)*(1-0.55*M$5/(M$5+150))*9.81*Parametros!$B$11/100000+5*($F19/200)^1.8*(3.5/Parametros!$B$10)^4.8</f>
        <v>109.544766527086</v>
      </c>
      <c r="N19" s="8" t="n">
        <f aca="false">Parametros!$B$8+(Parametros!$B$12*(1-Parametros!$B$7)+Parametros!$B$13*Parametros!$B$7)*(1-0.55*N$5/(N$5+150))*9.81*Parametros!$B$11/100000+5*($F19/200)^1.8*(3.5/Parametros!$B$10)^4.8</f>
        <v>106.667166527086</v>
      </c>
      <c r="O19" s="8" t="n">
        <f aca="false">Parametros!$B$8+(Parametros!$B$12*(1-Parametros!$B$7)+Parametros!$B$13*Parametros!$B$7)*(1-0.55*O$5/(O$5+150))*9.81*Parametros!$B$11/100000+5*($F19/200)^1.8*(3.5/Parametros!$B$10)^4.8</f>
        <v>104.312766527086</v>
      </c>
    </row>
    <row r="20" customFormat="false" ht="15" hidden="false" customHeight="false" outlineLevel="0" collapsed="false">
      <c r="F20" s="8" t="n">
        <f aca="false">Curvas!A19</f>
        <v>29.1666666666667</v>
      </c>
      <c r="G20" s="8" t="n">
        <f aca="false">Parametros!$B$8+(Parametros!$B$12*(1-Parametros!$B$7)+Parametros!$B$13*Parametros!$B$7)*(1-0.55*G$5/(G$5+150))*9.81*Parametros!$B$11/100000+5*($F20/200)^1.8*(3.5/Parametros!$B$10)^4.8</f>
        <v>167.11628318344</v>
      </c>
      <c r="H20" s="8" t="n">
        <f aca="false">Parametros!$B$8+(Parametros!$B$12*(1-Parametros!$B$7)+Parametros!$B$13*Parametros!$B$7)*(1-0.55*H$5/(H$5+150))*9.81*Parametros!$B$11/100000+5*($F20/200)^1.8*(3.5/Parametros!$B$10)^4.8</f>
        <v>145.53428318344</v>
      </c>
      <c r="I20" s="8" t="n">
        <f aca="false">Parametros!$B$8+(Parametros!$B$12*(1-Parametros!$B$7)+Parametros!$B$13*Parametros!$B$7)*(1-0.55*I$5/(I$5+150))*9.81*Parametros!$B$11/100000+5*($F20/200)^1.8*(3.5/Parametros!$B$10)^4.8</f>
        <v>132.58508318344</v>
      </c>
      <c r="J20" s="8" t="n">
        <f aca="false">Parametros!$B$8+(Parametros!$B$12*(1-Parametros!$B$7)+Parametros!$B$13*Parametros!$B$7)*(1-0.55*J$5/(J$5+150))*9.81*Parametros!$B$11/100000+5*($F20/200)^1.8*(3.5/Parametros!$B$10)^4.8</f>
        <v>123.95228318344</v>
      </c>
      <c r="K20" s="8" t="n">
        <f aca="false">Parametros!$B$8+(Parametros!$B$12*(1-Parametros!$B$7)+Parametros!$B$13*Parametros!$B$7)*(1-0.55*K$5/(K$5+150))*9.81*Parametros!$B$11/100000+5*($F20/200)^1.8*(3.5/Parametros!$B$10)^4.8</f>
        <v>117.785997469154</v>
      </c>
      <c r="L20" s="8" t="n">
        <f aca="false">Parametros!$B$8+(Parametros!$B$12*(1-Parametros!$B$7)+Parametros!$B$13*Parametros!$B$7)*(1-0.55*L$5/(L$5+150))*9.81*Parametros!$B$11/100000+5*($F20/200)^1.8*(3.5/Parametros!$B$10)^4.8</f>
        <v>113.16128318344</v>
      </c>
      <c r="M20" s="8" t="n">
        <f aca="false">Parametros!$B$8+(Parametros!$B$12*(1-Parametros!$B$7)+Parametros!$B$13*Parametros!$B$7)*(1-0.55*M$5/(M$5+150))*9.81*Parametros!$B$11/100000+5*($F20/200)^1.8*(3.5/Parametros!$B$10)^4.8</f>
        <v>109.56428318344</v>
      </c>
      <c r="N20" s="8" t="n">
        <f aca="false">Parametros!$B$8+(Parametros!$B$12*(1-Parametros!$B$7)+Parametros!$B$13*Parametros!$B$7)*(1-0.55*N$5/(N$5+150))*9.81*Parametros!$B$11/100000+5*($F20/200)^1.8*(3.5/Parametros!$B$10)^4.8</f>
        <v>106.68668318344</v>
      </c>
      <c r="O20" s="8" t="n">
        <f aca="false">Parametros!$B$8+(Parametros!$B$12*(1-Parametros!$B$7)+Parametros!$B$13*Parametros!$B$7)*(1-0.55*O$5/(O$5+150))*9.81*Parametros!$B$11/100000+5*($F20/200)^1.8*(3.5/Parametros!$B$10)^4.8</f>
        <v>104.33228318344</v>
      </c>
    </row>
    <row r="21" customFormat="false" ht="15" hidden="false" customHeight="false" outlineLevel="0" collapsed="false">
      <c r="F21" s="8" t="n">
        <f aca="false">Curvas!A20</f>
        <v>31.25</v>
      </c>
      <c r="G21" s="8" t="n">
        <f aca="false">Parametros!$B$8+(Parametros!$B$12*(1-Parametros!$B$7)+Parametros!$B$13*Parametros!$B$7)*(1-0.55*G$5/(G$5+150))*9.81*Parametros!$B$11/100000+5*($F21/200)^1.8*(3.5/Parametros!$B$10)^4.8</f>
        <v>167.136948160078</v>
      </c>
      <c r="H21" s="8" t="n">
        <f aca="false">Parametros!$B$8+(Parametros!$B$12*(1-Parametros!$B$7)+Parametros!$B$13*Parametros!$B$7)*(1-0.55*H$5/(H$5+150))*9.81*Parametros!$B$11/100000+5*($F21/200)^1.8*(3.5/Parametros!$B$10)^4.8</f>
        <v>145.554948160078</v>
      </c>
      <c r="I21" s="8" t="n">
        <f aca="false">Parametros!$B$8+(Parametros!$B$12*(1-Parametros!$B$7)+Parametros!$B$13*Parametros!$B$7)*(1-0.55*I$5/(I$5+150))*9.81*Parametros!$B$11/100000+5*($F21/200)^1.8*(3.5/Parametros!$B$10)^4.8</f>
        <v>132.605748160078</v>
      </c>
      <c r="J21" s="8" t="n">
        <f aca="false">Parametros!$B$8+(Parametros!$B$12*(1-Parametros!$B$7)+Parametros!$B$13*Parametros!$B$7)*(1-0.55*J$5/(J$5+150))*9.81*Parametros!$B$11/100000+5*($F21/200)^1.8*(3.5/Parametros!$B$10)^4.8</f>
        <v>123.972948160078</v>
      </c>
      <c r="K21" s="8" t="n">
        <f aca="false">Parametros!$B$8+(Parametros!$B$12*(1-Parametros!$B$7)+Parametros!$B$13*Parametros!$B$7)*(1-0.55*K$5/(K$5+150))*9.81*Parametros!$B$11/100000+5*($F21/200)^1.8*(3.5/Parametros!$B$10)^4.8</f>
        <v>117.806662445792</v>
      </c>
      <c r="L21" s="8" t="n">
        <f aca="false">Parametros!$B$8+(Parametros!$B$12*(1-Parametros!$B$7)+Parametros!$B$13*Parametros!$B$7)*(1-0.55*L$5/(L$5+150))*9.81*Parametros!$B$11/100000+5*($F21/200)^1.8*(3.5/Parametros!$B$10)^4.8</f>
        <v>113.181948160078</v>
      </c>
      <c r="M21" s="8" t="n">
        <f aca="false">Parametros!$B$8+(Parametros!$B$12*(1-Parametros!$B$7)+Parametros!$B$13*Parametros!$B$7)*(1-0.55*M$5/(M$5+150))*9.81*Parametros!$B$11/100000+5*($F21/200)^1.8*(3.5/Parametros!$B$10)^4.8</f>
        <v>109.584948160078</v>
      </c>
      <c r="N21" s="8" t="n">
        <f aca="false">Parametros!$B$8+(Parametros!$B$12*(1-Parametros!$B$7)+Parametros!$B$13*Parametros!$B$7)*(1-0.55*N$5/(N$5+150))*9.81*Parametros!$B$11/100000+5*($F21/200)^1.8*(3.5/Parametros!$B$10)^4.8</f>
        <v>106.707348160078</v>
      </c>
      <c r="O21" s="8" t="n">
        <f aca="false">Parametros!$B$8+(Parametros!$B$12*(1-Parametros!$B$7)+Parametros!$B$13*Parametros!$B$7)*(1-0.55*O$5/(O$5+150))*9.81*Parametros!$B$11/100000+5*($F21/200)^1.8*(3.5/Parametros!$B$10)^4.8</f>
        <v>104.352948160078</v>
      </c>
    </row>
    <row r="22" customFormat="false" ht="15" hidden="false" customHeight="false" outlineLevel="0" collapsed="false">
      <c r="F22" s="8" t="n">
        <f aca="false">Curvas!A21</f>
        <v>33.3333333333333</v>
      </c>
      <c r="G22" s="8" t="n">
        <f aca="false">Parametros!$B$8+(Parametros!$B$12*(1-Parametros!$B$7)+Parametros!$B$13*Parametros!$B$7)*(1-0.55*G$5/(G$5+150))*9.81*Parametros!$B$11/100000+5*($F22/200)^1.8*(3.5/Parametros!$B$10)^4.8</f>
        <v>167.158745705709</v>
      </c>
      <c r="H22" s="8" t="n">
        <f aca="false">Parametros!$B$8+(Parametros!$B$12*(1-Parametros!$B$7)+Parametros!$B$13*Parametros!$B$7)*(1-0.55*H$5/(H$5+150))*9.81*Parametros!$B$11/100000+5*($F22/200)^1.8*(3.5/Parametros!$B$10)^4.8</f>
        <v>145.576745705709</v>
      </c>
      <c r="I22" s="8" t="n">
        <f aca="false">Parametros!$B$8+(Parametros!$B$12*(1-Parametros!$B$7)+Parametros!$B$13*Parametros!$B$7)*(1-0.55*I$5/(I$5+150))*9.81*Parametros!$B$11/100000+5*($F22/200)^1.8*(3.5/Parametros!$B$10)^4.8</f>
        <v>132.627545705709</v>
      </c>
      <c r="J22" s="8" t="n">
        <f aca="false">Parametros!$B$8+(Parametros!$B$12*(1-Parametros!$B$7)+Parametros!$B$13*Parametros!$B$7)*(1-0.55*J$5/(J$5+150))*9.81*Parametros!$B$11/100000+5*($F22/200)^1.8*(3.5/Parametros!$B$10)^4.8</f>
        <v>123.994745705709</v>
      </c>
      <c r="K22" s="8" t="n">
        <f aca="false">Parametros!$B$8+(Parametros!$B$12*(1-Parametros!$B$7)+Parametros!$B$13*Parametros!$B$7)*(1-0.55*K$5/(K$5+150))*9.81*Parametros!$B$11/100000+5*($F22/200)^1.8*(3.5/Parametros!$B$10)^4.8</f>
        <v>117.828459991423</v>
      </c>
      <c r="L22" s="8" t="n">
        <f aca="false">Parametros!$B$8+(Parametros!$B$12*(1-Parametros!$B$7)+Parametros!$B$13*Parametros!$B$7)*(1-0.55*L$5/(L$5+150))*9.81*Parametros!$B$11/100000+5*($F22/200)^1.8*(3.5/Parametros!$B$10)^4.8</f>
        <v>113.203745705709</v>
      </c>
      <c r="M22" s="8" t="n">
        <f aca="false">Parametros!$B$8+(Parametros!$B$12*(1-Parametros!$B$7)+Parametros!$B$13*Parametros!$B$7)*(1-0.55*M$5/(M$5+150))*9.81*Parametros!$B$11/100000+5*($F22/200)^1.8*(3.5/Parametros!$B$10)^4.8</f>
        <v>109.606745705709</v>
      </c>
      <c r="N22" s="8" t="n">
        <f aca="false">Parametros!$B$8+(Parametros!$B$12*(1-Parametros!$B$7)+Parametros!$B$13*Parametros!$B$7)*(1-0.55*N$5/(N$5+150))*9.81*Parametros!$B$11/100000+5*($F22/200)^1.8*(3.5/Parametros!$B$10)^4.8</f>
        <v>106.729145705709</v>
      </c>
      <c r="O22" s="8" t="n">
        <f aca="false">Parametros!$B$8+(Parametros!$B$12*(1-Parametros!$B$7)+Parametros!$B$13*Parametros!$B$7)*(1-0.55*O$5/(O$5+150))*9.81*Parametros!$B$11/100000+5*($F22/200)^1.8*(3.5/Parametros!$B$10)^4.8</f>
        <v>104.374745705709</v>
      </c>
    </row>
    <row r="23" customFormat="false" ht="15" hidden="false" customHeight="false" outlineLevel="0" collapsed="false">
      <c r="F23" s="8" t="n">
        <f aca="false">Curvas!A22</f>
        <v>35.4166666666667</v>
      </c>
      <c r="G23" s="8" t="n">
        <f aca="false">Parametros!$B$8+(Parametros!$B$12*(1-Parametros!$B$7)+Parametros!$B$13*Parametros!$B$7)*(1-0.55*G$5/(G$5+150))*9.81*Parametros!$B$11/100000+5*($F23/200)^1.8*(3.5/Parametros!$B$10)^4.8</f>
        <v>167.181661283355</v>
      </c>
      <c r="H23" s="8" t="n">
        <f aca="false">Parametros!$B$8+(Parametros!$B$12*(1-Parametros!$B$7)+Parametros!$B$13*Parametros!$B$7)*(1-0.55*H$5/(H$5+150))*9.81*Parametros!$B$11/100000+5*($F23/200)^1.8*(3.5/Parametros!$B$10)^4.8</f>
        <v>145.599661283355</v>
      </c>
      <c r="I23" s="8" t="n">
        <f aca="false">Parametros!$B$8+(Parametros!$B$12*(1-Parametros!$B$7)+Parametros!$B$13*Parametros!$B$7)*(1-0.55*I$5/(I$5+150))*9.81*Parametros!$B$11/100000+5*($F23/200)^1.8*(3.5/Parametros!$B$10)^4.8</f>
        <v>132.650461283355</v>
      </c>
      <c r="J23" s="8" t="n">
        <f aca="false">Parametros!$B$8+(Parametros!$B$12*(1-Parametros!$B$7)+Parametros!$B$13*Parametros!$B$7)*(1-0.55*J$5/(J$5+150))*9.81*Parametros!$B$11/100000+5*($F23/200)^1.8*(3.5/Parametros!$B$10)^4.8</f>
        <v>124.017661283355</v>
      </c>
      <c r="K23" s="8" t="n">
        <f aca="false">Parametros!$B$8+(Parametros!$B$12*(1-Parametros!$B$7)+Parametros!$B$13*Parametros!$B$7)*(1-0.55*K$5/(K$5+150))*9.81*Parametros!$B$11/100000+5*($F23/200)^1.8*(3.5/Parametros!$B$10)^4.8</f>
        <v>117.851375569069</v>
      </c>
      <c r="L23" s="8" t="n">
        <f aca="false">Parametros!$B$8+(Parametros!$B$12*(1-Parametros!$B$7)+Parametros!$B$13*Parametros!$B$7)*(1-0.55*L$5/(L$5+150))*9.81*Parametros!$B$11/100000+5*($F23/200)^1.8*(3.5/Parametros!$B$10)^4.8</f>
        <v>113.226661283355</v>
      </c>
      <c r="M23" s="8" t="n">
        <f aca="false">Parametros!$B$8+(Parametros!$B$12*(1-Parametros!$B$7)+Parametros!$B$13*Parametros!$B$7)*(1-0.55*M$5/(M$5+150))*9.81*Parametros!$B$11/100000+5*($F23/200)^1.8*(3.5/Parametros!$B$10)^4.8</f>
        <v>109.629661283355</v>
      </c>
      <c r="N23" s="8" t="n">
        <f aca="false">Parametros!$B$8+(Parametros!$B$12*(1-Parametros!$B$7)+Parametros!$B$13*Parametros!$B$7)*(1-0.55*N$5/(N$5+150))*9.81*Parametros!$B$11/100000+5*($F23/200)^1.8*(3.5/Parametros!$B$10)^4.8</f>
        <v>106.752061283355</v>
      </c>
      <c r="O23" s="8" t="n">
        <f aca="false">Parametros!$B$8+(Parametros!$B$12*(1-Parametros!$B$7)+Parametros!$B$13*Parametros!$B$7)*(1-0.55*O$5/(O$5+150))*9.81*Parametros!$B$11/100000+5*($F23/200)^1.8*(3.5/Parametros!$B$10)^4.8</f>
        <v>104.397661283355</v>
      </c>
    </row>
    <row r="24" customFormat="false" ht="15" hidden="false" customHeight="false" outlineLevel="0" collapsed="false">
      <c r="F24" s="8" t="n">
        <f aca="false">Curvas!A23</f>
        <v>37.5</v>
      </c>
      <c r="G24" s="8" t="n">
        <f aca="false">Parametros!$B$8+(Parametros!$B$12*(1-Parametros!$B$7)+Parametros!$B$13*Parametros!$B$7)*(1-0.55*G$5/(G$5+150))*9.81*Parametros!$B$11/100000+5*($F24/200)^1.8*(3.5/Parametros!$B$10)^4.8</f>
        <v>167.205681408943</v>
      </c>
      <c r="H24" s="8" t="n">
        <f aca="false">Parametros!$B$8+(Parametros!$B$12*(1-Parametros!$B$7)+Parametros!$B$13*Parametros!$B$7)*(1-0.55*H$5/(H$5+150))*9.81*Parametros!$B$11/100000+5*($F24/200)^1.8*(3.5/Parametros!$B$10)^4.8</f>
        <v>145.623681408943</v>
      </c>
      <c r="I24" s="8" t="n">
        <f aca="false">Parametros!$B$8+(Parametros!$B$12*(1-Parametros!$B$7)+Parametros!$B$13*Parametros!$B$7)*(1-0.55*I$5/(I$5+150))*9.81*Parametros!$B$11/100000+5*($F24/200)^1.8*(3.5/Parametros!$B$10)^4.8</f>
        <v>132.674481408943</v>
      </c>
      <c r="J24" s="8" t="n">
        <f aca="false">Parametros!$B$8+(Parametros!$B$12*(1-Parametros!$B$7)+Parametros!$B$13*Parametros!$B$7)*(1-0.55*J$5/(J$5+150))*9.81*Parametros!$B$11/100000+5*($F24/200)^1.8*(3.5/Parametros!$B$10)^4.8</f>
        <v>124.041681408943</v>
      </c>
      <c r="K24" s="8" t="n">
        <f aca="false">Parametros!$B$8+(Parametros!$B$12*(1-Parametros!$B$7)+Parametros!$B$13*Parametros!$B$7)*(1-0.55*K$5/(K$5+150))*9.81*Parametros!$B$11/100000+5*($F24/200)^1.8*(3.5/Parametros!$B$10)^4.8</f>
        <v>117.875395694657</v>
      </c>
      <c r="L24" s="8" t="n">
        <f aca="false">Parametros!$B$8+(Parametros!$B$12*(1-Parametros!$B$7)+Parametros!$B$13*Parametros!$B$7)*(1-0.55*L$5/(L$5+150))*9.81*Parametros!$B$11/100000+5*($F24/200)^1.8*(3.5/Parametros!$B$10)^4.8</f>
        <v>113.250681408943</v>
      </c>
      <c r="M24" s="8" t="n">
        <f aca="false">Parametros!$B$8+(Parametros!$B$12*(1-Parametros!$B$7)+Parametros!$B$13*Parametros!$B$7)*(1-0.55*M$5/(M$5+150))*9.81*Parametros!$B$11/100000+5*($F24/200)^1.8*(3.5/Parametros!$B$10)^4.8</f>
        <v>109.653681408943</v>
      </c>
      <c r="N24" s="8" t="n">
        <f aca="false">Parametros!$B$8+(Parametros!$B$12*(1-Parametros!$B$7)+Parametros!$B$13*Parametros!$B$7)*(1-0.55*N$5/(N$5+150))*9.81*Parametros!$B$11/100000+5*($F24/200)^1.8*(3.5/Parametros!$B$10)^4.8</f>
        <v>106.776081408943</v>
      </c>
      <c r="O24" s="8" t="n">
        <f aca="false">Parametros!$B$8+(Parametros!$B$12*(1-Parametros!$B$7)+Parametros!$B$13*Parametros!$B$7)*(1-0.55*O$5/(O$5+150))*9.81*Parametros!$B$11/100000+5*($F24/200)^1.8*(3.5/Parametros!$B$10)^4.8</f>
        <v>104.421681408943</v>
      </c>
    </row>
    <row r="25" customFormat="false" ht="15" hidden="false" customHeight="false" outlineLevel="0" collapsed="false">
      <c r="F25" s="8" t="n">
        <f aca="false">Curvas!A24</f>
        <v>39.5833333333333</v>
      </c>
      <c r="G25" s="8" t="n">
        <f aca="false">Parametros!$B$8+(Parametros!$B$12*(1-Parametros!$B$7)+Parametros!$B$13*Parametros!$B$7)*(1-0.55*G$5/(G$5+150))*9.81*Parametros!$B$11/100000+5*($F25/200)^1.8*(3.5/Parametros!$B$10)^4.8</f>
        <v>167.230793519356</v>
      </c>
      <c r="H25" s="8" t="n">
        <f aca="false">Parametros!$B$8+(Parametros!$B$12*(1-Parametros!$B$7)+Parametros!$B$13*Parametros!$B$7)*(1-0.55*H$5/(H$5+150))*9.81*Parametros!$B$11/100000+5*($F25/200)^1.8*(3.5/Parametros!$B$10)^4.8</f>
        <v>145.648793519356</v>
      </c>
      <c r="I25" s="8" t="n">
        <f aca="false">Parametros!$B$8+(Parametros!$B$12*(1-Parametros!$B$7)+Parametros!$B$13*Parametros!$B$7)*(1-0.55*I$5/(I$5+150))*9.81*Parametros!$B$11/100000+5*($F25/200)^1.8*(3.5/Parametros!$B$10)^4.8</f>
        <v>132.699593519356</v>
      </c>
      <c r="J25" s="8" t="n">
        <f aca="false">Parametros!$B$8+(Parametros!$B$12*(1-Parametros!$B$7)+Parametros!$B$13*Parametros!$B$7)*(1-0.55*J$5/(J$5+150))*9.81*Parametros!$B$11/100000+5*($F25/200)^1.8*(3.5/Parametros!$B$10)^4.8</f>
        <v>124.066793519356</v>
      </c>
      <c r="K25" s="8" t="n">
        <f aca="false">Parametros!$B$8+(Parametros!$B$12*(1-Parametros!$B$7)+Parametros!$B$13*Parametros!$B$7)*(1-0.55*K$5/(K$5+150))*9.81*Parametros!$B$11/100000+5*($F25/200)^1.8*(3.5/Parametros!$B$10)^4.8</f>
        <v>117.90050780507</v>
      </c>
      <c r="L25" s="8" t="n">
        <f aca="false">Parametros!$B$8+(Parametros!$B$12*(1-Parametros!$B$7)+Parametros!$B$13*Parametros!$B$7)*(1-0.55*L$5/(L$5+150))*9.81*Parametros!$B$11/100000+5*($F25/200)^1.8*(3.5/Parametros!$B$10)^4.8</f>
        <v>113.275793519356</v>
      </c>
      <c r="M25" s="8" t="n">
        <f aca="false">Parametros!$B$8+(Parametros!$B$12*(1-Parametros!$B$7)+Parametros!$B$13*Parametros!$B$7)*(1-0.55*M$5/(M$5+150))*9.81*Parametros!$B$11/100000+5*($F25/200)^1.8*(3.5/Parametros!$B$10)^4.8</f>
        <v>109.678793519356</v>
      </c>
      <c r="N25" s="8" t="n">
        <f aca="false">Parametros!$B$8+(Parametros!$B$12*(1-Parametros!$B$7)+Parametros!$B$13*Parametros!$B$7)*(1-0.55*N$5/(N$5+150))*9.81*Parametros!$B$11/100000+5*($F25/200)^1.8*(3.5/Parametros!$B$10)^4.8</f>
        <v>106.801193519356</v>
      </c>
      <c r="O25" s="8" t="n">
        <f aca="false">Parametros!$B$8+(Parametros!$B$12*(1-Parametros!$B$7)+Parametros!$B$13*Parametros!$B$7)*(1-0.55*O$5/(O$5+150))*9.81*Parametros!$B$11/100000+5*($F25/200)^1.8*(3.5/Parametros!$B$10)^4.8</f>
        <v>104.446793519356</v>
      </c>
    </row>
    <row r="26" customFormat="false" ht="15" hidden="false" customHeight="false" outlineLevel="0" collapsed="false">
      <c r="F26" s="8" t="n">
        <f aca="false">Curvas!A25</f>
        <v>41.6666666666667</v>
      </c>
      <c r="G26" s="8" t="n">
        <f aca="false">Parametros!$B$8+(Parametros!$B$12*(1-Parametros!$B$7)+Parametros!$B$13*Parametros!$B$7)*(1-0.55*G$5/(G$5+150))*9.81*Parametros!$B$11/100000+5*($F26/200)^1.8*(3.5/Parametros!$B$10)^4.8</f>
        <v>167.256985863246</v>
      </c>
      <c r="H26" s="8" t="n">
        <f aca="false">Parametros!$B$8+(Parametros!$B$12*(1-Parametros!$B$7)+Parametros!$B$13*Parametros!$B$7)*(1-0.55*H$5/(H$5+150))*9.81*Parametros!$B$11/100000+5*($F26/200)^1.8*(3.5/Parametros!$B$10)^4.8</f>
        <v>145.674985863246</v>
      </c>
      <c r="I26" s="8" t="n">
        <f aca="false">Parametros!$B$8+(Parametros!$B$12*(1-Parametros!$B$7)+Parametros!$B$13*Parametros!$B$7)*(1-0.55*I$5/(I$5+150))*9.81*Parametros!$B$11/100000+5*($F26/200)^1.8*(3.5/Parametros!$B$10)^4.8</f>
        <v>132.725785863246</v>
      </c>
      <c r="J26" s="8" t="n">
        <f aca="false">Parametros!$B$8+(Parametros!$B$12*(1-Parametros!$B$7)+Parametros!$B$13*Parametros!$B$7)*(1-0.55*J$5/(J$5+150))*9.81*Parametros!$B$11/100000+5*($F26/200)^1.8*(3.5/Parametros!$B$10)^4.8</f>
        <v>124.092985863246</v>
      </c>
      <c r="K26" s="8" t="n">
        <f aca="false">Parametros!$B$8+(Parametros!$B$12*(1-Parametros!$B$7)+Parametros!$B$13*Parametros!$B$7)*(1-0.55*K$5/(K$5+150))*9.81*Parametros!$B$11/100000+5*($F26/200)^1.8*(3.5/Parametros!$B$10)^4.8</f>
        <v>117.92670014896</v>
      </c>
      <c r="L26" s="8" t="n">
        <f aca="false">Parametros!$B$8+(Parametros!$B$12*(1-Parametros!$B$7)+Parametros!$B$13*Parametros!$B$7)*(1-0.55*L$5/(L$5+150))*9.81*Parametros!$B$11/100000+5*($F26/200)^1.8*(3.5/Parametros!$B$10)^4.8</f>
        <v>113.301985863246</v>
      </c>
      <c r="M26" s="8" t="n">
        <f aca="false">Parametros!$B$8+(Parametros!$B$12*(1-Parametros!$B$7)+Parametros!$B$13*Parametros!$B$7)*(1-0.55*M$5/(M$5+150))*9.81*Parametros!$B$11/100000+5*($F26/200)^1.8*(3.5/Parametros!$B$10)^4.8</f>
        <v>109.704985863246</v>
      </c>
      <c r="N26" s="8" t="n">
        <f aca="false">Parametros!$B$8+(Parametros!$B$12*(1-Parametros!$B$7)+Parametros!$B$13*Parametros!$B$7)*(1-0.55*N$5/(N$5+150))*9.81*Parametros!$B$11/100000+5*($F26/200)^1.8*(3.5/Parametros!$B$10)^4.8</f>
        <v>106.827385863246</v>
      </c>
      <c r="O26" s="8" t="n">
        <f aca="false">Parametros!$B$8+(Parametros!$B$12*(1-Parametros!$B$7)+Parametros!$B$13*Parametros!$B$7)*(1-0.55*O$5/(O$5+150))*9.81*Parametros!$B$11/100000+5*($F26/200)^1.8*(3.5/Parametros!$B$10)^4.8</f>
        <v>104.472985863246</v>
      </c>
    </row>
    <row r="27" customFormat="false" ht="15" hidden="false" customHeight="false" outlineLevel="0" collapsed="false">
      <c r="F27" s="8" t="n">
        <f aca="false">Curvas!A26</f>
        <v>43.75</v>
      </c>
      <c r="G27" s="8" t="n">
        <f aca="false">Parametros!$B$8+(Parametros!$B$12*(1-Parametros!$B$7)+Parametros!$B$13*Parametros!$B$7)*(1-0.55*G$5/(G$5+150))*9.81*Parametros!$B$11/100000+5*($F27/200)^1.8*(3.5/Parametros!$B$10)^4.8</f>
        <v>167.284247409733</v>
      </c>
      <c r="H27" s="8" t="n">
        <f aca="false">Parametros!$B$8+(Parametros!$B$12*(1-Parametros!$B$7)+Parametros!$B$13*Parametros!$B$7)*(1-0.55*H$5/(H$5+150))*9.81*Parametros!$B$11/100000+5*($F27/200)^1.8*(3.5/Parametros!$B$10)^4.8</f>
        <v>145.702247409733</v>
      </c>
      <c r="I27" s="8" t="n">
        <f aca="false">Parametros!$B$8+(Parametros!$B$12*(1-Parametros!$B$7)+Parametros!$B$13*Parametros!$B$7)*(1-0.55*I$5/(I$5+150))*9.81*Parametros!$B$11/100000+5*($F27/200)^1.8*(3.5/Parametros!$B$10)^4.8</f>
        <v>132.753047409733</v>
      </c>
      <c r="J27" s="8" t="n">
        <f aca="false">Parametros!$B$8+(Parametros!$B$12*(1-Parametros!$B$7)+Parametros!$B$13*Parametros!$B$7)*(1-0.55*J$5/(J$5+150))*9.81*Parametros!$B$11/100000+5*($F27/200)^1.8*(3.5/Parametros!$B$10)^4.8</f>
        <v>124.120247409733</v>
      </c>
      <c r="K27" s="8" t="n">
        <f aca="false">Parametros!$B$8+(Parametros!$B$12*(1-Parametros!$B$7)+Parametros!$B$13*Parametros!$B$7)*(1-0.55*K$5/(K$5+150))*9.81*Parametros!$B$11/100000+5*($F27/200)^1.8*(3.5/Parametros!$B$10)^4.8</f>
        <v>117.953961695447</v>
      </c>
      <c r="L27" s="8" t="n">
        <f aca="false">Parametros!$B$8+(Parametros!$B$12*(1-Parametros!$B$7)+Parametros!$B$13*Parametros!$B$7)*(1-0.55*L$5/(L$5+150))*9.81*Parametros!$B$11/100000+5*($F27/200)^1.8*(3.5/Parametros!$B$10)^4.8</f>
        <v>113.329247409733</v>
      </c>
      <c r="M27" s="8" t="n">
        <f aca="false">Parametros!$B$8+(Parametros!$B$12*(1-Parametros!$B$7)+Parametros!$B$13*Parametros!$B$7)*(1-0.55*M$5/(M$5+150))*9.81*Parametros!$B$11/100000+5*($F27/200)^1.8*(3.5/Parametros!$B$10)^4.8</f>
        <v>109.732247409733</v>
      </c>
      <c r="N27" s="8" t="n">
        <f aca="false">Parametros!$B$8+(Parametros!$B$12*(1-Parametros!$B$7)+Parametros!$B$13*Parametros!$B$7)*(1-0.55*N$5/(N$5+150))*9.81*Parametros!$B$11/100000+5*($F27/200)^1.8*(3.5/Parametros!$B$10)^4.8</f>
        <v>106.854647409733</v>
      </c>
      <c r="O27" s="8" t="n">
        <f aca="false">Parametros!$B$8+(Parametros!$B$12*(1-Parametros!$B$7)+Parametros!$B$13*Parametros!$B$7)*(1-0.55*O$5/(O$5+150))*9.81*Parametros!$B$11/100000+5*($F27/200)^1.8*(3.5/Parametros!$B$10)^4.8</f>
        <v>104.500247409733</v>
      </c>
    </row>
    <row r="28" customFormat="false" ht="15" hidden="false" customHeight="false" outlineLevel="0" collapsed="false">
      <c r="F28" s="8" t="n">
        <f aca="false">Curvas!A27</f>
        <v>45.8333333333333</v>
      </c>
      <c r="G28" s="8" t="n">
        <f aca="false">Parametros!$B$8+(Parametros!$B$12*(1-Parametros!$B$7)+Parametros!$B$13*Parametros!$B$7)*(1-0.55*G$5/(G$5+150))*9.81*Parametros!$B$11/100000+5*($F28/200)^1.8*(3.5/Parametros!$B$10)^4.8</f>
        <v>167.312567771314</v>
      </c>
      <c r="H28" s="8" t="n">
        <f aca="false">Parametros!$B$8+(Parametros!$B$12*(1-Parametros!$B$7)+Parametros!$B$13*Parametros!$B$7)*(1-0.55*H$5/(H$5+150))*9.81*Parametros!$B$11/100000+5*($F28/200)^1.8*(3.5/Parametros!$B$10)^4.8</f>
        <v>145.730567771314</v>
      </c>
      <c r="I28" s="8" t="n">
        <f aca="false">Parametros!$B$8+(Parametros!$B$12*(1-Parametros!$B$7)+Parametros!$B$13*Parametros!$B$7)*(1-0.55*I$5/(I$5+150))*9.81*Parametros!$B$11/100000+5*($F28/200)^1.8*(3.5/Parametros!$B$10)^4.8</f>
        <v>132.781367771314</v>
      </c>
      <c r="J28" s="8" t="n">
        <f aca="false">Parametros!$B$8+(Parametros!$B$12*(1-Parametros!$B$7)+Parametros!$B$13*Parametros!$B$7)*(1-0.55*J$5/(J$5+150))*9.81*Parametros!$B$11/100000+5*($F28/200)^1.8*(3.5/Parametros!$B$10)^4.8</f>
        <v>124.148567771314</v>
      </c>
      <c r="K28" s="8" t="n">
        <f aca="false">Parametros!$B$8+(Parametros!$B$12*(1-Parametros!$B$7)+Parametros!$B$13*Parametros!$B$7)*(1-0.55*K$5/(K$5+150))*9.81*Parametros!$B$11/100000+5*($F28/200)^1.8*(3.5/Parametros!$B$10)^4.8</f>
        <v>117.982282057028</v>
      </c>
      <c r="L28" s="8" t="n">
        <f aca="false">Parametros!$B$8+(Parametros!$B$12*(1-Parametros!$B$7)+Parametros!$B$13*Parametros!$B$7)*(1-0.55*L$5/(L$5+150))*9.81*Parametros!$B$11/100000+5*($F28/200)^1.8*(3.5/Parametros!$B$10)^4.8</f>
        <v>113.357567771314</v>
      </c>
      <c r="M28" s="8" t="n">
        <f aca="false">Parametros!$B$8+(Parametros!$B$12*(1-Parametros!$B$7)+Parametros!$B$13*Parametros!$B$7)*(1-0.55*M$5/(M$5+150))*9.81*Parametros!$B$11/100000+5*($F28/200)^1.8*(3.5/Parametros!$B$10)^4.8</f>
        <v>109.760567771314</v>
      </c>
      <c r="N28" s="8" t="n">
        <f aca="false">Parametros!$B$8+(Parametros!$B$12*(1-Parametros!$B$7)+Parametros!$B$13*Parametros!$B$7)*(1-0.55*N$5/(N$5+150))*9.81*Parametros!$B$11/100000+5*($F28/200)^1.8*(3.5/Parametros!$B$10)^4.8</f>
        <v>106.882967771314</v>
      </c>
      <c r="O28" s="8" t="n">
        <f aca="false">Parametros!$B$8+(Parametros!$B$12*(1-Parametros!$B$7)+Parametros!$B$13*Parametros!$B$7)*(1-0.55*O$5/(O$5+150))*9.81*Parametros!$B$11/100000+5*($F28/200)^1.8*(3.5/Parametros!$B$10)^4.8</f>
        <v>104.528567771314</v>
      </c>
    </row>
    <row r="29" customFormat="false" ht="15" hidden="false" customHeight="false" outlineLevel="0" collapsed="false">
      <c r="F29" s="8" t="n">
        <f aca="false">Curvas!A28</f>
        <v>47.9166666666667</v>
      </c>
      <c r="G29" s="8" t="n">
        <f aca="false">Parametros!$B$8+(Parametros!$B$12*(1-Parametros!$B$7)+Parametros!$B$13*Parametros!$B$7)*(1-0.55*G$5/(G$5+150))*9.81*Parametros!$B$11/100000+5*($F29/200)^1.8*(3.5/Parametros!$B$10)^4.8</f>
        <v>167.341937138226</v>
      </c>
      <c r="H29" s="8" t="n">
        <f aca="false">Parametros!$B$8+(Parametros!$B$12*(1-Parametros!$B$7)+Parametros!$B$13*Parametros!$B$7)*(1-0.55*H$5/(H$5+150))*9.81*Parametros!$B$11/100000+5*($F29/200)^1.8*(3.5/Parametros!$B$10)^4.8</f>
        <v>145.759937138226</v>
      </c>
      <c r="I29" s="8" t="n">
        <f aca="false">Parametros!$B$8+(Parametros!$B$12*(1-Parametros!$B$7)+Parametros!$B$13*Parametros!$B$7)*(1-0.55*I$5/(I$5+150))*9.81*Parametros!$B$11/100000+5*($F29/200)^1.8*(3.5/Parametros!$B$10)^4.8</f>
        <v>132.810737138226</v>
      </c>
      <c r="J29" s="8" t="n">
        <f aca="false">Parametros!$B$8+(Parametros!$B$12*(1-Parametros!$B$7)+Parametros!$B$13*Parametros!$B$7)*(1-0.55*J$5/(J$5+150))*9.81*Parametros!$B$11/100000+5*($F29/200)^1.8*(3.5/Parametros!$B$10)^4.8</f>
        <v>124.177937138226</v>
      </c>
      <c r="K29" s="8" t="n">
        <f aca="false">Parametros!$B$8+(Parametros!$B$12*(1-Parametros!$B$7)+Parametros!$B$13*Parametros!$B$7)*(1-0.55*K$5/(K$5+150))*9.81*Parametros!$B$11/100000+5*($F29/200)^1.8*(3.5/Parametros!$B$10)^4.8</f>
        <v>118.01165142394</v>
      </c>
      <c r="L29" s="8" t="n">
        <f aca="false">Parametros!$B$8+(Parametros!$B$12*(1-Parametros!$B$7)+Parametros!$B$13*Parametros!$B$7)*(1-0.55*L$5/(L$5+150))*9.81*Parametros!$B$11/100000+5*($F29/200)^1.8*(3.5/Parametros!$B$10)^4.8</f>
        <v>113.386937138226</v>
      </c>
      <c r="M29" s="8" t="n">
        <f aca="false">Parametros!$B$8+(Parametros!$B$12*(1-Parametros!$B$7)+Parametros!$B$13*Parametros!$B$7)*(1-0.55*M$5/(M$5+150))*9.81*Parametros!$B$11/100000+5*($F29/200)^1.8*(3.5/Parametros!$B$10)^4.8</f>
        <v>109.789937138226</v>
      </c>
      <c r="N29" s="8" t="n">
        <f aca="false">Parametros!$B$8+(Parametros!$B$12*(1-Parametros!$B$7)+Parametros!$B$13*Parametros!$B$7)*(1-0.55*N$5/(N$5+150))*9.81*Parametros!$B$11/100000+5*($F29/200)^1.8*(3.5/Parametros!$B$10)^4.8</f>
        <v>106.912337138226</v>
      </c>
      <c r="O29" s="8" t="n">
        <f aca="false">Parametros!$B$8+(Parametros!$B$12*(1-Parametros!$B$7)+Parametros!$B$13*Parametros!$B$7)*(1-0.55*O$5/(O$5+150))*9.81*Parametros!$B$11/100000+5*($F29/200)^1.8*(3.5/Parametros!$B$10)^4.8</f>
        <v>104.557937138226</v>
      </c>
    </row>
    <row r="30" customFormat="false" ht="15" hidden="false" customHeight="false" outlineLevel="0" collapsed="false">
      <c r="F30" s="8" t="n">
        <f aca="false">Curvas!A29</f>
        <v>50</v>
      </c>
      <c r="G30" s="8" t="n">
        <f aca="false">Parametros!$B$8+(Parametros!$B$12*(1-Parametros!$B$7)+Parametros!$B$13*Parametros!$B$7)*(1-0.55*G$5/(G$5+150))*9.81*Parametros!$B$11/100000+5*($F30/200)^1.8*(3.5/Parametros!$B$10)^4.8</f>
        <v>167.372346222117</v>
      </c>
      <c r="H30" s="8" t="n">
        <f aca="false">Parametros!$B$8+(Parametros!$B$12*(1-Parametros!$B$7)+Parametros!$B$13*Parametros!$B$7)*(1-0.55*H$5/(H$5+150))*9.81*Parametros!$B$11/100000+5*($F30/200)^1.8*(3.5/Parametros!$B$10)^4.8</f>
        <v>145.790346222117</v>
      </c>
      <c r="I30" s="8" t="n">
        <f aca="false">Parametros!$B$8+(Parametros!$B$12*(1-Parametros!$B$7)+Parametros!$B$13*Parametros!$B$7)*(1-0.55*I$5/(I$5+150))*9.81*Parametros!$B$11/100000+5*($F30/200)^1.8*(3.5/Parametros!$B$10)^4.8</f>
        <v>132.841146222117</v>
      </c>
      <c r="J30" s="8" t="n">
        <f aca="false">Parametros!$B$8+(Parametros!$B$12*(1-Parametros!$B$7)+Parametros!$B$13*Parametros!$B$7)*(1-0.55*J$5/(J$5+150))*9.81*Parametros!$B$11/100000+5*($F30/200)^1.8*(3.5/Parametros!$B$10)^4.8</f>
        <v>124.208346222117</v>
      </c>
      <c r="K30" s="8" t="n">
        <f aca="false">Parametros!$B$8+(Parametros!$B$12*(1-Parametros!$B$7)+Parametros!$B$13*Parametros!$B$7)*(1-0.55*K$5/(K$5+150))*9.81*Parametros!$B$11/100000+5*($F30/200)^1.8*(3.5/Parametros!$B$10)^4.8</f>
        <v>118.042060507831</v>
      </c>
      <c r="L30" s="8" t="n">
        <f aca="false">Parametros!$B$8+(Parametros!$B$12*(1-Parametros!$B$7)+Parametros!$B$13*Parametros!$B$7)*(1-0.55*L$5/(L$5+150))*9.81*Parametros!$B$11/100000+5*($F30/200)^1.8*(3.5/Parametros!$B$10)^4.8</f>
        <v>113.417346222117</v>
      </c>
      <c r="M30" s="8" t="n">
        <f aca="false">Parametros!$B$8+(Parametros!$B$12*(1-Parametros!$B$7)+Parametros!$B$13*Parametros!$B$7)*(1-0.55*M$5/(M$5+150))*9.81*Parametros!$B$11/100000+5*($F30/200)^1.8*(3.5/Parametros!$B$10)^4.8</f>
        <v>109.820346222117</v>
      </c>
      <c r="N30" s="8" t="n">
        <f aca="false">Parametros!$B$8+(Parametros!$B$12*(1-Parametros!$B$7)+Parametros!$B$13*Parametros!$B$7)*(1-0.55*N$5/(N$5+150))*9.81*Parametros!$B$11/100000+5*($F30/200)^1.8*(3.5/Parametros!$B$10)^4.8</f>
        <v>106.942746222117</v>
      </c>
      <c r="O30" s="8" t="n">
        <f aca="false">Parametros!$B$8+(Parametros!$B$12*(1-Parametros!$B$7)+Parametros!$B$13*Parametros!$B$7)*(1-0.55*O$5/(O$5+150))*9.81*Parametros!$B$11/100000+5*($F30/200)^1.8*(3.5/Parametros!$B$10)^4.8</f>
        <v>104.588346222117</v>
      </c>
    </row>
    <row r="31" customFormat="false" ht="15" hidden="false" customHeight="false" outlineLevel="0" collapsed="false">
      <c r="F31" s="8" t="n">
        <f aca="false">Curvas!A30</f>
        <v>52.0833333333333</v>
      </c>
      <c r="G31" s="8" t="n">
        <f aca="false">Parametros!$B$8+(Parametros!$B$12*(1-Parametros!$B$7)+Parametros!$B$13*Parametros!$B$7)*(1-0.55*G$5/(G$5+150))*9.81*Parametros!$B$11/100000+5*($F31/200)^1.8*(3.5/Parametros!$B$10)^4.8</f>
        <v>167.403786207371</v>
      </c>
      <c r="H31" s="8" t="n">
        <f aca="false">Parametros!$B$8+(Parametros!$B$12*(1-Parametros!$B$7)+Parametros!$B$13*Parametros!$B$7)*(1-0.55*H$5/(H$5+150))*9.81*Parametros!$B$11/100000+5*($F31/200)^1.8*(3.5/Parametros!$B$10)^4.8</f>
        <v>145.821786207371</v>
      </c>
      <c r="I31" s="8" t="n">
        <f aca="false">Parametros!$B$8+(Parametros!$B$12*(1-Parametros!$B$7)+Parametros!$B$13*Parametros!$B$7)*(1-0.55*I$5/(I$5+150))*9.81*Parametros!$B$11/100000+5*($F31/200)^1.8*(3.5/Parametros!$B$10)^4.8</f>
        <v>132.872586207371</v>
      </c>
      <c r="J31" s="8" t="n">
        <f aca="false">Parametros!$B$8+(Parametros!$B$12*(1-Parametros!$B$7)+Parametros!$B$13*Parametros!$B$7)*(1-0.55*J$5/(J$5+150))*9.81*Parametros!$B$11/100000+5*($F31/200)^1.8*(3.5/Parametros!$B$10)^4.8</f>
        <v>124.239786207371</v>
      </c>
      <c r="K31" s="8" t="n">
        <f aca="false">Parametros!$B$8+(Parametros!$B$12*(1-Parametros!$B$7)+Parametros!$B$13*Parametros!$B$7)*(1-0.55*K$5/(K$5+150))*9.81*Parametros!$B$11/100000+5*($F31/200)^1.8*(3.5/Parametros!$B$10)^4.8</f>
        <v>118.073500493085</v>
      </c>
      <c r="L31" s="8" t="n">
        <f aca="false">Parametros!$B$8+(Parametros!$B$12*(1-Parametros!$B$7)+Parametros!$B$13*Parametros!$B$7)*(1-0.55*L$5/(L$5+150))*9.81*Parametros!$B$11/100000+5*($F31/200)^1.8*(3.5/Parametros!$B$10)^4.8</f>
        <v>113.448786207371</v>
      </c>
      <c r="M31" s="8" t="n">
        <f aca="false">Parametros!$B$8+(Parametros!$B$12*(1-Parametros!$B$7)+Parametros!$B$13*Parametros!$B$7)*(1-0.55*M$5/(M$5+150))*9.81*Parametros!$B$11/100000+5*($F31/200)^1.8*(3.5/Parametros!$B$10)^4.8</f>
        <v>109.851786207371</v>
      </c>
      <c r="N31" s="8" t="n">
        <f aca="false">Parametros!$B$8+(Parametros!$B$12*(1-Parametros!$B$7)+Parametros!$B$13*Parametros!$B$7)*(1-0.55*N$5/(N$5+150))*9.81*Parametros!$B$11/100000+5*($F31/200)^1.8*(3.5/Parametros!$B$10)^4.8</f>
        <v>106.974186207371</v>
      </c>
      <c r="O31" s="8" t="n">
        <f aca="false">Parametros!$B$8+(Parametros!$B$12*(1-Parametros!$B$7)+Parametros!$B$13*Parametros!$B$7)*(1-0.55*O$5/(O$5+150))*9.81*Parametros!$B$11/100000+5*($F31/200)^1.8*(3.5/Parametros!$B$10)^4.8</f>
        <v>104.619786207371</v>
      </c>
    </row>
    <row r="32" customFormat="false" ht="15" hidden="false" customHeight="false" outlineLevel="0" collapsed="false">
      <c r="F32" s="8" t="n">
        <f aca="false">Curvas!A31</f>
        <v>54.1666666666667</v>
      </c>
      <c r="G32" s="8" t="n">
        <f aca="false">Parametros!$B$8+(Parametros!$B$12*(1-Parametros!$B$7)+Parametros!$B$13*Parametros!$B$7)*(1-0.55*G$5/(G$5+150))*9.81*Parametros!$B$11/100000+5*($F32/200)^1.8*(3.5/Parametros!$B$10)^4.8</f>
        <v>167.436248708779</v>
      </c>
      <c r="H32" s="8" t="n">
        <f aca="false">Parametros!$B$8+(Parametros!$B$12*(1-Parametros!$B$7)+Parametros!$B$13*Parametros!$B$7)*(1-0.55*H$5/(H$5+150))*9.81*Parametros!$B$11/100000+5*($F32/200)^1.8*(3.5/Parametros!$B$10)^4.8</f>
        <v>145.854248708779</v>
      </c>
      <c r="I32" s="8" t="n">
        <f aca="false">Parametros!$B$8+(Parametros!$B$12*(1-Parametros!$B$7)+Parametros!$B$13*Parametros!$B$7)*(1-0.55*I$5/(I$5+150))*9.81*Parametros!$B$11/100000+5*($F32/200)^1.8*(3.5/Parametros!$B$10)^4.8</f>
        <v>132.905048708779</v>
      </c>
      <c r="J32" s="8" t="n">
        <f aca="false">Parametros!$B$8+(Parametros!$B$12*(1-Parametros!$B$7)+Parametros!$B$13*Parametros!$B$7)*(1-0.55*J$5/(J$5+150))*9.81*Parametros!$B$11/100000+5*($F32/200)^1.8*(3.5/Parametros!$B$10)^4.8</f>
        <v>124.272248708779</v>
      </c>
      <c r="K32" s="8" t="n">
        <f aca="false">Parametros!$B$8+(Parametros!$B$12*(1-Parametros!$B$7)+Parametros!$B$13*Parametros!$B$7)*(1-0.55*K$5/(K$5+150))*9.81*Parametros!$B$11/100000+5*($F32/200)^1.8*(3.5/Parametros!$B$10)^4.8</f>
        <v>118.105962994494</v>
      </c>
      <c r="L32" s="8" t="n">
        <f aca="false">Parametros!$B$8+(Parametros!$B$12*(1-Parametros!$B$7)+Parametros!$B$13*Parametros!$B$7)*(1-0.55*L$5/(L$5+150))*9.81*Parametros!$B$11/100000+5*($F32/200)^1.8*(3.5/Parametros!$B$10)^4.8</f>
        <v>113.481248708779</v>
      </c>
      <c r="M32" s="8" t="n">
        <f aca="false">Parametros!$B$8+(Parametros!$B$12*(1-Parametros!$B$7)+Parametros!$B$13*Parametros!$B$7)*(1-0.55*M$5/(M$5+150))*9.81*Parametros!$B$11/100000+5*($F32/200)^1.8*(3.5/Parametros!$B$10)^4.8</f>
        <v>109.884248708779</v>
      </c>
      <c r="N32" s="8" t="n">
        <f aca="false">Parametros!$B$8+(Parametros!$B$12*(1-Parametros!$B$7)+Parametros!$B$13*Parametros!$B$7)*(1-0.55*N$5/(N$5+150))*9.81*Parametros!$B$11/100000+5*($F32/200)^1.8*(3.5/Parametros!$B$10)^4.8</f>
        <v>107.006648708779</v>
      </c>
      <c r="O32" s="8" t="n">
        <f aca="false">Parametros!$B$8+(Parametros!$B$12*(1-Parametros!$B$7)+Parametros!$B$13*Parametros!$B$7)*(1-0.55*O$5/(O$5+150))*9.81*Parametros!$B$11/100000+5*($F32/200)^1.8*(3.5/Parametros!$B$10)^4.8</f>
        <v>104.652248708779</v>
      </c>
    </row>
    <row r="33" customFormat="false" ht="15" hidden="false" customHeight="false" outlineLevel="0" collapsed="false">
      <c r="F33" s="8" t="n">
        <f aca="false">Curvas!A32</f>
        <v>56.25</v>
      </c>
      <c r="G33" s="8" t="n">
        <f aca="false">Parametros!$B$8+(Parametros!$B$12*(1-Parametros!$B$7)+Parametros!$B$13*Parametros!$B$7)*(1-0.55*G$5/(G$5+150))*9.81*Parametros!$B$11/100000+5*($F33/200)^1.8*(3.5/Parametros!$B$10)^4.8</f>
        <v>167.469725734504</v>
      </c>
      <c r="H33" s="8" t="n">
        <f aca="false">Parametros!$B$8+(Parametros!$B$12*(1-Parametros!$B$7)+Parametros!$B$13*Parametros!$B$7)*(1-0.55*H$5/(H$5+150))*9.81*Parametros!$B$11/100000+5*($F33/200)^1.8*(3.5/Parametros!$B$10)^4.8</f>
        <v>145.887725734504</v>
      </c>
      <c r="I33" s="8" t="n">
        <f aca="false">Parametros!$B$8+(Parametros!$B$12*(1-Parametros!$B$7)+Parametros!$B$13*Parametros!$B$7)*(1-0.55*I$5/(I$5+150))*9.81*Parametros!$B$11/100000+5*($F33/200)^1.8*(3.5/Parametros!$B$10)^4.8</f>
        <v>132.938525734504</v>
      </c>
      <c r="J33" s="8" t="n">
        <f aca="false">Parametros!$B$8+(Parametros!$B$12*(1-Parametros!$B$7)+Parametros!$B$13*Parametros!$B$7)*(1-0.55*J$5/(J$5+150))*9.81*Parametros!$B$11/100000+5*($F33/200)^1.8*(3.5/Parametros!$B$10)^4.8</f>
        <v>124.305725734504</v>
      </c>
      <c r="K33" s="8" t="n">
        <f aca="false">Parametros!$B$8+(Parametros!$B$12*(1-Parametros!$B$7)+Parametros!$B$13*Parametros!$B$7)*(1-0.55*K$5/(K$5+150))*9.81*Parametros!$B$11/100000+5*($F33/200)^1.8*(3.5/Parametros!$B$10)^4.8</f>
        <v>118.139440020218</v>
      </c>
      <c r="L33" s="8" t="n">
        <f aca="false">Parametros!$B$8+(Parametros!$B$12*(1-Parametros!$B$7)+Parametros!$B$13*Parametros!$B$7)*(1-0.55*L$5/(L$5+150))*9.81*Parametros!$B$11/100000+5*($F33/200)^1.8*(3.5/Parametros!$B$10)^4.8</f>
        <v>113.514725734503</v>
      </c>
      <c r="M33" s="8" t="n">
        <f aca="false">Parametros!$B$8+(Parametros!$B$12*(1-Parametros!$B$7)+Parametros!$B$13*Parametros!$B$7)*(1-0.55*M$5/(M$5+150))*9.81*Parametros!$B$11/100000+5*($F33/200)^1.8*(3.5/Parametros!$B$10)^4.8</f>
        <v>109.917725734503</v>
      </c>
      <c r="N33" s="8" t="n">
        <f aca="false">Parametros!$B$8+(Parametros!$B$12*(1-Parametros!$B$7)+Parametros!$B$13*Parametros!$B$7)*(1-0.55*N$5/(N$5+150))*9.81*Parametros!$B$11/100000+5*($F33/200)^1.8*(3.5/Parametros!$B$10)^4.8</f>
        <v>107.040125734503</v>
      </c>
      <c r="O33" s="8" t="n">
        <f aca="false">Parametros!$B$8+(Parametros!$B$12*(1-Parametros!$B$7)+Parametros!$B$13*Parametros!$B$7)*(1-0.55*O$5/(O$5+150))*9.81*Parametros!$B$11/100000+5*($F33/200)^1.8*(3.5/Parametros!$B$10)^4.8</f>
        <v>104.685725734503</v>
      </c>
    </row>
    <row r="34" customFormat="false" ht="15" hidden="false" customHeight="false" outlineLevel="0" collapsed="false">
      <c r="F34" s="8" t="n">
        <f aca="false">Curvas!A33</f>
        <v>58.3333333333333</v>
      </c>
      <c r="G34" s="8" t="n">
        <f aca="false">Parametros!$B$8+(Parametros!$B$12*(1-Parametros!$B$7)+Parametros!$B$13*Parametros!$B$7)*(1-0.55*G$5/(G$5+150))*9.81*Parametros!$B$11/100000+5*($F34/200)^1.8*(3.5/Parametros!$B$10)^4.8</f>
        <v>167.504209653508</v>
      </c>
      <c r="H34" s="8" t="n">
        <f aca="false">Parametros!$B$8+(Parametros!$B$12*(1-Parametros!$B$7)+Parametros!$B$13*Parametros!$B$7)*(1-0.55*H$5/(H$5+150))*9.81*Parametros!$B$11/100000+5*($F34/200)^1.8*(3.5/Parametros!$B$10)^4.8</f>
        <v>145.922209653508</v>
      </c>
      <c r="I34" s="8" t="n">
        <f aca="false">Parametros!$B$8+(Parametros!$B$12*(1-Parametros!$B$7)+Parametros!$B$13*Parametros!$B$7)*(1-0.55*I$5/(I$5+150))*9.81*Parametros!$B$11/100000+5*($F34/200)^1.8*(3.5/Parametros!$B$10)^4.8</f>
        <v>132.973009653508</v>
      </c>
      <c r="J34" s="8" t="n">
        <f aca="false">Parametros!$B$8+(Parametros!$B$12*(1-Parametros!$B$7)+Parametros!$B$13*Parametros!$B$7)*(1-0.55*J$5/(J$5+150))*9.81*Parametros!$B$11/100000+5*($F34/200)^1.8*(3.5/Parametros!$B$10)^4.8</f>
        <v>124.340209653508</v>
      </c>
      <c r="K34" s="8" t="n">
        <f aca="false">Parametros!$B$8+(Parametros!$B$12*(1-Parametros!$B$7)+Parametros!$B$13*Parametros!$B$7)*(1-0.55*K$5/(K$5+150))*9.81*Parametros!$B$11/100000+5*($F34/200)^1.8*(3.5/Parametros!$B$10)^4.8</f>
        <v>118.173923939222</v>
      </c>
      <c r="L34" s="8" t="n">
        <f aca="false">Parametros!$B$8+(Parametros!$B$12*(1-Parametros!$B$7)+Parametros!$B$13*Parametros!$B$7)*(1-0.55*L$5/(L$5+150))*9.81*Parametros!$B$11/100000+5*($F34/200)^1.8*(3.5/Parametros!$B$10)^4.8</f>
        <v>113.549209653508</v>
      </c>
      <c r="M34" s="8" t="n">
        <f aca="false">Parametros!$B$8+(Parametros!$B$12*(1-Parametros!$B$7)+Parametros!$B$13*Parametros!$B$7)*(1-0.55*M$5/(M$5+150))*9.81*Parametros!$B$11/100000+5*($F34/200)^1.8*(3.5/Parametros!$B$10)^4.8</f>
        <v>109.952209653508</v>
      </c>
      <c r="N34" s="8" t="n">
        <f aca="false">Parametros!$B$8+(Parametros!$B$12*(1-Parametros!$B$7)+Parametros!$B$13*Parametros!$B$7)*(1-0.55*N$5/(N$5+150))*9.81*Parametros!$B$11/100000+5*($F34/200)^1.8*(3.5/Parametros!$B$10)^4.8</f>
        <v>107.074609653508</v>
      </c>
      <c r="O34" s="8" t="n">
        <f aca="false">Parametros!$B$8+(Parametros!$B$12*(1-Parametros!$B$7)+Parametros!$B$13*Parametros!$B$7)*(1-0.55*O$5/(O$5+150))*9.81*Parametros!$B$11/100000+5*($F34/200)^1.8*(3.5/Parametros!$B$10)^4.8</f>
        <v>104.720209653508</v>
      </c>
    </row>
    <row r="35" customFormat="false" ht="15" hidden="false" customHeight="false" outlineLevel="0" collapsed="false">
      <c r="F35" s="8" t="n">
        <f aca="false">Curvas!A34</f>
        <v>60.4166666666667</v>
      </c>
      <c r="G35" s="8" t="n">
        <f aca="false">Parametros!$B$8+(Parametros!$B$12*(1-Parametros!$B$7)+Parametros!$B$13*Parametros!$B$7)*(1-0.55*G$5/(G$5+150))*9.81*Parametros!$B$11/100000+5*($F35/200)^1.8*(3.5/Parametros!$B$10)^4.8</f>
        <v>167.539693166771</v>
      </c>
      <c r="H35" s="8" t="n">
        <f aca="false">Parametros!$B$8+(Parametros!$B$12*(1-Parametros!$B$7)+Parametros!$B$13*Parametros!$B$7)*(1-0.55*H$5/(H$5+150))*9.81*Parametros!$B$11/100000+5*($F35/200)^1.8*(3.5/Parametros!$B$10)^4.8</f>
        <v>145.957693166771</v>
      </c>
      <c r="I35" s="8" t="n">
        <f aca="false">Parametros!$B$8+(Parametros!$B$12*(1-Parametros!$B$7)+Parametros!$B$13*Parametros!$B$7)*(1-0.55*I$5/(I$5+150))*9.81*Parametros!$B$11/100000+5*($F35/200)^1.8*(3.5/Parametros!$B$10)^4.8</f>
        <v>133.008493166771</v>
      </c>
      <c r="J35" s="8" t="n">
        <f aca="false">Parametros!$B$8+(Parametros!$B$12*(1-Parametros!$B$7)+Parametros!$B$13*Parametros!$B$7)*(1-0.55*J$5/(J$5+150))*9.81*Parametros!$B$11/100000+5*($F35/200)^1.8*(3.5/Parametros!$B$10)^4.8</f>
        <v>124.375693166771</v>
      </c>
      <c r="K35" s="8" t="n">
        <f aca="false">Parametros!$B$8+(Parametros!$B$12*(1-Parametros!$B$7)+Parametros!$B$13*Parametros!$B$7)*(1-0.55*K$5/(K$5+150))*9.81*Parametros!$B$11/100000+5*($F35/200)^1.8*(3.5/Parametros!$B$10)^4.8</f>
        <v>118.209407452485</v>
      </c>
      <c r="L35" s="8" t="n">
        <f aca="false">Parametros!$B$8+(Parametros!$B$12*(1-Parametros!$B$7)+Parametros!$B$13*Parametros!$B$7)*(1-0.55*L$5/(L$5+150))*9.81*Parametros!$B$11/100000+5*($F35/200)^1.8*(3.5/Parametros!$B$10)^4.8</f>
        <v>113.584693166771</v>
      </c>
      <c r="M35" s="8" t="n">
        <f aca="false">Parametros!$B$8+(Parametros!$B$12*(1-Parametros!$B$7)+Parametros!$B$13*Parametros!$B$7)*(1-0.55*M$5/(M$5+150))*9.81*Parametros!$B$11/100000+5*($F35/200)^1.8*(3.5/Parametros!$B$10)^4.8</f>
        <v>109.987693166771</v>
      </c>
      <c r="N35" s="8" t="n">
        <f aca="false">Parametros!$B$8+(Parametros!$B$12*(1-Parametros!$B$7)+Parametros!$B$13*Parametros!$B$7)*(1-0.55*N$5/(N$5+150))*9.81*Parametros!$B$11/100000+5*($F35/200)^1.8*(3.5/Parametros!$B$10)^4.8</f>
        <v>107.110093166771</v>
      </c>
      <c r="O35" s="8" t="n">
        <f aca="false">Parametros!$B$8+(Parametros!$B$12*(1-Parametros!$B$7)+Parametros!$B$13*Parametros!$B$7)*(1-0.55*O$5/(O$5+150))*9.81*Parametros!$B$11/100000+5*($F35/200)^1.8*(3.5/Parametros!$B$10)^4.8</f>
        <v>104.755693166771</v>
      </c>
    </row>
    <row r="36" customFormat="false" ht="15" hidden="false" customHeight="false" outlineLevel="0" collapsed="false">
      <c r="F36" s="8" t="n">
        <f aca="false">Curvas!A35</f>
        <v>62.5</v>
      </c>
      <c r="G36" s="8" t="n">
        <f aca="false">Parametros!$B$8+(Parametros!$B$12*(1-Parametros!$B$7)+Parametros!$B$13*Parametros!$B$7)*(1-0.55*G$5/(G$5+150))*9.81*Parametros!$B$11/100000+5*($F36/200)^1.8*(3.5/Parametros!$B$10)^4.8</f>
        <v>167.576169281719</v>
      </c>
      <c r="H36" s="8" t="n">
        <f aca="false">Parametros!$B$8+(Parametros!$B$12*(1-Parametros!$B$7)+Parametros!$B$13*Parametros!$B$7)*(1-0.55*H$5/(H$5+150))*9.81*Parametros!$B$11/100000+5*($F36/200)^1.8*(3.5/Parametros!$B$10)^4.8</f>
        <v>145.994169281719</v>
      </c>
      <c r="I36" s="8" t="n">
        <f aca="false">Parametros!$B$8+(Parametros!$B$12*(1-Parametros!$B$7)+Parametros!$B$13*Parametros!$B$7)*(1-0.55*I$5/(I$5+150))*9.81*Parametros!$B$11/100000+5*($F36/200)^1.8*(3.5/Parametros!$B$10)^4.8</f>
        <v>133.044969281719</v>
      </c>
      <c r="J36" s="8" t="n">
        <f aca="false">Parametros!$B$8+(Parametros!$B$12*(1-Parametros!$B$7)+Parametros!$B$13*Parametros!$B$7)*(1-0.55*J$5/(J$5+150))*9.81*Parametros!$B$11/100000+5*($F36/200)^1.8*(3.5/Parametros!$B$10)^4.8</f>
        <v>124.412169281719</v>
      </c>
      <c r="K36" s="8" t="n">
        <f aca="false">Parametros!$B$8+(Parametros!$B$12*(1-Parametros!$B$7)+Parametros!$B$13*Parametros!$B$7)*(1-0.55*K$5/(K$5+150))*9.81*Parametros!$B$11/100000+5*($F36/200)^1.8*(3.5/Parametros!$B$10)^4.8</f>
        <v>118.245883567433</v>
      </c>
      <c r="L36" s="8" t="n">
        <f aca="false">Parametros!$B$8+(Parametros!$B$12*(1-Parametros!$B$7)+Parametros!$B$13*Parametros!$B$7)*(1-0.55*L$5/(L$5+150))*9.81*Parametros!$B$11/100000+5*($F36/200)^1.8*(3.5/Parametros!$B$10)^4.8</f>
        <v>113.621169281719</v>
      </c>
      <c r="M36" s="8" t="n">
        <f aca="false">Parametros!$B$8+(Parametros!$B$12*(1-Parametros!$B$7)+Parametros!$B$13*Parametros!$B$7)*(1-0.55*M$5/(M$5+150))*9.81*Parametros!$B$11/100000+5*($F36/200)^1.8*(3.5/Parametros!$B$10)^4.8</f>
        <v>110.024169281719</v>
      </c>
      <c r="N36" s="8" t="n">
        <f aca="false">Parametros!$B$8+(Parametros!$B$12*(1-Parametros!$B$7)+Parametros!$B$13*Parametros!$B$7)*(1-0.55*N$5/(N$5+150))*9.81*Parametros!$B$11/100000+5*($F36/200)^1.8*(3.5/Parametros!$B$10)^4.8</f>
        <v>107.146569281719</v>
      </c>
      <c r="O36" s="8" t="n">
        <f aca="false">Parametros!$B$8+(Parametros!$B$12*(1-Parametros!$B$7)+Parametros!$B$13*Parametros!$B$7)*(1-0.55*O$5/(O$5+150))*9.81*Parametros!$B$11/100000+5*($F36/200)^1.8*(3.5/Parametros!$B$10)^4.8</f>
        <v>104.792169281719</v>
      </c>
    </row>
    <row r="37" customFormat="false" ht="15" hidden="false" customHeight="false" outlineLevel="0" collapsed="false">
      <c r="F37" s="8" t="n">
        <f aca="false">Curvas!A36</f>
        <v>64.5833333333333</v>
      </c>
      <c r="G37" s="8" t="n">
        <f aca="false">Parametros!$B$8+(Parametros!$B$12*(1-Parametros!$B$7)+Parametros!$B$13*Parametros!$B$7)*(1-0.55*G$5/(G$5+150))*9.81*Parametros!$B$11/100000+5*($F37/200)^1.8*(3.5/Parametros!$B$10)^4.8</f>
        <v>167.613631289432</v>
      </c>
      <c r="H37" s="8" t="n">
        <f aca="false">Parametros!$B$8+(Parametros!$B$12*(1-Parametros!$B$7)+Parametros!$B$13*Parametros!$B$7)*(1-0.55*H$5/(H$5+150))*9.81*Parametros!$B$11/100000+5*($F37/200)^1.8*(3.5/Parametros!$B$10)^4.8</f>
        <v>146.031631289432</v>
      </c>
      <c r="I37" s="8" t="n">
        <f aca="false">Parametros!$B$8+(Parametros!$B$12*(1-Parametros!$B$7)+Parametros!$B$13*Parametros!$B$7)*(1-0.55*I$5/(I$5+150))*9.81*Parametros!$B$11/100000+5*($F37/200)^1.8*(3.5/Parametros!$B$10)^4.8</f>
        <v>133.082431289432</v>
      </c>
      <c r="J37" s="8" t="n">
        <f aca="false">Parametros!$B$8+(Parametros!$B$12*(1-Parametros!$B$7)+Parametros!$B$13*Parametros!$B$7)*(1-0.55*J$5/(J$5+150))*9.81*Parametros!$B$11/100000+5*($F37/200)^1.8*(3.5/Parametros!$B$10)^4.8</f>
        <v>124.449631289432</v>
      </c>
      <c r="K37" s="8" t="n">
        <f aca="false">Parametros!$B$8+(Parametros!$B$12*(1-Parametros!$B$7)+Parametros!$B$13*Parametros!$B$7)*(1-0.55*K$5/(K$5+150))*9.81*Parametros!$B$11/100000+5*($F37/200)^1.8*(3.5/Parametros!$B$10)^4.8</f>
        <v>118.283345575146</v>
      </c>
      <c r="L37" s="8" t="n">
        <f aca="false">Parametros!$B$8+(Parametros!$B$12*(1-Parametros!$B$7)+Parametros!$B$13*Parametros!$B$7)*(1-0.55*L$5/(L$5+150))*9.81*Parametros!$B$11/100000+5*($F37/200)^1.8*(3.5/Parametros!$B$10)^4.8</f>
        <v>113.658631289432</v>
      </c>
      <c r="M37" s="8" t="n">
        <f aca="false">Parametros!$B$8+(Parametros!$B$12*(1-Parametros!$B$7)+Parametros!$B$13*Parametros!$B$7)*(1-0.55*M$5/(M$5+150))*9.81*Parametros!$B$11/100000+5*($F37/200)^1.8*(3.5/Parametros!$B$10)^4.8</f>
        <v>110.061631289432</v>
      </c>
      <c r="N37" s="8" t="n">
        <f aca="false">Parametros!$B$8+(Parametros!$B$12*(1-Parametros!$B$7)+Parametros!$B$13*Parametros!$B$7)*(1-0.55*N$5/(N$5+150))*9.81*Parametros!$B$11/100000+5*($F37/200)^1.8*(3.5/Parametros!$B$10)^4.8</f>
        <v>107.184031289432</v>
      </c>
      <c r="O37" s="8" t="n">
        <f aca="false">Parametros!$B$8+(Parametros!$B$12*(1-Parametros!$B$7)+Parametros!$B$13*Parametros!$B$7)*(1-0.55*O$5/(O$5+150))*9.81*Parametros!$B$11/100000+5*($F37/200)^1.8*(3.5/Parametros!$B$10)^4.8</f>
        <v>104.829631289432</v>
      </c>
    </row>
    <row r="38" customFormat="false" ht="15" hidden="false" customHeight="false" outlineLevel="0" collapsed="false">
      <c r="F38" s="8" t="n">
        <f aca="false">Curvas!A37</f>
        <v>66.6666666666667</v>
      </c>
      <c r="G38" s="8" t="n">
        <f aca="false">Parametros!$B$8+(Parametros!$B$12*(1-Parametros!$B$7)+Parametros!$B$13*Parametros!$B$7)*(1-0.55*G$5/(G$5+150))*9.81*Parametros!$B$11/100000+5*($F38/200)^1.8*(3.5/Parametros!$B$10)^4.8</f>
        <v>167.652072744231</v>
      </c>
      <c r="H38" s="8" t="n">
        <f aca="false">Parametros!$B$8+(Parametros!$B$12*(1-Parametros!$B$7)+Parametros!$B$13*Parametros!$B$7)*(1-0.55*H$5/(H$5+150))*9.81*Parametros!$B$11/100000+5*($F38/200)^1.8*(3.5/Parametros!$B$10)^4.8</f>
        <v>146.070072744231</v>
      </c>
      <c r="I38" s="8" t="n">
        <f aca="false">Parametros!$B$8+(Parametros!$B$12*(1-Parametros!$B$7)+Parametros!$B$13*Parametros!$B$7)*(1-0.55*I$5/(I$5+150))*9.81*Parametros!$B$11/100000+5*($F38/200)^1.8*(3.5/Parametros!$B$10)^4.8</f>
        <v>133.120872744231</v>
      </c>
      <c r="J38" s="8" t="n">
        <f aca="false">Parametros!$B$8+(Parametros!$B$12*(1-Parametros!$B$7)+Parametros!$B$13*Parametros!$B$7)*(1-0.55*J$5/(J$5+150))*9.81*Parametros!$B$11/100000+5*($F38/200)^1.8*(3.5/Parametros!$B$10)^4.8</f>
        <v>124.488072744231</v>
      </c>
      <c r="K38" s="8" t="n">
        <f aca="false">Parametros!$B$8+(Parametros!$B$12*(1-Parametros!$B$7)+Parametros!$B$13*Parametros!$B$7)*(1-0.55*K$5/(K$5+150))*9.81*Parametros!$B$11/100000+5*($F38/200)^1.8*(3.5/Parametros!$B$10)^4.8</f>
        <v>118.321787029945</v>
      </c>
      <c r="L38" s="8" t="n">
        <f aca="false">Parametros!$B$8+(Parametros!$B$12*(1-Parametros!$B$7)+Parametros!$B$13*Parametros!$B$7)*(1-0.55*L$5/(L$5+150))*9.81*Parametros!$B$11/100000+5*($F38/200)^1.8*(3.5/Parametros!$B$10)^4.8</f>
        <v>113.697072744231</v>
      </c>
      <c r="M38" s="8" t="n">
        <f aca="false">Parametros!$B$8+(Parametros!$B$12*(1-Parametros!$B$7)+Parametros!$B$13*Parametros!$B$7)*(1-0.55*M$5/(M$5+150))*9.81*Parametros!$B$11/100000+5*($F38/200)^1.8*(3.5/Parametros!$B$10)^4.8</f>
        <v>110.100072744231</v>
      </c>
      <c r="N38" s="8" t="n">
        <f aca="false">Parametros!$B$8+(Parametros!$B$12*(1-Parametros!$B$7)+Parametros!$B$13*Parametros!$B$7)*(1-0.55*N$5/(N$5+150))*9.81*Parametros!$B$11/100000+5*($F38/200)^1.8*(3.5/Parametros!$B$10)^4.8</f>
        <v>107.222472744231</v>
      </c>
      <c r="O38" s="8" t="n">
        <f aca="false">Parametros!$B$8+(Parametros!$B$12*(1-Parametros!$B$7)+Parametros!$B$13*Parametros!$B$7)*(1-0.55*O$5/(O$5+150))*9.81*Parametros!$B$11/100000+5*($F38/200)^1.8*(3.5/Parametros!$B$10)^4.8</f>
        <v>104.868072744231</v>
      </c>
    </row>
    <row r="39" customFormat="false" ht="15" hidden="false" customHeight="false" outlineLevel="0" collapsed="false">
      <c r="F39" s="8" t="n">
        <f aca="false">Curvas!A38</f>
        <v>68.75</v>
      </c>
      <c r="G39" s="8" t="n">
        <f aca="false">Parametros!$B$8+(Parametros!$B$12*(1-Parametros!$B$7)+Parametros!$B$13*Parametros!$B$7)*(1-0.55*G$5/(G$5+150))*9.81*Parametros!$B$11/100000+5*($F39/200)^1.8*(3.5/Parametros!$B$10)^4.8</f>
        <v>167.691487445339</v>
      </c>
      <c r="H39" s="8" t="n">
        <f aca="false">Parametros!$B$8+(Parametros!$B$12*(1-Parametros!$B$7)+Parametros!$B$13*Parametros!$B$7)*(1-0.55*H$5/(H$5+150))*9.81*Parametros!$B$11/100000+5*($F39/200)^1.8*(3.5/Parametros!$B$10)^4.8</f>
        <v>146.109487445339</v>
      </c>
      <c r="I39" s="8" t="n">
        <f aca="false">Parametros!$B$8+(Parametros!$B$12*(1-Parametros!$B$7)+Parametros!$B$13*Parametros!$B$7)*(1-0.55*I$5/(I$5+150))*9.81*Parametros!$B$11/100000+5*($F39/200)^1.8*(3.5/Parametros!$B$10)^4.8</f>
        <v>133.160287445339</v>
      </c>
      <c r="J39" s="8" t="n">
        <f aca="false">Parametros!$B$8+(Parametros!$B$12*(1-Parametros!$B$7)+Parametros!$B$13*Parametros!$B$7)*(1-0.55*J$5/(J$5+150))*9.81*Parametros!$B$11/100000+5*($F39/200)^1.8*(3.5/Parametros!$B$10)^4.8</f>
        <v>124.527487445339</v>
      </c>
      <c r="K39" s="8" t="n">
        <f aca="false">Parametros!$B$8+(Parametros!$B$12*(1-Parametros!$B$7)+Parametros!$B$13*Parametros!$B$7)*(1-0.55*K$5/(K$5+150))*9.81*Parametros!$B$11/100000+5*($F39/200)^1.8*(3.5/Parametros!$B$10)^4.8</f>
        <v>118.361201731054</v>
      </c>
      <c r="L39" s="8" t="n">
        <f aca="false">Parametros!$B$8+(Parametros!$B$12*(1-Parametros!$B$7)+Parametros!$B$13*Parametros!$B$7)*(1-0.55*L$5/(L$5+150))*9.81*Parametros!$B$11/100000+5*($F39/200)^1.8*(3.5/Parametros!$B$10)^4.8</f>
        <v>113.736487445339</v>
      </c>
      <c r="M39" s="8" t="n">
        <f aca="false">Parametros!$B$8+(Parametros!$B$12*(1-Parametros!$B$7)+Parametros!$B$13*Parametros!$B$7)*(1-0.55*M$5/(M$5+150))*9.81*Parametros!$B$11/100000+5*($F39/200)^1.8*(3.5/Parametros!$B$10)^4.8</f>
        <v>110.139487445339</v>
      </c>
      <c r="N39" s="8" t="n">
        <f aca="false">Parametros!$B$8+(Parametros!$B$12*(1-Parametros!$B$7)+Parametros!$B$13*Parametros!$B$7)*(1-0.55*N$5/(N$5+150))*9.81*Parametros!$B$11/100000+5*($F39/200)^1.8*(3.5/Parametros!$B$10)^4.8</f>
        <v>107.261887445339</v>
      </c>
      <c r="O39" s="8" t="n">
        <f aca="false">Parametros!$B$8+(Parametros!$B$12*(1-Parametros!$B$7)+Parametros!$B$13*Parametros!$B$7)*(1-0.55*O$5/(O$5+150))*9.81*Parametros!$B$11/100000+5*($F39/200)^1.8*(3.5/Parametros!$B$10)^4.8</f>
        <v>104.907487445339</v>
      </c>
    </row>
    <row r="40" customFormat="false" ht="15" hidden="false" customHeight="false" outlineLevel="0" collapsed="false">
      <c r="F40" s="8" t="n">
        <f aca="false">Curvas!A39</f>
        <v>70.8333333333333</v>
      </c>
      <c r="G40" s="8" t="n">
        <f aca="false">Parametros!$B$8+(Parametros!$B$12*(1-Parametros!$B$7)+Parametros!$B$13*Parametros!$B$7)*(1-0.55*G$5/(G$5+150))*9.81*Parametros!$B$11/100000+5*($F40/200)^1.8*(3.5/Parametros!$B$10)^4.8</f>
        <v>167.731869420342</v>
      </c>
      <c r="H40" s="8" t="n">
        <f aca="false">Parametros!$B$8+(Parametros!$B$12*(1-Parametros!$B$7)+Parametros!$B$13*Parametros!$B$7)*(1-0.55*H$5/(H$5+150))*9.81*Parametros!$B$11/100000+5*($F40/200)^1.8*(3.5/Parametros!$B$10)^4.8</f>
        <v>146.149869420342</v>
      </c>
      <c r="I40" s="8" t="n">
        <f aca="false">Parametros!$B$8+(Parametros!$B$12*(1-Parametros!$B$7)+Parametros!$B$13*Parametros!$B$7)*(1-0.55*I$5/(I$5+150))*9.81*Parametros!$B$11/100000+5*($F40/200)^1.8*(3.5/Parametros!$B$10)^4.8</f>
        <v>133.200669420342</v>
      </c>
      <c r="J40" s="8" t="n">
        <f aca="false">Parametros!$B$8+(Parametros!$B$12*(1-Parametros!$B$7)+Parametros!$B$13*Parametros!$B$7)*(1-0.55*J$5/(J$5+150))*9.81*Parametros!$B$11/100000+5*($F40/200)^1.8*(3.5/Parametros!$B$10)^4.8</f>
        <v>124.567869420342</v>
      </c>
      <c r="K40" s="8" t="n">
        <f aca="false">Parametros!$B$8+(Parametros!$B$12*(1-Parametros!$B$7)+Parametros!$B$13*Parametros!$B$7)*(1-0.55*K$5/(K$5+150))*9.81*Parametros!$B$11/100000+5*($F40/200)^1.8*(3.5/Parametros!$B$10)^4.8</f>
        <v>118.401583706056</v>
      </c>
      <c r="L40" s="8" t="n">
        <f aca="false">Parametros!$B$8+(Parametros!$B$12*(1-Parametros!$B$7)+Parametros!$B$13*Parametros!$B$7)*(1-0.55*L$5/(L$5+150))*9.81*Parametros!$B$11/100000+5*($F40/200)^1.8*(3.5/Parametros!$B$10)^4.8</f>
        <v>113.776869420342</v>
      </c>
      <c r="M40" s="8" t="n">
        <f aca="false">Parametros!$B$8+(Parametros!$B$12*(1-Parametros!$B$7)+Parametros!$B$13*Parametros!$B$7)*(1-0.55*M$5/(M$5+150))*9.81*Parametros!$B$11/100000+5*($F40/200)^1.8*(3.5/Parametros!$B$10)^4.8</f>
        <v>110.179869420342</v>
      </c>
      <c r="N40" s="8" t="n">
        <f aca="false">Parametros!$B$8+(Parametros!$B$12*(1-Parametros!$B$7)+Parametros!$B$13*Parametros!$B$7)*(1-0.55*N$5/(N$5+150))*9.81*Parametros!$B$11/100000+5*($F40/200)^1.8*(3.5/Parametros!$B$10)^4.8</f>
        <v>107.302269420342</v>
      </c>
      <c r="O40" s="8" t="n">
        <f aca="false">Parametros!$B$8+(Parametros!$B$12*(1-Parametros!$B$7)+Parametros!$B$13*Parametros!$B$7)*(1-0.55*O$5/(O$5+150))*9.81*Parametros!$B$11/100000+5*($F40/200)^1.8*(3.5/Parametros!$B$10)^4.8</f>
        <v>104.947869420342</v>
      </c>
    </row>
    <row r="41" customFormat="false" ht="15" hidden="false" customHeight="false" outlineLevel="0" collapsed="false">
      <c r="F41" s="8" t="n">
        <f aca="false">Curvas!A40</f>
        <v>72.9166666666667</v>
      </c>
      <c r="G41" s="8" t="n">
        <f aca="false">Parametros!$B$8+(Parametros!$B$12*(1-Parametros!$B$7)+Parametros!$B$13*Parametros!$B$7)*(1-0.55*G$5/(G$5+150))*9.81*Parametros!$B$11/100000+5*($F41/200)^1.8*(3.5/Parametros!$B$10)^4.8</f>
        <v>167.773212910222</v>
      </c>
      <c r="H41" s="8" t="n">
        <f aca="false">Parametros!$B$8+(Parametros!$B$12*(1-Parametros!$B$7)+Parametros!$B$13*Parametros!$B$7)*(1-0.55*H$5/(H$5+150))*9.81*Parametros!$B$11/100000+5*($F41/200)^1.8*(3.5/Parametros!$B$10)^4.8</f>
        <v>146.191212910222</v>
      </c>
      <c r="I41" s="8" t="n">
        <f aca="false">Parametros!$B$8+(Parametros!$B$12*(1-Parametros!$B$7)+Parametros!$B$13*Parametros!$B$7)*(1-0.55*I$5/(I$5+150))*9.81*Parametros!$B$11/100000+5*($F41/200)^1.8*(3.5/Parametros!$B$10)^4.8</f>
        <v>133.242012910222</v>
      </c>
      <c r="J41" s="8" t="n">
        <f aca="false">Parametros!$B$8+(Parametros!$B$12*(1-Parametros!$B$7)+Parametros!$B$13*Parametros!$B$7)*(1-0.55*J$5/(J$5+150))*9.81*Parametros!$B$11/100000+5*($F41/200)^1.8*(3.5/Parametros!$B$10)^4.8</f>
        <v>124.609212910222</v>
      </c>
      <c r="K41" s="8" t="n">
        <f aca="false">Parametros!$B$8+(Parametros!$B$12*(1-Parametros!$B$7)+Parametros!$B$13*Parametros!$B$7)*(1-0.55*K$5/(K$5+150))*9.81*Parametros!$B$11/100000+5*($F41/200)^1.8*(3.5/Parametros!$B$10)^4.8</f>
        <v>118.442927195937</v>
      </c>
      <c r="L41" s="8" t="n">
        <f aca="false">Parametros!$B$8+(Parametros!$B$12*(1-Parametros!$B$7)+Parametros!$B$13*Parametros!$B$7)*(1-0.55*L$5/(L$5+150))*9.81*Parametros!$B$11/100000+5*($F41/200)^1.8*(3.5/Parametros!$B$10)^4.8</f>
        <v>113.818212910222</v>
      </c>
      <c r="M41" s="8" t="n">
        <f aca="false">Parametros!$B$8+(Parametros!$B$12*(1-Parametros!$B$7)+Parametros!$B$13*Parametros!$B$7)*(1-0.55*M$5/(M$5+150))*9.81*Parametros!$B$11/100000+5*($F41/200)^1.8*(3.5/Parametros!$B$10)^4.8</f>
        <v>110.221212910222</v>
      </c>
      <c r="N41" s="8" t="n">
        <f aca="false">Parametros!$B$8+(Parametros!$B$12*(1-Parametros!$B$7)+Parametros!$B$13*Parametros!$B$7)*(1-0.55*N$5/(N$5+150))*9.81*Parametros!$B$11/100000+5*($F41/200)^1.8*(3.5/Parametros!$B$10)^4.8</f>
        <v>107.343612910222</v>
      </c>
      <c r="O41" s="8" t="n">
        <f aca="false">Parametros!$B$8+(Parametros!$B$12*(1-Parametros!$B$7)+Parametros!$B$13*Parametros!$B$7)*(1-0.55*O$5/(O$5+150))*9.81*Parametros!$B$11/100000+5*($F41/200)^1.8*(3.5/Parametros!$B$10)^4.8</f>
        <v>104.989212910222</v>
      </c>
    </row>
    <row r="42" customFormat="false" ht="15" hidden="false" customHeight="false" outlineLevel="0" collapsed="false">
      <c r="F42" s="8" t="n">
        <f aca="false">Curvas!A41</f>
        <v>75</v>
      </c>
      <c r="G42" s="8" t="n">
        <f aca="false">Parametros!$B$8+(Parametros!$B$12*(1-Parametros!$B$7)+Parametros!$B$13*Parametros!$B$7)*(1-0.55*G$5/(G$5+150))*9.81*Parametros!$B$11/100000+5*($F42/200)^1.8*(3.5/Parametros!$B$10)^4.8</f>
        <v>167.815512355787</v>
      </c>
      <c r="H42" s="8" t="n">
        <f aca="false">Parametros!$B$8+(Parametros!$B$12*(1-Parametros!$B$7)+Parametros!$B$13*Parametros!$B$7)*(1-0.55*H$5/(H$5+150))*9.81*Parametros!$B$11/100000+5*($F42/200)^1.8*(3.5/Parametros!$B$10)^4.8</f>
        <v>146.233512355787</v>
      </c>
      <c r="I42" s="8" t="n">
        <f aca="false">Parametros!$B$8+(Parametros!$B$12*(1-Parametros!$B$7)+Parametros!$B$13*Parametros!$B$7)*(1-0.55*I$5/(I$5+150))*9.81*Parametros!$B$11/100000+5*($F42/200)^1.8*(3.5/Parametros!$B$10)^4.8</f>
        <v>133.284312355787</v>
      </c>
      <c r="J42" s="8" t="n">
        <f aca="false">Parametros!$B$8+(Parametros!$B$12*(1-Parametros!$B$7)+Parametros!$B$13*Parametros!$B$7)*(1-0.55*J$5/(J$5+150))*9.81*Parametros!$B$11/100000+5*($F42/200)^1.8*(3.5/Parametros!$B$10)^4.8</f>
        <v>124.651512355787</v>
      </c>
      <c r="K42" s="8" t="n">
        <f aca="false">Parametros!$B$8+(Parametros!$B$12*(1-Parametros!$B$7)+Parametros!$B$13*Parametros!$B$7)*(1-0.55*K$5/(K$5+150))*9.81*Parametros!$B$11/100000+5*($F42/200)^1.8*(3.5/Parametros!$B$10)^4.8</f>
        <v>118.485226641502</v>
      </c>
      <c r="L42" s="8" t="n">
        <f aca="false">Parametros!$B$8+(Parametros!$B$12*(1-Parametros!$B$7)+Parametros!$B$13*Parametros!$B$7)*(1-0.55*L$5/(L$5+150))*9.81*Parametros!$B$11/100000+5*($F42/200)^1.8*(3.5/Parametros!$B$10)^4.8</f>
        <v>113.860512355787</v>
      </c>
      <c r="M42" s="8" t="n">
        <f aca="false">Parametros!$B$8+(Parametros!$B$12*(1-Parametros!$B$7)+Parametros!$B$13*Parametros!$B$7)*(1-0.55*M$5/(M$5+150))*9.81*Parametros!$B$11/100000+5*($F42/200)^1.8*(3.5/Parametros!$B$10)^4.8</f>
        <v>110.263512355787</v>
      </c>
      <c r="N42" s="8" t="n">
        <f aca="false">Parametros!$B$8+(Parametros!$B$12*(1-Parametros!$B$7)+Parametros!$B$13*Parametros!$B$7)*(1-0.55*N$5/(N$5+150))*9.81*Parametros!$B$11/100000+5*($F42/200)^1.8*(3.5/Parametros!$B$10)^4.8</f>
        <v>107.385912355787</v>
      </c>
      <c r="O42" s="8" t="n">
        <f aca="false">Parametros!$B$8+(Parametros!$B$12*(1-Parametros!$B$7)+Parametros!$B$13*Parametros!$B$7)*(1-0.55*O$5/(O$5+150))*9.81*Parametros!$B$11/100000+5*($F42/200)^1.8*(3.5/Parametros!$B$10)^4.8</f>
        <v>105.031512355787</v>
      </c>
    </row>
    <row r="43" customFormat="false" ht="15" hidden="false" customHeight="false" outlineLevel="0" collapsed="false">
      <c r="F43" s="8" t="n">
        <f aca="false">Curvas!A42</f>
        <v>77.0833333333333</v>
      </c>
      <c r="G43" s="8" t="n">
        <f aca="false">Parametros!$B$8+(Parametros!$B$12*(1-Parametros!$B$7)+Parametros!$B$13*Parametros!$B$7)*(1-0.55*G$5/(G$5+150))*9.81*Parametros!$B$11/100000+5*($F43/200)^1.8*(3.5/Parametros!$B$10)^4.8</f>
        <v>167.858762385308</v>
      </c>
      <c r="H43" s="8" t="n">
        <f aca="false">Parametros!$B$8+(Parametros!$B$12*(1-Parametros!$B$7)+Parametros!$B$13*Parametros!$B$7)*(1-0.55*H$5/(H$5+150))*9.81*Parametros!$B$11/100000+5*($F43/200)^1.8*(3.5/Parametros!$B$10)^4.8</f>
        <v>146.276762385308</v>
      </c>
      <c r="I43" s="8" t="n">
        <f aca="false">Parametros!$B$8+(Parametros!$B$12*(1-Parametros!$B$7)+Parametros!$B$13*Parametros!$B$7)*(1-0.55*I$5/(I$5+150))*9.81*Parametros!$B$11/100000+5*($F43/200)^1.8*(3.5/Parametros!$B$10)^4.8</f>
        <v>133.327562385308</v>
      </c>
      <c r="J43" s="8" t="n">
        <f aca="false">Parametros!$B$8+(Parametros!$B$12*(1-Parametros!$B$7)+Parametros!$B$13*Parametros!$B$7)*(1-0.55*J$5/(J$5+150))*9.81*Parametros!$B$11/100000+5*($F43/200)^1.8*(3.5/Parametros!$B$10)^4.8</f>
        <v>124.694762385308</v>
      </c>
      <c r="K43" s="8" t="n">
        <f aca="false">Parametros!$B$8+(Parametros!$B$12*(1-Parametros!$B$7)+Parametros!$B$13*Parametros!$B$7)*(1-0.55*K$5/(K$5+150))*9.81*Parametros!$B$11/100000+5*($F43/200)^1.8*(3.5/Parametros!$B$10)^4.8</f>
        <v>118.528476671023</v>
      </c>
      <c r="L43" s="8" t="n">
        <f aca="false">Parametros!$B$8+(Parametros!$B$12*(1-Parametros!$B$7)+Parametros!$B$13*Parametros!$B$7)*(1-0.55*L$5/(L$5+150))*9.81*Parametros!$B$11/100000+5*($F43/200)^1.8*(3.5/Parametros!$B$10)^4.8</f>
        <v>113.903762385308</v>
      </c>
      <c r="M43" s="8" t="n">
        <f aca="false">Parametros!$B$8+(Parametros!$B$12*(1-Parametros!$B$7)+Parametros!$B$13*Parametros!$B$7)*(1-0.55*M$5/(M$5+150))*9.81*Parametros!$B$11/100000+5*($F43/200)^1.8*(3.5/Parametros!$B$10)^4.8</f>
        <v>110.306762385308</v>
      </c>
      <c r="N43" s="8" t="n">
        <f aca="false">Parametros!$B$8+(Parametros!$B$12*(1-Parametros!$B$7)+Parametros!$B$13*Parametros!$B$7)*(1-0.55*N$5/(N$5+150))*9.81*Parametros!$B$11/100000+5*($F43/200)^1.8*(3.5/Parametros!$B$10)^4.8</f>
        <v>107.429162385308</v>
      </c>
      <c r="O43" s="8" t="n">
        <f aca="false">Parametros!$B$8+(Parametros!$B$12*(1-Parametros!$B$7)+Parametros!$B$13*Parametros!$B$7)*(1-0.55*O$5/(O$5+150))*9.81*Parametros!$B$11/100000+5*($F43/200)^1.8*(3.5/Parametros!$B$10)^4.8</f>
        <v>105.074762385308</v>
      </c>
    </row>
    <row r="44" customFormat="false" ht="15" hidden="false" customHeight="false" outlineLevel="0" collapsed="false">
      <c r="F44" s="8" t="n">
        <f aca="false">Curvas!A43</f>
        <v>79.1666666666667</v>
      </c>
      <c r="G44" s="8" t="n">
        <f aca="false">Parametros!$B$8+(Parametros!$B$12*(1-Parametros!$B$7)+Parametros!$B$13*Parametros!$B$7)*(1-0.55*G$5/(G$5+150))*9.81*Parametros!$B$11/100000+5*($F44/200)^1.8*(3.5/Parametros!$B$10)^4.8</f>
        <v>167.902957803248</v>
      </c>
      <c r="H44" s="8" t="n">
        <f aca="false">Parametros!$B$8+(Parametros!$B$12*(1-Parametros!$B$7)+Parametros!$B$13*Parametros!$B$7)*(1-0.55*H$5/(H$5+150))*9.81*Parametros!$B$11/100000+5*($F44/200)^1.8*(3.5/Parametros!$B$10)^4.8</f>
        <v>146.320957803248</v>
      </c>
      <c r="I44" s="8" t="n">
        <f aca="false">Parametros!$B$8+(Parametros!$B$12*(1-Parametros!$B$7)+Parametros!$B$13*Parametros!$B$7)*(1-0.55*I$5/(I$5+150))*9.81*Parametros!$B$11/100000+5*($F44/200)^1.8*(3.5/Parametros!$B$10)^4.8</f>
        <v>133.371757803248</v>
      </c>
      <c r="J44" s="8" t="n">
        <f aca="false">Parametros!$B$8+(Parametros!$B$12*(1-Parametros!$B$7)+Parametros!$B$13*Parametros!$B$7)*(1-0.55*J$5/(J$5+150))*9.81*Parametros!$B$11/100000+5*($F44/200)^1.8*(3.5/Parametros!$B$10)^4.8</f>
        <v>124.738957803248</v>
      </c>
      <c r="K44" s="8" t="n">
        <f aca="false">Parametros!$B$8+(Parametros!$B$12*(1-Parametros!$B$7)+Parametros!$B$13*Parametros!$B$7)*(1-0.55*K$5/(K$5+150))*9.81*Parametros!$B$11/100000+5*($F44/200)^1.8*(3.5/Parametros!$B$10)^4.8</f>
        <v>118.572672088963</v>
      </c>
      <c r="L44" s="8" t="n">
        <f aca="false">Parametros!$B$8+(Parametros!$B$12*(1-Parametros!$B$7)+Parametros!$B$13*Parametros!$B$7)*(1-0.55*L$5/(L$5+150))*9.81*Parametros!$B$11/100000+5*($F44/200)^1.8*(3.5/Parametros!$B$10)^4.8</f>
        <v>113.947957803248</v>
      </c>
      <c r="M44" s="8" t="n">
        <f aca="false">Parametros!$B$8+(Parametros!$B$12*(1-Parametros!$B$7)+Parametros!$B$13*Parametros!$B$7)*(1-0.55*M$5/(M$5+150))*9.81*Parametros!$B$11/100000+5*($F44/200)^1.8*(3.5/Parametros!$B$10)^4.8</f>
        <v>110.350957803248</v>
      </c>
      <c r="N44" s="8" t="n">
        <f aca="false">Parametros!$B$8+(Parametros!$B$12*(1-Parametros!$B$7)+Parametros!$B$13*Parametros!$B$7)*(1-0.55*N$5/(N$5+150))*9.81*Parametros!$B$11/100000+5*($F44/200)^1.8*(3.5/Parametros!$B$10)^4.8</f>
        <v>107.473357803248</v>
      </c>
      <c r="O44" s="8" t="n">
        <f aca="false">Parametros!$B$8+(Parametros!$B$12*(1-Parametros!$B$7)+Parametros!$B$13*Parametros!$B$7)*(1-0.55*O$5/(O$5+150))*9.81*Parametros!$B$11/100000+5*($F44/200)^1.8*(3.5/Parametros!$B$10)^4.8</f>
        <v>105.118957803248</v>
      </c>
    </row>
    <row r="45" customFormat="false" ht="15" hidden="false" customHeight="false" outlineLevel="0" collapsed="false">
      <c r="F45" s="8" t="n">
        <f aca="false">Curvas!A44</f>
        <v>81.25</v>
      </c>
      <c r="G45" s="8" t="n">
        <f aca="false">Parametros!$B$8+(Parametros!$B$12*(1-Parametros!$B$7)+Parametros!$B$13*Parametros!$B$7)*(1-0.55*G$5/(G$5+150))*9.81*Parametros!$B$11/100000+5*($F45/200)^1.8*(3.5/Parametros!$B$10)^4.8</f>
        <v>167.948093579946</v>
      </c>
      <c r="H45" s="8" t="n">
        <f aca="false">Parametros!$B$8+(Parametros!$B$12*(1-Parametros!$B$7)+Parametros!$B$13*Parametros!$B$7)*(1-0.55*H$5/(H$5+150))*9.81*Parametros!$B$11/100000+5*($F45/200)^1.8*(3.5/Parametros!$B$10)^4.8</f>
        <v>146.366093579946</v>
      </c>
      <c r="I45" s="8" t="n">
        <f aca="false">Parametros!$B$8+(Parametros!$B$12*(1-Parametros!$B$7)+Parametros!$B$13*Parametros!$B$7)*(1-0.55*I$5/(I$5+150))*9.81*Parametros!$B$11/100000+5*($F45/200)^1.8*(3.5/Parametros!$B$10)^4.8</f>
        <v>133.416893579946</v>
      </c>
      <c r="J45" s="8" t="n">
        <f aca="false">Parametros!$B$8+(Parametros!$B$12*(1-Parametros!$B$7)+Parametros!$B$13*Parametros!$B$7)*(1-0.55*J$5/(J$5+150))*9.81*Parametros!$B$11/100000+5*($F45/200)^1.8*(3.5/Parametros!$B$10)^4.8</f>
        <v>124.784093579946</v>
      </c>
      <c r="K45" s="8" t="n">
        <f aca="false">Parametros!$B$8+(Parametros!$B$12*(1-Parametros!$B$7)+Parametros!$B$13*Parametros!$B$7)*(1-0.55*K$5/(K$5+150))*9.81*Parametros!$B$11/100000+5*($F45/200)^1.8*(3.5/Parametros!$B$10)^4.8</f>
        <v>118.617807865661</v>
      </c>
      <c r="L45" s="8" t="n">
        <f aca="false">Parametros!$B$8+(Parametros!$B$12*(1-Parametros!$B$7)+Parametros!$B$13*Parametros!$B$7)*(1-0.55*L$5/(L$5+150))*9.81*Parametros!$B$11/100000+5*($F45/200)^1.8*(3.5/Parametros!$B$10)^4.8</f>
        <v>113.993093579946</v>
      </c>
      <c r="M45" s="8" t="n">
        <f aca="false">Parametros!$B$8+(Parametros!$B$12*(1-Parametros!$B$7)+Parametros!$B$13*Parametros!$B$7)*(1-0.55*M$5/(M$5+150))*9.81*Parametros!$B$11/100000+5*($F45/200)^1.8*(3.5/Parametros!$B$10)^4.8</f>
        <v>110.396093579946</v>
      </c>
      <c r="N45" s="8" t="n">
        <f aca="false">Parametros!$B$8+(Parametros!$B$12*(1-Parametros!$B$7)+Parametros!$B$13*Parametros!$B$7)*(1-0.55*N$5/(N$5+150))*9.81*Parametros!$B$11/100000+5*($F45/200)^1.8*(3.5/Parametros!$B$10)^4.8</f>
        <v>107.518493579946</v>
      </c>
      <c r="O45" s="8" t="n">
        <f aca="false">Parametros!$B$8+(Parametros!$B$12*(1-Parametros!$B$7)+Parametros!$B$13*Parametros!$B$7)*(1-0.55*O$5/(O$5+150))*9.81*Parametros!$B$11/100000+5*($F45/200)^1.8*(3.5/Parametros!$B$10)^4.8</f>
        <v>105.164093579946</v>
      </c>
    </row>
    <row r="46" customFormat="false" ht="15" hidden="false" customHeight="false" outlineLevel="0" collapsed="false">
      <c r="F46" s="8" t="n">
        <f aca="false">Curvas!A45</f>
        <v>83.3333333333333</v>
      </c>
      <c r="G46" s="8" t="n">
        <f aca="false">Parametros!$B$8+(Parametros!$B$12*(1-Parametros!$B$7)+Parametros!$B$13*Parametros!$B$7)*(1-0.55*G$5/(G$5+150))*9.81*Parametros!$B$11/100000+5*($F46/200)^1.8*(3.5/Parametros!$B$10)^4.8</f>
        <v>167.994164842159</v>
      </c>
      <c r="H46" s="8" t="n">
        <f aca="false">Parametros!$B$8+(Parametros!$B$12*(1-Parametros!$B$7)+Parametros!$B$13*Parametros!$B$7)*(1-0.55*H$5/(H$5+150))*9.81*Parametros!$B$11/100000+5*($F46/200)^1.8*(3.5/Parametros!$B$10)^4.8</f>
        <v>146.412164842159</v>
      </c>
      <c r="I46" s="8" t="n">
        <f aca="false">Parametros!$B$8+(Parametros!$B$12*(1-Parametros!$B$7)+Parametros!$B$13*Parametros!$B$7)*(1-0.55*I$5/(I$5+150))*9.81*Parametros!$B$11/100000+5*($F46/200)^1.8*(3.5/Parametros!$B$10)^4.8</f>
        <v>133.462964842159</v>
      </c>
      <c r="J46" s="8" t="n">
        <f aca="false">Parametros!$B$8+(Parametros!$B$12*(1-Parametros!$B$7)+Parametros!$B$13*Parametros!$B$7)*(1-0.55*J$5/(J$5+150))*9.81*Parametros!$B$11/100000+5*($F46/200)^1.8*(3.5/Parametros!$B$10)^4.8</f>
        <v>124.830164842159</v>
      </c>
      <c r="K46" s="8" t="n">
        <f aca="false">Parametros!$B$8+(Parametros!$B$12*(1-Parametros!$B$7)+Parametros!$B$13*Parametros!$B$7)*(1-0.55*K$5/(K$5+150))*9.81*Parametros!$B$11/100000+5*($F46/200)^1.8*(3.5/Parametros!$B$10)^4.8</f>
        <v>118.663879127873</v>
      </c>
      <c r="L46" s="8" t="n">
        <f aca="false">Parametros!$B$8+(Parametros!$B$12*(1-Parametros!$B$7)+Parametros!$B$13*Parametros!$B$7)*(1-0.55*L$5/(L$5+150))*9.81*Parametros!$B$11/100000+5*($F46/200)^1.8*(3.5/Parametros!$B$10)^4.8</f>
        <v>114.039164842159</v>
      </c>
      <c r="M46" s="8" t="n">
        <f aca="false">Parametros!$B$8+(Parametros!$B$12*(1-Parametros!$B$7)+Parametros!$B$13*Parametros!$B$7)*(1-0.55*M$5/(M$5+150))*9.81*Parametros!$B$11/100000+5*($F46/200)^1.8*(3.5/Parametros!$B$10)^4.8</f>
        <v>110.442164842159</v>
      </c>
      <c r="N46" s="8" t="n">
        <f aca="false">Parametros!$B$8+(Parametros!$B$12*(1-Parametros!$B$7)+Parametros!$B$13*Parametros!$B$7)*(1-0.55*N$5/(N$5+150))*9.81*Parametros!$B$11/100000+5*($F46/200)^1.8*(3.5/Parametros!$B$10)^4.8</f>
        <v>107.564564842159</v>
      </c>
      <c r="O46" s="8" t="n">
        <f aca="false">Parametros!$B$8+(Parametros!$B$12*(1-Parametros!$B$7)+Parametros!$B$13*Parametros!$B$7)*(1-0.55*O$5/(O$5+150))*9.81*Parametros!$B$11/100000+5*($F46/200)^1.8*(3.5/Parametros!$B$10)^4.8</f>
        <v>105.210164842159</v>
      </c>
    </row>
    <row r="47" customFormat="false" ht="15" hidden="false" customHeight="false" outlineLevel="0" collapsed="false">
      <c r="F47" s="8" t="n">
        <f aca="false">Curvas!A46</f>
        <v>85.4166666666667</v>
      </c>
      <c r="G47" s="8" t="n">
        <f aca="false">Parametros!$B$8+(Parametros!$B$12*(1-Parametros!$B$7)+Parametros!$B$13*Parametros!$B$7)*(1-0.55*G$5/(G$5+150))*9.81*Parametros!$B$11/100000+5*($F47/200)^1.8*(3.5/Parametros!$B$10)^4.8</f>
        <v>168.041166864365</v>
      </c>
      <c r="H47" s="8" t="n">
        <f aca="false">Parametros!$B$8+(Parametros!$B$12*(1-Parametros!$B$7)+Parametros!$B$13*Parametros!$B$7)*(1-0.55*H$5/(H$5+150))*9.81*Parametros!$B$11/100000+5*($F47/200)^1.8*(3.5/Parametros!$B$10)^4.8</f>
        <v>146.459166864365</v>
      </c>
      <c r="I47" s="8" t="n">
        <f aca="false">Parametros!$B$8+(Parametros!$B$12*(1-Parametros!$B$7)+Parametros!$B$13*Parametros!$B$7)*(1-0.55*I$5/(I$5+150))*9.81*Parametros!$B$11/100000+5*($F47/200)^1.8*(3.5/Parametros!$B$10)^4.8</f>
        <v>133.509966864365</v>
      </c>
      <c r="J47" s="8" t="n">
        <f aca="false">Parametros!$B$8+(Parametros!$B$12*(1-Parametros!$B$7)+Parametros!$B$13*Parametros!$B$7)*(1-0.55*J$5/(J$5+150))*9.81*Parametros!$B$11/100000+5*($F47/200)^1.8*(3.5/Parametros!$B$10)^4.8</f>
        <v>124.877166864365</v>
      </c>
      <c r="K47" s="8" t="n">
        <f aca="false">Parametros!$B$8+(Parametros!$B$12*(1-Parametros!$B$7)+Parametros!$B$13*Parametros!$B$7)*(1-0.55*K$5/(K$5+150))*9.81*Parametros!$B$11/100000+5*($F47/200)^1.8*(3.5/Parametros!$B$10)^4.8</f>
        <v>118.71088115008</v>
      </c>
      <c r="L47" s="8" t="n">
        <f aca="false">Parametros!$B$8+(Parametros!$B$12*(1-Parametros!$B$7)+Parametros!$B$13*Parametros!$B$7)*(1-0.55*L$5/(L$5+150))*9.81*Parametros!$B$11/100000+5*($F47/200)^1.8*(3.5/Parametros!$B$10)^4.8</f>
        <v>114.086166864365</v>
      </c>
      <c r="M47" s="8" t="n">
        <f aca="false">Parametros!$B$8+(Parametros!$B$12*(1-Parametros!$B$7)+Parametros!$B$13*Parametros!$B$7)*(1-0.55*M$5/(M$5+150))*9.81*Parametros!$B$11/100000+5*($F47/200)^1.8*(3.5/Parametros!$B$10)^4.8</f>
        <v>110.489166864365</v>
      </c>
      <c r="N47" s="8" t="n">
        <f aca="false">Parametros!$B$8+(Parametros!$B$12*(1-Parametros!$B$7)+Parametros!$B$13*Parametros!$B$7)*(1-0.55*N$5/(N$5+150))*9.81*Parametros!$B$11/100000+5*($F47/200)^1.8*(3.5/Parametros!$B$10)^4.8</f>
        <v>107.611566864365</v>
      </c>
      <c r="O47" s="8" t="n">
        <f aca="false">Parametros!$B$8+(Parametros!$B$12*(1-Parametros!$B$7)+Parametros!$B$13*Parametros!$B$7)*(1-0.55*O$5/(O$5+150))*9.81*Parametros!$B$11/100000+5*($F47/200)^1.8*(3.5/Parametros!$B$10)^4.8</f>
        <v>105.257166864365</v>
      </c>
    </row>
    <row r="48" customFormat="false" ht="15" hidden="false" customHeight="false" outlineLevel="0" collapsed="false">
      <c r="F48" s="8" t="n">
        <f aca="false">Curvas!A47</f>
        <v>87.5</v>
      </c>
      <c r="G48" s="8" t="n">
        <f aca="false">Parametros!$B$8+(Parametros!$B$12*(1-Parametros!$B$7)+Parametros!$B$13*Parametros!$B$7)*(1-0.55*G$5/(G$5+150))*9.81*Parametros!$B$11/100000+5*($F48/200)^1.8*(3.5/Parametros!$B$10)^4.8</f>
        <v>168.08909506076</v>
      </c>
      <c r="H48" s="8" t="n">
        <f aca="false">Parametros!$B$8+(Parametros!$B$12*(1-Parametros!$B$7)+Parametros!$B$13*Parametros!$B$7)*(1-0.55*H$5/(H$5+150))*9.81*Parametros!$B$11/100000+5*($F48/200)^1.8*(3.5/Parametros!$B$10)^4.8</f>
        <v>146.50709506076</v>
      </c>
      <c r="I48" s="8" t="n">
        <f aca="false">Parametros!$B$8+(Parametros!$B$12*(1-Parametros!$B$7)+Parametros!$B$13*Parametros!$B$7)*(1-0.55*I$5/(I$5+150))*9.81*Parametros!$B$11/100000+5*($F48/200)^1.8*(3.5/Parametros!$B$10)^4.8</f>
        <v>133.55789506076</v>
      </c>
      <c r="J48" s="8" t="n">
        <f aca="false">Parametros!$B$8+(Parametros!$B$12*(1-Parametros!$B$7)+Parametros!$B$13*Parametros!$B$7)*(1-0.55*J$5/(J$5+150))*9.81*Parametros!$B$11/100000+5*($F48/200)^1.8*(3.5/Parametros!$B$10)^4.8</f>
        <v>124.92509506076</v>
      </c>
      <c r="K48" s="8" t="n">
        <f aca="false">Parametros!$B$8+(Parametros!$B$12*(1-Parametros!$B$7)+Parametros!$B$13*Parametros!$B$7)*(1-0.55*K$5/(K$5+150))*9.81*Parametros!$B$11/100000+5*($F48/200)^1.8*(3.5/Parametros!$B$10)^4.8</f>
        <v>118.758809346475</v>
      </c>
      <c r="L48" s="8" t="n">
        <f aca="false">Parametros!$B$8+(Parametros!$B$12*(1-Parametros!$B$7)+Parametros!$B$13*Parametros!$B$7)*(1-0.55*L$5/(L$5+150))*9.81*Parametros!$B$11/100000+5*($F48/200)^1.8*(3.5/Parametros!$B$10)^4.8</f>
        <v>114.13409506076</v>
      </c>
      <c r="M48" s="8" t="n">
        <f aca="false">Parametros!$B$8+(Parametros!$B$12*(1-Parametros!$B$7)+Parametros!$B$13*Parametros!$B$7)*(1-0.55*M$5/(M$5+150))*9.81*Parametros!$B$11/100000+5*($F48/200)^1.8*(3.5/Parametros!$B$10)^4.8</f>
        <v>110.53709506076</v>
      </c>
      <c r="N48" s="8" t="n">
        <f aca="false">Parametros!$B$8+(Parametros!$B$12*(1-Parametros!$B$7)+Parametros!$B$13*Parametros!$B$7)*(1-0.55*N$5/(N$5+150))*9.81*Parametros!$B$11/100000+5*($F48/200)^1.8*(3.5/Parametros!$B$10)^4.8</f>
        <v>107.65949506076</v>
      </c>
      <c r="O48" s="8" t="n">
        <f aca="false">Parametros!$B$8+(Parametros!$B$12*(1-Parametros!$B$7)+Parametros!$B$13*Parametros!$B$7)*(1-0.55*O$5/(O$5+150))*9.81*Parametros!$B$11/100000+5*($F48/200)^1.8*(3.5/Parametros!$B$10)^4.8</f>
        <v>105.30509506076</v>
      </c>
    </row>
    <row r="49" customFormat="false" ht="15" hidden="false" customHeight="false" outlineLevel="0" collapsed="false">
      <c r="F49" s="8" t="n">
        <f aca="false">Curvas!A48</f>
        <v>89.5833333333333</v>
      </c>
      <c r="G49" s="8" t="n">
        <f aca="false">Parametros!$B$8+(Parametros!$B$12*(1-Parametros!$B$7)+Parametros!$B$13*Parametros!$B$7)*(1-0.55*G$5/(G$5+150))*9.81*Parametros!$B$11/100000+5*($F49/200)^1.8*(3.5/Parametros!$B$10)^4.8</f>
        <v>168.13794497786</v>
      </c>
      <c r="H49" s="8" t="n">
        <f aca="false">Parametros!$B$8+(Parametros!$B$12*(1-Parametros!$B$7)+Parametros!$B$13*Parametros!$B$7)*(1-0.55*H$5/(H$5+150))*9.81*Parametros!$B$11/100000+5*($F49/200)^1.8*(3.5/Parametros!$B$10)^4.8</f>
        <v>146.55594497786</v>
      </c>
      <c r="I49" s="8" t="n">
        <f aca="false">Parametros!$B$8+(Parametros!$B$12*(1-Parametros!$B$7)+Parametros!$B$13*Parametros!$B$7)*(1-0.55*I$5/(I$5+150))*9.81*Parametros!$B$11/100000+5*($F49/200)^1.8*(3.5/Parametros!$B$10)^4.8</f>
        <v>133.60674497786</v>
      </c>
      <c r="J49" s="8" t="n">
        <f aca="false">Parametros!$B$8+(Parametros!$B$12*(1-Parametros!$B$7)+Parametros!$B$13*Parametros!$B$7)*(1-0.55*J$5/(J$5+150))*9.81*Parametros!$B$11/100000+5*($F49/200)^1.8*(3.5/Parametros!$B$10)^4.8</f>
        <v>124.97394497786</v>
      </c>
      <c r="K49" s="8" t="n">
        <f aca="false">Parametros!$B$8+(Parametros!$B$12*(1-Parametros!$B$7)+Parametros!$B$13*Parametros!$B$7)*(1-0.55*K$5/(K$5+150))*9.81*Parametros!$B$11/100000+5*($F49/200)^1.8*(3.5/Parametros!$B$10)^4.8</f>
        <v>118.807659263575</v>
      </c>
      <c r="L49" s="8" t="n">
        <f aca="false">Parametros!$B$8+(Parametros!$B$12*(1-Parametros!$B$7)+Parametros!$B$13*Parametros!$B$7)*(1-0.55*L$5/(L$5+150))*9.81*Parametros!$B$11/100000+5*($F49/200)^1.8*(3.5/Parametros!$B$10)^4.8</f>
        <v>114.18294497786</v>
      </c>
      <c r="M49" s="8" t="n">
        <f aca="false">Parametros!$B$8+(Parametros!$B$12*(1-Parametros!$B$7)+Parametros!$B$13*Parametros!$B$7)*(1-0.55*M$5/(M$5+150))*9.81*Parametros!$B$11/100000+5*($F49/200)^1.8*(3.5/Parametros!$B$10)^4.8</f>
        <v>110.58594497786</v>
      </c>
      <c r="N49" s="8" t="n">
        <f aca="false">Parametros!$B$8+(Parametros!$B$12*(1-Parametros!$B$7)+Parametros!$B$13*Parametros!$B$7)*(1-0.55*N$5/(N$5+150))*9.81*Parametros!$B$11/100000+5*($F49/200)^1.8*(3.5/Parametros!$B$10)^4.8</f>
        <v>107.70834497786</v>
      </c>
      <c r="O49" s="8" t="n">
        <f aca="false">Parametros!$B$8+(Parametros!$B$12*(1-Parametros!$B$7)+Parametros!$B$13*Parametros!$B$7)*(1-0.55*O$5/(O$5+150))*9.81*Parametros!$B$11/100000+5*($F49/200)^1.8*(3.5/Parametros!$B$10)^4.8</f>
        <v>105.35394497786</v>
      </c>
    </row>
    <row r="50" customFormat="false" ht="15" hidden="false" customHeight="false" outlineLevel="0" collapsed="false">
      <c r="F50" s="8" t="n">
        <f aca="false">Curvas!A49</f>
        <v>91.6666666666667</v>
      </c>
      <c r="G50" s="8" t="n">
        <f aca="false">Parametros!$B$8+(Parametros!$B$12*(1-Parametros!$B$7)+Parametros!$B$13*Parametros!$B$7)*(1-0.55*G$5/(G$5+150))*9.81*Parametros!$B$11/100000+5*($F50/200)^1.8*(3.5/Parametros!$B$10)^4.8</f>
        <v>168.187712287669</v>
      </c>
      <c r="H50" s="8" t="n">
        <f aca="false">Parametros!$B$8+(Parametros!$B$12*(1-Parametros!$B$7)+Parametros!$B$13*Parametros!$B$7)*(1-0.55*H$5/(H$5+150))*9.81*Parametros!$B$11/100000+5*($F50/200)^1.8*(3.5/Parametros!$B$10)^4.8</f>
        <v>146.605712287669</v>
      </c>
      <c r="I50" s="8" t="n">
        <f aca="false">Parametros!$B$8+(Parametros!$B$12*(1-Parametros!$B$7)+Parametros!$B$13*Parametros!$B$7)*(1-0.55*I$5/(I$5+150))*9.81*Parametros!$B$11/100000+5*($F50/200)^1.8*(3.5/Parametros!$B$10)^4.8</f>
        <v>133.656512287669</v>
      </c>
      <c r="J50" s="8" t="n">
        <f aca="false">Parametros!$B$8+(Parametros!$B$12*(1-Parametros!$B$7)+Parametros!$B$13*Parametros!$B$7)*(1-0.55*J$5/(J$5+150))*9.81*Parametros!$B$11/100000+5*($F50/200)^1.8*(3.5/Parametros!$B$10)^4.8</f>
        <v>125.023712287669</v>
      </c>
      <c r="K50" s="8" t="n">
        <f aca="false">Parametros!$B$8+(Parametros!$B$12*(1-Parametros!$B$7)+Parametros!$B$13*Parametros!$B$7)*(1-0.55*K$5/(K$5+150))*9.81*Parametros!$B$11/100000+5*($F50/200)^1.8*(3.5/Parametros!$B$10)^4.8</f>
        <v>118.857426573383</v>
      </c>
      <c r="L50" s="8" t="n">
        <f aca="false">Parametros!$B$8+(Parametros!$B$12*(1-Parametros!$B$7)+Parametros!$B$13*Parametros!$B$7)*(1-0.55*L$5/(L$5+150))*9.81*Parametros!$B$11/100000+5*($F50/200)^1.8*(3.5/Parametros!$B$10)^4.8</f>
        <v>114.232712287669</v>
      </c>
      <c r="M50" s="8" t="n">
        <f aca="false">Parametros!$B$8+(Parametros!$B$12*(1-Parametros!$B$7)+Parametros!$B$13*Parametros!$B$7)*(1-0.55*M$5/(M$5+150))*9.81*Parametros!$B$11/100000+5*($F50/200)^1.8*(3.5/Parametros!$B$10)^4.8</f>
        <v>110.635712287669</v>
      </c>
      <c r="N50" s="8" t="n">
        <f aca="false">Parametros!$B$8+(Parametros!$B$12*(1-Parametros!$B$7)+Parametros!$B$13*Parametros!$B$7)*(1-0.55*N$5/(N$5+150))*9.81*Parametros!$B$11/100000+5*($F50/200)^1.8*(3.5/Parametros!$B$10)^4.8</f>
        <v>107.758112287669</v>
      </c>
      <c r="O50" s="8" t="n">
        <f aca="false">Parametros!$B$8+(Parametros!$B$12*(1-Parametros!$B$7)+Parametros!$B$13*Parametros!$B$7)*(1-0.55*O$5/(O$5+150))*9.81*Parametros!$B$11/100000+5*($F50/200)^1.8*(3.5/Parametros!$B$10)^4.8</f>
        <v>105.403712287669</v>
      </c>
    </row>
    <row r="51" customFormat="false" ht="15" hidden="false" customHeight="false" outlineLevel="0" collapsed="false">
      <c r="F51" s="8" t="n">
        <f aca="false">Curvas!A50</f>
        <v>93.75</v>
      </c>
      <c r="G51" s="8" t="n">
        <f aca="false">Parametros!$B$8+(Parametros!$B$12*(1-Parametros!$B$7)+Parametros!$B$13*Parametros!$B$7)*(1-0.55*G$5/(G$5+150))*9.81*Parametros!$B$11/100000+5*($F51/200)^1.8*(3.5/Parametros!$B$10)^4.8</f>
        <v>168.238392781341</v>
      </c>
      <c r="H51" s="8" t="n">
        <f aca="false">Parametros!$B$8+(Parametros!$B$12*(1-Parametros!$B$7)+Parametros!$B$13*Parametros!$B$7)*(1-0.55*H$5/(H$5+150))*9.81*Parametros!$B$11/100000+5*($F51/200)^1.8*(3.5/Parametros!$B$10)^4.8</f>
        <v>146.656392781341</v>
      </c>
      <c r="I51" s="8" t="n">
        <f aca="false">Parametros!$B$8+(Parametros!$B$12*(1-Parametros!$B$7)+Parametros!$B$13*Parametros!$B$7)*(1-0.55*I$5/(I$5+150))*9.81*Parametros!$B$11/100000+5*($F51/200)^1.8*(3.5/Parametros!$B$10)^4.8</f>
        <v>133.707192781341</v>
      </c>
      <c r="J51" s="8" t="n">
        <f aca="false">Parametros!$B$8+(Parametros!$B$12*(1-Parametros!$B$7)+Parametros!$B$13*Parametros!$B$7)*(1-0.55*J$5/(J$5+150))*9.81*Parametros!$B$11/100000+5*($F51/200)^1.8*(3.5/Parametros!$B$10)^4.8</f>
        <v>125.074392781341</v>
      </c>
      <c r="K51" s="8" t="n">
        <f aca="false">Parametros!$B$8+(Parametros!$B$12*(1-Parametros!$B$7)+Parametros!$B$13*Parametros!$B$7)*(1-0.55*K$5/(K$5+150))*9.81*Parametros!$B$11/100000+5*($F51/200)^1.8*(3.5/Parametros!$B$10)^4.8</f>
        <v>118.908107067056</v>
      </c>
      <c r="L51" s="8" t="n">
        <f aca="false">Parametros!$B$8+(Parametros!$B$12*(1-Parametros!$B$7)+Parametros!$B$13*Parametros!$B$7)*(1-0.55*L$5/(L$5+150))*9.81*Parametros!$B$11/100000+5*($F51/200)^1.8*(3.5/Parametros!$B$10)^4.8</f>
        <v>114.283392781341</v>
      </c>
      <c r="M51" s="8" t="n">
        <f aca="false">Parametros!$B$8+(Parametros!$B$12*(1-Parametros!$B$7)+Parametros!$B$13*Parametros!$B$7)*(1-0.55*M$5/(M$5+150))*9.81*Parametros!$B$11/100000+5*($F51/200)^1.8*(3.5/Parametros!$B$10)^4.8</f>
        <v>110.686392781341</v>
      </c>
      <c r="N51" s="8" t="n">
        <f aca="false">Parametros!$B$8+(Parametros!$B$12*(1-Parametros!$B$7)+Parametros!$B$13*Parametros!$B$7)*(1-0.55*N$5/(N$5+150))*9.81*Parametros!$B$11/100000+5*($F51/200)^1.8*(3.5/Parametros!$B$10)^4.8</f>
        <v>107.808792781341</v>
      </c>
      <c r="O51" s="8" t="n">
        <f aca="false">Parametros!$B$8+(Parametros!$B$12*(1-Parametros!$B$7)+Parametros!$B$13*Parametros!$B$7)*(1-0.55*O$5/(O$5+150))*9.81*Parametros!$B$11/100000+5*($F51/200)^1.8*(3.5/Parametros!$B$10)^4.8</f>
        <v>105.454392781341</v>
      </c>
    </row>
    <row r="52" customFormat="false" ht="15" hidden="false" customHeight="false" outlineLevel="0" collapsed="false">
      <c r="F52" s="8" t="n">
        <f aca="false">Curvas!A51</f>
        <v>95.8333333333333</v>
      </c>
      <c r="G52" s="8" t="n">
        <f aca="false">Parametros!$B$8+(Parametros!$B$12*(1-Parametros!$B$7)+Parametros!$B$13*Parametros!$B$7)*(1-0.55*G$5/(G$5+150))*9.81*Parametros!$B$11/100000+5*($F52/200)^1.8*(3.5/Parametros!$B$10)^4.8</f>
        <v>168.289982363304</v>
      </c>
      <c r="H52" s="8" t="n">
        <f aca="false">Parametros!$B$8+(Parametros!$B$12*(1-Parametros!$B$7)+Parametros!$B$13*Parametros!$B$7)*(1-0.55*H$5/(H$5+150))*9.81*Parametros!$B$11/100000+5*($F52/200)^1.8*(3.5/Parametros!$B$10)^4.8</f>
        <v>146.707982363304</v>
      </c>
      <c r="I52" s="8" t="n">
        <f aca="false">Parametros!$B$8+(Parametros!$B$12*(1-Parametros!$B$7)+Parametros!$B$13*Parametros!$B$7)*(1-0.55*I$5/(I$5+150))*9.81*Parametros!$B$11/100000+5*($F52/200)^1.8*(3.5/Parametros!$B$10)^4.8</f>
        <v>133.758782363304</v>
      </c>
      <c r="J52" s="8" t="n">
        <f aca="false">Parametros!$B$8+(Parametros!$B$12*(1-Parametros!$B$7)+Parametros!$B$13*Parametros!$B$7)*(1-0.55*J$5/(J$5+150))*9.81*Parametros!$B$11/100000+5*($F52/200)^1.8*(3.5/Parametros!$B$10)^4.8</f>
        <v>125.125982363304</v>
      </c>
      <c r="K52" s="8" t="n">
        <f aca="false">Parametros!$B$8+(Parametros!$B$12*(1-Parametros!$B$7)+Parametros!$B$13*Parametros!$B$7)*(1-0.55*K$5/(K$5+150))*9.81*Parametros!$B$11/100000+5*($F52/200)^1.8*(3.5/Parametros!$B$10)^4.8</f>
        <v>118.959696649019</v>
      </c>
      <c r="L52" s="8" t="n">
        <f aca="false">Parametros!$B$8+(Parametros!$B$12*(1-Parametros!$B$7)+Parametros!$B$13*Parametros!$B$7)*(1-0.55*L$5/(L$5+150))*9.81*Parametros!$B$11/100000+5*($F52/200)^1.8*(3.5/Parametros!$B$10)^4.8</f>
        <v>114.334982363304</v>
      </c>
      <c r="M52" s="8" t="n">
        <f aca="false">Parametros!$B$8+(Parametros!$B$12*(1-Parametros!$B$7)+Parametros!$B$13*Parametros!$B$7)*(1-0.55*M$5/(M$5+150))*9.81*Parametros!$B$11/100000+5*($F52/200)^1.8*(3.5/Parametros!$B$10)^4.8</f>
        <v>110.737982363304</v>
      </c>
      <c r="N52" s="8" t="n">
        <f aca="false">Parametros!$B$8+(Parametros!$B$12*(1-Parametros!$B$7)+Parametros!$B$13*Parametros!$B$7)*(1-0.55*N$5/(N$5+150))*9.81*Parametros!$B$11/100000+5*($F52/200)^1.8*(3.5/Parametros!$B$10)^4.8</f>
        <v>107.860382363304</v>
      </c>
      <c r="O52" s="8" t="n">
        <f aca="false">Parametros!$B$8+(Parametros!$B$12*(1-Parametros!$B$7)+Parametros!$B$13*Parametros!$B$7)*(1-0.55*O$5/(O$5+150))*9.81*Parametros!$B$11/100000+5*($F52/200)^1.8*(3.5/Parametros!$B$10)^4.8</f>
        <v>105.505982363304</v>
      </c>
    </row>
    <row r="53" customFormat="false" ht="15" hidden="false" customHeight="false" outlineLevel="0" collapsed="false">
      <c r="F53" s="8" t="n">
        <f aca="false">Curvas!A52</f>
        <v>97.9166666666667</v>
      </c>
      <c r="G53" s="8" t="n">
        <f aca="false">Parametros!$B$8+(Parametros!$B$12*(1-Parametros!$B$7)+Parametros!$B$13*Parametros!$B$7)*(1-0.55*G$5/(G$5+150))*9.81*Parametros!$B$11/100000+5*($F53/200)^1.8*(3.5/Parametros!$B$10)^4.8</f>
        <v>168.342477045791</v>
      </c>
      <c r="H53" s="8" t="n">
        <f aca="false">Parametros!$B$8+(Parametros!$B$12*(1-Parametros!$B$7)+Parametros!$B$13*Parametros!$B$7)*(1-0.55*H$5/(H$5+150))*9.81*Parametros!$B$11/100000+5*($F53/200)^1.8*(3.5/Parametros!$B$10)^4.8</f>
        <v>146.760477045791</v>
      </c>
      <c r="I53" s="8" t="n">
        <f aca="false">Parametros!$B$8+(Parametros!$B$12*(1-Parametros!$B$7)+Parametros!$B$13*Parametros!$B$7)*(1-0.55*I$5/(I$5+150))*9.81*Parametros!$B$11/100000+5*($F53/200)^1.8*(3.5/Parametros!$B$10)^4.8</f>
        <v>133.811277045791</v>
      </c>
      <c r="J53" s="8" t="n">
        <f aca="false">Parametros!$B$8+(Parametros!$B$12*(1-Parametros!$B$7)+Parametros!$B$13*Parametros!$B$7)*(1-0.55*J$5/(J$5+150))*9.81*Parametros!$B$11/100000+5*($F53/200)^1.8*(3.5/Parametros!$B$10)^4.8</f>
        <v>125.178477045791</v>
      </c>
      <c r="K53" s="8" t="n">
        <f aca="false">Parametros!$B$8+(Parametros!$B$12*(1-Parametros!$B$7)+Parametros!$B$13*Parametros!$B$7)*(1-0.55*K$5/(K$5+150))*9.81*Parametros!$B$11/100000+5*($F53/200)^1.8*(3.5/Parametros!$B$10)^4.8</f>
        <v>119.012191331505</v>
      </c>
      <c r="L53" s="8" t="n">
        <f aca="false">Parametros!$B$8+(Parametros!$B$12*(1-Parametros!$B$7)+Parametros!$B$13*Parametros!$B$7)*(1-0.55*L$5/(L$5+150))*9.81*Parametros!$B$11/100000+5*($F53/200)^1.8*(3.5/Parametros!$B$10)^4.8</f>
        <v>114.387477045791</v>
      </c>
      <c r="M53" s="8" t="n">
        <f aca="false">Parametros!$B$8+(Parametros!$B$12*(1-Parametros!$B$7)+Parametros!$B$13*Parametros!$B$7)*(1-0.55*M$5/(M$5+150))*9.81*Parametros!$B$11/100000+5*($F53/200)^1.8*(3.5/Parametros!$B$10)^4.8</f>
        <v>110.790477045791</v>
      </c>
      <c r="N53" s="8" t="n">
        <f aca="false">Parametros!$B$8+(Parametros!$B$12*(1-Parametros!$B$7)+Parametros!$B$13*Parametros!$B$7)*(1-0.55*N$5/(N$5+150))*9.81*Parametros!$B$11/100000+5*($F53/200)^1.8*(3.5/Parametros!$B$10)^4.8</f>
        <v>107.912877045791</v>
      </c>
      <c r="O53" s="8" t="n">
        <f aca="false">Parametros!$B$8+(Parametros!$B$12*(1-Parametros!$B$7)+Parametros!$B$13*Parametros!$B$7)*(1-0.55*O$5/(O$5+150))*9.81*Parametros!$B$11/100000+5*($F53/200)^1.8*(3.5/Parametros!$B$10)^4.8</f>
        <v>105.558477045791</v>
      </c>
    </row>
    <row r="54" customFormat="false" ht="15" hidden="false" customHeight="false" outlineLevel="0" collapsed="false">
      <c r="F54" s="8" t="n">
        <f aca="false">Curvas!A53</f>
        <v>100</v>
      </c>
      <c r="G54" s="8" t="n">
        <f aca="false">Parametros!$B$8+(Parametros!$B$12*(1-Parametros!$B$7)+Parametros!$B$13*Parametros!$B$7)*(1-0.55*G$5/(G$5+150))*9.81*Parametros!$B$11/100000+5*($F54/200)^1.8*(3.5/Parametros!$B$10)^4.8</f>
        <v>168.395872943746</v>
      </c>
      <c r="H54" s="8" t="n">
        <f aca="false">Parametros!$B$8+(Parametros!$B$12*(1-Parametros!$B$7)+Parametros!$B$13*Parametros!$B$7)*(1-0.55*H$5/(H$5+150))*9.81*Parametros!$B$11/100000+5*($F54/200)^1.8*(3.5/Parametros!$B$10)^4.8</f>
        <v>146.813872943746</v>
      </c>
      <c r="I54" s="8" t="n">
        <f aca="false">Parametros!$B$8+(Parametros!$B$12*(1-Parametros!$B$7)+Parametros!$B$13*Parametros!$B$7)*(1-0.55*I$5/(I$5+150))*9.81*Parametros!$B$11/100000+5*($F54/200)^1.8*(3.5/Parametros!$B$10)^4.8</f>
        <v>133.864672943746</v>
      </c>
      <c r="J54" s="8" t="n">
        <f aca="false">Parametros!$B$8+(Parametros!$B$12*(1-Parametros!$B$7)+Parametros!$B$13*Parametros!$B$7)*(1-0.55*J$5/(J$5+150))*9.81*Parametros!$B$11/100000+5*($F54/200)^1.8*(3.5/Parametros!$B$10)^4.8</f>
        <v>125.231872943746</v>
      </c>
      <c r="K54" s="8" t="n">
        <f aca="false">Parametros!$B$8+(Parametros!$B$12*(1-Parametros!$B$7)+Parametros!$B$13*Parametros!$B$7)*(1-0.55*K$5/(K$5+150))*9.81*Parametros!$B$11/100000+5*($F54/200)^1.8*(3.5/Parametros!$B$10)^4.8</f>
        <v>119.065587229461</v>
      </c>
      <c r="L54" s="8" t="n">
        <f aca="false">Parametros!$B$8+(Parametros!$B$12*(1-Parametros!$B$7)+Parametros!$B$13*Parametros!$B$7)*(1-0.55*L$5/(L$5+150))*9.81*Parametros!$B$11/100000+5*($F54/200)^1.8*(3.5/Parametros!$B$10)^4.8</f>
        <v>114.440872943746</v>
      </c>
      <c r="M54" s="8" t="n">
        <f aca="false">Parametros!$B$8+(Parametros!$B$12*(1-Parametros!$B$7)+Parametros!$B$13*Parametros!$B$7)*(1-0.55*M$5/(M$5+150))*9.81*Parametros!$B$11/100000+5*($F54/200)^1.8*(3.5/Parametros!$B$10)^4.8</f>
        <v>110.843872943746</v>
      </c>
      <c r="N54" s="8" t="n">
        <f aca="false">Parametros!$B$8+(Parametros!$B$12*(1-Parametros!$B$7)+Parametros!$B$13*Parametros!$B$7)*(1-0.55*N$5/(N$5+150))*9.81*Parametros!$B$11/100000+5*($F54/200)^1.8*(3.5/Parametros!$B$10)^4.8</f>
        <v>107.966272943746</v>
      </c>
      <c r="O54" s="8" t="n">
        <f aca="false">Parametros!$B$8+(Parametros!$B$12*(1-Parametros!$B$7)+Parametros!$B$13*Parametros!$B$7)*(1-0.55*O$5/(O$5+150))*9.81*Parametros!$B$11/100000+5*($F54/200)^1.8*(3.5/Parametros!$B$10)^4.8</f>
        <v>105.611872943746</v>
      </c>
    </row>
    <row r="55" customFormat="false" ht="15" hidden="false" customHeight="false" outlineLevel="0" collapsed="false">
      <c r="F55" s="8" t="n">
        <f aca="false">Curvas!A54</f>
        <v>102.083333333333</v>
      </c>
      <c r="G55" s="8" t="n">
        <f aca="false">Parametros!$B$8+(Parametros!$B$12*(1-Parametros!$B$7)+Parametros!$B$13*Parametros!$B$7)*(1-0.55*G$5/(G$5+150))*9.81*Parametros!$B$11/100000+5*($F55/200)^1.8*(3.5/Parametros!$B$10)^4.8</f>
        <v>168.450166270083</v>
      </c>
      <c r="H55" s="8" t="n">
        <f aca="false">Parametros!$B$8+(Parametros!$B$12*(1-Parametros!$B$7)+Parametros!$B$13*Parametros!$B$7)*(1-0.55*H$5/(H$5+150))*9.81*Parametros!$B$11/100000+5*($F55/200)^1.8*(3.5/Parametros!$B$10)^4.8</f>
        <v>146.868166270083</v>
      </c>
      <c r="I55" s="8" t="n">
        <f aca="false">Parametros!$B$8+(Parametros!$B$12*(1-Parametros!$B$7)+Parametros!$B$13*Parametros!$B$7)*(1-0.55*I$5/(I$5+150))*9.81*Parametros!$B$11/100000+5*($F55/200)^1.8*(3.5/Parametros!$B$10)^4.8</f>
        <v>133.918966270083</v>
      </c>
      <c r="J55" s="8" t="n">
        <f aca="false">Parametros!$B$8+(Parametros!$B$12*(1-Parametros!$B$7)+Parametros!$B$13*Parametros!$B$7)*(1-0.55*J$5/(J$5+150))*9.81*Parametros!$B$11/100000+5*($F55/200)^1.8*(3.5/Parametros!$B$10)^4.8</f>
        <v>125.286166270083</v>
      </c>
      <c r="K55" s="8" t="n">
        <f aca="false">Parametros!$B$8+(Parametros!$B$12*(1-Parametros!$B$7)+Parametros!$B$13*Parametros!$B$7)*(1-0.55*K$5/(K$5+150))*9.81*Parametros!$B$11/100000+5*($F55/200)^1.8*(3.5/Parametros!$B$10)^4.8</f>
        <v>119.119880555797</v>
      </c>
      <c r="L55" s="8" t="n">
        <f aca="false">Parametros!$B$8+(Parametros!$B$12*(1-Parametros!$B$7)+Parametros!$B$13*Parametros!$B$7)*(1-0.55*L$5/(L$5+150))*9.81*Parametros!$B$11/100000+5*($F55/200)^1.8*(3.5/Parametros!$B$10)^4.8</f>
        <v>114.495166270083</v>
      </c>
      <c r="M55" s="8" t="n">
        <f aca="false">Parametros!$B$8+(Parametros!$B$12*(1-Parametros!$B$7)+Parametros!$B$13*Parametros!$B$7)*(1-0.55*M$5/(M$5+150))*9.81*Parametros!$B$11/100000+5*($F55/200)^1.8*(3.5/Parametros!$B$10)^4.8</f>
        <v>110.898166270083</v>
      </c>
      <c r="N55" s="8" t="n">
        <f aca="false">Parametros!$B$8+(Parametros!$B$12*(1-Parametros!$B$7)+Parametros!$B$13*Parametros!$B$7)*(1-0.55*N$5/(N$5+150))*9.81*Parametros!$B$11/100000+5*($F55/200)^1.8*(3.5/Parametros!$B$10)^4.8</f>
        <v>108.020566270083</v>
      </c>
      <c r="O55" s="8" t="n">
        <f aca="false">Parametros!$B$8+(Parametros!$B$12*(1-Parametros!$B$7)+Parametros!$B$13*Parametros!$B$7)*(1-0.55*O$5/(O$5+150))*9.81*Parametros!$B$11/100000+5*($F55/200)^1.8*(3.5/Parametros!$B$10)^4.8</f>
        <v>105.666166270083</v>
      </c>
    </row>
    <row r="56" customFormat="false" ht="15" hidden="false" customHeight="false" outlineLevel="0" collapsed="false">
      <c r="F56" s="8" t="n">
        <f aca="false">Curvas!A55</f>
        <v>104.166666666667</v>
      </c>
      <c r="G56" s="8" t="n">
        <f aca="false">Parametros!$B$8+(Parametros!$B$12*(1-Parametros!$B$7)+Parametros!$B$13*Parametros!$B$7)*(1-0.55*G$5/(G$5+150))*9.81*Parametros!$B$11/100000+5*($F56/200)^1.8*(3.5/Parametros!$B$10)^4.8</f>
        <v>168.50535333124</v>
      </c>
      <c r="H56" s="8" t="n">
        <f aca="false">Parametros!$B$8+(Parametros!$B$12*(1-Parametros!$B$7)+Parametros!$B$13*Parametros!$B$7)*(1-0.55*H$5/(H$5+150))*9.81*Parametros!$B$11/100000+5*($F56/200)^1.8*(3.5/Parametros!$B$10)^4.8</f>
        <v>146.92335333124</v>
      </c>
      <c r="I56" s="8" t="n">
        <f aca="false">Parametros!$B$8+(Parametros!$B$12*(1-Parametros!$B$7)+Parametros!$B$13*Parametros!$B$7)*(1-0.55*I$5/(I$5+150))*9.81*Parametros!$B$11/100000+5*($F56/200)^1.8*(3.5/Parametros!$B$10)^4.8</f>
        <v>133.97415333124</v>
      </c>
      <c r="J56" s="8" t="n">
        <f aca="false">Parametros!$B$8+(Parametros!$B$12*(1-Parametros!$B$7)+Parametros!$B$13*Parametros!$B$7)*(1-0.55*J$5/(J$5+150))*9.81*Parametros!$B$11/100000+5*($F56/200)^1.8*(3.5/Parametros!$B$10)^4.8</f>
        <v>125.34135333124</v>
      </c>
      <c r="K56" s="8" t="n">
        <f aca="false">Parametros!$B$8+(Parametros!$B$12*(1-Parametros!$B$7)+Parametros!$B$13*Parametros!$B$7)*(1-0.55*K$5/(K$5+150))*9.81*Parametros!$B$11/100000+5*($F56/200)^1.8*(3.5/Parametros!$B$10)^4.8</f>
        <v>119.175067616954</v>
      </c>
      <c r="L56" s="8" t="n">
        <f aca="false">Parametros!$B$8+(Parametros!$B$12*(1-Parametros!$B$7)+Parametros!$B$13*Parametros!$B$7)*(1-0.55*L$5/(L$5+150))*9.81*Parametros!$B$11/100000+5*($F56/200)^1.8*(3.5/Parametros!$B$10)^4.8</f>
        <v>114.55035333124</v>
      </c>
      <c r="M56" s="8" t="n">
        <f aca="false">Parametros!$B$8+(Parametros!$B$12*(1-Parametros!$B$7)+Parametros!$B$13*Parametros!$B$7)*(1-0.55*M$5/(M$5+150))*9.81*Parametros!$B$11/100000+5*($F56/200)^1.8*(3.5/Parametros!$B$10)^4.8</f>
        <v>110.95335333124</v>
      </c>
      <c r="N56" s="8" t="n">
        <f aca="false">Parametros!$B$8+(Parametros!$B$12*(1-Parametros!$B$7)+Parametros!$B$13*Parametros!$B$7)*(1-0.55*N$5/(N$5+150))*9.81*Parametros!$B$11/100000+5*($F56/200)^1.8*(3.5/Parametros!$B$10)^4.8</f>
        <v>108.07575333124</v>
      </c>
      <c r="O56" s="8" t="n">
        <f aca="false">Parametros!$B$8+(Parametros!$B$12*(1-Parametros!$B$7)+Parametros!$B$13*Parametros!$B$7)*(1-0.55*O$5/(O$5+150))*9.81*Parametros!$B$11/100000+5*($F56/200)^1.8*(3.5/Parametros!$B$10)^4.8</f>
        <v>105.72135333124</v>
      </c>
    </row>
    <row r="57" customFormat="false" ht="15" hidden="false" customHeight="false" outlineLevel="0" collapsed="false">
      <c r="F57" s="8" t="n">
        <f aca="false">Curvas!A56</f>
        <v>106.25</v>
      </c>
      <c r="G57" s="8" t="n">
        <f aca="false">Parametros!$B$8+(Parametros!$B$12*(1-Parametros!$B$7)+Parametros!$B$13*Parametros!$B$7)*(1-0.55*G$5/(G$5+150))*9.81*Parametros!$B$11/100000+5*($F57/200)^1.8*(3.5/Parametros!$B$10)^4.8</f>
        <v>168.561430523038</v>
      </c>
      <c r="H57" s="8" t="n">
        <f aca="false">Parametros!$B$8+(Parametros!$B$12*(1-Parametros!$B$7)+Parametros!$B$13*Parametros!$B$7)*(1-0.55*H$5/(H$5+150))*9.81*Parametros!$B$11/100000+5*($F57/200)^1.8*(3.5/Parametros!$B$10)^4.8</f>
        <v>146.979430523038</v>
      </c>
      <c r="I57" s="8" t="n">
        <f aca="false">Parametros!$B$8+(Parametros!$B$12*(1-Parametros!$B$7)+Parametros!$B$13*Parametros!$B$7)*(1-0.55*I$5/(I$5+150))*9.81*Parametros!$B$11/100000+5*($F57/200)^1.8*(3.5/Parametros!$B$10)^4.8</f>
        <v>134.030230523038</v>
      </c>
      <c r="J57" s="8" t="n">
        <f aca="false">Parametros!$B$8+(Parametros!$B$12*(1-Parametros!$B$7)+Parametros!$B$13*Parametros!$B$7)*(1-0.55*J$5/(J$5+150))*9.81*Parametros!$B$11/100000+5*($F57/200)^1.8*(3.5/Parametros!$B$10)^4.8</f>
        <v>125.397430523038</v>
      </c>
      <c r="K57" s="8" t="n">
        <f aca="false">Parametros!$B$8+(Parametros!$B$12*(1-Parametros!$B$7)+Parametros!$B$13*Parametros!$B$7)*(1-0.55*K$5/(K$5+150))*9.81*Parametros!$B$11/100000+5*($F57/200)^1.8*(3.5/Parametros!$B$10)^4.8</f>
        <v>119.231144808752</v>
      </c>
      <c r="L57" s="8" t="n">
        <f aca="false">Parametros!$B$8+(Parametros!$B$12*(1-Parametros!$B$7)+Parametros!$B$13*Parametros!$B$7)*(1-0.55*L$5/(L$5+150))*9.81*Parametros!$B$11/100000+5*($F57/200)^1.8*(3.5/Parametros!$B$10)^4.8</f>
        <v>114.606430523038</v>
      </c>
      <c r="M57" s="8" t="n">
        <f aca="false">Parametros!$B$8+(Parametros!$B$12*(1-Parametros!$B$7)+Parametros!$B$13*Parametros!$B$7)*(1-0.55*M$5/(M$5+150))*9.81*Parametros!$B$11/100000+5*($F57/200)^1.8*(3.5/Parametros!$B$10)^4.8</f>
        <v>111.009430523038</v>
      </c>
      <c r="N57" s="8" t="n">
        <f aca="false">Parametros!$B$8+(Parametros!$B$12*(1-Parametros!$B$7)+Parametros!$B$13*Parametros!$B$7)*(1-0.55*N$5/(N$5+150))*9.81*Parametros!$B$11/100000+5*($F57/200)^1.8*(3.5/Parametros!$B$10)^4.8</f>
        <v>108.131830523038</v>
      </c>
      <c r="O57" s="8" t="n">
        <f aca="false">Parametros!$B$8+(Parametros!$B$12*(1-Parametros!$B$7)+Parametros!$B$13*Parametros!$B$7)*(1-0.55*O$5/(O$5+150))*9.81*Parametros!$B$11/100000+5*($F57/200)^1.8*(3.5/Parametros!$B$10)^4.8</f>
        <v>105.777430523038</v>
      </c>
    </row>
    <row r="58" customFormat="false" ht="15" hidden="false" customHeight="false" outlineLevel="0" collapsed="false">
      <c r="F58" s="8" t="n">
        <f aca="false">Curvas!A57</f>
        <v>108.333333333333</v>
      </c>
      <c r="G58" s="8" t="n">
        <f aca="false">Parametros!$B$8+(Parametros!$B$12*(1-Parametros!$B$7)+Parametros!$B$13*Parametros!$B$7)*(1-0.55*G$5/(G$5+150))*9.81*Parametros!$B$11/100000+5*($F58/200)^1.8*(3.5/Parametros!$B$10)^4.8</f>
        <v>168.618394326788</v>
      </c>
      <c r="H58" s="8" t="n">
        <f aca="false">Parametros!$B$8+(Parametros!$B$12*(1-Parametros!$B$7)+Parametros!$B$13*Parametros!$B$7)*(1-0.55*H$5/(H$5+150))*9.81*Parametros!$B$11/100000+5*($F58/200)^1.8*(3.5/Parametros!$B$10)^4.8</f>
        <v>147.036394326788</v>
      </c>
      <c r="I58" s="8" t="n">
        <f aca="false">Parametros!$B$8+(Parametros!$B$12*(1-Parametros!$B$7)+Parametros!$B$13*Parametros!$B$7)*(1-0.55*I$5/(I$5+150))*9.81*Parametros!$B$11/100000+5*($F58/200)^1.8*(3.5/Parametros!$B$10)^4.8</f>
        <v>134.087194326788</v>
      </c>
      <c r="J58" s="8" t="n">
        <f aca="false">Parametros!$B$8+(Parametros!$B$12*(1-Parametros!$B$7)+Parametros!$B$13*Parametros!$B$7)*(1-0.55*J$5/(J$5+150))*9.81*Parametros!$B$11/100000+5*($F58/200)^1.8*(3.5/Parametros!$B$10)^4.8</f>
        <v>125.454394326788</v>
      </c>
      <c r="K58" s="8" t="n">
        <f aca="false">Parametros!$B$8+(Parametros!$B$12*(1-Parametros!$B$7)+Parametros!$B$13*Parametros!$B$7)*(1-0.55*K$5/(K$5+150))*9.81*Parametros!$B$11/100000+5*($F58/200)^1.8*(3.5/Parametros!$B$10)^4.8</f>
        <v>119.288108612502</v>
      </c>
      <c r="L58" s="8" t="n">
        <f aca="false">Parametros!$B$8+(Parametros!$B$12*(1-Parametros!$B$7)+Parametros!$B$13*Parametros!$B$7)*(1-0.55*L$5/(L$5+150))*9.81*Parametros!$B$11/100000+5*($F58/200)^1.8*(3.5/Parametros!$B$10)^4.8</f>
        <v>114.663394326788</v>
      </c>
      <c r="M58" s="8" t="n">
        <f aca="false">Parametros!$B$8+(Parametros!$B$12*(1-Parametros!$B$7)+Parametros!$B$13*Parametros!$B$7)*(1-0.55*M$5/(M$5+150))*9.81*Parametros!$B$11/100000+5*($F58/200)^1.8*(3.5/Parametros!$B$10)^4.8</f>
        <v>111.066394326788</v>
      </c>
      <c r="N58" s="8" t="n">
        <f aca="false">Parametros!$B$8+(Parametros!$B$12*(1-Parametros!$B$7)+Parametros!$B$13*Parametros!$B$7)*(1-0.55*N$5/(N$5+150))*9.81*Parametros!$B$11/100000+5*($F58/200)^1.8*(3.5/Parametros!$B$10)^4.8</f>
        <v>108.188794326788</v>
      </c>
      <c r="O58" s="8" t="n">
        <f aca="false">Parametros!$B$8+(Parametros!$B$12*(1-Parametros!$B$7)+Parametros!$B$13*Parametros!$B$7)*(1-0.55*O$5/(O$5+150))*9.81*Parametros!$B$11/100000+5*($F58/200)^1.8*(3.5/Parametros!$B$10)^4.8</f>
        <v>105.834394326788</v>
      </c>
    </row>
    <row r="59" customFormat="false" ht="15" hidden="false" customHeight="false" outlineLevel="0" collapsed="false">
      <c r="F59" s="8" t="n">
        <f aca="false">Curvas!A58</f>
        <v>110.416666666667</v>
      </c>
      <c r="G59" s="8" t="n">
        <f aca="false">Parametros!$B$8+(Parametros!$B$12*(1-Parametros!$B$7)+Parametros!$B$13*Parametros!$B$7)*(1-0.55*G$5/(G$5+150))*9.81*Parametros!$B$11/100000+5*($F59/200)^1.8*(3.5/Parametros!$B$10)^4.8</f>
        <v>168.676241305647</v>
      </c>
      <c r="H59" s="8" t="n">
        <f aca="false">Parametros!$B$8+(Parametros!$B$12*(1-Parametros!$B$7)+Parametros!$B$13*Parametros!$B$7)*(1-0.55*H$5/(H$5+150))*9.81*Parametros!$B$11/100000+5*($F59/200)^1.8*(3.5/Parametros!$B$10)^4.8</f>
        <v>147.094241305647</v>
      </c>
      <c r="I59" s="8" t="n">
        <f aca="false">Parametros!$B$8+(Parametros!$B$12*(1-Parametros!$B$7)+Parametros!$B$13*Parametros!$B$7)*(1-0.55*I$5/(I$5+150))*9.81*Parametros!$B$11/100000+5*($F59/200)^1.8*(3.5/Parametros!$B$10)^4.8</f>
        <v>134.145041305647</v>
      </c>
      <c r="J59" s="8" t="n">
        <f aca="false">Parametros!$B$8+(Parametros!$B$12*(1-Parametros!$B$7)+Parametros!$B$13*Parametros!$B$7)*(1-0.55*J$5/(J$5+150))*9.81*Parametros!$B$11/100000+5*($F59/200)^1.8*(3.5/Parametros!$B$10)^4.8</f>
        <v>125.512241305647</v>
      </c>
      <c r="K59" s="8" t="n">
        <f aca="false">Parametros!$B$8+(Parametros!$B$12*(1-Parametros!$B$7)+Parametros!$B$13*Parametros!$B$7)*(1-0.55*K$5/(K$5+150))*9.81*Parametros!$B$11/100000+5*($F59/200)^1.8*(3.5/Parametros!$B$10)^4.8</f>
        <v>119.345955591361</v>
      </c>
      <c r="L59" s="8" t="n">
        <f aca="false">Parametros!$B$8+(Parametros!$B$12*(1-Parametros!$B$7)+Parametros!$B$13*Parametros!$B$7)*(1-0.55*L$5/(L$5+150))*9.81*Parametros!$B$11/100000+5*($F59/200)^1.8*(3.5/Parametros!$B$10)^4.8</f>
        <v>114.721241305647</v>
      </c>
      <c r="M59" s="8" t="n">
        <f aca="false">Parametros!$B$8+(Parametros!$B$12*(1-Parametros!$B$7)+Parametros!$B$13*Parametros!$B$7)*(1-0.55*M$5/(M$5+150))*9.81*Parametros!$B$11/100000+5*($F59/200)^1.8*(3.5/Parametros!$B$10)^4.8</f>
        <v>111.124241305647</v>
      </c>
      <c r="N59" s="8" t="n">
        <f aca="false">Parametros!$B$8+(Parametros!$B$12*(1-Parametros!$B$7)+Parametros!$B$13*Parametros!$B$7)*(1-0.55*N$5/(N$5+150))*9.81*Parametros!$B$11/100000+5*($F59/200)^1.8*(3.5/Parametros!$B$10)^4.8</f>
        <v>108.246641305647</v>
      </c>
      <c r="O59" s="8" t="n">
        <f aca="false">Parametros!$B$8+(Parametros!$B$12*(1-Parametros!$B$7)+Parametros!$B$13*Parametros!$B$7)*(1-0.55*O$5/(O$5+150))*9.81*Parametros!$B$11/100000+5*($F59/200)^1.8*(3.5/Parametros!$B$10)^4.8</f>
        <v>105.892241305647</v>
      </c>
    </row>
    <row r="60" customFormat="false" ht="15" hidden="false" customHeight="false" outlineLevel="0" collapsed="false">
      <c r="F60" s="8" t="n">
        <f aca="false">Curvas!A59</f>
        <v>112.5</v>
      </c>
      <c r="G60" s="8" t="n">
        <f aca="false">Parametros!$B$8+(Parametros!$B$12*(1-Parametros!$B$7)+Parametros!$B$13*Parametros!$B$7)*(1-0.55*G$5/(G$5+150))*9.81*Parametros!$B$11/100000+5*($F60/200)^1.8*(3.5/Parametros!$B$10)^4.8</f>
        <v>168.734968101194</v>
      </c>
      <c r="H60" s="8" t="n">
        <f aca="false">Parametros!$B$8+(Parametros!$B$12*(1-Parametros!$B$7)+Parametros!$B$13*Parametros!$B$7)*(1-0.55*H$5/(H$5+150))*9.81*Parametros!$B$11/100000+5*($F60/200)^1.8*(3.5/Parametros!$B$10)^4.8</f>
        <v>147.152968101194</v>
      </c>
      <c r="I60" s="8" t="n">
        <f aca="false">Parametros!$B$8+(Parametros!$B$12*(1-Parametros!$B$7)+Parametros!$B$13*Parametros!$B$7)*(1-0.55*I$5/(I$5+150))*9.81*Parametros!$B$11/100000+5*($F60/200)^1.8*(3.5/Parametros!$B$10)^4.8</f>
        <v>134.203768101194</v>
      </c>
      <c r="J60" s="8" t="n">
        <f aca="false">Parametros!$B$8+(Parametros!$B$12*(1-Parametros!$B$7)+Parametros!$B$13*Parametros!$B$7)*(1-0.55*J$5/(J$5+150))*9.81*Parametros!$B$11/100000+5*($F60/200)^1.8*(3.5/Parametros!$B$10)^4.8</f>
        <v>125.570968101194</v>
      </c>
      <c r="K60" s="8" t="n">
        <f aca="false">Parametros!$B$8+(Parametros!$B$12*(1-Parametros!$B$7)+Parametros!$B$13*Parametros!$B$7)*(1-0.55*K$5/(K$5+150))*9.81*Parametros!$B$11/100000+5*($F60/200)^1.8*(3.5/Parametros!$B$10)^4.8</f>
        <v>119.404682386908</v>
      </c>
      <c r="L60" s="8" t="n">
        <f aca="false">Parametros!$B$8+(Parametros!$B$12*(1-Parametros!$B$7)+Parametros!$B$13*Parametros!$B$7)*(1-0.55*L$5/(L$5+150))*9.81*Parametros!$B$11/100000+5*($F60/200)^1.8*(3.5/Parametros!$B$10)^4.8</f>
        <v>114.779968101194</v>
      </c>
      <c r="M60" s="8" t="n">
        <f aca="false">Parametros!$B$8+(Parametros!$B$12*(1-Parametros!$B$7)+Parametros!$B$13*Parametros!$B$7)*(1-0.55*M$5/(M$5+150))*9.81*Parametros!$B$11/100000+5*($F60/200)^1.8*(3.5/Parametros!$B$10)^4.8</f>
        <v>111.182968101194</v>
      </c>
      <c r="N60" s="8" t="n">
        <f aca="false">Parametros!$B$8+(Parametros!$B$12*(1-Parametros!$B$7)+Parametros!$B$13*Parametros!$B$7)*(1-0.55*N$5/(N$5+150))*9.81*Parametros!$B$11/100000+5*($F60/200)^1.8*(3.5/Parametros!$B$10)^4.8</f>
        <v>108.305368101194</v>
      </c>
      <c r="O60" s="8" t="n">
        <f aca="false">Parametros!$B$8+(Parametros!$B$12*(1-Parametros!$B$7)+Parametros!$B$13*Parametros!$B$7)*(1-0.55*O$5/(O$5+150))*9.81*Parametros!$B$11/100000+5*($F60/200)^1.8*(3.5/Parametros!$B$10)^4.8</f>
        <v>105.950968101194</v>
      </c>
    </row>
    <row r="61" customFormat="false" ht="15" hidden="false" customHeight="false" outlineLevel="0" collapsed="false">
      <c r="F61" s="8" t="n">
        <f aca="false">Curvas!A60</f>
        <v>114.583333333333</v>
      </c>
      <c r="G61" s="8" t="n">
        <f aca="false">Parametros!$B$8+(Parametros!$B$12*(1-Parametros!$B$7)+Parametros!$B$13*Parametros!$B$7)*(1-0.55*G$5/(G$5+150))*9.81*Parametros!$B$11/100000+5*($F61/200)^1.8*(3.5/Parametros!$B$10)^4.8</f>
        <v>168.794571430211</v>
      </c>
      <c r="H61" s="8" t="n">
        <f aca="false">Parametros!$B$8+(Parametros!$B$12*(1-Parametros!$B$7)+Parametros!$B$13*Parametros!$B$7)*(1-0.55*H$5/(H$5+150))*9.81*Parametros!$B$11/100000+5*($F61/200)^1.8*(3.5/Parametros!$B$10)^4.8</f>
        <v>147.212571430211</v>
      </c>
      <c r="I61" s="8" t="n">
        <f aca="false">Parametros!$B$8+(Parametros!$B$12*(1-Parametros!$B$7)+Parametros!$B$13*Parametros!$B$7)*(1-0.55*I$5/(I$5+150))*9.81*Parametros!$B$11/100000+5*($F61/200)^1.8*(3.5/Parametros!$B$10)^4.8</f>
        <v>134.263371430211</v>
      </c>
      <c r="J61" s="8" t="n">
        <f aca="false">Parametros!$B$8+(Parametros!$B$12*(1-Parametros!$B$7)+Parametros!$B$13*Parametros!$B$7)*(1-0.55*J$5/(J$5+150))*9.81*Parametros!$B$11/100000+5*($F61/200)^1.8*(3.5/Parametros!$B$10)^4.8</f>
        <v>125.630571430211</v>
      </c>
      <c r="K61" s="8" t="n">
        <f aca="false">Parametros!$B$8+(Parametros!$B$12*(1-Parametros!$B$7)+Parametros!$B$13*Parametros!$B$7)*(1-0.55*K$5/(K$5+150))*9.81*Parametros!$B$11/100000+5*($F61/200)^1.8*(3.5/Parametros!$B$10)^4.8</f>
        <v>119.464285715926</v>
      </c>
      <c r="L61" s="8" t="n">
        <f aca="false">Parametros!$B$8+(Parametros!$B$12*(1-Parametros!$B$7)+Parametros!$B$13*Parametros!$B$7)*(1-0.55*L$5/(L$5+150))*9.81*Parametros!$B$11/100000+5*($F61/200)^1.8*(3.5/Parametros!$B$10)^4.8</f>
        <v>114.839571430211</v>
      </c>
      <c r="M61" s="8" t="n">
        <f aca="false">Parametros!$B$8+(Parametros!$B$12*(1-Parametros!$B$7)+Parametros!$B$13*Parametros!$B$7)*(1-0.55*M$5/(M$5+150))*9.81*Parametros!$B$11/100000+5*($F61/200)^1.8*(3.5/Parametros!$B$10)^4.8</f>
        <v>111.242571430211</v>
      </c>
      <c r="N61" s="8" t="n">
        <f aca="false">Parametros!$B$8+(Parametros!$B$12*(1-Parametros!$B$7)+Parametros!$B$13*Parametros!$B$7)*(1-0.55*N$5/(N$5+150))*9.81*Parametros!$B$11/100000+5*($F61/200)^1.8*(3.5/Parametros!$B$10)^4.8</f>
        <v>108.364971430211</v>
      </c>
      <c r="O61" s="8" t="n">
        <f aca="false">Parametros!$B$8+(Parametros!$B$12*(1-Parametros!$B$7)+Parametros!$B$13*Parametros!$B$7)*(1-0.55*O$5/(O$5+150))*9.81*Parametros!$B$11/100000+5*($F61/200)^1.8*(3.5/Parametros!$B$10)^4.8</f>
        <v>106.010571430211</v>
      </c>
    </row>
    <row r="62" customFormat="false" ht="15" hidden="false" customHeight="false" outlineLevel="0" collapsed="false">
      <c r="F62" s="8" t="n">
        <f aca="false">Curvas!A61</f>
        <v>116.666666666667</v>
      </c>
      <c r="G62" s="8" t="n">
        <f aca="false">Parametros!$B$8+(Parametros!$B$12*(1-Parametros!$B$7)+Parametros!$B$13*Parametros!$B$7)*(1-0.55*G$5/(G$5+150))*9.81*Parametros!$B$11/100000+5*($F62/200)^1.8*(3.5/Parametros!$B$10)^4.8</f>
        <v>168.855048081651</v>
      </c>
      <c r="H62" s="8" t="n">
        <f aca="false">Parametros!$B$8+(Parametros!$B$12*(1-Parametros!$B$7)+Parametros!$B$13*Parametros!$B$7)*(1-0.55*H$5/(H$5+150))*9.81*Parametros!$B$11/100000+5*($F62/200)^1.8*(3.5/Parametros!$B$10)^4.8</f>
        <v>147.273048081651</v>
      </c>
      <c r="I62" s="8" t="n">
        <f aca="false">Parametros!$B$8+(Parametros!$B$12*(1-Parametros!$B$7)+Parametros!$B$13*Parametros!$B$7)*(1-0.55*I$5/(I$5+150))*9.81*Parametros!$B$11/100000+5*($F62/200)^1.8*(3.5/Parametros!$B$10)^4.8</f>
        <v>134.323848081651</v>
      </c>
      <c r="J62" s="8" t="n">
        <f aca="false">Parametros!$B$8+(Parametros!$B$12*(1-Parametros!$B$7)+Parametros!$B$13*Parametros!$B$7)*(1-0.55*J$5/(J$5+150))*9.81*Parametros!$B$11/100000+5*($F62/200)^1.8*(3.5/Parametros!$B$10)^4.8</f>
        <v>125.691048081651</v>
      </c>
      <c r="K62" s="8" t="n">
        <f aca="false">Parametros!$B$8+(Parametros!$B$12*(1-Parametros!$B$7)+Parametros!$B$13*Parametros!$B$7)*(1-0.55*K$5/(K$5+150))*9.81*Parametros!$B$11/100000+5*($F62/200)^1.8*(3.5/Parametros!$B$10)^4.8</f>
        <v>119.524762367365</v>
      </c>
      <c r="L62" s="8" t="n">
        <f aca="false">Parametros!$B$8+(Parametros!$B$12*(1-Parametros!$B$7)+Parametros!$B$13*Parametros!$B$7)*(1-0.55*L$5/(L$5+150))*9.81*Parametros!$B$11/100000+5*($F62/200)^1.8*(3.5/Parametros!$B$10)^4.8</f>
        <v>114.900048081651</v>
      </c>
      <c r="M62" s="8" t="n">
        <f aca="false">Parametros!$B$8+(Parametros!$B$12*(1-Parametros!$B$7)+Parametros!$B$13*Parametros!$B$7)*(1-0.55*M$5/(M$5+150))*9.81*Parametros!$B$11/100000+5*($F62/200)^1.8*(3.5/Parametros!$B$10)^4.8</f>
        <v>111.303048081651</v>
      </c>
      <c r="N62" s="8" t="n">
        <f aca="false">Parametros!$B$8+(Parametros!$B$12*(1-Parametros!$B$7)+Parametros!$B$13*Parametros!$B$7)*(1-0.55*N$5/(N$5+150))*9.81*Parametros!$B$11/100000+5*($F62/200)^1.8*(3.5/Parametros!$B$10)^4.8</f>
        <v>108.425448081651</v>
      </c>
      <c r="O62" s="8" t="n">
        <f aca="false">Parametros!$B$8+(Parametros!$B$12*(1-Parametros!$B$7)+Parametros!$B$13*Parametros!$B$7)*(1-0.55*O$5/(O$5+150))*9.81*Parametros!$B$11/100000+5*($F62/200)^1.8*(3.5/Parametros!$B$10)^4.8</f>
        <v>106.071048081651</v>
      </c>
    </row>
    <row r="63" customFormat="false" ht="15" hidden="false" customHeight="false" outlineLevel="0" collapsed="false">
      <c r="F63" s="8" t="n">
        <f aca="false">Curvas!A62</f>
        <v>118.75</v>
      </c>
      <c r="G63" s="8" t="n">
        <f aca="false">Parametros!$B$8+(Parametros!$B$12*(1-Parametros!$B$7)+Parametros!$B$13*Parametros!$B$7)*(1-0.55*G$5/(G$5+150))*9.81*Parametros!$B$11/100000+5*($F63/200)^1.8*(3.5/Parametros!$B$10)^4.8</f>
        <v>168.91639491378</v>
      </c>
      <c r="H63" s="8" t="n">
        <f aca="false">Parametros!$B$8+(Parametros!$B$12*(1-Parametros!$B$7)+Parametros!$B$13*Parametros!$B$7)*(1-0.55*H$5/(H$5+150))*9.81*Parametros!$B$11/100000+5*($F63/200)^1.8*(3.5/Parametros!$B$10)^4.8</f>
        <v>147.33439491378</v>
      </c>
      <c r="I63" s="8" t="n">
        <f aca="false">Parametros!$B$8+(Parametros!$B$12*(1-Parametros!$B$7)+Parametros!$B$13*Parametros!$B$7)*(1-0.55*I$5/(I$5+150))*9.81*Parametros!$B$11/100000+5*($F63/200)^1.8*(3.5/Parametros!$B$10)^4.8</f>
        <v>134.38519491378</v>
      </c>
      <c r="J63" s="8" t="n">
        <f aca="false">Parametros!$B$8+(Parametros!$B$12*(1-Parametros!$B$7)+Parametros!$B$13*Parametros!$B$7)*(1-0.55*J$5/(J$5+150))*9.81*Parametros!$B$11/100000+5*($F63/200)^1.8*(3.5/Parametros!$B$10)^4.8</f>
        <v>125.75239491378</v>
      </c>
      <c r="K63" s="8" t="n">
        <f aca="false">Parametros!$B$8+(Parametros!$B$12*(1-Parametros!$B$7)+Parametros!$B$13*Parametros!$B$7)*(1-0.55*K$5/(K$5+150))*9.81*Parametros!$B$11/100000+5*($F63/200)^1.8*(3.5/Parametros!$B$10)^4.8</f>
        <v>119.586109199494</v>
      </c>
      <c r="L63" s="8" t="n">
        <f aca="false">Parametros!$B$8+(Parametros!$B$12*(1-Parametros!$B$7)+Parametros!$B$13*Parametros!$B$7)*(1-0.55*L$5/(L$5+150))*9.81*Parametros!$B$11/100000+5*($F63/200)^1.8*(3.5/Parametros!$B$10)^4.8</f>
        <v>114.96139491378</v>
      </c>
      <c r="M63" s="8" t="n">
        <f aca="false">Parametros!$B$8+(Parametros!$B$12*(1-Parametros!$B$7)+Parametros!$B$13*Parametros!$B$7)*(1-0.55*M$5/(M$5+150))*9.81*Parametros!$B$11/100000+5*($F63/200)^1.8*(3.5/Parametros!$B$10)^4.8</f>
        <v>111.36439491378</v>
      </c>
      <c r="N63" s="8" t="n">
        <f aca="false">Parametros!$B$8+(Parametros!$B$12*(1-Parametros!$B$7)+Parametros!$B$13*Parametros!$B$7)*(1-0.55*N$5/(N$5+150))*9.81*Parametros!$B$11/100000+5*($F63/200)^1.8*(3.5/Parametros!$B$10)^4.8</f>
        <v>108.48679491378</v>
      </c>
      <c r="O63" s="8" t="n">
        <f aca="false">Parametros!$B$8+(Parametros!$B$12*(1-Parametros!$B$7)+Parametros!$B$13*Parametros!$B$7)*(1-0.55*O$5/(O$5+150))*9.81*Parametros!$B$11/100000+5*($F63/200)^1.8*(3.5/Parametros!$B$10)^4.8</f>
        <v>106.13239491378</v>
      </c>
    </row>
    <row r="64" customFormat="false" ht="15" hidden="false" customHeight="false" outlineLevel="0" collapsed="false">
      <c r="F64" s="8" t="n">
        <f aca="false">Curvas!A63</f>
        <v>120.833333333333</v>
      </c>
      <c r="G64" s="8" t="n">
        <f aca="false">Parametros!$B$8+(Parametros!$B$12*(1-Parametros!$B$7)+Parametros!$B$13*Parametros!$B$7)*(1-0.55*G$5/(G$5+150))*9.81*Parametros!$B$11/100000+5*($F64/200)^1.8*(3.5/Parametros!$B$10)^4.8</f>
        <v>168.978608851485</v>
      </c>
      <c r="H64" s="8" t="n">
        <f aca="false">Parametros!$B$8+(Parametros!$B$12*(1-Parametros!$B$7)+Parametros!$B$13*Parametros!$B$7)*(1-0.55*H$5/(H$5+150))*9.81*Parametros!$B$11/100000+5*($F64/200)^1.8*(3.5/Parametros!$B$10)^4.8</f>
        <v>147.396608851485</v>
      </c>
      <c r="I64" s="8" t="n">
        <f aca="false">Parametros!$B$8+(Parametros!$B$12*(1-Parametros!$B$7)+Parametros!$B$13*Parametros!$B$7)*(1-0.55*I$5/(I$5+150))*9.81*Parametros!$B$11/100000+5*($F64/200)^1.8*(3.5/Parametros!$B$10)^4.8</f>
        <v>134.447408851485</v>
      </c>
      <c r="J64" s="8" t="n">
        <f aca="false">Parametros!$B$8+(Parametros!$B$12*(1-Parametros!$B$7)+Parametros!$B$13*Parametros!$B$7)*(1-0.55*J$5/(J$5+150))*9.81*Parametros!$B$11/100000+5*($F64/200)^1.8*(3.5/Parametros!$B$10)^4.8</f>
        <v>125.814608851485</v>
      </c>
      <c r="K64" s="8" t="n">
        <f aca="false">Parametros!$B$8+(Parametros!$B$12*(1-Parametros!$B$7)+Parametros!$B$13*Parametros!$B$7)*(1-0.55*K$5/(K$5+150))*9.81*Parametros!$B$11/100000+5*($F64/200)^1.8*(3.5/Parametros!$B$10)^4.8</f>
        <v>119.6483231372</v>
      </c>
      <c r="L64" s="8" t="n">
        <f aca="false">Parametros!$B$8+(Parametros!$B$12*(1-Parametros!$B$7)+Parametros!$B$13*Parametros!$B$7)*(1-0.55*L$5/(L$5+150))*9.81*Parametros!$B$11/100000+5*($F64/200)^1.8*(3.5/Parametros!$B$10)^4.8</f>
        <v>115.023608851485</v>
      </c>
      <c r="M64" s="8" t="n">
        <f aca="false">Parametros!$B$8+(Parametros!$B$12*(1-Parametros!$B$7)+Parametros!$B$13*Parametros!$B$7)*(1-0.55*M$5/(M$5+150))*9.81*Parametros!$B$11/100000+5*($F64/200)^1.8*(3.5/Parametros!$B$10)^4.8</f>
        <v>111.426608851485</v>
      </c>
      <c r="N64" s="8" t="n">
        <f aca="false">Parametros!$B$8+(Parametros!$B$12*(1-Parametros!$B$7)+Parametros!$B$13*Parametros!$B$7)*(1-0.55*N$5/(N$5+150))*9.81*Parametros!$B$11/100000+5*($F64/200)^1.8*(3.5/Parametros!$B$10)^4.8</f>
        <v>108.549008851485</v>
      </c>
      <c r="O64" s="8" t="n">
        <f aca="false">Parametros!$B$8+(Parametros!$B$12*(1-Parametros!$B$7)+Parametros!$B$13*Parametros!$B$7)*(1-0.55*O$5/(O$5+150))*9.81*Parametros!$B$11/100000+5*($F64/200)^1.8*(3.5/Parametros!$B$10)^4.8</f>
        <v>106.194608851485</v>
      </c>
    </row>
    <row r="65" customFormat="false" ht="15" hidden="false" customHeight="false" outlineLevel="0" collapsed="false">
      <c r="F65" s="8" t="n">
        <f aca="false">Curvas!A64</f>
        <v>122.916666666667</v>
      </c>
      <c r="G65" s="8" t="n">
        <f aca="false">Parametros!$B$8+(Parametros!$B$12*(1-Parametros!$B$7)+Parametros!$B$13*Parametros!$B$7)*(1-0.55*G$5/(G$5+150))*9.81*Parametros!$B$11/100000+5*($F65/200)^1.8*(3.5/Parametros!$B$10)^4.8</f>
        <v>169.04168688373</v>
      </c>
      <c r="H65" s="8" t="n">
        <f aca="false">Parametros!$B$8+(Parametros!$B$12*(1-Parametros!$B$7)+Parametros!$B$13*Parametros!$B$7)*(1-0.55*H$5/(H$5+150))*9.81*Parametros!$B$11/100000+5*($F65/200)^1.8*(3.5/Parametros!$B$10)^4.8</f>
        <v>147.45968688373</v>
      </c>
      <c r="I65" s="8" t="n">
        <f aca="false">Parametros!$B$8+(Parametros!$B$12*(1-Parametros!$B$7)+Parametros!$B$13*Parametros!$B$7)*(1-0.55*I$5/(I$5+150))*9.81*Parametros!$B$11/100000+5*($F65/200)^1.8*(3.5/Parametros!$B$10)^4.8</f>
        <v>134.51048688373</v>
      </c>
      <c r="J65" s="8" t="n">
        <f aca="false">Parametros!$B$8+(Parametros!$B$12*(1-Parametros!$B$7)+Parametros!$B$13*Parametros!$B$7)*(1-0.55*J$5/(J$5+150))*9.81*Parametros!$B$11/100000+5*($F65/200)^1.8*(3.5/Parametros!$B$10)^4.8</f>
        <v>125.87768688373</v>
      </c>
      <c r="K65" s="8" t="n">
        <f aca="false">Parametros!$B$8+(Parametros!$B$12*(1-Parametros!$B$7)+Parametros!$B$13*Parametros!$B$7)*(1-0.55*K$5/(K$5+150))*9.81*Parametros!$B$11/100000+5*($F65/200)^1.8*(3.5/Parametros!$B$10)^4.8</f>
        <v>119.711401169444</v>
      </c>
      <c r="L65" s="8" t="n">
        <f aca="false">Parametros!$B$8+(Parametros!$B$12*(1-Parametros!$B$7)+Parametros!$B$13*Parametros!$B$7)*(1-0.55*L$5/(L$5+150))*9.81*Parametros!$B$11/100000+5*($F65/200)^1.8*(3.5/Parametros!$B$10)^4.8</f>
        <v>115.08668688373</v>
      </c>
      <c r="M65" s="8" t="n">
        <f aca="false">Parametros!$B$8+(Parametros!$B$12*(1-Parametros!$B$7)+Parametros!$B$13*Parametros!$B$7)*(1-0.55*M$5/(M$5+150))*9.81*Parametros!$B$11/100000+5*($F65/200)^1.8*(3.5/Parametros!$B$10)^4.8</f>
        <v>111.48968688373</v>
      </c>
      <c r="N65" s="8" t="n">
        <f aca="false">Parametros!$B$8+(Parametros!$B$12*(1-Parametros!$B$7)+Parametros!$B$13*Parametros!$B$7)*(1-0.55*N$5/(N$5+150))*9.81*Parametros!$B$11/100000+5*($F65/200)^1.8*(3.5/Parametros!$B$10)^4.8</f>
        <v>108.61208688373</v>
      </c>
      <c r="O65" s="8" t="n">
        <f aca="false">Parametros!$B$8+(Parametros!$B$12*(1-Parametros!$B$7)+Parametros!$B$13*Parametros!$B$7)*(1-0.55*O$5/(O$5+150))*9.81*Parametros!$B$11/100000+5*($F65/200)^1.8*(3.5/Parametros!$B$10)^4.8</f>
        <v>106.25768688373</v>
      </c>
    </row>
    <row r="66" customFormat="false" ht="15" hidden="false" customHeight="false" outlineLevel="0" collapsed="false">
      <c r="F66" s="8" t="n">
        <f aca="false">Curvas!A65</f>
        <v>125</v>
      </c>
      <c r="G66" s="8" t="n">
        <f aca="false">Parametros!$B$8+(Parametros!$B$12*(1-Parametros!$B$7)+Parametros!$B$13*Parametros!$B$7)*(1-0.55*G$5/(G$5+150))*9.81*Parametros!$B$11/100000+5*($F66/200)^1.8*(3.5/Parametros!$B$10)^4.8</f>
        <v>169.105626061145</v>
      </c>
      <c r="H66" s="8" t="n">
        <f aca="false">Parametros!$B$8+(Parametros!$B$12*(1-Parametros!$B$7)+Parametros!$B$13*Parametros!$B$7)*(1-0.55*H$5/(H$5+150))*9.81*Parametros!$B$11/100000+5*($F66/200)^1.8*(3.5/Parametros!$B$10)^4.8</f>
        <v>147.523626061145</v>
      </c>
      <c r="I66" s="8" t="n">
        <f aca="false">Parametros!$B$8+(Parametros!$B$12*(1-Parametros!$B$7)+Parametros!$B$13*Parametros!$B$7)*(1-0.55*I$5/(I$5+150))*9.81*Parametros!$B$11/100000+5*($F66/200)^1.8*(3.5/Parametros!$B$10)^4.8</f>
        <v>134.574426061145</v>
      </c>
      <c r="J66" s="8" t="n">
        <f aca="false">Parametros!$B$8+(Parametros!$B$12*(1-Parametros!$B$7)+Parametros!$B$13*Parametros!$B$7)*(1-0.55*J$5/(J$5+150))*9.81*Parametros!$B$11/100000+5*($F66/200)^1.8*(3.5/Parametros!$B$10)^4.8</f>
        <v>125.941626061145</v>
      </c>
      <c r="K66" s="8" t="n">
        <f aca="false">Parametros!$B$8+(Parametros!$B$12*(1-Parametros!$B$7)+Parametros!$B$13*Parametros!$B$7)*(1-0.55*K$5/(K$5+150))*9.81*Parametros!$B$11/100000+5*($F66/200)^1.8*(3.5/Parametros!$B$10)^4.8</f>
        <v>119.775340346859</v>
      </c>
      <c r="L66" s="8" t="n">
        <f aca="false">Parametros!$B$8+(Parametros!$B$12*(1-Parametros!$B$7)+Parametros!$B$13*Parametros!$B$7)*(1-0.55*L$5/(L$5+150))*9.81*Parametros!$B$11/100000+5*($F66/200)^1.8*(3.5/Parametros!$B$10)^4.8</f>
        <v>115.150626061145</v>
      </c>
      <c r="M66" s="8" t="n">
        <f aca="false">Parametros!$B$8+(Parametros!$B$12*(1-Parametros!$B$7)+Parametros!$B$13*Parametros!$B$7)*(1-0.55*M$5/(M$5+150))*9.81*Parametros!$B$11/100000+5*($F66/200)^1.8*(3.5/Parametros!$B$10)^4.8</f>
        <v>111.553626061145</v>
      </c>
      <c r="N66" s="8" t="n">
        <f aca="false">Parametros!$B$8+(Parametros!$B$12*(1-Parametros!$B$7)+Parametros!$B$13*Parametros!$B$7)*(1-0.55*N$5/(N$5+150))*9.81*Parametros!$B$11/100000+5*($F66/200)^1.8*(3.5/Parametros!$B$10)^4.8</f>
        <v>108.676026061145</v>
      </c>
      <c r="O66" s="8" t="n">
        <f aca="false">Parametros!$B$8+(Parametros!$B$12*(1-Parametros!$B$7)+Parametros!$B$13*Parametros!$B$7)*(1-0.55*O$5/(O$5+150))*9.81*Parametros!$B$11/100000+5*($F66/200)^1.8*(3.5/Parametros!$B$10)^4.8</f>
        <v>106.321626061145</v>
      </c>
    </row>
    <row r="67" customFormat="false" ht="15" hidden="false" customHeight="false" outlineLevel="0" collapsed="false">
      <c r="F67" s="8" t="n">
        <f aca="false">Curvas!A66</f>
        <v>127.083333333333</v>
      </c>
      <c r="G67" s="8" t="n">
        <f aca="false">Parametros!$B$8+(Parametros!$B$12*(1-Parametros!$B$7)+Parametros!$B$13*Parametros!$B$7)*(1-0.55*G$5/(G$5+150))*9.81*Parametros!$B$11/100000+5*($F67/200)^1.8*(3.5/Parametros!$B$10)^4.8</f>
        <v>169.170423493752</v>
      </c>
      <c r="H67" s="8" t="n">
        <f aca="false">Parametros!$B$8+(Parametros!$B$12*(1-Parametros!$B$7)+Parametros!$B$13*Parametros!$B$7)*(1-0.55*H$5/(H$5+150))*9.81*Parametros!$B$11/100000+5*($F67/200)^1.8*(3.5/Parametros!$B$10)^4.8</f>
        <v>147.588423493752</v>
      </c>
      <c r="I67" s="8" t="n">
        <f aca="false">Parametros!$B$8+(Parametros!$B$12*(1-Parametros!$B$7)+Parametros!$B$13*Parametros!$B$7)*(1-0.55*I$5/(I$5+150))*9.81*Parametros!$B$11/100000+5*($F67/200)^1.8*(3.5/Parametros!$B$10)^4.8</f>
        <v>134.639223493752</v>
      </c>
      <c r="J67" s="8" t="n">
        <f aca="false">Parametros!$B$8+(Parametros!$B$12*(1-Parametros!$B$7)+Parametros!$B$13*Parametros!$B$7)*(1-0.55*J$5/(J$5+150))*9.81*Parametros!$B$11/100000+5*($F67/200)^1.8*(3.5/Parametros!$B$10)^4.8</f>
        <v>126.006423493752</v>
      </c>
      <c r="K67" s="8" t="n">
        <f aca="false">Parametros!$B$8+(Parametros!$B$12*(1-Parametros!$B$7)+Parametros!$B$13*Parametros!$B$7)*(1-0.55*K$5/(K$5+150))*9.81*Parametros!$B$11/100000+5*($F67/200)^1.8*(3.5/Parametros!$B$10)^4.8</f>
        <v>119.840137779467</v>
      </c>
      <c r="L67" s="8" t="n">
        <f aca="false">Parametros!$B$8+(Parametros!$B$12*(1-Parametros!$B$7)+Parametros!$B$13*Parametros!$B$7)*(1-0.55*L$5/(L$5+150))*9.81*Parametros!$B$11/100000+5*($F67/200)^1.8*(3.5/Parametros!$B$10)^4.8</f>
        <v>115.215423493752</v>
      </c>
      <c r="M67" s="8" t="n">
        <f aca="false">Parametros!$B$8+(Parametros!$B$12*(1-Parametros!$B$7)+Parametros!$B$13*Parametros!$B$7)*(1-0.55*M$5/(M$5+150))*9.81*Parametros!$B$11/100000+5*($F67/200)^1.8*(3.5/Parametros!$B$10)^4.8</f>
        <v>111.618423493752</v>
      </c>
      <c r="N67" s="8" t="n">
        <f aca="false">Parametros!$B$8+(Parametros!$B$12*(1-Parametros!$B$7)+Parametros!$B$13*Parametros!$B$7)*(1-0.55*N$5/(N$5+150))*9.81*Parametros!$B$11/100000+5*($F67/200)^1.8*(3.5/Parametros!$B$10)^4.8</f>
        <v>108.740823493752</v>
      </c>
      <c r="O67" s="8" t="n">
        <f aca="false">Parametros!$B$8+(Parametros!$B$12*(1-Parametros!$B$7)+Parametros!$B$13*Parametros!$B$7)*(1-0.55*O$5/(O$5+150))*9.81*Parametros!$B$11/100000+5*($F67/200)^1.8*(3.5/Parametros!$B$10)^4.8</f>
        <v>106.386423493752</v>
      </c>
    </row>
    <row r="68" customFormat="false" ht="15" hidden="false" customHeight="false" outlineLevel="0" collapsed="false">
      <c r="F68" s="8" t="n">
        <f aca="false">Curvas!A67</f>
        <v>129.166666666667</v>
      </c>
      <c r="G68" s="8" t="n">
        <f aca="false">Parametros!$B$8+(Parametros!$B$12*(1-Parametros!$B$7)+Parametros!$B$13*Parametros!$B$7)*(1-0.55*G$5/(G$5+150))*9.81*Parametros!$B$11/100000+5*($F68/200)^1.8*(3.5/Parametros!$B$10)^4.8</f>
        <v>169.236076348811</v>
      </c>
      <c r="H68" s="8" t="n">
        <f aca="false">Parametros!$B$8+(Parametros!$B$12*(1-Parametros!$B$7)+Parametros!$B$13*Parametros!$B$7)*(1-0.55*H$5/(H$5+150))*9.81*Parametros!$B$11/100000+5*($F68/200)^1.8*(3.5/Parametros!$B$10)^4.8</f>
        <v>147.654076348811</v>
      </c>
      <c r="I68" s="8" t="n">
        <f aca="false">Parametros!$B$8+(Parametros!$B$12*(1-Parametros!$B$7)+Parametros!$B$13*Parametros!$B$7)*(1-0.55*I$5/(I$5+150))*9.81*Parametros!$B$11/100000+5*($F68/200)^1.8*(3.5/Parametros!$B$10)^4.8</f>
        <v>134.704876348811</v>
      </c>
      <c r="J68" s="8" t="n">
        <f aca="false">Parametros!$B$8+(Parametros!$B$12*(1-Parametros!$B$7)+Parametros!$B$13*Parametros!$B$7)*(1-0.55*J$5/(J$5+150))*9.81*Parametros!$B$11/100000+5*($F68/200)^1.8*(3.5/Parametros!$B$10)^4.8</f>
        <v>126.072076348811</v>
      </c>
      <c r="K68" s="8" t="n">
        <f aca="false">Parametros!$B$8+(Parametros!$B$12*(1-Parametros!$B$7)+Parametros!$B$13*Parametros!$B$7)*(1-0.55*K$5/(K$5+150))*9.81*Parametros!$B$11/100000+5*($F68/200)^1.8*(3.5/Parametros!$B$10)^4.8</f>
        <v>119.905790634525</v>
      </c>
      <c r="L68" s="8" t="n">
        <f aca="false">Parametros!$B$8+(Parametros!$B$12*(1-Parametros!$B$7)+Parametros!$B$13*Parametros!$B$7)*(1-0.55*L$5/(L$5+150))*9.81*Parametros!$B$11/100000+5*($F68/200)^1.8*(3.5/Parametros!$B$10)^4.8</f>
        <v>115.281076348811</v>
      </c>
      <c r="M68" s="8" t="n">
        <f aca="false">Parametros!$B$8+(Parametros!$B$12*(1-Parametros!$B$7)+Parametros!$B$13*Parametros!$B$7)*(1-0.55*M$5/(M$5+150))*9.81*Parametros!$B$11/100000+5*($F68/200)^1.8*(3.5/Parametros!$B$10)^4.8</f>
        <v>111.684076348811</v>
      </c>
      <c r="N68" s="8" t="n">
        <f aca="false">Parametros!$B$8+(Parametros!$B$12*(1-Parametros!$B$7)+Parametros!$B$13*Parametros!$B$7)*(1-0.55*N$5/(N$5+150))*9.81*Parametros!$B$11/100000+5*($F68/200)^1.8*(3.5/Parametros!$B$10)^4.8</f>
        <v>108.806476348811</v>
      </c>
      <c r="O68" s="8" t="n">
        <f aca="false">Parametros!$B$8+(Parametros!$B$12*(1-Parametros!$B$7)+Parametros!$B$13*Parametros!$B$7)*(1-0.55*O$5/(O$5+150))*9.81*Parametros!$B$11/100000+5*($F68/200)^1.8*(3.5/Parametros!$B$10)^4.8</f>
        <v>106.452076348811</v>
      </c>
    </row>
    <row r="69" customFormat="false" ht="15" hidden="false" customHeight="false" outlineLevel="0" collapsed="false">
      <c r="F69" s="8" t="n">
        <f aca="false">Curvas!A68</f>
        <v>131.25</v>
      </c>
      <c r="G69" s="8" t="n">
        <f aca="false">Parametros!$B$8+(Parametros!$B$12*(1-Parametros!$B$7)+Parametros!$B$13*Parametros!$B$7)*(1-0.55*G$5/(G$5+150))*9.81*Parametros!$B$11/100000+5*($F69/200)^1.8*(3.5/Parametros!$B$10)^4.8</f>
        <v>169.30258184877</v>
      </c>
      <c r="H69" s="8" t="n">
        <f aca="false">Parametros!$B$8+(Parametros!$B$12*(1-Parametros!$B$7)+Parametros!$B$13*Parametros!$B$7)*(1-0.55*H$5/(H$5+150))*9.81*Parametros!$B$11/100000+5*($F69/200)^1.8*(3.5/Parametros!$B$10)^4.8</f>
        <v>147.72058184877</v>
      </c>
      <c r="I69" s="8" t="n">
        <f aca="false">Parametros!$B$8+(Parametros!$B$12*(1-Parametros!$B$7)+Parametros!$B$13*Parametros!$B$7)*(1-0.55*I$5/(I$5+150))*9.81*Parametros!$B$11/100000+5*($F69/200)^1.8*(3.5/Parametros!$B$10)^4.8</f>
        <v>134.77138184877</v>
      </c>
      <c r="J69" s="8" t="n">
        <f aca="false">Parametros!$B$8+(Parametros!$B$12*(1-Parametros!$B$7)+Parametros!$B$13*Parametros!$B$7)*(1-0.55*J$5/(J$5+150))*9.81*Parametros!$B$11/100000+5*($F69/200)^1.8*(3.5/Parametros!$B$10)^4.8</f>
        <v>126.138581848769</v>
      </c>
      <c r="K69" s="8" t="n">
        <f aca="false">Parametros!$B$8+(Parametros!$B$12*(1-Parametros!$B$7)+Parametros!$B$13*Parametros!$B$7)*(1-0.55*K$5/(K$5+150))*9.81*Parametros!$B$11/100000+5*($F69/200)^1.8*(3.5/Parametros!$B$10)^4.8</f>
        <v>119.972296134484</v>
      </c>
      <c r="L69" s="8" t="n">
        <f aca="false">Parametros!$B$8+(Parametros!$B$12*(1-Parametros!$B$7)+Parametros!$B$13*Parametros!$B$7)*(1-0.55*L$5/(L$5+150))*9.81*Parametros!$B$11/100000+5*($F69/200)^1.8*(3.5/Parametros!$B$10)^4.8</f>
        <v>115.347581848769</v>
      </c>
      <c r="M69" s="8" t="n">
        <f aca="false">Parametros!$B$8+(Parametros!$B$12*(1-Parametros!$B$7)+Parametros!$B$13*Parametros!$B$7)*(1-0.55*M$5/(M$5+150))*9.81*Parametros!$B$11/100000+5*($F69/200)^1.8*(3.5/Parametros!$B$10)^4.8</f>
        <v>111.750581848769</v>
      </c>
      <c r="N69" s="8" t="n">
        <f aca="false">Parametros!$B$8+(Parametros!$B$12*(1-Parametros!$B$7)+Parametros!$B$13*Parametros!$B$7)*(1-0.55*N$5/(N$5+150))*9.81*Parametros!$B$11/100000+5*($F69/200)^1.8*(3.5/Parametros!$B$10)^4.8</f>
        <v>108.872981848769</v>
      </c>
      <c r="O69" s="8" t="n">
        <f aca="false">Parametros!$B$8+(Parametros!$B$12*(1-Parametros!$B$7)+Parametros!$B$13*Parametros!$B$7)*(1-0.55*O$5/(O$5+150))*9.81*Parametros!$B$11/100000+5*($F69/200)^1.8*(3.5/Parametros!$B$10)^4.8</f>
        <v>106.518581848769</v>
      </c>
    </row>
    <row r="70" customFormat="false" ht="15" hidden="false" customHeight="false" outlineLevel="0" collapsed="false">
      <c r="F70" s="8" t="n">
        <f aca="false">Curvas!A69</f>
        <v>133.333333333333</v>
      </c>
      <c r="G70" s="8" t="n">
        <f aca="false">Parametros!$B$8+(Parametros!$B$12*(1-Parametros!$B$7)+Parametros!$B$13*Parametros!$B$7)*(1-0.55*G$5/(G$5+150))*9.81*Parametros!$B$11/100000+5*($F70/200)^1.8*(3.5/Parametros!$B$10)^4.8</f>
        <v>169.369937269328</v>
      </c>
      <c r="H70" s="8" t="n">
        <f aca="false">Parametros!$B$8+(Parametros!$B$12*(1-Parametros!$B$7)+Parametros!$B$13*Parametros!$B$7)*(1-0.55*H$5/(H$5+150))*9.81*Parametros!$B$11/100000+5*($F70/200)^1.8*(3.5/Parametros!$B$10)^4.8</f>
        <v>147.787937269328</v>
      </c>
      <c r="I70" s="8" t="n">
        <f aca="false">Parametros!$B$8+(Parametros!$B$12*(1-Parametros!$B$7)+Parametros!$B$13*Parametros!$B$7)*(1-0.55*I$5/(I$5+150))*9.81*Parametros!$B$11/100000+5*($F70/200)^1.8*(3.5/Parametros!$B$10)^4.8</f>
        <v>134.838737269328</v>
      </c>
      <c r="J70" s="8" t="n">
        <f aca="false">Parametros!$B$8+(Parametros!$B$12*(1-Parametros!$B$7)+Parametros!$B$13*Parametros!$B$7)*(1-0.55*J$5/(J$5+150))*9.81*Parametros!$B$11/100000+5*($F70/200)^1.8*(3.5/Parametros!$B$10)^4.8</f>
        <v>126.205937269328</v>
      </c>
      <c r="K70" s="8" t="n">
        <f aca="false">Parametros!$B$8+(Parametros!$B$12*(1-Parametros!$B$7)+Parametros!$B$13*Parametros!$B$7)*(1-0.55*K$5/(K$5+150))*9.81*Parametros!$B$11/100000+5*($F70/200)^1.8*(3.5/Parametros!$B$10)^4.8</f>
        <v>120.039651555043</v>
      </c>
      <c r="L70" s="8" t="n">
        <f aca="false">Parametros!$B$8+(Parametros!$B$12*(1-Parametros!$B$7)+Parametros!$B$13*Parametros!$B$7)*(1-0.55*L$5/(L$5+150))*9.81*Parametros!$B$11/100000+5*($F70/200)^1.8*(3.5/Parametros!$B$10)^4.8</f>
        <v>115.414937269328</v>
      </c>
      <c r="M70" s="8" t="n">
        <f aca="false">Parametros!$B$8+(Parametros!$B$12*(1-Parametros!$B$7)+Parametros!$B$13*Parametros!$B$7)*(1-0.55*M$5/(M$5+150))*9.81*Parametros!$B$11/100000+5*($F70/200)^1.8*(3.5/Parametros!$B$10)^4.8</f>
        <v>111.817937269328</v>
      </c>
      <c r="N70" s="8" t="n">
        <f aca="false">Parametros!$B$8+(Parametros!$B$12*(1-Parametros!$B$7)+Parametros!$B$13*Parametros!$B$7)*(1-0.55*N$5/(N$5+150))*9.81*Parametros!$B$11/100000+5*($F70/200)^1.8*(3.5/Parametros!$B$10)^4.8</f>
        <v>108.940337269328</v>
      </c>
      <c r="O70" s="8" t="n">
        <f aca="false">Parametros!$B$8+(Parametros!$B$12*(1-Parametros!$B$7)+Parametros!$B$13*Parametros!$B$7)*(1-0.55*O$5/(O$5+150))*9.81*Parametros!$B$11/100000+5*($F70/200)^1.8*(3.5/Parametros!$B$10)^4.8</f>
        <v>106.585937269328</v>
      </c>
    </row>
    <row r="71" customFormat="false" ht="15" hidden="false" customHeight="false" outlineLevel="0" collapsed="false">
      <c r="F71" s="8" t="n">
        <f aca="false">Curvas!A70</f>
        <v>135.416666666667</v>
      </c>
      <c r="G71" s="8" t="n">
        <f aca="false">Parametros!$B$8+(Parametros!$B$12*(1-Parametros!$B$7)+Parametros!$B$13*Parametros!$B$7)*(1-0.55*G$5/(G$5+150))*9.81*Parametros!$B$11/100000+5*($F71/200)^1.8*(3.5/Parametros!$B$10)^4.8</f>
        <v>169.438139937595</v>
      </c>
      <c r="H71" s="8" t="n">
        <f aca="false">Parametros!$B$8+(Parametros!$B$12*(1-Parametros!$B$7)+Parametros!$B$13*Parametros!$B$7)*(1-0.55*H$5/(H$5+150))*9.81*Parametros!$B$11/100000+5*($F71/200)^1.8*(3.5/Parametros!$B$10)^4.8</f>
        <v>147.856139937595</v>
      </c>
      <c r="I71" s="8" t="n">
        <f aca="false">Parametros!$B$8+(Parametros!$B$12*(1-Parametros!$B$7)+Parametros!$B$13*Parametros!$B$7)*(1-0.55*I$5/(I$5+150))*9.81*Parametros!$B$11/100000+5*($F71/200)^1.8*(3.5/Parametros!$B$10)^4.8</f>
        <v>134.906939937595</v>
      </c>
      <c r="J71" s="8" t="n">
        <f aca="false">Parametros!$B$8+(Parametros!$B$12*(1-Parametros!$B$7)+Parametros!$B$13*Parametros!$B$7)*(1-0.55*J$5/(J$5+150))*9.81*Parametros!$B$11/100000+5*($F71/200)^1.8*(3.5/Parametros!$B$10)^4.8</f>
        <v>126.274139937595</v>
      </c>
      <c r="K71" s="8" t="n">
        <f aca="false">Parametros!$B$8+(Parametros!$B$12*(1-Parametros!$B$7)+Parametros!$B$13*Parametros!$B$7)*(1-0.55*K$5/(K$5+150))*9.81*Parametros!$B$11/100000+5*($F71/200)^1.8*(3.5/Parametros!$B$10)^4.8</f>
        <v>120.10785422331</v>
      </c>
      <c r="L71" s="8" t="n">
        <f aca="false">Parametros!$B$8+(Parametros!$B$12*(1-Parametros!$B$7)+Parametros!$B$13*Parametros!$B$7)*(1-0.55*L$5/(L$5+150))*9.81*Parametros!$B$11/100000+5*($F71/200)^1.8*(3.5/Parametros!$B$10)^4.8</f>
        <v>115.483139937595</v>
      </c>
      <c r="M71" s="8" t="n">
        <f aca="false">Parametros!$B$8+(Parametros!$B$12*(1-Parametros!$B$7)+Parametros!$B$13*Parametros!$B$7)*(1-0.55*M$5/(M$5+150))*9.81*Parametros!$B$11/100000+5*($F71/200)^1.8*(3.5/Parametros!$B$10)^4.8</f>
        <v>111.886139937595</v>
      </c>
      <c r="N71" s="8" t="n">
        <f aca="false">Parametros!$B$8+(Parametros!$B$12*(1-Parametros!$B$7)+Parametros!$B$13*Parametros!$B$7)*(1-0.55*N$5/(N$5+150))*9.81*Parametros!$B$11/100000+5*($F71/200)^1.8*(3.5/Parametros!$B$10)^4.8</f>
        <v>109.008539937595</v>
      </c>
      <c r="O71" s="8" t="n">
        <f aca="false">Parametros!$B$8+(Parametros!$B$12*(1-Parametros!$B$7)+Parametros!$B$13*Parametros!$B$7)*(1-0.55*O$5/(O$5+150))*9.81*Parametros!$B$11/100000+5*($F71/200)^1.8*(3.5/Parametros!$B$10)^4.8</f>
        <v>106.654139937595</v>
      </c>
    </row>
    <row r="72" customFormat="false" ht="15" hidden="false" customHeight="false" outlineLevel="0" collapsed="false">
      <c r="F72" s="8" t="n">
        <f aca="false">Curvas!A71</f>
        <v>137.5</v>
      </c>
      <c r="G72" s="8" t="n">
        <f aca="false">Parametros!$B$8+(Parametros!$B$12*(1-Parametros!$B$7)+Parametros!$B$13*Parametros!$B$7)*(1-0.55*G$5/(G$5+150))*9.81*Parametros!$B$11/100000+5*($F72/200)^1.8*(3.5/Parametros!$B$10)^4.8</f>
        <v>169.507187230337</v>
      </c>
      <c r="H72" s="8" t="n">
        <f aca="false">Parametros!$B$8+(Parametros!$B$12*(1-Parametros!$B$7)+Parametros!$B$13*Parametros!$B$7)*(1-0.55*H$5/(H$5+150))*9.81*Parametros!$B$11/100000+5*($F72/200)^1.8*(3.5/Parametros!$B$10)^4.8</f>
        <v>147.925187230337</v>
      </c>
      <c r="I72" s="8" t="n">
        <f aca="false">Parametros!$B$8+(Parametros!$B$12*(1-Parametros!$B$7)+Parametros!$B$13*Parametros!$B$7)*(1-0.55*I$5/(I$5+150))*9.81*Parametros!$B$11/100000+5*($F72/200)^1.8*(3.5/Parametros!$B$10)^4.8</f>
        <v>134.975987230337</v>
      </c>
      <c r="J72" s="8" t="n">
        <f aca="false">Parametros!$B$8+(Parametros!$B$12*(1-Parametros!$B$7)+Parametros!$B$13*Parametros!$B$7)*(1-0.55*J$5/(J$5+150))*9.81*Parametros!$B$11/100000+5*($F72/200)^1.8*(3.5/Parametros!$B$10)^4.8</f>
        <v>126.343187230337</v>
      </c>
      <c r="K72" s="8" t="n">
        <f aca="false">Parametros!$B$8+(Parametros!$B$12*(1-Parametros!$B$7)+Parametros!$B$13*Parametros!$B$7)*(1-0.55*K$5/(K$5+150))*9.81*Parametros!$B$11/100000+5*($F72/200)^1.8*(3.5/Parametros!$B$10)^4.8</f>
        <v>120.176901516051</v>
      </c>
      <c r="L72" s="8" t="n">
        <f aca="false">Parametros!$B$8+(Parametros!$B$12*(1-Parametros!$B$7)+Parametros!$B$13*Parametros!$B$7)*(1-0.55*L$5/(L$5+150))*9.81*Parametros!$B$11/100000+5*($F72/200)^1.8*(3.5/Parametros!$B$10)^4.8</f>
        <v>115.552187230337</v>
      </c>
      <c r="M72" s="8" t="n">
        <f aca="false">Parametros!$B$8+(Parametros!$B$12*(1-Parametros!$B$7)+Parametros!$B$13*Parametros!$B$7)*(1-0.55*M$5/(M$5+150))*9.81*Parametros!$B$11/100000+5*($F72/200)^1.8*(3.5/Parametros!$B$10)^4.8</f>
        <v>111.955187230337</v>
      </c>
      <c r="N72" s="8" t="n">
        <f aca="false">Parametros!$B$8+(Parametros!$B$12*(1-Parametros!$B$7)+Parametros!$B$13*Parametros!$B$7)*(1-0.55*N$5/(N$5+150))*9.81*Parametros!$B$11/100000+5*($F72/200)^1.8*(3.5/Parametros!$B$10)^4.8</f>
        <v>109.077587230337</v>
      </c>
      <c r="O72" s="8" t="n">
        <f aca="false">Parametros!$B$8+(Parametros!$B$12*(1-Parametros!$B$7)+Parametros!$B$13*Parametros!$B$7)*(1-0.55*O$5/(O$5+150))*9.81*Parametros!$B$11/100000+5*($F72/200)^1.8*(3.5/Parametros!$B$10)^4.8</f>
        <v>106.723187230337</v>
      </c>
    </row>
    <row r="73" customFormat="false" ht="15" hidden="false" customHeight="false" outlineLevel="0" collapsed="false">
      <c r="F73" s="8" t="n">
        <f aca="false">Curvas!A72</f>
        <v>139.583333333333</v>
      </c>
      <c r="G73" s="8" t="n">
        <f aca="false">Parametros!$B$8+(Parametros!$B$12*(1-Parametros!$B$7)+Parametros!$B$13*Parametros!$B$7)*(1-0.55*G$5/(G$5+150))*9.81*Parametros!$B$11/100000+5*($F73/200)^1.8*(3.5/Parametros!$B$10)^4.8</f>
        <v>169.57707657231</v>
      </c>
      <c r="H73" s="8" t="n">
        <f aca="false">Parametros!$B$8+(Parametros!$B$12*(1-Parametros!$B$7)+Parametros!$B$13*Parametros!$B$7)*(1-0.55*H$5/(H$5+150))*9.81*Parametros!$B$11/100000+5*($F73/200)^1.8*(3.5/Parametros!$B$10)^4.8</f>
        <v>147.99507657231</v>
      </c>
      <c r="I73" s="8" t="n">
        <f aca="false">Parametros!$B$8+(Parametros!$B$12*(1-Parametros!$B$7)+Parametros!$B$13*Parametros!$B$7)*(1-0.55*I$5/(I$5+150))*9.81*Parametros!$B$11/100000+5*($F73/200)^1.8*(3.5/Parametros!$B$10)^4.8</f>
        <v>135.04587657231</v>
      </c>
      <c r="J73" s="8" t="n">
        <f aca="false">Parametros!$B$8+(Parametros!$B$12*(1-Parametros!$B$7)+Parametros!$B$13*Parametros!$B$7)*(1-0.55*J$5/(J$5+150))*9.81*Parametros!$B$11/100000+5*($F73/200)^1.8*(3.5/Parametros!$B$10)^4.8</f>
        <v>126.41307657231</v>
      </c>
      <c r="K73" s="8" t="n">
        <f aca="false">Parametros!$B$8+(Parametros!$B$12*(1-Parametros!$B$7)+Parametros!$B$13*Parametros!$B$7)*(1-0.55*K$5/(K$5+150))*9.81*Parametros!$B$11/100000+5*($F73/200)^1.8*(3.5/Parametros!$B$10)^4.8</f>
        <v>120.246790858024</v>
      </c>
      <c r="L73" s="8" t="n">
        <f aca="false">Parametros!$B$8+(Parametros!$B$12*(1-Parametros!$B$7)+Parametros!$B$13*Parametros!$B$7)*(1-0.55*L$5/(L$5+150))*9.81*Parametros!$B$11/100000+5*($F73/200)^1.8*(3.5/Parametros!$B$10)^4.8</f>
        <v>115.62207657231</v>
      </c>
      <c r="M73" s="8" t="n">
        <f aca="false">Parametros!$B$8+(Parametros!$B$12*(1-Parametros!$B$7)+Parametros!$B$13*Parametros!$B$7)*(1-0.55*M$5/(M$5+150))*9.81*Parametros!$B$11/100000+5*($F73/200)^1.8*(3.5/Parametros!$B$10)^4.8</f>
        <v>112.02507657231</v>
      </c>
      <c r="N73" s="8" t="n">
        <f aca="false">Parametros!$B$8+(Parametros!$B$12*(1-Parametros!$B$7)+Parametros!$B$13*Parametros!$B$7)*(1-0.55*N$5/(N$5+150))*9.81*Parametros!$B$11/100000+5*($F73/200)^1.8*(3.5/Parametros!$B$10)^4.8</f>
        <v>109.14747657231</v>
      </c>
      <c r="O73" s="8" t="n">
        <f aca="false">Parametros!$B$8+(Parametros!$B$12*(1-Parametros!$B$7)+Parametros!$B$13*Parametros!$B$7)*(1-0.55*O$5/(O$5+150))*9.81*Parametros!$B$11/100000+5*($F73/200)^1.8*(3.5/Parametros!$B$10)^4.8</f>
        <v>106.79307657231</v>
      </c>
    </row>
    <row r="74" customFormat="false" ht="15" hidden="false" customHeight="false" outlineLevel="0" collapsed="false">
      <c r="F74" s="8" t="n">
        <f aca="false">Curvas!A73</f>
        <v>141.666666666667</v>
      </c>
      <c r="G74" s="8" t="n">
        <f aca="false">Parametros!$B$8+(Parametros!$B$12*(1-Parametros!$B$7)+Parametros!$B$13*Parametros!$B$7)*(1-0.55*G$5/(G$5+150))*9.81*Parametros!$B$11/100000+5*($F74/200)^1.8*(3.5/Parametros!$B$10)^4.8</f>
        <v>169.647805434678</v>
      </c>
      <c r="H74" s="8" t="n">
        <f aca="false">Parametros!$B$8+(Parametros!$B$12*(1-Parametros!$B$7)+Parametros!$B$13*Parametros!$B$7)*(1-0.55*H$5/(H$5+150))*9.81*Parametros!$B$11/100000+5*($F74/200)^1.8*(3.5/Parametros!$B$10)^4.8</f>
        <v>148.065805434678</v>
      </c>
      <c r="I74" s="8" t="n">
        <f aca="false">Parametros!$B$8+(Parametros!$B$12*(1-Parametros!$B$7)+Parametros!$B$13*Parametros!$B$7)*(1-0.55*I$5/(I$5+150))*9.81*Parametros!$B$11/100000+5*($F74/200)^1.8*(3.5/Parametros!$B$10)^4.8</f>
        <v>135.116605434678</v>
      </c>
      <c r="J74" s="8" t="n">
        <f aca="false">Parametros!$B$8+(Parametros!$B$12*(1-Parametros!$B$7)+Parametros!$B$13*Parametros!$B$7)*(1-0.55*J$5/(J$5+150))*9.81*Parametros!$B$11/100000+5*($F74/200)^1.8*(3.5/Parametros!$B$10)^4.8</f>
        <v>126.483805434678</v>
      </c>
      <c r="K74" s="8" t="n">
        <f aca="false">Parametros!$B$8+(Parametros!$B$12*(1-Parametros!$B$7)+Parametros!$B$13*Parametros!$B$7)*(1-0.55*K$5/(K$5+150))*9.81*Parametros!$B$11/100000+5*($F74/200)^1.8*(3.5/Parametros!$B$10)^4.8</f>
        <v>120.317519720393</v>
      </c>
      <c r="L74" s="8" t="n">
        <f aca="false">Parametros!$B$8+(Parametros!$B$12*(1-Parametros!$B$7)+Parametros!$B$13*Parametros!$B$7)*(1-0.55*L$5/(L$5+150))*9.81*Parametros!$B$11/100000+5*($F74/200)^1.8*(3.5/Parametros!$B$10)^4.8</f>
        <v>115.692805434678</v>
      </c>
      <c r="M74" s="8" t="n">
        <f aca="false">Parametros!$B$8+(Parametros!$B$12*(1-Parametros!$B$7)+Parametros!$B$13*Parametros!$B$7)*(1-0.55*M$5/(M$5+150))*9.81*Parametros!$B$11/100000+5*($F74/200)^1.8*(3.5/Parametros!$B$10)^4.8</f>
        <v>112.095805434678</v>
      </c>
      <c r="N74" s="8" t="n">
        <f aca="false">Parametros!$B$8+(Parametros!$B$12*(1-Parametros!$B$7)+Parametros!$B$13*Parametros!$B$7)*(1-0.55*N$5/(N$5+150))*9.81*Parametros!$B$11/100000+5*($F74/200)^1.8*(3.5/Parametros!$B$10)^4.8</f>
        <v>109.218205434678</v>
      </c>
      <c r="O74" s="8" t="n">
        <f aca="false">Parametros!$B$8+(Parametros!$B$12*(1-Parametros!$B$7)+Parametros!$B$13*Parametros!$B$7)*(1-0.55*O$5/(O$5+150))*9.81*Parametros!$B$11/100000+5*($F74/200)^1.8*(3.5/Parametros!$B$10)^4.8</f>
        <v>106.863805434678</v>
      </c>
    </row>
    <row r="75" customFormat="false" ht="15" hidden="false" customHeight="false" outlineLevel="0" collapsed="false">
      <c r="F75" s="8" t="n">
        <f aca="false">Curvas!A74</f>
        <v>143.75</v>
      </c>
      <c r="G75" s="8" t="n">
        <f aca="false">Parametros!$B$8+(Parametros!$B$12*(1-Parametros!$B$7)+Parametros!$B$13*Parametros!$B$7)*(1-0.55*G$5/(G$5+150))*9.81*Parametros!$B$11/100000+5*($F75/200)^1.8*(3.5/Parametros!$B$10)^4.8</f>
        <v>169.719371333502</v>
      </c>
      <c r="H75" s="8" t="n">
        <f aca="false">Parametros!$B$8+(Parametros!$B$12*(1-Parametros!$B$7)+Parametros!$B$13*Parametros!$B$7)*(1-0.55*H$5/(H$5+150))*9.81*Parametros!$B$11/100000+5*($F75/200)^1.8*(3.5/Parametros!$B$10)^4.8</f>
        <v>148.137371333502</v>
      </c>
      <c r="I75" s="8" t="n">
        <f aca="false">Parametros!$B$8+(Parametros!$B$12*(1-Parametros!$B$7)+Parametros!$B$13*Parametros!$B$7)*(1-0.55*I$5/(I$5+150))*9.81*Parametros!$B$11/100000+5*($F75/200)^1.8*(3.5/Parametros!$B$10)^4.8</f>
        <v>135.188171333502</v>
      </c>
      <c r="J75" s="8" t="n">
        <f aca="false">Parametros!$B$8+(Parametros!$B$12*(1-Parametros!$B$7)+Parametros!$B$13*Parametros!$B$7)*(1-0.55*J$5/(J$5+150))*9.81*Parametros!$B$11/100000+5*($F75/200)^1.8*(3.5/Parametros!$B$10)^4.8</f>
        <v>126.555371333502</v>
      </c>
      <c r="K75" s="8" t="n">
        <f aca="false">Parametros!$B$8+(Parametros!$B$12*(1-Parametros!$B$7)+Parametros!$B$13*Parametros!$B$7)*(1-0.55*K$5/(K$5+150))*9.81*Parametros!$B$11/100000+5*($F75/200)^1.8*(3.5/Parametros!$B$10)^4.8</f>
        <v>120.389085619216</v>
      </c>
      <c r="L75" s="8" t="n">
        <f aca="false">Parametros!$B$8+(Parametros!$B$12*(1-Parametros!$B$7)+Parametros!$B$13*Parametros!$B$7)*(1-0.55*L$5/(L$5+150))*9.81*Parametros!$B$11/100000+5*($F75/200)^1.8*(3.5/Parametros!$B$10)^4.8</f>
        <v>115.764371333502</v>
      </c>
      <c r="M75" s="8" t="n">
        <f aca="false">Parametros!$B$8+(Parametros!$B$12*(1-Parametros!$B$7)+Parametros!$B$13*Parametros!$B$7)*(1-0.55*M$5/(M$5+150))*9.81*Parametros!$B$11/100000+5*($F75/200)^1.8*(3.5/Parametros!$B$10)^4.8</f>
        <v>112.167371333502</v>
      </c>
      <c r="N75" s="8" t="n">
        <f aca="false">Parametros!$B$8+(Parametros!$B$12*(1-Parametros!$B$7)+Parametros!$B$13*Parametros!$B$7)*(1-0.55*N$5/(N$5+150))*9.81*Parametros!$B$11/100000+5*($F75/200)^1.8*(3.5/Parametros!$B$10)^4.8</f>
        <v>109.289771333502</v>
      </c>
      <c r="O75" s="8" t="n">
        <f aca="false">Parametros!$B$8+(Parametros!$B$12*(1-Parametros!$B$7)+Parametros!$B$13*Parametros!$B$7)*(1-0.55*O$5/(O$5+150))*9.81*Parametros!$B$11/100000+5*($F75/200)^1.8*(3.5/Parametros!$B$10)^4.8</f>
        <v>106.935371333502</v>
      </c>
    </row>
    <row r="76" customFormat="false" ht="15" hidden="false" customHeight="false" outlineLevel="0" collapsed="false">
      <c r="F76" s="8" t="n">
        <f aca="false">Curvas!A75</f>
        <v>145.833333333333</v>
      </c>
      <c r="G76" s="8" t="n">
        <f aca="false">Parametros!$B$8+(Parametros!$B$12*(1-Parametros!$B$7)+Parametros!$B$13*Parametros!$B$7)*(1-0.55*G$5/(G$5+150))*9.81*Parametros!$B$11/100000+5*($F76/200)^1.8*(3.5/Parametros!$B$10)^4.8</f>
        <v>169.791771828295</v>
      </c>
      <c r="H76" s="8" t="n">
        <f aca="false">Parametros!$B$8+(Parametros!$B$12*(1-Parametros!$B$7)+Parametros!$B$13*Parametros!$B$7)*(1-0.55*H$5/(H$5+150))*9.81*Parametros!$B$11/100000+5*($F76/200)^1.8*(3.5/Parametros!$B$10)^4.8</f>
        <v>148.209771828295</v>
      </c>
      <c r="I76" s="8" t="n">
        <f aca="false">Parametros!$B$8+(Parametros!$B$12*(1-Parametros!$B$7)+Parametros!$B$13*Parametros!$B$7)*(1-0.55*I$5/(I$5+150))*9.81*Parametros!$B$11/100000+5*($F76/200)^1.8*(3.5/Parametros!$B$10)^4.8</f>
        <v>135.260571828295</v>
      </c>
      <c r="J76" s="8" t="n">
        <f aca="false">Parametros!$B$8+(Parametros!$B$12*(1-Parametros!$B$7)+Parametros!$B$13*Parametros!$B$7)*(1-0.55*J$5/(J$5+150))*9.81*Parametros!$B$11/100000+5*($F76/200)^1.8*(3.5/Parametros!$B$10)^4.8</f>
        <v>126.627771828295</v>
      </c>
      <c r="K76" s="8" t="n">
        <f aca="false">Parametros!$B$8+(Parametros!$B$12*(1-Parametros!$B$7)+Parametros!$B$13*Parametros!$B$7)*(1-0.55*K$5/(K$5+150))*9.81*Parametros!$B$11/100000+5*($F76/200)^1.8*(3.5/Parametros!$B$10)^4.8</f>
        <v>120.46148611401</v>
      </c>
      <c r="L76" s="8" t="n">
        <f aca="false">Parametros!$B$8+(Parametros!$B$12*(1-Parametros!$B$7)+Parametros!$B$13*Parametros!$B$7)*(1-0.55*L$5/(L$5+150))*9.81*Parametros!$B$11/100000+5*($F76/200)^1.8*(3.5/Parametros!$B$10)^4.8</f>
        <v>115.836771828295</v>
      </c>
      <c r="M76" s="8" t="n">
        <f aca="false">Parametros!$B$8+(Parametros!$B$12*(1-Parametros!$B$7)+Parametros!$B$13*Parametros!$B$7)*(1-0.55*M$5/(M$5+150))*9.81*Parametros!$B$11/100000+5*($F76/200)^1.8*(3.5/Parametros!$B$10)^4.8</f>
        <v>112.239771828295</v>
      </c>
      <c r="N76" s="8" t="n">
        <f aca="false">Parametros!$B$8+(Parametros!$B$12*(1-Parametros!$B$7)+Parametros!$B$13*Parametros!$B$7)*(1-0.55*N$5/(N$5+150))*9.81*Parametros!$B$11/100000+5*($F76/200)^1.8*(3.5/Parametros!$B$10)^4.8</f>
        <v>109.362171828295</v>
      </c>
      <c r="O76" s="8" t="n">
        <f aca="false">Parametros!$B$8+(Parametros!$B$12*(1-Parametros!$B$7)+Parametros!$B$13*Parametros!$B$7)*(1-0.55*O$5/(O$5+150))*9.81*Parametros!$B$11/100000+5*($F76/200)^1.8*(3.5/Parametros!$B$10)^4.8</f>
        <v>107.007771828295</v>
      </c>
    </row>
    <row r="77" customFormat="false" ht="15" hidden="false" customHeight="false" outlineLevel="0" collapsed="false">
      <c r="F77" s="8" t="n">
        <f aca="false">Curvas!A76</f>
        <v>147.916666666667</v>
      </c>
      <c r="G77" s="8" t="n">
        <f aca="false">Parametros!$B$8+(Parametros!$B$12*(1-Parametros!$B$7)+Parametros!$B$13*Parametros!$B$7)*(1-0.55*G$5/(G$5+150))*9.81*Parametros!$B$11/100000+5*($F77/200)^1.8*(3.5/Parametros!$B$10)^4.8</f>
        <v>169.865004520656</v>
      </c>
      <c r="H77" s="8" t="n">
        <f aca="false">Parametros!$B$8+(Parametros!$B$12*(1-Parametros!$B$7)+Parametros!$B$13*Parametros!$B$7)*(1-0.55*H$5/(H$5+150))*9.81*Parametros!$B$11/100000+5*($F77/200)^1.8*(3.5/Parametros!$B$10)^4.8</f>
        <v>148.283004520656</v>
      </c>
      <c r="I77" s="8" t="n">
        <f aca="false">Parametros!$B$8+(Parametros!$B$12*(1-Parametros!$B$7)+Parametros!$B$13*Parametros!$B$7)*(1-0.55*I$5/(I$5+150))*9.81*Parametros!$B$11/100000+5*($F77/200)^1.8*(3.5/Parametros!$B$10)^4.8</f>
        <v>135.333804520656</v>
      </c>
      <c r="J77" s="8" t="n">
        <f aca="false">Parametros!$B$8+(Parametros!$B$12*(1-Parametros!$B$7)+Parametros!$B$13*Parametros!$B$7)*(1-0.55*J$5/(J$5+150))*9.81*Parametros!$B$11/100000+5*($F77/200)^1.8*(3.5/Parametros!$B$10)^4.8</f>
        <v>126.701004520656</v>
      </c>
      <c r="K77" s="8" t="n">
        <f aca="false">Parametros!$B$8+(Parametros!$B$12*(1-Parametros!$B$7)+Parametros!$B$13*Parametros!$B$7)*(1-0.55*K$5/(K$5+150))*9.81*Parametros!$B$11/100000+5*($F77/200)^1.8*(3.5/Parametros!$B$10)^4.8</f>
        <v>120.53471880637</v>
      </c>
      <c r="L77" s="8" t="n">
        <f aca="false">Parametros!$B$8+(Parametros!$B$12*(1-Parametros!$B$7)+Parametros!$B$13*Parametros!$B$7)*(1-0.55*L$5/(L$5+150))*9.81*Parametros!$B$11/100000+5*($F77/200)^1.8*(3.5/Parametros!$B$10)^4.8</f>
        <v>115.910004520656</v>
      </c>
      <c r="M77" s="8" t="n">
        <f aca="false">Parametros!$B$8+(Parametros!$B$12*(1-Parametros!$B$7)+Parametros!$B$13*Parametros!$B$7)*(1-0.55*M$5/(M$5+150))*9.81*Parametros!$B$11/100000+5*($F77/200)^1.8*(3.5/Parametros!$B$10)^4.8</f>
        <v>112.313004520656</v>
      </c>
      <c r="N77" s="8" t="n">
        <f aca="false">Parametros!$B$8+(Parametros!$B$12*(1-Parametros!$B$7)+Parametros!$B$13*Parametros!$B$7)*(1-0.55*N$5/(N$5+150))*9.81*Parametros!$B$11/100000+5*($F77/200)^1.8*(3.5/Parametros!$B$10)^4.8</f>
        <v>109.435404520656</v>
      </c>
      <c r="O77" s="8" t="n">
        <f aca="false">Parametros!$B$8+(Parametros!$B$12*(1-Parametros!$B$7)+Parametros!$B$13*Parametros!$B$7)*(1-0.55*O$5/(O$5+150))*9.81*Parametros!$B$11/100000+5*($F77/200)^1.8*(3.5/Parametros!$B$10)^4.8</f>
        <v>107.081004520656</v>
      </c>
    </row>
    <row r="78" customFormat="false" ht="15" hidden="false" customHeight="false" outlineLevel="0" collapsed="false">
      <c r="F78" s="8" t="n">
        <f aca="false">Curvas!A77</f>
        <v>150</v>
      </c>
      <c r="G78" s="8" t="n">
        <f aca="false">Parametros!$B$8+(Parametros!$B$12*(1-Parametros!$B$7)+Parametros!$B$13*Parametros!$B$7)*(1-0.55*G$5/(G$5+150))*9.81*Parametros!$B$11/100000+5*($F78/200)^1.8*(3.5/Parametros!$B$10)^4.8</f>
        <v>169.93906705295</v>
      </c>
      <c r="H78" s="8" t="n">
        <f aca="false">Parametros!$B$8+(Parametros!$B$12*(1-Parametros!$B$7)+Parametros!$B$13*Parametros!$B$7)*(1-0.55*H$5/(H$5+150))*9.81*Parametros!$B$11/100000+5*($F78/200)^1.8*(3.5/Parametros!$B$10)^4.8</f>
        <v>148.35706705295</v>
      </c>
      <c r="I78" s="8" t="n">
        <f aca="false">Parametros!$B$8+(Parametros!$B$12*(1-Parametros!$B$7)+Parametros!$B$13*Parametros!$B$7)*(1-0.55*I$5/(I$5+150))*9.81*Parametros!$B$11/100000+5*($F78/200)^1.8*(3.5/Parametros!$B$10)^4.8</f>
        <v>135.40786705295</v>
      </c>
      <c r="J78" s="8" t="n">
        <f aca="false">Parametros!$B$8+(Parametros!$B$12*(1-Parametros!$B$7)+Parametros!$B$13*Parametros!$B$7)*(1-0.55*J$5/(J$5+150))*9.81*Parametros!$B$11/100000+5*($F78/200)^1.8*(3.5/Parametros!$B$10)^4.8</f>
        <v>126.77506705295</v>
      </c>
      <c r="K78" s="8" t="n">
        <f aca="false">Parametros!$B$8+(Parametros!$B$12*(1-Parametros!$B$7)+Parametros!$B$13*Parametros!$B$7)*(1-0.55*K$5/(K$5+150))*9.81*Parametros!$B$11/100000+5*($F78/200)^1.8*(3.5/Parametros!$B$10)^4.8</f>
        <v>120.608781338664</v>
      </c>
      <c r="L78" s="8" t="n">
        <f aca="false">Parametros!$B$8+(Parametros!$B$12*(1-Parametros!$B$7)+Parametros!$B$13*Parametros!$B$7)*(1-0.55*L$5/(L$5+150))*9.81*Parametros!$B$11/100000+5*($F78/200)^1.8*(3.5/Parametros!$B$10)^4.8</f>
        <v>115.98406705295</v>
      </c>
      <c r="M78" s="8" t="n">
        <f aca="false">Parametros!$B$8+(Parametros!$B$12*(1-Parametros!$B$7)+Parametros!$B$13*Parametros!$B$7)*(1-0.55*M$5/(M$5+150))*9.81*Parametros!$B$11/100000+5*($F78/200)^1.8*(3.5/Parametros!$B$10)^4.8</f>
        <v>112.38706705295</v>
      </c>
      <c r="N78" s="8" t="n">
        <f aca="false">Parametros!$B$8+(Parametros!$B$12*(1-Parametros!$B$7)+Parametros!$B$13*Parametros!$B$7)*(1-0.55*N$5/(N$5+150))*9.81*Parametros!$B$11/100000+5*($F78/200)^1.8*(3.5/Parametros!$B$10)^4.8</f>
        <v>109.50946705295</v>
      </c>
      <c r="O78" s="8" t="n">
        <f aca="false">Parametros!$B$8+(Parametros!$B$12*(1-Parametros!$B$7)+Parametros!$B$13*Parametros!$B$7)*(1-0.55*O$5/(O$5+150))*9.81*Parametros!$B$11/100000+5*($F78/200)^1.8*(3.5/Parametros!$B$10)^4.8</f>
        <v>107.15506705295</v>
      </c>
    </row>
    <row r="79" customFormat="false" ht="15" hidden="false" customHeight="false" outlineLevel="0" collapsed="false">
      <c r="F79" s="8" t="n">
        <f aca="false">Curvas!A78</f>
        <v>152.083333333333</v>
      </c>
      <c r="G79" s="8" t="n">
        <f aca="false">Parametros!$B$8+(Parametros!$B$12*(1-Parametros!$B$7)+Parametros!$B$13*Parametros!$B$7)*(1-0.55*G$5/(G$5+150))*9.81*Parametros!$B$11/100000+5*($F79/200)^1.8*(3.5/Parametros!$B$10)^4.8</f>
        <v>170.013957107063</v>
      </c>
      <c r="H79" s="8" t="n">
        <f aca="false">Parametros!$B$8+(Parametros!$B$12*(1-Parametros!$B$7)+Parametros!$B$13*Parametros!$B$7)*(1-0.55*H$5/(H$5+150))*9.81*Parametros!$B$11/100000+5*($F79/200)^1.8*(3.5/Parametros!$B$10)^4.8</f>
        <v>148.431957107063</v>
      </c>
      <c r="I79" s="8" t="n">
        <f aca="false">Parametros!$B$8+(Parametros!$B$12*(1-Parametros!$B$7)+Parametros!$B$13*Parametros!$B$7)*(1-0.55*I$5/(I$5+150))*9.81*Parametros!$B$11/100000+5*($F79/200)^1.8*(3.5/Parametros!$B$10)^4.8</f>
        <v>135.482757107063</v>
      </c>
      <c r="J79" s="8" t="n">
        <f aca="false">Parametros!$B$8+(Parametros!$B$12*(1-Parametros!$B$7)+Parametros!$B$13*Parametros!$B$7)*(1-0.55*J$5/(J$5+150))*9.81*Parametros!$B$11/100000+5*($F79/200)^1.8*(3.5/Parametros!$B$10)^4.8</f>
        <v>126.849957107063</v>
      </c>
      <c r="K79" s="8" t="n">
        <f aca="false">Parametros!$B$8+(Parametros!$B$12*(1-Parametros!$B$7)+Parametros!$B$13*Parametros!$B$7)*(1-0.55*K$5/(K$5+150))*9.81*Parametros!$B$11/100000+5*($F79/200)^1.8*(3.5/Parametros!$B$10)^4.8</f>
        <v>120.683671392777</v>
      </c>
      <c r="L79" s="8" t="n">
        <f aca="false">Parametros!$B$8+(Parametros!$B$12*(1-Parametros!$B$7)+Parametros!$B$13*Parametros!$B$7)*(1-0.55*L$5/(L$5+150))*9.81*Parametros!$B$11/100000+5*($F79/200)^1.8*(3.5/Parametros!$B$10)^4.8</f>
        <v>116.058957107063</v>
      </c>
      <c r="M79" s="8" t="n">
        <f aca="false">Parametros!$B$8+(Parametros!$B$12*(1-Parametros!$B$7)+Parametros!$B$13*Parametros!$B$7)*(1-0.55*M$5/(M$5+150))*9.81*Parametros!$B$11/100000+5*($F79/200)^1.8*(3.5/Parametros!$B$10)^4.8</f>
        <v>112.461957107063</v>
      </c>
      <c r="N79" s="8" t="n">
        <f aca="false">Parametros!$B$8+(Parametros!$B$12*(1-Parametros!$B$7)+Parametros!$B$13*Parametros!$B$7)*(1-0.55*N$5/(N$5+150))*9.81*Parametros!$B$11/100000+5*($F79/200)^1.8*(3.5/Parametros!$B$10)^4.8</f>
        <v>109.584357107063</v>
      </c>
      <c r="O79" s="8" t="n">
        <f aca="false">Parametros!$B$8+(Parametros!$B$12*(1-Parametros!$B$7)+Parametros!$B$13*Parametros!$B$7)*(1-0.55*O$5/(O$5+150))*9.81*Parametros!$B$11/100000+5*($F79/200)^1.8*(3.5/Parametros!$B$10)^4.8</f>
        <v>107.229957107063</v>
      </c>
    </row>
    <row r="80" customFormat="false" ht="15" hidden="false" customHeight="false" outlineLevel="0" collapsed="false">
      <c r="F80" s="8" t="n">
        <f aca="false">Curvas!A79</f>
        <v>154.166666666667</v>
      </c>
      <c r="G80" s="8" t="n">
        <f aca="false">Parametros!$B$8+(Parametros!$B$12*(1-Parametros!$B$7)+Parametros!$B$13*Parametros!$B$7)*(1-0.55*G$5/(G$5+150))*9.81*Parametros!$B$11/100000+5*($F80/200)^1.8*(3.5/Parametros!$B$10)^4.8</f>
        <v>170.089672403198</v>
      </c>
      <c r="H80" s="8" t="n">
        <f aca="false">Parametros!$B$8+(Parametros!$B$12*(1-Parametros!$B$7)+Parametros!$B$13*Parametros!$B$7)*(1-0.55*H$5/(H$5+150))*9.81*Parametros!$B$11/100000+5*($F80/200)^1.8*(3.5/Parametros!$B$10)^4.8</f>
        <v>148.507672403198</v>
      </c>
      <c r="I80" s="8" t="n">
        <f aca="false">Parametros!$B$8+(Parametros!$B$12*(1-Parametros!$B$7)+Parametros!$B$13*Parametros!$B$7)*(1-0.55*I$5/(I$5+150))*9.81*Parametros!$B$11/100000+5*($F80/200)^1.8*(3.5/Parametros!$B$10)^4.8</f>
        <v>135.558472403198</v>
      </c>
      <c r="J80" s="8" t="n">
        <f aca="false">Parametros!$B$8+(Parametros!$B$12*(1-Parametros!$B$7)+Parametros!$B$13*Parametros!$B$7)*(1-0.55*J$5/(J$5+150))*9.81*Parametros!$B$11/100000+5*($F80/200)^1.8*(3.5/Parametros!$B$10)^4.8</f>
        <v>126.925672403198</v>
      </c>
      <c r="K80" s="8" t="n">
        <f aca="false">Parametros!$B$8+(Parametros!$B$12*(1-Parametros!$B$7)+Parametros!$B$13*Parametros!$B$7)*(1-0.55*K$5/(K$5+150))*9.81*Parametros!$B$11/100000+5*($F80/200)^1.8*(3.5/Parametros!$B$10)^4.8</f>
        <v>120.759386688912</v>
      </c>
      <c r="L80" s="8" t="n">
        <f aca="false">Parametros!$B$8+(Parametros!$B$12*(1-Parametros!$B$7)+Parametros!$B$13*Parametros!$B$7)*(1-0.55*L$5/(L$5+150))*9.81*Parametros!$B$11/100000+5*($F80/200)^1.8*(3.5/Parametros!$B$10)^4.8</f>
        <v>116.134672403198</v>
      </c>
      <c r="M80" s="8" t="n">
        <f aca="false">Parametros!$B$8+(Parametros!$B$12*(1-Parametros!$B$7)+Parametros!$B$13*Parametros!$B$7)*(1-0.55*M$5/(M$5+150))*9.81*Parametros!$B$11/100000+5*($F80/200)^1.8*(3.5/Parametros!$B$10)^4.8</f>
        <v>112.537672403198</v>
      </c>
      <c r="N80" s="8" t="n">
        <f aca="false">Parametros!$B$8+(Parametros!$B$12*(1-Parametros!$B$7)+Parametros!$B$13*Parametros!$B$7)*(1-0.55*N$5/(N$5+150))*9.81*Parametros!$B$11/100000+5*($F80/200)^1.8*(3.5/Parametros!$B$10)^4.8</f>
        <v>109.660072403198</v>
      </c>
      <c r="O80" s="8" t="n">
        <f aca="false">Parametros!$B$8+(Parametros!$B$12*(1-Parametros!$B$7)+Parametros!$B$13*Parametros!$B$7)*(1-0.55*O$5/(O$5+150))*9.81*Parametros!$B$11/100000+5*($F80/200)^1.8*(3.5/Parametros!$B$10)^4.8</f>
        <v>107.305672403198</v>
      </c>
    </row>
    <row r="81" customFormat="false" ht="15" hidden="false" customHeight="false" outlineLevel="0" collapsed="false">
      <c r="F81" s="8" t="n">
        <f aca="false">Curvas!A80</f>
        <v>156.25</v>
      </c>
      <c r="G81" s="8" t="n">
        <f aca="false">Parametros!$B$8+(Parametros!$B$12*(1-Parametros!$B$7)+Parametros!$B$13*Parametros!$B$7)*(1-0.55*G$5/(G$5+150))*9.81*Parametros!$B$11/100000+5*($F81/200)^1.8*(3.5/Parametros!$B$10)^4.8</f>
        <v>170.166210698735</v>
      </c>
      <c r="H81" s="8" t="n">
        <f aca="false">Parametros!$B$8+(Parametros!$B$12*(1-Parametros!$B$7)+Parametros!$B$13*Parametros!$B$7)*(1-0.55*H$5/(H$5+150))*9.81*Parametros!$B$11/100000+5*($F81/200)^1.8*(3.5/Parametros!$B$10)^4.8</f>
        <v>148.584210698735</v>
      </c>
      <c r="I81" s="8" t="n">
        <f aca="false">Parametros!$B$8+(Parametros!$B$12*(1-Parametros!$B$7)+Parametros!$B$13*Parametros!$B$7)*(1-0.55*I$5/(I$5+150))*9.81*Parametros!$B$11/100000+5*($F81/200)^1.8*(3.5/Parametros!$B$10)^4.8</f>
        <v>135.635010698735</v>
      </c>
      <c r="J81" s="8" t="n">
        <f aca="false">Parametros!$B$8+(Parametros!$B$12*(1-Parametros!$B$7)+Parametros!$B$13*Parametros!$B$7)*(1-0.55*J$5/(J$5+150))*9.81*Parametros!$B$11/100000+5*($F81/200)^1.8*(3.5/Parametros!$B$10)^4.8</f>
        <v>127.002210698735</v>
      </c>
      <c r="K81" s="8" t="n">
        <f aca="false">Parametros!$B$8+(Parametros!$B$12*(1-Parametros!$B$7)+Parametros!$B$13*Parametros!$B$7)*(1-0.55*K$5/(K$5+150))*9.81*Parametros!$B$11/100000+5*($F81/200)^1.8*(3.5/Parametros!$B$10)^4.8</f>
        <v>120.835924984449</v>
      </c>
      <c r="L81" s="8" t="n">
        <f aca="false">Parametros!$B$8+(Parametros!$B$12*(1-Parametros!$B$7)+Parametros!$B$13*Parametros!$B$7)*(1-0.55*L$5/(L$5+150))*9.81*Parametros!$B$11/100000+5*($F81/200)^1.8*(3.5/Parametros!$B$10)^4.8</f>
        <v>116.211210698735</v>
      </c>
      <c r="M81" s="8" t="n">
        <f aca="false">Parametros!$B$8+(Parametros!$B$12*(1-Parametros!$B$7)+Parametros!$B$13*Parametros!$B$7)*(1-0.55*M$5/(M$5+150))*9.81*Parametros!$B$11/100000+5*($F81/200)^1.8*(3.5/Parametros!$B$10)^4.8</f>
        <v>112.614210698735</v>
      </c>
      <c r="N81" s="8" t="n">
        <f aca="false">Parametros!$B$8+(Parametros!$B$12*(1-Parametros!$B$7)+Parametros!$B$13*Parametros!$B$7)*(1-0.55*N$5/(N$5+150))*9.81*Parametros!$B$11/100000+5*($F81/200)^1.8*(3.5/Parametros!$B$10)^4.8</f>
        <v>109.736610698735</v>
      </c>
      <c r="O81" s="8" t="n">
        <f aca="false">Parametros!$B$8+(Parametros!$B$12*(1-Parametros!$B$7)+Parametros!$B$13*Parametros!$B$7)*(1-0.55*O$5/(O$5+150))*9.81*Parametros!$B$11/100000+5*($F81/200)^1.8*(3.5/Parametros!$B$10)^4.8</f>
        <v>107.382210698735</v>
      </c>
    </row>
    <row r="82" customFormat="false" ht="15" hidden="false" customHeight="false" outlineLevel="0" collapsed="false">
      <c r="F82" s="8" t="n">
        <f aca="false">Curvas!A81</f>
        <v>158.333333333333</v>
      </c>
      <c r="G82" s="8" t="n">
        <f aca="false">Parametros!$B$8+(Parametros!$B$12*(1-Parametros!$B$7)+Parametros!$B$13*Parametros!$B$7)*(1-0.55*G$5/(G$5+150))*9.81*Parametros!$B$11/100000+5*($F82/200)^1.8*(3.5/Parametros!$B$10)^4.8</f>
        <v>170.243569787129</v>
      </c>
      <c r="H82" s="8" t="n">
        <f aca="false">Parametros!$B$8+(Parametros!$B$12*(1-Parametros!$B$7)+Parametros!$B$13*Parametros!$B$7)*(1-0.55*H$5/(H$5+150))*9.81*Parametros!$B$11/100000+5*($F82/200)^1.8*(3.5/Parametros!$B$10)^4.8</f>
        <v>148.661569787129</v>
      </c>
      <c r="I82" s="8" t="n">
        <f aca="false">Parametros!$B$8+(Parametros!$B$12*(1-Parametros!$B$7)+Parametros!$B$13*Parametros!$B$7)*(1-0.55*I$5/(I$5+150))*9.81*Parametros!$B$11/100000+5*($F82/200)^1.8*(3.5/Parametros!$B$10)^4.8</f>
        <v>135.712369787129</v>
      </c>
      <c r="J82" s="8" t="n">
        <f aca="false">Parametros!$B$8+(Parametros!$B$12*(1-Parametros!$B$7)+Parametros!$B$13*Parametros!$B$7)*(1-0.55*J$5/(J$5+150))*9.81*Parametros!$B$11/100000+5*($F82/200)^1.8*(3.5/Parametros!$B$10)^4.8</f>
        <v>127.079569787129</v>
      </c>
      <c r="K82" s="8" t="n">
        <f aca="false">Parametros!$B$8+(Parametros!$B$12*(1-Parametros!$B$7)+Parametros!$B$13*Parametros!$B$7)*(1-0.55*K$5/(K$5+150))*9.81*Parametros!$B$11/100000+5*($F82/200)^1.8*(3.5/Parametros!$B$10)^4.8</f>
        <v>120.913284072844</v>
      </c>
      <c r="L82" s="8" t="n">
        <f aca="false">Parametros!$B$8+(Parametros!$B$12*(1-Parametros!$B$7)+Parametros!$B$13*Parametros!$B$7)*(1-0.55*L$5/(L$5+150))*9.81*Parametros!$B$11/100000+5*($F82/200)^1.8*(3.5/Parametros!$B$10)^4.8</f>
        <v>116.288569787129</v>
      </c>
      <c r="M82" s="8" t="n">
        <f aca="false">Parametros!$B$8+(Parametros!$B$12*(1-Parametros!$B$7)+Parametros!$B$13*Parametros!$B$7)*(1-0.55*M$5/(M$5+150))*9.81*Parametros!$B$11/100000+5*($F82/200)^1.8*(3.5/Parametros!$B$10)^4.8</f>
        <v>112.691569787129</v>
      </c>
      <c r="N82" s="8" t="n">
        <f aca="false">Parametros!$B$8+(Parametros!$B$12*(1-Parametros!$B$7)+Parametros!$B$13*Parametros!$B$7)*(1-0.55*N$5/(N$5+150))*9.81*Parametros!$B$11/100000+5*($F82/200)^1.8*(3.5/Parametros!$B$10)^4.8</f>
        <v>109.813969787129</v>
      </c>
      <c r="O82" s="8" t="n">
        <f aca="false">Parametros!$B$8+(Parametros!$B$12*(1-Parametros!$B$7)+Parametros!$B$13*Parametros!$B$7)*(1-0.55*O$5/(O$5+150))*9.81*Parametros!$B$11/100000+5*($F82/200)^1.8*(3.5/Parametros!$B$10)^4.8</f>
        <v>107.459569787129</v>
      </c>
    </row>
    <row r="83" customFormat="false" ht="15" hidden="false" customHeight="false" outlineLevel="0" collapsed="false">
      <c r="F83" s="8" t="n">
        <f aca="false">Curvas!A82</f>
        <v>160.416666666667</v>
      </c>
      <c r="G83" s="8" t="n">
        <f aca="false">Parametros!$B$8+(Parametros!$B$12*(1-Parametros!$B$7)+Parametros!$B$13*Parametros!$B$7)*(1-0.55*G$5/(G$5+150))*9.81*Parametros!$B$11/100000+5*($F83/200)^1.8*(3.5/Parametros!$B$10)^4.8</f>
        <v>170.321747496865</v>
      </c>
      <c r="H83" s="8" t="n">
        <f aca="false">Parametros!$B$8+(Parametros!$B$12*(1-Parametros!$B$7)+Parametros!$B$13*Parametros!$B$7)*(1-0.55*H$5/(H$5+150))*9.81*Parametros!$B$11/100000+5*($F83/200)^1.8*(3.5/Parametros!$B$10)^4.8</f>
        <v>148.739747496865</v>
      </c>
      <c r="I83" s="8" t="n">
        <f aca="false">Parametros!$B$8+(Parametros!$B$12*(1-Parametros!$B$7)+Parametros!$B$13*Parametros!$B$7)*(1-0.55*I$5/(I$5+150))*9.81*Parametros!$B$11/100000+5*($F83/200)^1.8*(3.5/Parametros!$B$10)^4.8</f>
        <v>135.790547496865</v>
      </c>
      <c r="J83" s="8" t="n">
        <f aca="false">Parametros!$B$8+(Parametros!$B$12*(1-Parametros!$B$7)+Parametros!$B$13*Parametros!$B$7)*(1-0.55*J$5/(J$5+150))*9.81*Parametros!$B$11/100000+5*($F83/200)^1.8*(3.5/Parametros!$B$10)^4.8</f>
        <v>127.157747496865</v>
      </c>
      <c r="K83" s="8" t="n">
        <f aca="false">Parametros!$B$8+(Parametros!$B$12*(1-Parametros!$B$7)+Parametros!$B$13*Parametros!$B$7)*(1-0.55*K$5/(K$5+150))*9.81*Parametros!$B$11/100000+5*($F83/200)^1.8*(3.5/Parametros!$B$10)^4.8</f>
        <v>120.991461782579</v>
      </c>
      <c r="L83" s="8" t="n">
        <f aca="false">Parametros!$B$8+(Parametros!$B$12*(1-Parametros!$B$7)+Parametros!$B$13*Parametros!$B$7)*(1-0.55*L$5/(L$5+150))*9.81*Parametros!$B$11/100000+5*($F83/200)^1.8*(3.5/Parametros!$B$10)^4.8</f>
        <v>116.366747496865</v>
      </c>
      <c r="M83" s="8" t="n">
        <f aca="false">Parametros!$B$8+(Parametros!$B$12*(1-Parametros!$B$7)+Parametros!$B$13*Parametros!$B$7)*(1-0.55*M$5/(M$5+150))*9.81*Parametros!$B$11/100000+5*($F83/200)^1.8*(3.5/Parametros!$B$10)^4.8</f>
        <v>112.769747496865</v>
      </c>
      <c r="N83" s="8" t="n">
        <f aca="false">Parametros!$B$8+(Parametros!$B$12*(1-Parametros!$B$7)+Parametros!$B$13*Parametros!$B$7)*(1-0.55*N$5/(N$5+150))*9.81*Parametros!$B$11/100000+5*($F83/200)^1.8*(3.5/Parametros!$B$10)^4.8</f>
        <v>109.892147496865</v>
      </c>
      <c r="O83" s="8" t="n">
        <f aca="false">Parametros!$B$8+(Parametros!$B$12*(1-Parametros!$B$7)+Parametros!$B$13*Parametros!$B$7)*(1-0.55*O$5/(O$5+150))*9.81*Parametros!$B$11/100000+5*($F83/200)^1.8*(3.5/Parametros!$B$10)^4.8</f>
        <v>107.537747496865</v>
      </c>
    </row>
    <row r="84" customFormat="false" ht="15" hidden="false" customHeight="false" outlineLevel="0" collapsed="false">
      <c r="F84" s="8" t="n">
        <f aca="false">Curvas!A83</f>
        <v>162.5</v>
      </c>
      <c r="G84" s="8" t="n">
        <f aca="false">Parametros!$B$8+(Parametros!$B$12*(1-Parametros!$B$7)+Parametros!$B$13*Parametros!$B$7)*(1-0.55*G$5/(G$5+150))*9.81*Parametros!$B$11/100000+5*($F84/200)^1.8*(3.5/Parametros!$B$10)^4.8</f>
        <v>170.400741690447</v>
      </c>
      <c r="H84" s="8" t="n">
        <f aca="false">Parametros!$B$8+(Parametros!$B$12*(1-Parametros!$B$7)+Parametros!$B$13*Parametros!$B$7)*(1-0.55*H$5/(H$5+150))*9.81*Parametros!$B$11/100000+5*($F84/200)^1.8*(3.5/Parametros!$B$10)^4.8</f>
        <v>148.818741690447</v>
      </c>
      <c r="I84" s="8" t="n">
        <f aca="false">Parametros!$B$8+(Parametros!$B$12*(1-Parametros!$B$7)+Parametros!$B$13*Parametros!$B$7)*(1-0.55*I$5/(I$5+150))*9.81*Parametros!$B$11/100000+5*($F84/200)^1.8*(3.5/Parametros!$B$10)^4.8</f>
        <v>135.869541690447</v>
      </c>
      <c r="J84" s="8" t="n">
        <f aca="false">Parametros!$B$8+(Parametros!$B$12*(1-Parametros!$B$7)+Parametros!$B$13*Parametros!$B$7)*(1-0.55*J$5/(J$5+150))*9.81*Parametros!$B$11/100000+5*($F84/200)^1.8*(3.5/Parametros!$B$10)^4.8</f>
        <v>127.236741690447</v>
      </c>
      <c r="K84" s="8" t="n">
        <f aca="false">Parametros!$B$8+(Parametros!$B$12*(1-Parametros!$B$7)+Parametros!$B$13*Parametros!$B$7)*(1-0.55*K$5/(K$5+150))*9.81*Parametros!$B$11/100000+5*($F84/200)^1.8*(3.5/Parametros!$B$10)^4.8</f>
        <v>121.070455976161</v>
      </c>
      <c r="L84" s="8" t="n">
        <f aca="false">Parametros!$B$8+(Parametros!$B$12*(1-Parametros!$B$7)+Parametros!$B$13*Parametros!$B$7)*(1-0.55*L$5/(L$5+150))*9.81*Parametros!$B$11/100000+5*($F84/200)^1.8*(3.5/Parametros!$B$10)^4.8</f>
        <v>116.445741690447</v>
      </c>
      <c r="M84" s="8" t="n">
        <f aca="false">Parametros!$B$8+(Parametros!$B$12*(1-Parametros!$B$7)+Parametros!$B$13*Parametros!$B$7)*(1-0.55*M$5/(M$5+150))*9.81*Parametros!$B$11/100000+5*($F84/200)^1.8*(3.5/Parametros!$B$10)^4.8</f>
        <v>112.848741690447</v>
      </c>
      <c r="N84" s="8" t="n">
        <f aca="false">Parametros!$B$8+(Parametros!$B$12*(1-Parametros!$B$7)+Parametros!$B$13*Parametros!$B$7)*(1-0.55*N$5/(N$5+150))*9.81*Parametros!$B$11/100000+5*($F84/200)^1.8*(3.5/Parametros!$B$10)^4.8</f>
        <v>109.971141690447</v>
      </c>
      <c r="O84" s="8" t="n">
        <f aca="false">Parametros!$B$8+(Parametros!$B$12*(1-Parametros!$B$7)+Parametros!$B$13*Parametros!$B$7)*(1-0.55*O$5/(O$5+150))*9.81*Parametros!$B$11/100000+5*($F84/200)^1.8*(3.5/Parametros!$B$10)^4.8</f>
        <v>107.616741690447</v>
      </c>
    </row>
    <row r="85" customFormat="false" ht="15" hidden="false" customHeight="false" outlineLevel="0" collapsed="false">
      <c r="F85" s="8" t="n">
        <f aca="false">Curvas!A84</f>
        <v>164.583333333333</v>
      </c>
      <c r="G85" s="8" t="n">
        <f aca="false">Parametros!$B$8+(Parametros!$B$12*(1-Parametros!$B$7)+Parametros!$B$13*Parametros!$B$7)*(1-0.55*G$5/(G$5+150))*9.81*Parametros!$B$11/100000+5*($F85/200)^1.8*(3.5/Parametros!$B$10)^4.8</f>
        <v>170.480550263437</v>
      </c>
      <c r="H85" s="8" t="n">
        <f aca="false">Parametros!$B$8+(Parametros!$B$12*(1-Parametros!$B$7)+Parametros!$B$13*Parametros!$B$7)*(1-0.55*H$5/(H$5+150))*9.81*Parametros!$B$11/100000+5*($F85/200)^1.8*(3.5/Parametros!$B$10)^4.8</f>
        <v>148.898550263437</v>
      </c>
      <c r="I85" s="8" t="n">
        <f aca="false">Parametros!$B$8+(Parametros!$B$12*(1-Parametros!$B$7)+Parametros!$B$13*Parametros!$B$7)*(1-0.55*I$5/(I$5+150))*9.81*Parametros!$B$11/100000+5*($F85/200)^1.8*(3.5/Parametros!$B$10)^4.8</f>
        <v>135.949350263437</v>
      </c>
      <c r="J85" s="8" t="n">
        <f aca="false">Parametros!$B$8+(Parametros!$B$12*(1-Parametros!$B$7)+Parametros!$B$13*Parametros!$B$7)*(1-0.55*J$5/(J$5+150))*9.81*Parametros!$B$11/100000+5*($F85/200)^1.8*(3.5/Parametros!$B$10)^4.8</f>
        <v>127.316550263437</v>
      </c>
      <c r="K85" s="8" t="n">
        <f aca="false">Parametros!$B$8+(Parametros!$B$12*(1-Parametros!$B$7)+Parametros!$B$13*Parametros!$B$7)*(1-0.55*K$5/(K$5+150))*9.81*Parametros!$B$11/100000+5*($F85/200)^1.8*(3.5/Parametros!$B$10)^4.8</f>
        <v>121.150264549151</v>
      </c>
      <c r="L85" s="8" t="n">
        <f aca="false">Parametros!$B$8+(Parametros!$B$12*(1-Parametros!$B$7)+Parametros!$B$13*Parametros!$B$7)*(1-0.55*L$5/(L$5+150))*9.81*Parametros!$B$11/100000+5*($F85/200)^1.8*(3.5/Parametros!$B$10)^4.8</f>
        <v>116.525550263437</v>
      </c>
      <c r="M85" s="8" t="n">
        <f aca="false">Parametros!$B$8+(Parametros!$B$12*(1-Parametros!$B$7)+Parametros!$B$13*Parametros!$B$7)*(1-0.55*M$5/(M$5+150))*9.81*Parametros!$B$11/100000+5*($F85/200)^1.8*(3.5/Parametros!$B$10)^4.8</f>
        <v>112.928550263437</v>
      </c>
      <c r="N85" s="8" t="n">
        <f aca="false">Parametros!$B$8+(Parametros!$B$12*(1-Parametros!$B$7)+Parametros!$B$13*Parametros!$B$7)*(1-0.55*N$5/(N$5+150))*9.81*Parametros!$B$11/100000+5*($F85/200)^1.8*(3.5/Parametros!$B$10)^4.8</f>
        <v>110.050950263437</v>
      </c>
      <c r="O85" s="8" t="n">
        <f aca="false">Parametros!$B$8+(Parametros!$B$12*(1-Parametros!$B$7)+Parametros!$B$13*Parametros!$B$7)*(1-0.55*O$5/(O$5+150))*9.81*Parametros!$B$11/100000+5*($F85/200)^1.8*(3.5/Parametros!$B$10)^4.8</f>
        <v>107.696550263437</v>
      </c>
    </row>
    <row r="86" customFormat="false" ht="15" hidden="false" customHeight="false" outlineLevel="0" collapsed="false">
      <c r="F86" s="8" t="n">
        <f aca="false">Curvas!A85</f>
        <v>166.666666666667</v>
      </c>
      <c r="G86" s="8" t="n">
        <f aca="false">Parametros!$B$8+(Parametros!$B$12*(1-Parametros!$B$7)+Parametros!$B$13*Parametros!$B$7)*(1-0.55*G$5/(G$5+150))*9.81*Parametros!$B$11/100000+5*($F86/200)^1.8*(3.5/Parametros!$B$10)^4.8</f>
        <v>170.56117114353</v>
      </c>
      <c r="H86" s="8" t="n">
        <f aca="false">Parametros!$B$8+(Parametros!$B$12*(1-Parametros!$B$7)+Parametros!$B$13*Parametros!$B$7)*(1-0.55*H$5/(H$5+150))*9.81*Parametros!$B$11/100000+5*($F86/200)^1.8*(3.5/Parametros!$B$10)^4.8</f>
        <v>148.97917114353</v>
      </c>
      <c r="I86" s="8" t="n">
        <f aca="false">Parametros!$B$8+(Parametros!$B$12*(1-Parametros!$B$7)+Parametros!$B$13*Parametros!$B$7)*(1-0.55*I$5/(I$5+150))*9.81*Parametros!$B$11/100000+5*($F86/200)^1.8*(3.5/Parametros!$B$10)^4.8</f>
        <v>136.02997114353</v>
      </c>
      <c r="J86" s="8" t="n">
        <f aca="false">Parametros!$B$8+(Parametros!$B$12*(1-Parametros!$B$7)+Parametros!$B$13*Parametros!$B$7)*(1-0.55*J$5/(J$5+150))*9.81*Parametros!$B$11/100000+5*($F86/200)^1.8*(3.5/Parametros!$B$10)^4.8</f>
        <v>127.39717114353</v>
      </c>
      <c r="K86" s="8" t="n">
        <f aca="false">Parametros!$B$8+(Parametros!$B$12*(1-Parametros!$B$7)+Parametros!$B$13*Parametros!$B$7)*(1-0.55*K$5/(K$5+150))*9.81*Parametros!$B$11/100000+5*($F86/200)^1.8*(3.5/Parametros!$B$10)^4.8</f>
        <v>121.230885429244</v>
      </c>
      <c r="L86" s="8" t="n">
        <f aca="false">Parametros!$B$8+(Parametros!$B$12*(1-Parametros!$B$7)+Parametros!$B$13*Parametros!$B$7)*(1-0.55*L$5/(L$5+150))*9.81*Parametros!$B$11/100000+5*($F86/200)^1.8*(3.5/Parametros!$B$10)^4.8</f>
        <v>116.60617114353</v>
      </c>
      <c r="M86" s="8" t="n">
        <f aca="false">Parametros!$B$8+(Parametros!$B$12*(1-Parametros!$B$7)+Parametros!$B$13*Parametros!$B$7)*(1-0.55*M$5/(M$5+150))*9.81*Parametros!$B$11/100000+5*($F86/200)^1.8*(3.5/Parametros!$B$10)^4.8</f>
        <v>113.00917114353</v>
      </c>
      <c r="N86" s="8" t="n">
        <f aca="false">Parametros!$B$8+(Parametros!$B$12*(1-Parametros!$B$7)+Parametros!$B$13*Parametros!$B$7)*(1-0.55*N$5/(N$5+150))*9.81*Parametros!$B$11/100000+5*($F86/200)^1.8*(3.5/Parametros!$B$10)^4.8</f>
        <v>110.13157114353</v>
      </c>
      <c r="O86" s="8" t="n">
        <f aca="false">Parametros!$B$8+(Parametros!$B$12*(1-Parametros!$B$7)+Parametros!$B$13*Parametros!$B$7)*(1-0.55*O$5/(O$5+150))*9.81*Parametros!$B$11/100000+5*($F86/200)^1.8*(3.5/Parametros!$B$10)^4.8</f>
        <v>107.77717114353</v>
      </c>
    </row>
    <row r="87" customFormat="false" ht="15" hidden="false" customHeight="false" outlineLevel="0" collapsed="false">
      <c r="F87" s="8" t="n">
        <f aca="false">Curvas!A86</f>
        <v>168.75</v>
      </c>
      <c r="G87" s="8" t="n">
        <f aca="false">Parametros!$B$8+(Parametros!$B$12*(1-Parametros!$B$7)+Parametros!$B$13*Parametros!$B$7)*(1-0.55*G$5/(G$5+150))*9.81*Parametros!$B$11/100000+5*($F87/200)^1.8*(3.5/Parametros!$B$10)^4.8</f>
        <v>170.642602289662</v>
      </c>
      <c r="H87" s="8" t="n">
        <f aca="false">Parametros!$B$8+(Parametros!$B$12*(1-Parametros!$B$7)+Parametros!$B$13*Parametros!$B$7)*(1-0.55*H$5/(H$5+150))*9.81*Parametros!$B$11/100000+5*($F87/200)^1.8*(3.5/Parametros!$B$10)^4.8</f>
        <v>149.060602289662</v>
      </c>
      <c r="I87" s="8" t="n">
        <f aca="false">Parametros!$B$8+(Parametros!$B$12*(1-Parametros!$B$7)+Parametros!$B$13*Parametros!$B$7)*(1-0.55*I$5/(I$5+150))*9.81*Parametros!$B$11/100000+5*($F87/200)^1.8*(3.5/Parametros!$B$10)^4.8</f>
        <v>136.111402289662</v>
      </c>
      <c r="J87" s="8" t="n">
        <f aca="false">Parametros!$B$8+(Parametros!$B$12*(1-Parametros!$B$7)+Parametros!$B$13*Parametros!$B$7)*(1-0.55*J$5/(J$5+150))*9.81*Parametros!$B$11/100000+5*($F87/200)^1.8*(3.5/Parametros!$B$10)^4.8</f>
        <v>127.478602289662</v>
      </c>
      <c r="K87" s="8" t="n">
        <f aca="false">Parametros!$B$8+(Parametros!$B$12*(1-Parametros!$B$7)+Parametros!$B$13*Parametros!$B$7)*(1-0.55*K$5/(K$5+150))*9.81*Parametros!$B$11/100000+5*($F87/200)^1.8*(3.5/Parametros!$B$10)^4.8</f>
        <v>121.312316575377</v>
      </c>
      <c r="L87" s="8" t="n">
        <f aca="false">Parametros!$B$8+(Parametros!$B$12*(1-Parametros!$B$7)+Parametros!$B$13*Parametros!$B$7)*(1-0.55*L$5/(L$5+150))*9.81*Parametros!$B$11/100000+5*($F87/200)^1.8*(3.5/Parametros!$B$10)^4.8</f>
        <v>116.687602289662</v>
      </c>
      <c r="M87" s="8" t="n">
        <f aca="false">Parametros!$B$8+(Parametros!$B$12*(1-Parametros!$B$7)+Parametros!$B$13*Parametros!$B$7)*(1-0.55*M$5/(M$5+150))*9.81*Parametros!$B$11/100000+5*($F87/200)^1.8*(3.5/Parametros!$B$10)^4.8</f>
        <v>113.090602289662</v>
      </c>
      <c r="N87" s="8" t="n">
        <f aca="false">Parametros!$B$8+(Parametros!$B$12*(1-Parametros!$B$7)+Parametros!$B$13*Parametros!$B$7)*(1-0.55*N$5/(N$5+150))*9.81*Parametros!$B$11/100000+5*($F87/200)^1.8*(3.5/Parametros!$B$10)^4.8</f>
        <v>110.213002289662</v>
      </c>
      <c r="O87" s="8" t="n">
        <f aca="false">Parametros!$B$8+(Parametros!$B$12*(1-Parametros!$B$7)+Parametros!$B$13*Parametros!$B$7)*(1-0.55*O$5/(O$5+150))*9.81*Parametros!$B$11/100000+5*($F87/200)^1.8*(3.5/Parametros!$B$10)^4.8</f>
        <v>107.858602289662</v>
      </c>
    </row>
    <row r="88" customFormat="false" ht="15" hidden="false" customHeight="false" outlineLevel="0" collapsed="false">
      <c r="F88" s="8" t="n">
        <f aca="false">Curvas!A87</f>
        <v>170.833333333333</v>
      </c>
      <c r="G88" s="8" t="n">
        <f aca="false">Parametros!$B$8+(Parametros!$B$12*(1-Parametros!$B$7)+Parametros!$B$13*Parametros!$B$7)*(1-0.55*G$5/(G$5+150))*9.81*Parametros!$B$11/100000+5*($F88/200)^1.8*(3.5/Parametros!$B$10)^4.8</f>
        <v>170.724841691162</v>
      </c>
      <c r="H88" s="8" t="n">
        <f aca="false">Parametros!$B$8+(Parametros!$B$12*(1-Parametros!$B$7)+Parametros!$B$13*Parametros!$B$7)*(1-0.55*H$5/(H$5+150))*9.81*Parametros!$B$11/100000+5*($F88/200)^1.8*(3.5/Parametros!$B$10)^4.8</f>
        <v>149.142841691162</v>
      </c>
      <c r="I88" s="8" t="n">
        <f aca="false">Parametros!$B$8+(Parametros!$B$12*(1-Parametros!$B$7)+Parametros!$B$13*Parametros!$B$7)*(1-0.55*I$5/(I$5+150))*9.81*Parametros!$B$11/100000+5*($F88/200)^1.8*(3.5/Parametros!$B$10)^4.8</f>
        <v>136.193641691162</v>
      </c>
      <c r="J88" s="8" t="n">
        <f aca="false">Parametros!$B$8+(Parametros!$B$12*(1-Parametros!$B$7)+Parametros!$B$13*Parametros!$B$7)*(1-0.55*J$5/(J$5+150))*9.81*Parametros!$B$11/100000+5*($F88/200)^1.8*(3.5/Parametros!$B$10)^4.8</f>
        <v>127.560841691162</v>
      </c>
      <c r="K88" s="8" t="n">
        <f aca="false">Parametros!$B$8+(Parametros!$B$12*(1-Parametros!$B$7)+Parametros!$B$13*Parametros!$B$7)*(1-0.55*K$5/(K$5+150))*9.81*Parametros!$B$11/100000+5*($F88/200)^1.8*(3.5/Parametros!$B$10)^4.8</f>
        <v>121.394555976876</v>
      </c>
      <c r="L88" s="8" t="n">
        <f aca="false">Parametros!$B$8+(Parametros!$B$12*(1-Parametros!$B$7)+Parametros!$B$13*Parametros!$B$7)*(1-0.55*L$5/(L$5+150))*9.81*Parametros!$B$11/100000+5*($F88/200)^1.8*(3.5/Parametros!$B$10)^4.8</f>
        <v>116.769841691162</v>
      </c>
      <c r="M88" s="8" t="n">
        <f aca="false">Parametros!$B$8+(Parametros!$B$12*(1-Parametros!$B$7)+Parametros!$B$13*Parametros!$B$7)*(1-0.55*M$5/(M$5+150))*9.81*Parametros!$B$11/100000+5*($F88/200)^1.8*(3.5/Parametros!$B$10)^4.8</f>
        <v>113.172841691162</v>
      </c>
      <c r="N88" s="8" t="n">
        <f aca="false">Parametros!$B$8+(Parametros!$B$12*(1-Parametros!$B$7)+Parametros!$B$13*Parametros!$B$7)*(1-0.55*N$5/(N$5+150))*9.81*Parametros!$B$11/100000+5*($F88/200)^1.8*(3.5/Parametros!$B$10)^4.8</f>
        <v>110.295241691162</v>
      </c>
      <c r="O88" s="8" t="n">
        <f aca="false">Parametros!$B$8+(Parametros!$B$12*(1-Parametros!$B$7)+Parametros!$B$13*Parametros!$B$7)*(1-0.55*O$5/(O$5+150))*9.81*Parametros!$B$11/100000+5*($F88/200)^1.8*(3.5/Parametros!$B$10)^4.8</f>
        <v>107.940841691162</v>
      </c>
    </row>
    <row r="89" customFormat="false" ht="15" hidden="false" customHeight="false" outlineLevel="0" collapsed="false">
      <c r="F89" s="8" t="n">
        <f aca="false">Curvas!A88</f>
        <v>172.916666666667</v>
      </c>
      <c r="G89" s="8" t="n">
        <f aca="false">Parametros!$B$8+(Parametros!$B$12*(1-Parametros!$B$7)+Parametros!$B$13*Parametros!$B$7)*(1-0.55*G$5/(G$5+150))*9.81*Parametros!$B$11/100000+5*($F89/200)^1.8*(3.5/Parametros!$B$10)^4.8</f>
        <v>170.807887366927</v>
      </c>
      <c r="H89" s="8" t="n">
        <f aca="false">Parametros!$B$8+(Parametros!$B$12*(1-Parametros!$B$7)+Parametros!$B$13*Parametros!$B$7)*(1-0.55*H$5/(H$5+150))*9.81*Parametros!$B$11/100000+5*($F89/200)^1.8*(3.5/Parametros!$B$10)^4.8</f>
        <v>149.225887366927</v>
      </c>
      <c r="I89" s="8" t="n">
        <f aca="false">Parametros!$B$8+(Parametros!$B$12*(1-Parametros!$B$7)+Parametros!$B$13*Parametros!$B$7)*(1-0.55*I$5/(I$5+150))*9.81*Parametros!$B$11/100000+5*($F89/200)^1.8*(3.5/Parametros!$B$10)^4.8</f>
        <v>136.276687366927</v>
      </c>
      <c r="J89" s="8" t="n">
        <f aca="false">Parametros!$B$8+(Parametros!$B$12*(1-Parametros!$B$7)+Parametros!$B$13*Parametros!$B$7)*(1-0.55*J$5/(J$5+150))*9.81*Parametros!$B$11/100000+5*($F89/200)^1.8*(3.5/Parametros!$B$10)^4.8</f>
        <v>127.643887366927</v>
      </c>
      <c r="K89" s="8" t="n">
        <f aca="false">Parametros!$B$8+(Parametros!$B$12*(1-Parametros!$B$7)+Parametros!$B$13*Parametros!$B$7)*(1-0.55*K$5/(K$5+150))*9.81*Parametros!$B$11/100000+5*($F89/200)^1.8*(3.5/Parametros!$B$10)^4.8</f>
        <v>121.477601652641</v>
      </c>
      <c r="L89" s="8" t="n">
        <f aca="false">Parametros!$B$8+(Parametros!$B$12*(1-Parametros!$B$7)+Parametros!$B$13*Parametros!$B$7)*(1-0.55*L$5/(L$5+150))*9.81*Parametros!$B$11/100000+5*($F89/200)^1.8*(3.5/Parametros!$B$10)^4.8</f>
        <v>116.852887366927</v>
      </c>
      <c r="M89" s="8" t="n">
        <f aca="false">Parametros!$B$8+(Parametros!$B$12*(1-Parametros!$B$7)+Parametros!$B$13*Parametros!$B$7)*(1-0.55*M$5/(M$5+150))*9.81*Parametros!$B$11/100000+5*($F89/200)^1.8*(3.5/Parametros!$B$10)^4.8</f>
        <v>113.255887366927</v>
      </c>
      <c r="N89" s="8" t="n">
        <f aca="false">Parametros!$B$8+(Parametros!$B$12*(1-Parametros!$B$7)+Parametros!$B$13*Parametros!$B$7)*(1-0.55*N$5/(N$5+150))*9.81*Parametros!$B$11/100000+5*($F89/200)^1.8*(3.5/Parametros!$B$10)^4.8</f>
        <v>110.378287366927</v>
      </c>
      <c r="O89" s="8" t="n">
        <f aca="false">Parametros!$B$8+(Parametros!$B$12*(1-Parametros!$B$7)+Parametros!$B$13*Parametros!$B$7)*(1-0.55*O$5/(O$5+150))*9.81*Parametros!$B$11/100000+5*($F89/200)^1.8*(3.5/Parametros!$B$10)^4.8</f>
        <v>108.023887366927</v>
      </c>
    </row>
    <row r="90" customFormat="false" ht="15" hidden="false" customHeight="false" outlineLevel="0" collapsed="false">
      <c r="F90" s="8" t="n">
        <f aca="false">Curvas!A89</f>
        <v>175</v>
      </c>
      <c r="G90" s="8" t="n">
        <f aca="false">Parametros!$B$8+(Parametros!$B$12*(1-Parametros!$B$7)+Parametros!$B$13*Parametros!$B$7)*(1-0.55*G$5/(G$5+150))*9.81*Parametros!$B$11/100000+5*($F90/200)^1.8*(3.5/Parametros!$B$10)^4.8</f>
        <v>170.891737364639</v>
      </c>
      <c r="H90" s="8" t="n">
        <f aca="false">Parametros!$B$8+(Parametros!$B$12*(1-Parametros!$B$7)+Parametros!$B$13*Parametros!$B$7)*(1-0.55*H$5/(H$5+150))*9.81*Parametros!$B$11/100000+5*($F90/200)^1.8*(3.5/Parametros!$B$10)^4.8</f>
        <v>149.309737364639</v>
      </c>
      <c r="I90" s="8" t="n">
        <f aca="false">Parametros!$B$8+(Parametros!$B$12*(1-Parametros!$B$7)+Parametros!$B$13*Parametros!$B$7)*(1-0.55*I$5/(I$5+150))*9.81*Parametros!$B$11/100000+5*($F90/200)^1.8*(3.5/Parametros!$B$10)^4.8</f>
        <v>136.360537364639</v>
      </c>
      <c r="J90" s="8" t="n">
        <f aca="false">Parametros!$B$8+(Parametros!$B$12*(1-Parametros!$B$7)+Parametros!$B$13*Parametros!$B$7)*(1-0.55*J$5/(J$5+150))*9.81*Parametros!$B$11/100000+5*($F90/200)^1.8*(3.5/Parametros!$B$10)^4.8</f>
        <v>127.727737364639</v>
      </c>
      <c r="K90" s="8" t="n">
        <f aca="false">Parametros!$B$8+(Parametros!$B$12*(1-Parametros!$B$7)+Parametros!$B$13*Parametros!$B$7)*(1-0.55*K$5/(K$5+150))*9.81*Parametros!$B$11/100000+5*($F90/200)^1.8*(3.5/Parametros!$B$10)^4.8</f>
        <v>121.561451650353</v>
      </c>
      <c r="L90" s="8" t="n">
        <f aca="false">Parametros!$B$8+(Parametros!$B$12*(1-Parametros!$B$7)+Parametros!$B$13*Parametros!$B$7)*(1-0.55*L$5/(L$5+150))*9.81*Parametros!$B$11/100000+5*($F90/200)^1.8*(3.5/Parametros!$B$10)^4.8</f>
        <v>116.936737364639</v>
      </c>
      <c r="M90" s="8" t="n">
        <f aca="false">Parametros!$B$8+(Parametros!$B$12*(1-Parametros!$B$7)+Parametros!$B$13*Parametros!$B$7)*(1-0.55*M$5/(M$5+150))*9.81*Parametros!$B$11/100000+5*($F90/200)^1.8*(3.5/Parametros!$B$10)^4.8</f>
        <v>113.339737364639</v>
      </c>
      <c r="N90" s="8" t="n">
        <f aca="false">Parametros!$B$8+(Parametros!$B$12*(1-Parametros!$B$7)+Parametros!$B$13*Parametros!$B$7)*(1-0.55*N$5/(N$5+150))*9.81*Parametros!$B$11/100000+5*($F90/200)^1.8*(3.5/Parametros!$B$10)^4.8</f>
        <v>110.462137364639</v>
      </c>
      <c r="O90" s="8" t="n">
        <f aca="false">Parametros!$B$8+(Parametros!$B$12*(1-Parametros!$B$7)+Parametros!$B$13*Parametros!$B$7)*(1-0.55*O$5/(O$5+150))*9.81*Parametros!$B$11/100000+5*($F90/200)^1.8*(3.5/Parametros!$B$10)^4.8</f>
        <v>108.107737364639</v>
      </c>
    </row>
    <row r="91" customFormat="false" ht="15" hidden="false" customHeight="false" outlineLevel="0" collapsed="false">
      <c r="F91" s="8" t="n">
        <f aca="false">Curvas!A90</f>
        <v>177.083333333333</v>
      </c>
      <c r="G91" s="8" t="n">
        <f aca="false">Parametros!$B$8+(Parametros!$B$12*(1-Parametros!$B$7)+Parametros!$B$13*Parametros!$B$7)*(1-0.55*G$5/(G$5+150))*9.81*Parametros!$B$11/100000+5*($F91/200)^1.8*(3.5/Parametros!$B$10)^4.8</f>
        <v>170.976389760006</v>
      </c>
      <c r="H91" s="8" t="n">
        <f aca="false">Parametros!$B$8+(Parametros!$B$12*(1-Parametros!$B$7)+Parametros!$B$13*Parametros!$B$7)*(1-0.55*H$5/(H$5+150))*9.81*Parametros!$B$11/100000+5*($F91/200)^1.8*(3.5/Parametros!$B$10)^4.8</f>
        <v>149.394389760006</v>
      </c>
      <c r="I91" s="8" t="n">
        <f aca="false">Parametros!$B$8+(Parametros!$B$12*(1-Parametros!$B$7)+Parametros!$B$13*Parametros!$B$7)*(1-0.55*I$5/(I$5+150))*9.81*Parametros!$B$11/100000+5*($F91/200)^1.8*(3.5/Parametros!$B$10)^4.8</f>
        <v>136.445189760006</v>
      </c>
      <c r="J91" s="8" t="n">
        <f aca="false">Parametros!$B$8+(Parametros!$B$12*(1-Parametros!$B$7)+Parametros!$B$13*Parametros!$B$7)*(1-0.55*J$5/(J$5+150))*9.81*Parametros!$B$11/100000+5*($F91/200)^1.8*(3.5/Parametros!$B$10)^4.8</f>
        <v>127.812389760006</v>
      </c>
      <c r="K91" s="8" t="n">
        <f aca="false">Parametros!$B$8+(Parametros!$B$12*(1-Parametros!$B$7)+Parametros!$B$13*Parametros!$B$7)*(1-0.55*K$5/(K$5+150))*9.81*Parametros!$B$11/100000+5*($F91/200)^1.8*(3.5/Parametros!$B$10)^4.8</f>
        <v>121.64610404572</v>
      </c>
      <c r="L91" s="8" t="n">
        <f aca="false">Parametros!$B$8+(Parametros!$B$12*(1-Parametros!$B$7)+Parametros!$B$13*Parametros!$B$7)*(1-0.55*L$5/(L$5+150))*9.81*Parametros!$B$11/100000+5*($F91/200)^1.8*(3.5/Parametros!$B$10)^4.8</f>
        <v>117.021389760006</v>
      </c>
      <c r="M91" s="8" t="n">
        <f aca="false">Parametros!$B$8+(Parametros!$B$12*(1-Parametros!$B$7)+Parametros!$B$13*Parametros!$B$7)*(1-0.55*M$5/(M$5+150))*9.81*Parametros!$B$11/100000+5*($F91/200)^1.8*(3.5/Parametros!$B$10)^4.8</f>
        <v>113.424389760006</v>
      </c>
      <c r="N91" s="8" t="n">
        <f aca="false">Parametros!$B$8+(Parametros!$B$12*(1-Parametros!$B$7)+Parametros!$B$13*Parametros!$B$7)*(1-0.55*N$5/(N$5+150))*9.81*Parametros!$B$11/100000+5*($F91/200)^1.8*(3.5/Parametros!$B$10)^4.8</f>
        <v>110.546789760006</v>
      </c>
      <c r="O91" s="8" t="n">
        <f aca="false">Parametros!$B$8+(Parametros!$B$12*(1-Parametros!$B$7)+Parametros!$B$13*Parametros!$B$7)*(1-0.55*O$5/(O$5+150))*9.81*Parametros!$B$11/100000+5*($F91/200)^1.8*(3.5/Parametros!$B$10)^4.8</f>
        <v>108.192389760006</v>
      </c>
    </row>
    <row r="92" customFormat="false" ht="15" hidden="false" customHeight="false" outlineLevel="0" collapsed="false">
      <c r="F92" s="8" t="n">
        <f aca="false">Curvas!A91</f>
        <v>179.166666666667</v>
      </c>
      <c r="G92" s="8" t="n">
        <f aca="false">Parametros!$B$8+(Parametros!$B$12*(1-Parametros!$B$7)+Parametros!$B$13*Parametros!$B$7)*(1-0.55*G$5/(G$5+150))*9.81*Parametros!$B$11/100000+5*($F92/200)^1.8*(3.5/Parametros!$B$10)^4.8</f>
        <v>171.061842656033</v>
      </c>
      <c r="H92" s="8" t="n">
        <f aca="false">Parametros!$B$8+(Parametros!$B$12*(1-Parametros!$B$7)+Parametros!$B$13*Parametros!$B$7)*(1-0.55*H$5/(H$5+150))*9.81*Parametros!$B$11/100000+5*($F92/200)^1.8*(3.5/Parametros!$B$10)^4.8</f>
        <v>149.479842656033</v>
      </c>
      <c r="I92" s="8" t="n">
        <f aca="false">Parametros!$B$8+(Parametros!$B$12*(1-Parametros!$B$7)+Parametros!$B$13*Parametros!$B$7)*(1-0.55*I$5/(I$5+150))*9.81*Parametros!$B$11/100000+5*($F92/200)^1.8*(3.5/Parametros!$B$10)^4.8</f>
        <v>136.530642656033</v>
      </c>
      <c r="J92" s="8" t="n">
        <f aca="false">Parametros!$B$8+(Parametros!$B$12*(1-Parametros!$B$7)+Parametros!$B$13*Parametros!$B$7)*(1-0.55*J$5/(J$5+150))*9.81*Parametros!$B$11/100000+5*($F92/200)^1.8*(3.5/Parametros!$B$10)^4.8</f>
        <v>127.897842656033</v>
      </c>
      <c r="K92" s="8" t="n">
        <f aca="false">Parametros!$B$8+(Parametros!$B$12*(1-Parametros!$B$7)+Parametros!$B$13*Parametros!$B$7)*(1-0.55*K$5/(K$5+150))*9.81*Parametros!$B$11/100000+5*($F92/200)^1.8*(3.5/Parametros!$B$10)^4.8</f>
        <v>121.731556941747</v>
      </c>
      <c r="L92" s="8" t="n">
        <f aca="false">Parametros!$B$8+(Parametros!$B$12*(1-Parametros!$B$7)+Parametros!$B$13*Parametros!$B$7)*(1-0.55*L$5/(L$5+150))*9.81*Parametros!$B$11/100000+5*($F92/200)^1.8*(3.5/Parametros!$B$10)^4.8</f>
        <v>117.106842656033</v>
      </c>
      <c r="M92" s="8" t="n">
        <f aca="false">Parametros!$B$8+(Parametros!$B$12*(1-Parametros!$B$7)+Parametros!$B$13*Parametros!$B$7)*(1-0.55*M$5/(M$5+150))*9.81*Parametros!$B$11/100000+5*($F92/200)^1.8*(3.5/Parametros!$B$10)^4.8</f>
        <v>113.509842656033</v>
      </c>
      <c r="N92" s="8" t="n">
        <f aca="false">Parametros!$B$8+(Parametros!$B$12*(1-Parametros!$B$7)+Parametros!$B$13*Parametros!$B$7)*(1-0.55*N$5/(N$5+150))*9.81*Parametros!$B$11/100000+5*($F92/200)^1.8*(3.5/Parametros!$B$10)^4.8</f>
        <v>110.632242656033</v>
      </c>
      <c r="O92" s="8" t="n">
        <f aca="false">Parametros!$B$8+(Parametros!$B$12*(1-Parametros!$B$7)+Parametros!$B$13*Parametros!$B$7)*(1-0.55*O$5/(O$5+150))*9.81*Parametros!$B$11/100000+5*($F92/200)^1.8*(3.5/Parametros!$B$10)^4.8</f>
        <v>108.277842656033</v>
      </c>
    </row>
    <row r="93" customFormat="false" ht="15" hidden="false" customHeight="false" outlineLevel="0" collapsed="false">
      <c r="F93" s="8" t="n">
        <f aca="false">Curvas!A92</f>
        <v>181.25</v>
      </c>
      <c r="G93" s="8" t="n">
        <f aca="false">Parametros!$B$8+(Parametros!$B$12*(1-Parametros!$B$7)+Parametros!$B$13*Parametros!$B$7)*(1-0.55*G$5/(G$5+150))*9.81*Parametros!$B$11/100000+5*($F93/200)^1.8*(3.5/Parametros!$B$10)^4.8</f>
        <v>171.148094182319</v>
      </c>
      <c r="H93" s="8" t="n">
        <f aca="false">Parametros!$B$8+(Parametros!$B$12*(1-Parametros!$B$7)+Parametros!$B$13*Parametros!$B$7)*(1-0.55*H$5/(H$5+150))*9.81*Parametros!$B$11/100000+5*($F93/200)^1.8*(3.5/Parametros!$B$10)^4.8</f>
        <v>149.566094182319</v>
      </c>
      <c r="I93" s="8" t="n">
        <f aca="false">Parametros!$B$8+(Parametros!$B$12*(1-Parametros!$B$7)+Parametros!$B$13*Parametros!$B$7)*(1-0.55*I$5/(I$5+150))*9.81*Parametros!$B$11/100000+5*($F93/200)^1.8*(3.5/Parametros!$B$10)^4.8</f>
        <v>136.616894182319</v>
      </c>
      <c r="J93" s="8" t="n">
        <f aca="false">Parametros!$B$8+(Parametros!$B$12*(1-Parametros!$B$7)+Parametros!$B$13*Parametros!$B$7)*(1-0.55*J$5/(J$5+150))*9.81*Parametros!$B$11/100000+5*($F93/200)^1.8*(3.5/Parametros!$B$10)^4.8</f>
        <v>127.984094182319</v>
      </c>
      <c r="K93" s="8" t="n">
        <f aca="false">Parametros!$B$8+(Parametros!$B$12*(1-Parametros!$B$7)+Parametros!$B$13*Parametros!$B$7)*(1-0.55*K$5/(K$5+150))*9.81*Parametros!$B$11/100000+5*($F93/200)^1.8*(3.5/Parametros!$B$10)^4.8</f>
        <v>121.817808468033</v>
      </c>
      <c r="L93" s="8" t="n">
        <f aca="false">Parametros!$B$8+(Parametros!$B$12*(1-Parametros!$B$7)+Parametros!$B$13*Parametros!$B$7)*(1-0.55*L$5/(L$5+150))*9.81*Parametros!$B$11/100000+5*($F93/200)^1.8*(3.5/Parametros!$B$10)^4.8</f>
        <v>117.193094182319</v>
      </c>
      <c r="M93" s="8" t="n">
        <f aca="false">Parametros!$B$8+(Parametros!$B$12*(1-Parametros!$B$7)+Parametros!$B$13*Parametros!$B$7)*(1-0.55*M$5/(M$5+150))*9.81*Parametros!$B$11/100000+5*($F93/200)^1.8*(3.5/Parametros!$B$10)^4.8</f>
        <v>113.596094182319</v>
      </c>
      <c r="N93" s="8" t="n">
        <f aca="false">Parametros!$B$8+(Parametros!$B$12*(1-Parametros!$B$7)+Parametros!$B$13*Parametros!$B$7)*(1-0.55*N$5/(N$5+150))*9.81*Parametros!$B$11/100000+5*($F93/200)^1.8*(3.5/Parametros!$B$10)^4.8</f>
        <v>110.718494182319</v>
      </c>
      <c r="O93" s="8" t="n">
        <f aca="false">Parametros!$B$8+(Parametros!$B$12*(1-Parametros!$B$7)+Parametros!$B$13*Parametros!$B$7)*(1-0.55*O$5/(O$5+150))*9.81*Parametros!$B$11/100000+5*($F93/200)^1.8*(3.5/Parametros!$B$10)^4.8</f>
        <v>108.364094182319</v>
      </c>
    </row>
    <row r="94" customFormat="false" ht="15" hidden="false" customHeight="false" outlineLevel="0" collapsed="false">
      <c r="F94" s="8" t="n">
        <f aca="false">Curvas!A93</f>
        <v>183.333333333333</v>
      </c>
      <c r="G94" s="8" t="n">
        <f aca="false">Parametros!$B$8+(Parametros!$B$12*(1-Parametros!$B$7)+Parametros!$B$13*Parametros!$B$7)*(1-0.55*G$5/(G$5+150))*9.81*Parametros!$B$11/100000+5*($F94/200)^1.8*(3.5/Parametros!$B$10)^4.8</f>
        <v>171.235142494384</v>
      </c>
      <c r="H94" s="8" t="n">
        <f aca="false">Parametros!$B$8+(Parametros!$B$12*(1-Parametros!$B$7)+Parametros!$B$13*Parametros!$B$7)*(1-0.55*H$5/(H$5+150))*9.81*Parametros!$B$11/100000+5*($F94/200)^1.8*(3.5/Parametros!$B$10)^4.8</f>
        <v>149.653142494384</v>
      </c>
      <c r="I94" s="8" t="n">
        <f aca="false">Parametros!$B$8+(Parametros!$B$12*(1-Parametros!$B$7)+Parametros!$B$13*Parametros!$B$7)*(1-0.55*I$5/(I$5+150))*9.81*Parametros!$B$11/100000+5*($F94/200)^1.8*(3.5/Parametros!$B$10)^4.8</f>
        <v>136.703942494384</v>
      </c>
      <c r="J94" s="8" t="n">
        <f aca="false">Parametros!$B$8+(Parametros!$B$12*(1-Parametros!$B$7)+Parametros!$B$13*Parametros!$B$7)*(1-0.55*J$5/(J$5+150))*9.81*Parametros!$B$11/100000+5*($F94/200)^1.8*(3.5/Parametros!$B$10)^4.8</f>
        <v>128.071142494384</v>
      </c>
      <c r="K94" s="8" t="n">
        <f aca="false">Parametros!$B$8+(Parametros!$B$12*(1-Parametros!$B$7)+Parametros!$B$13*Parametros!$B$7)*(1-0.55*K$5/(K$5+150))*9.81*Parametros!$B$11/100000+5*($F94/200)^1.8*(3.5/Parametros!$B$10)^4.8</f>
        <v>121.904856780098</v>
      </c>
      <c r="L94" s="8" t="n">
        <f aca="false">Parametros!$B$8+(Parametros!$B$12*(1-Parametros!$B$7)+Parametros!$B$13*Parametros!$B$7)*(1-0.55*L$5/(L$5+150))*9.81*Parametros!$B$11/100000+5*($F94/200)^1.8*(3.5/Parametros!$B$10)^4.8</f>
        <v>117.280142494384</v>
      </c>
      <c r="M94" s="8" t="n">
        <f aca="false">Parametros!$B$8+(Parametros!$B$12*(1-Parametros!$B$7)+Parametros!$B$13*Parametros!$B$7)*(1-0.55*M$5/(M$5+150))*9.81*Parametros!$B$11/100000+5*($F94/200)^1.8*(3.5/Parametros!$B$10)^4.8</f>
        <v>113.683142494384</v>
      </c>
      <c r="N94" s="8" t="n">
        <f aca="false">Parametros!$B$8+(Parametros!$B$12*(1-Parametros!$B$7)+Parametros!$B$13*Parametros!$B$7)*(1-0.55*N$5/(N$5+150))*9.81*Parametros!$B$11/100000+5*($F94/200)^1.8*(3.5/Parametros!$B$10)^4.8</f>
        <v>110.805542494384</v>
      </c>
      <c r="O94" s="8" t="n">
        <f aca="false">Parametros!$B$8+(Parametros!$B$12*(1-Parametros!$B$7)+Parametros!$B$13*Parametros!$B$7)*(1-0.55*O$5/(O$5+150))*9.81*Parametros!$B$11/100000+5*($F94/200)^1.8*(3.5/Parametros!$B$10)^4.8</f>
        <v>108.451142494384</v>
      </c>
    </row>
    <row r="95" customFormat="false" ht="15" hidden="false" customHeight="false" outlineLevel="0" collapsed="false">
      <c r="F95" s="8" t="n">
        <f aca="false">Curvas!A94</f>
        <v>185.416666666667</v>
      </c>
      <c r="G95" s="8" t="n">
        <f aca="false">Parametros!$B$8+(Parametros!$B$12*(1-Parametros!$B$7)+Parametros!$B$13*Parametros!$B$7)*(1-0.55*G$5/(G$5+150))*9.81*Parametros!$B$11/100000+5*($F95/200)^1.8*(3.5/Parametros!$B$10)^4.8</f>
        <v>171.322985773015</v>
      </c>
      <c r="H95" s="8" t="n">
        <f aca="false">Parametros!$B$8+(Parametros!$B$12*(1-Parametros!$B$7)+Parametros!$B$13*Parametros!$B$7)*(1-0.55*H$5/(H$5+150))*9.81*Parametros!$B$11/100000+5*($F95/200)^1.8*(3.5/Parametros!$B$10)^4.8</f>
        <v>149.740985773015</v>
      </c>
      <c r="I95" s="8" t="n">
        <f aca="false">Parametros!$B$8+(Parametros!$B$12*(1-Parametros!$B$7)+Parametros!$B$13*Parametros!$B$7)*(1-0.55*I$5/(I$5+150))*9.81*Parametros!$B$11/100000+5*($F95/200)^1.8*(3.5/Parametros!$B$10)^4.8</f>
        <v>136.791785773015</v>
      </c>
      <c r="J95" s="8" t="n">
        <f aca="false">Parametros!$B$8+(Parametros!$B$12*(1-Parametros!$B$7)+Parametros!$B$13*Parametros!$B$7)*(1-0.55*J$5/(J$5+150))*9.81*Parametros!$B$11/100000+5*($F95/200)^1.8*(3.5/Parametros!$B$10)^4.8</f>
        <v>128.158985773015</v>
      </c>
      <c r="K95" s="8" t="n">
        <f aca="false">Parametros!$B$8+(Parametros!$B$12*(1-Parametros!$B$7)+Parametros!$B$13*Parametros!$B$7)*(1-0.55*K$5/(K$5+150))*9.81*Parametros!$B$11/100000+5*($F95/200)^1.8*(3.5/Parametros!$B$10)^4.8</f>
        <v>121.992700058729</v>
      </c>
      <c r="L95" s="8" t="n">
        <f aca="false">Parametros!$B$8+(Parametros!$B$12*(1-Parametros!$B$7)+Parametros!$B$13*Parametros!$B$7)*(1-0.55*L$5/(L$5+150))*9.81*Parametros!$B$11/100000+5*($F95/200)^1.8*(3.5/Parametros!$B$10)^4.8</f>
        <v>117.367985773015</v>
      </c>
      <c r="M95" s="8" t="n">
        <f aca="false">Parametros!$B$8+(Parametros!$B$12*(1-Parametros!$B$7)+Parametros!$B$13*Parametros!$B$7)*(1-0.55*M$5/(M$5+150))*9.81*Parametros!$B$11/100000+5*($F95/200)^1.8*(3.5/Parametros!$B$10)^4.8</f>
        <v>113.770985773015</v>
      </c>
      <c r="N95" s="8" t="n">
        <f aca="false">Parametros!$B$8+(Parametros!$B$12*(1-Parametros!$B$7)+Parametros!$B$13*Parametros!$B$7)*(1-0.55*N$5/(N$5+150))*9.81*Parametros!$B$11/100000+5*($F95/200)^1.8*(3.5/Parametros!$B$10)^4.8</f>
        <v>110.893385773015</v>
      </c>
      <c r="O95" s="8" t="n">
        <f aca="false">Parametros!$B$8+(Parametros!$B$12*(1-Parametros!$B$7)+Parametros!$B$13*Parametros!$B$7)*(1-0.55*O$5/(O$5+150))*9.81*Parametros!$B$11/100000+5*($F95/200)^1.8*(3.5/Parametros!$B$10)^4.8</f>
        <v>108.538985773015</v>
      </c>
    </row>
    <row r="96" customFormat="false" ht="15" hidden="false" customHeight="false" outlineLevel="0" collapsed="false">
      <c r="F96" s="8" t="n">
        <f aca="false">Curvas!A95</f>
        <v>187.5</v>
      </c>
      <c r="G96" s="8" t="n">
        <f aca="false">Parametros!$B$8+(Parametros!$B$12*(1-Parametros!$B$7)+Parametros!$B$13*Parametros!$B$7)*(1-0.55*G$5/(G$5+150))*9.81*Parametros!$B$11/100000+5*($F96/200)^1.8*(3.5/Parametros!$B$10)^4.8</f>
        <v>171.411622223642</v>
      </c>
      <c r="H96" s="8" t="n">
        <f aca="false">Parametros!$B$8+(Parametros!$B$12*(1-Parametros!$B$7)+Parametros!$B$13*Parametros!$B$7)*(1-0.55*H$5/(H$5+150))*9.81*Parametros!$B$11/100000+5*($F96/200)^1.8*(3.5/Parametros!$B$10)^4.8</f>
        <v>149.829622223642</v>
      </c>
      <c r="I96" s="8" t="n">
        <f aca="false">Parametros!$B$8+(Parametros!$B$12*(1-Parametros!$B$7)+Parametros!$B$13*Parametros!$B$7)*(1-0.55*I$5/(I$5+150))*9.81*Parametros!$B$11/100000+5*($F96/200)^1.8*(3.5/Parametros!$B$10)^4.8</f>
        <v>136.880422223642</v>
      </c>
      <c r="J96" s="8" t="n">
        <f aca="false">Parametros!$B$8+(Parametros!$B$12*(1-Parametros!$B$7)+Parametros!$B$13*Parametros!$B$7)*(1-0.55*J$5/(J$5+150))*9.81*Parametros!$B$11/100000+5*($F96/200)^1.8*(3.5/Parametros!$B$10)^4.8</f>
        <v>128.247622223642</v>
      </c>
      <c r="K96" s="8" t="n">
        <f aca="false">Parametros!$B$8+(Parametros!$B$12*(1-Parametros!$B$7)+Parametros!$B$13*Parametros!$B$7)*(1-0.55*K$5/(K$5+150))*9.81*Parametros!$B$11/100000+5*($F96/200)^1.8*(3.5/Parametros!$B$10)^4.8</f>
        <v>122.081336509356</v>
      </c>
      <c r="L96" s="8" t="n">
        <f aca="false">Parametros!$B$8+(Parametros!$B$12*(1-Parametros!$B$7)+Parametros!$B$13*Parametros!$B$7)*(1-0.55*L$5/(L$5+150))*9.81*Parametros!$B$11/100000+5*($F96/200)^1.8*(3.5/Parametros!$B$10)^4.8</f>
        <v>117.456622223642</v>
      </c>
      <c r="M96" s="8" t="n">
        <f aca="false">Parametros!$B$8+(Parametros!$B$12*(1-Parametros!$B$7)+Parametros!$B$13*Parametros!$B$7)*(1-0.55*M$5/(M$5+150))*9.81*Parametros!$B$11/100000+5*($F96/200)^1.8*(3.5/Parametros!$B$10)^4.8</f>
        <v>113.859622223642</v>
      </c>
      <c r="N96" s="8" t="n">
        <f aca="false">Parametros!$B$8+(Parametros!$B$12*(1-Parametros!$B$7)+Parametros!$B$13*Parametros!$B$7)*(1-0.55*N$5/(N$5+150))*9.81*Parametros!$B$11/100000+5*($F96/200)^1.8*(3.5/Parametros!$B$10)^4.8</f>
        <v>110.982022223642</v>
      </c>
      <c r="O96" s="8" t="n">
        <f aca="false">Parametros!$B$8+(Parametros!$B$12*(1-Parametros!$B$7)+Parametros!$B$13*Parametros!$B$7)*(1-0.55*O$5/(O$5+150))*9.81*Parametros!$B$11/100000+5*($F96/200)^1.8*(3.5/Parametros!$B$10)^4.8</f>
        <v>108.627622223642</v>
      </c>
    </row>
    <row r="97" customFormat="false" ht="15" hidden="false" customHeight="false" outlineLevel="0" collapsed="false">
      <c r="F97" s="8" t="n">
        <f aca="false">Curvas!A96</f>
        <v>189.583333333333</v>
      </c>
      <c r="G97" s="8" t="n">
        <f aca="false">Parametros!$B$8+(Parametros!$B$12*(1-Parametros!$B$7)+Parametros!$B$13*Parametros!$B$7)*(1-0.55*G$5/(G$5+150))*9.81*Parametros!$B$11/100000+5*($F97/200)^1.8*(3.5/Parametros!$B$10)^4.8</f>
        <v>171.501050075729</v>
      </c>
      <c r="H97" s="8" t="n">
        <f aca="false">Parametros!$B$8+(Parametros!$B$12*(1-Parametros!$B$7)+Parametros!$B$13*Parametros!$B$7)*(1-0.55*H$5/(H$5+150))*9.81*Parametros!$B$11/100000+5*($F97/200)^1.8*(3.5/Parametros!$B$10)^4.8</f>
        <v>149.919050075729</v>
      </c>
      <c r="I97" s="8" t="n">
        <f aca="false">Parametros!$B$8+(Parametros!$B$12*(1-Parametros!$B$7)+Parametros!$B$13*Parametros!$B$7)*(1-0.55*I$5/(I$5+150))*9.81*Parametros!$B$11/100000+5*($F97/200)^1.8*(3.5/Parametros!$B$10)^4.8</f>
        <v>136.969850075729</v>
      </c>
      <c r="J97" s="8" t="n">
        <f aca="false">Parametros!$B$8+(Parametros!$B$12*(1-Parametros!$B$7)+Parametros!$B$13*Parametros!$B$7)*(1-0.55*J$5/(J$5+150))*9.81*Parametros!$B$11/100000+5*($F97/200)^1.8*(3.5/Parametros!$B$10)^4.8</f>
        <v>128.337050075729</v>
      </c>
      <c r="K97" s="8" t="n">
        <f aca="false">Parametros!$B$8+(Parametros!$B$12*(1-Parametros!$B$7)+Parametros!$B$13*Parametros!$B$7)*(1-0.55*K$5/(K$5+150))*9.81*Parametros!$B$11/100000+5*($F97/200)^1.8*(3.5/Parametros!$B$10)^4.8</f>
        <v>122.170764361443</v>
      </c>
      <c r="L97" s="8" t="n">
        <f aca="false">Parametros!$B$8+(Parametros!$B$12*(1-Parametros!$B$7)+Parametros!$B$13*Parametros!$B$7)*(1-0.55*L$5/(L$5+150))*9.81*Parametros!$B$11/100000+5*($F97/200)^1.8*(3.5/Parametros!$B$10)^4.8</f>
        <v>117.546050075729</v>
      </c>
      <c r="M97" s="8" t="n">
        <f aca="false">Parametros!$B$8+(Parametros!$B$12*(1-Parametros!$B$7)+Parametros!$B$13*Parametros!$B$7)*(1-0.55*M$5/(M$5+150))*9.81*Parametros!$B$11/100000+5*($F97/200)^1.8*(3.5/Parametros!$B$10)^4.8</f>
        <v>113.949050075729</v>
      </c>
      <c r="N97" s="8" t="n">
        <f aca="false">Parametros!$B$8+(Parametros!$B$12*(1-Parametros!$B$7)+Parametros!$B$13*Parametros!$B$7)*(1-0.55*N$5/(N$5+150))*9.81*Parametros!$B$11/100000+5*($F97/200)^1.8*(3.5/Parametros!$B$10)^4.8</f>
        <v>111.071450075729</v>
      </c>
      <c r="O97" s="8" t="n">
        <f aca="false">Parametros!$B$8+(Parametros!$B$12*(1-Parametros!$B$7)+Parametros!$B$13*Parametros!$B$7)*(1-0.55*O$5/(O$5+150))*9.81*Parametros!$B$11/100000+5*($F97/200)^1.8*(3.5/Parametros!$B$10)^4.8</f>
        <v>108.717050075729</v>
      </c>
    </row>
    <row r="98" customFormat="false" ht="15" hidden="false" customHeight="false" outlineLevel="0" collapsed="false">
      <c r="F98" s="8" t="n">
        <f aca="false">Curvas!A97</f>
        <v>191.666666666667</v>
      </c>
      <c r="G98" s="8" t="n">
        <f aca="false">Parametros!$B$8+(Parametros!$B$12*(1-Parametros!$B$7)+Parametros!$B$13*Parametros!$B$7)*(1-0.55*G$5/(G$5+150))*9.81*Parametros!$B$11/100000+5*($F98/200)^1.8*(3.5/Parametros!$B$10)^4.8</f>
        <v>171.591267582194</v>
      </c>
      <c r="H98" s="8" t="n">
        <f aca="false">Parametros!$B$8+(Parametros!$B$12*(1-Parametros!$B$7)+Parametros!$B$13*Parametros!$B$7)*(1-0.55*H$5/(H$5+150))*9.81*Parametros!$B$11/100000+5*($F98/200)^1.8*(3.5/Parametros!$B$10)^4.8</f>
        <v>150.009267582194</v>
      </c>
      <c r="I98" s="8" t="n">
        <f aca="false">Parametros!$B$8+(Parametros!$B$12*(1-Parametros!$B$7)+Parametros!$B$13*Parametros!$B$7)*(1-0.55*I$5/(I$5+150))*9.81*Parametros!$B$11/100000+5*($F98/200)^1.8*(3.5/Parametros!$B$10)^4.8</f>
        <v>137.060067582194</v>
      </c>
      <c r="J98" s="8" t="n">
        <f aca="false">Parametros!$B$8+(Parametros!$B$12*(1-Parametros!$B$7)+Parametros!$B$13*Parametros!$B$7)*(1-0.55*J$5/(J$5+150))*9.81*Parametros!$B$11/100000+5*($F98/200)^1.8*(3.5/Parametros!$B$10)^4.8</f>
        <v>128.427267582194</v>
      </c>
      <c r="K98" s="8" t="n">
        <f aca="false">Parametros!$B$8+(Parametros!$B$12*(1-Parametros!$B$7)+Parametros!$B$13*Parametros!$B$7)*(1-0.55*K$5/(K$5+150))*9.81*Parametros!$B$11/100000+5*($F98/200)^1.8*(3.5/Parametros!$B$10)^4.8</f>
        <v>122.260981867909</v>
      </c>
      <c r="L98" s="8" t="n">
        <f aca="false">Parametros!$B$8+(Parametros!$B$12*(1-Parametros!$B$7)+Parametros!$B$13*Parametros!$B$7)*(1-0.55*L$5/(L$5+150))*9.81*Parametros!$B$11/100000+5*($F98/200)^1.8*(3.5/Parametros!$B$10)^4.8</f>
        <v>117.636267582194</v>
      </c>
      <c r="M98" s="8" t="n">
        <f aca="false">Parametros!$B$8+(Parametros!$B$12*(1-Parametros!$B$7)+Parametros!$B$13*Parametros!$B$7)*(1-0.55*M$5/(M$5+150))*9.81*Parametros!$B$11/100000+5*($F98/200)^1.8*(3.5/Parametros!$B$10)^4.8</f>
        <v>114.039267582194</v>
      </c>
      <c r="N98" s="8" t="n">
        <f aca="false">Parametros!$B$8+(Parametros!$B$12*(1-Parametros!$B$7)+Parametros!$B$13*Parametros!$B$7)*(1-0.55*N$5/(N$5+150))*9.81*Parametros!$B$11/100000+5*($F98/200)^1.8*(3.5/Parametros!$B$10)^4.8</f>
        <v>111.161667582194</v>
      </c>
      <c r="O98" s="8" t="n">
        <f aca="false">Parametros!$B$8+(Parametros!$B$12*(1-Parametros!$B$7)+Parametros!$B$13*Parametros!$B$7)*(1-0.55*O$5/(O$5+150))*9.81*Parametros!$B$11/100000+5*($F98/200)^1.8*(3.5/Parametros!$B$10)^4.8</f>
        <v>108.807267582194</v>
      </c>
    </row>
    <row r="99" customFormat="false" ht="15" hidden="false" customHeight="false" outlineLevel="0" collapsed="false">
      <c r="F99" s="8" t="n">
        <f aca="false">Curvas!A98</f>
        <v>193.75</v>
      </c>
      <c r="G99" s="8" t="n">
        <f aca="false">Parametros!$B$8+(Parametros!$B$12*(1-Parametros!$B$7)+Parametros!$B$13*Parametros!$B$7)*(1-0.55*G$5/(G$5+150))*9.81*Parametros!$B$11/100000+5*($F99/200)^1.8*(3.5/Parametros!$B$10)^4.8</f>
        <v>171.682273018844</v>
      </c>
      <c r="H99" s="8" t="n">
        <f aca="false">Parametros!$B$8+(Parametros!$B$12*(1-Parametros!$B$7)+Parametros!$B$13*Parametros!$B$7)*(1-0.55*H$5/(H$5+150))*9.81*Parametros!$B$11/100000+5*($F99/200)^1.8*(3.5/Parametros!$B$10)^4.8</f>
        <v>150.100273018844</v>
      </c>
      <c r="I99" s="8" t="n">
        <f aca="false">Parametros!$B$8+(Parametros!$B$12*(1-Parametros!$B$7)+Parametros!$B$13*Parametros!$B$7)*(1-0.55*I$5/(I$5+150))*9.81*Parametros!$B$11/100000+5*($F99/200)^1.8*(3.5/Parametros!$B$10)^4.8</f>
        <v>137.151073018844</v>
      </c>
      <c r="J99" s="8" t="n">
        <f aca="false">Parametros!$B$8+(Parametros!$B$12*(1-Parametros!$B$7)+Parametros!$B$13*Parametros!$B$7)*(1-0.55*J$5/(J$5+150))*9.81*Parametros!$B$11/100000+5*($F99/200)^1.8*(3.5/Parametros!$B$10)^4.8</f>
        <v>128.518273018843</v>
      </c>
      <c r="K99" s="8" t="n">
        <f aca="false">Parametros!$B$8+(Parametros!$B$12*(1-Parametros!$B$7)+Parametros!$B$13*Parametros!$B$7)*(1-0.55*K$5/(K$5+150))*9.81*Parametros!$B$11/100000+5*($F99/200)^1.8*(3.5/Parametros!$B$10)^4.8</f>
        <v>122.351987304558</v>
      </c>
      <c r="L99" s="8" t="n">
        <f aca="false">Parametros!$B$8+(Parametros!$B$12*(1-Parametros!$B$7)+Parametros!$B$13*Parametros!$B$7)*(1-0.55*L$5/(L$5+150))*9.81*Parametros!$B$11/100000+5*($F99/200)^1.8*(3.5/Parametros!$B$10)^4.8</f>
        <v>117.727273018843</v>
      </c>
      <c r="M99" s="8" t="n">
        <f aca="false">Parametros!$B$8+(Parametros!$B$12*(1-Parametros!$B$7)+Parametros!$B$13*Parametros!$B$7)*(1-0.55*M$5/(M$5+150))*9.81*Parametros!$B$11/100000+5*($F99/200)^1.8*(3.5/Parametros!$B$10)^4.8</f>
        <v>114.130273018843</v>
      </c>
      <c r="N99" s="8" t="n">
        <f aca="false">Parametros!$B$8+(Parametros!$B$12*(1-Parametros!$B$7)+Parametros!$B$13*Parametros!$B$7)*(1-0.55*N$5/(N$5+150))*9.81*Parametros!$B$11/100000+5*($F99/200)^1.8*(3.5/Parametros!$B$10)^4.8</f>
        <v>111.252673018843</v>
      </c>
      <c r="O99" s="8" t="n">
        <f aca="false">Parametros!$B$8+(Parametros!$B$12*(1-Parametros!$B$7)+Parametros!$B$13*Parametros!$B$7)*(1-0.55*O$5/(O$5+150))*9.81*Parametros!$B$11/100000+5*($F99/200)^1.8*(3.5/Parametros!$B$10)^4.8</f>
        <v>108.898273018843</v>
      </c>
    </row>
    <row r="100" customFormat="false" ht="15" hidden="false" customHeight="false" outlineLevel="0" collapsed="false">
      <c r="F100" s="8" t="n">
        <f aca="false">Curvas!A99</f>
        <v>195.833333333333</v>
      </c>
      <c r="G100" s="8" t="n">
        <f aca="false">Parametros!$B$8+(Parametros!$B$12*(1-Parametros!$B$7)+Parametros!$B$13*Parametros!$B$7)*(1-0.55*G$5/(G$5+150))*9.81*Parametros!$B$11/100000+5*($F100/200)^1.8*(3.5/Parametros!$B$10)^4.8</f>
        <v>171.774064683828</v>
      </c>
      <c r="H100" s="8" t="n">
        <f aca="false">Parametros!$B$8+(Parametros!$B$12*(1-Parametros!$B$7)+Parametros!$B$13*Parametros!$B$7)*(1-0.55*H$5/(H$5+150))*9.81*Parametros!$B$11/100000+5*($F100/200)^1.8*(3.5/Parametros!$B$10)^4.8</f>
        <v>150.192064683828</v>
      </c>
      <c r="I100" s="8" t="n">
        <f aca="false">Parametros!$B$8+(Parametros!$B$12*(1-Parametros!$B$7)+Parametros!$B$13*Parametros!$B$7)*(1-0.55*I$5/(I$5+150))*9.81*Parametros!$B$11/100000+5*($F100/200)^1.8*(3.5/Parametros!$B$10)^4.8</f>
        <v>137.242864683828</v>
      </c>
      <c r="J100" s="8" t="n">
        <f aca="false">Parametros!$B$8+(Parametros!$B$12*(1-Parametros!$B$7)+Parametros!$B$13*Parametros!$B$7)*(1-0.55*J$5/(J$5+150))*9.81*Parametros!$B$11/100000+5*($F100/200)^1.8*(3.5/Parametros!$B$10)^4.8</f>
        <v>128.610064683828</v>
      </c>
      <c r="K100" s="8" t="n">
        <f aca="false">Parametros!$B$8+(Parametros!$B$12*(1-Parametros!$B$7)+Parametros!$B$13*Parametros!$B$7)*(1-0.55*K$5/(K$5+150))*9.81*Parametros!$B$11/100000+5*($F100/200)^1.8*(3.5/Parametros!$B$10)^4.8</f>
        <v>122.443778969542</v>
      </c>
      <c r="L100" s="8" t="n">
        <f aca="false">Parametros!$B$8+(Parametros!$B$12*(1-Parametros!$B$7)+Parametros!$B$13*Parametros!$B$7)*(1-0.55*L$5/(L$5+150))*9.81*Parametros!$B$11/100000+5*($F100/200)^1.8*(3.5/Parametros!$B$10)^4.8</f>
        <v>117.819064683828</v>
      </c>
      <c r="M100" s="8" t="n">
        <f aca="false">Parametros!$B$8+(Parametros!$B$12*(1-Parametros!$B$7)+Parametros!$B$13*Parametros!$B$7)*(1-0.55*M$5/(M$5+150))*9.81*Parametros!$B$11/100000+5*($F100/200)^1.8*(3.5/Parametros!$B$10)^4.8</f>
        <v>114.222064683828</v>
      </c>
      <c r="N100" s="8" t="n">
        <f aca="false">Parametros!$B$8+(Parametros!$B$12*(1-Parametros!$B$7)+Parametros!$B$13*Parametros!$B$7)*(1-0.55*N$5/(N$5+150))*9.81*Parametros!$B$11/100000+5*($F100/200)^1.8*(3.5/Parametros!$B$10)^4.8</f>
        <v>111.344464683828</v>
      </c>
      <c r="O100" s="8" t="n">
        <f aca="false">Parametros!$B$8+(Parametros!$B$12*(1-Parametros!$B$7)+Parametros!$B$13*Parametros!$B$7)*(1-0.55*O$5/(O$5+150))*9.81*Parametros!$B$11/100000+5*($F100/200)^1.8*(3.5/Parametros!$B$10)^4.8</f>
        <v>108.990064683828</v>
      </c>
    </row>
    <row r="101" customFormat="false" ht="15" hidden="false" customHeight="false" outlineLevel="0" collapsed="false">
      <c r="F101" s="8" t="n">
        <f aca="false">Curvas!A100</f>
        <v>197.916666666667</v>
      </c>
      <c r="G101" s="8" t="n">
        <f aca="false">Parametros!$B$8+(Parametros!$B$12*(1-Parametros!$B$7)+Parametros!$B$13*Parametros!$B$7)*(1-0.55*G$5/(G$5+150))*9.81*Parametros!$B$11/100000+5*($F101/200)^1.8*(3.5/Parametros!$B$10)^4.8</f>
        <v>171.866640897119</v>
      </c>
      <c r="H101" s="8" t="n">
        <f aca="false">Parametros!$B$8+(Parametros!$B$12*(1-Parametros!$B$7)+Parametros!$B$13*Parametros!$B$7)*(1-0.55*H$5/(H$5+150))*9.81*Parametros!$B$11/100000+5*($F101/200)^1.8*(3.5/Parametros!$B$10)^4.8</f>
        <v>150.284640897119</v>
      </c>
      <c r="I101" s="8" t="n">
        <f aca="false">Parametros!$B$8+(Parametros!$B$12*(1-Parametros!$B$7)+Parametros!$B$13*Parametros!$B$7)*(1-0.55*I$5/(I$5+150))*9.81*Parametros!$B$11/100000+5*($F101/200)^1.8*(3.5/Parametros!$B$10)^4.8</f>
        <v>137.335440897119</v>
      </c>
      <c r="J101" s="8" t="n">
        <f aca="false">Parametros!$B$8+(Parametros!$B$12*(1-Parametros!$B$7)+Parametros!$B$13*Parametros!$B$7)*(1-0.55*J$5/(J$5+150))*9.81*Parametros!$B$11/100000+5*($F101/200)^1.8*(3.5/Parametros!$B$10)^4.8</f>
        <v>128.702640897119</v>
      </c>
      <c r="K101" s="8" t="n">
        <f aca="false">Parametros!$B$8+(Parametros!$B$12*(1-Parametros!$B$7)+Parametros!$B$13*Parametros!$B$7)*(1-0.55*K$5/(K$5+150))*9.81*Parametros!$B$11/100000+5*($F101/200)^1.8*(3.5/Parametros!$B$10)^4.8</f>
        <v>122.536355182833</v>
      </c>
      <c r="L101" s="8" t="n">
        <f aca="false">Parametros!$B$8+(Parametros!$B$12*(1-Parametros!$B$7)+Parametros!$B$13*Parametros!$B$7)*(1-0.55*L$5/(L$5+150))*9.81*Parametros!$B$11/100000+5*($F101/200)^1.8*(3.5/Parametros!$B$10)^4.8</f>
        <v>117.911640897119</v>
      </c>
      <c r="M101" s="8" t="n">
        <f aca="false">Parametros!$B$8+(Parametros!$B$12*(1-Parametros!$B$7)+Parametros!$B$13*Parametros!$B$7)*(1-0.55*M$5/(M$5+150))*9.81*Parametros!$B$11/100000+5*($F101/200)^1.8*(3.5/Parametros!$B$10)^4.8</f>
        <v>114.314640897119</v>
      </c>
      <c r="N101" s="8" t="n">
        <f aca="false">Parametros!$B$8+(Parametros!$B$12*(1-Parametros!$B$7)+Parametros!$B$13*Parametros!$B$7)*(1-0.55*N$5/(N$5+150))*9.81*Parametros!$B$11/100000+5*($F101/200)^1.8*(3.5/Parametros!$B$10)^4.8</f>
        <v>111.437040897119</v>
      </c>
      <c r="O101" s="8" t="n">
        <f aca="false">Parametros!$B$8+(Parametros!$B$12*(1-Parametros!$B$7)+Parametros!$B$13*Parametros!$B$7)*(1-0.55*O$5/(O$5+150))*9.81*Parametros!$B$11/100000+5*($F101/200)^1.8*(3.5/Parametros!$B$10)^4.8</f>
        <v>109.082640897119</v>
      </c>
    </row>
    <row r="102" customFormat="false" ht="15" hidden="false" customHeight="false" outlineLevel="0" collapsed="false">
      <c r="F102" s="8" t="n">
        <f aca="false">Curvas!A101</f>
        <v>200</v>
      </c>
      <c r="G102" s="8" t="n">
        <f aca="false">Parametros!$B$8+(Parametros!$B$12*(1-Parametros!$B$7)+Parametros!$B$13*Parametros!$B$7)*(1-0.55*G$5/(G$5+150))*9.81*Parametros!$B$11/100000+5*($F102/200)^1.8*(3.5/Parametros!$B$10)^4.8</f>
        <v>171.96</v>
      </c>
      <c r="H102" s="8" t="n">
        <f aca="false">Parametros!$B$8+(Parametros!$B$12*(1-Parametros!$B$7)+Parametros!$B$13*Parametros!$B$7)*(1-0.55*H$5/(H$5+150))*9.81*Parametros!$B$11/100000+5*($F102/200)^1.8*(3.5/Parametros!$B$10)^4.8</f>
        <v>150.378</v>
      </c>
      <c r="I102" s="8" t="n">
        <f aca="false">Parametros!$B$8+(Parametros!$B$12*(1-Parametros!$B$7)+Parametros!$B$13*Parametros!$B$7)*(1-0.55*I$5/(I$5+150))*9.81*Parametros!$B$11/100000+5*($F102/200)^1.8*(3.5/Parametros!$B$10)^4.8</f>
        <v>137.4288</v>
      </c>
      <c r="J102" s="8" t="n">
        <f aca="false">Parametros!$B$8+(Parametros!$B$12*(1-Parametros!$B$7)+Parametros!$B$13*Parametros!$B$7)*(1-0.55*J$5/(J$5+150))*9.81*Parametros!$B$11/100000+5*($F102/200)^1.8*(3.5/Parametros!$B$10)^4.8</f>
        <v>128.796</v>
      </c>
      <c r="K102" s="8" t="n">
        <f aca="false">Parametros!$B$8+(Parametros!$B$12*(1-Parametros!$B$7)+Parametros!$B$13*Parametros!$B$7)*(1-0.55*K$5/(K$5+150))*9.81*Parametros!$B$11/100000+5*($F102/200)^1.8*(3.5/Parametros!$B$10)^4.8</f>
        <v>122.629714285714</v>
      </c>
      <c r="L102" s="8" t="n">
        <f aca="false">Parametros!$B$8+(Parametros!$B$12*(1-Parametros!$B$7)+Parametros!$B$13*Parametros!$B$7)*(1-0.55*L$5/(L$5+150))*9.81*Parametros!$B$11/100000+5*($F102/200)^1.8*(3.5/Parametros!$B$10)^4.8</f>
        <v>118.005</v>
      </c>
      <c r="M102" s="8" t="n">
        <f aca="false">Parametros!$B$8+(Parametros!$B$12*(1-Parametros!$B$7)+Parametros!$B$13*Parametros!$B$7)*(1-0.55*M$5/(M$5+150))*9.81*Parametros!$B$11/100000+5*($F102/200)^1.8*(3.5/Parametros!$B$10)^4.8</f>
        <v>114.408</v>
      </c>
      <c r="N102" s="8" t="n">
        <f aca="false">Parametros!$B$8+(Parametros!$B$12*(1-Parametros!$B$7)+Parametros!$B$13*Parametros!$B$7)*(1-0.55*N$5/(N$5+150))*9.81*Parametros!$B$11/100000+5*($F102/200)^1.8*(3.5/Parametros!$B$10)^4.8</f>
        <v>111.5304</v>
      </c>
      <c r="O102" s="8" t="n">
        <f aca="false">Parametros!$B$8+(Parametros!$B$12*(1-Parametros!$B$7)+Parametros!$B$13*Parametros!$B$7)*(1-0.55*O$5/(O$5+150))*9.81*Parametros!$B$11/100000+5*($F102/200)^1.8*(3.5/Parametros!$B$10)^4.8</f>
        <v>109.176</v>
      </c>
    </row>
    <row r="103" customFormat="false" ht="15" hidden="false" customHeight="false" outlineLevel="0" collapsed="false">
      <c r="F103" s="8" t="n">
        <f aca="false">Curvas!A102</f>
        <v>202.083333333333</v>
      </c>
      <c r="G103" s="8" t="n">
        <f aca="false">Parametros!$B$8+(Parametros!$B$12*(1-Parametros!$B$7)+Parametros!$B$13*Parametros!$B$7)*(1-0.55*G$5/(G$5+150))*9.81*Parametros!$B$11/100000+5*($F103/200)^1.8*(3.5/Parametros!$B$10)^4.8</f>
        <v>172.054140354577</v>
      </c>
      <c r="H103" s="8" t="n">
        <f aca="false">Parametros!$B$8+(Parametros!$B$12*(1-Parametros!$B$7)+Parametros!$B$13*Parametros!$B$7)*(1-0.55*H$5/(H$5+150))*9.81*Parametros!$B$11/100000+5*($F103/200)^1.8*(3.5/Parametros!$B$10)^4.8</f>
        <v>150.472140354577</v>
      </c>
      <c r="I103" s="8" t="n">
        <f aca="false">Parametros!$B$8+(Parametros!$B$12*(1-Parametros!$B$7)+Parametros!$B$13*Parametros!$B$7)*(1-0.55*I$5/(I$5+150))*9.81*Parametros!$B$11/100000+5*($F103/200)^1.8*(3.5/Parametros!$B$10)^4.8</f>
        <v>137.522940354577</v>
      </c>
      <c r="J103" s="8" t="n">
        <f aca="false">Parametros!$B$8+(Parametros!$B$12*(1-Parametros!$B$7)+Parametros!$B$13*Parametros!$B$7)*(1-0.55*J$5/(J$5+150))*9.81*Parametros!$B$11/100000+5*($F103/200)^1.8*(3.5/Parametros!$B$10)^4.8</f>
        <v>128.890140354577</v>
      </c>
      <c r="K103" s="8" t="n">
        <f aca="false">Parametros!$B$8+(Parametros!$B$12*(1-Parametros!$B$7)+Parametros!$B$13*Parametros!$B$7)*(1-0.55*K$5/(K$5+150))*9.81*Parametros!$B$11/100000+5*($F103/200)^1.8*(3.5/Parametros!$B$10)^4.8</f>
        <v>122.723854640291</v>
      </c>
      <c r="L103" s="8" t="n">
        <f aca="false">Parametros!$B$8+(Parametros!$B$12*(1-Parametros!$B$7)+Parametros!$B$13*Parametros!$B$7)*(1-0.55*L$5/(L$5+150))*9.81*Parametros!$B$11/100000+5*($F103/200)^1.8*(3.5/Parametros!$B$10)^4.8</f>
        <v>118.099140354576</v>
      </c>
      <c r="M103" s="8" t="n">
        <f aca="false">Parametros!$B$8+(Parametros!$B$12*(1-Parametros!$B$7)+Parametros!$B$13*Parametros!$B$7)*(1-0.55*M$5/(M$5+150))*9.81*Parametros!$B$11/100000+5*($F103/200)^1.8*(3.5/Parametros!$B$10)^4.8</f>
        <v>114.502140354576</v>
      </c>
      <c r="N103" s="8" t="n">
        <f aca="false">Parametros!$B$8+(Parametros!$B$12*(1-Parametros!$B$7)+Parametros!$B$13*Parametros!$B$7)*(1-0.55*N$5/(N$5+150))*9.81*Parametros!$B$11/100000+5*($F103/200)^1.8*(3.5/Parametros!$B$10)^4.8</f>
        <v>111.624540354576</v>
      </c>
      <c r="O103" s="8" t="n">
        <f aca="false">Parametros!$B$8+(Parametros!$B$12*(1-Parametros!$B$7)+Parametros!$B$13*Parametros!$B$7)*(1-0.55*O$5/(O$5+150))*9.81*Parametros!$B$11/100000+5*($F103/200)^1.8*(3.5/Parametros!$B$10)^4.8</f>
        <v>109.270140354576</v>
      </c>
    </row>
    <row r="104" customFormat="false" ht="15" hidden="false" customHeight="false" outlineLevel="0" collapsed="false">
      <c r="F104" s="8" t="n">
        <f aca="false">Curvas!A103</f>
        <v>204.166666666667</v>
      </c>
      <c r="G104" s="8" t="n">
        <f aca="false">Parametros!$B$8+(Parametros!$B$12*(1-Parametros!$B$7)+Parametros!$B$13*Parametros!$B$7)*(1-0.55*G$5/(G$5+150))*9.81*Parametros!$B$11/100000+5*($F104/200)^1.8*(3.5/Parametros!$B$10)^4.8</f>
        <v>172.149060343302</v>
      </c>
      <c r="H104" s="8" t="n">
        <f aca="false">Parametros!$B$8+(Parametros!$B$12*(1-Parametros!$B$7)+Parametros!$B$13*Parametros!$B$7)*(1-0.55*H$5/(H$5+150))*9.81*Parametros!$B$11/100000+5*($F104/200)^1.8*(3.5/Parametros!$B$10)^4.8</f>
        <v>150.567060343302</v>
      </c>
      <c r="I104" s="8" t="n">
        <f aca="false">Parametros!$B$8+(Parametros!$B$12*(1-Parametros!$B$7)+Parametros!$B$13*Parametros!$B$7)*(1-0.55*I$5/(I$5+150))*9.81*Parametros!$B$11/100000+5*($F104/200)^1.8*(3.5/Parametros!$B$10)^4.8</f>
        <v>137.617860343302</v>
      </c>
      <c r="J104" s="8" t="n">
        <f aca="false">Parametros!$B$8+(Parametros!$B$12*(1-Parametros!$B$7)+Parametros!$B$13*Parametros!$B$7)*(1-0.55*J$5/(J$5+150))*9.81*Parametros!$B$11/100000+5*($F104/200)^1.8*(3.5/Parametros!$B$10)^4.8</f>
        <v>128.985060343302</v>
      </c>
      <c r="K104" s="8" t="n">
        <f aca="false">Parametros!$B$8+(Parametros!$B$12*(1-Parametros!$B$7)+Parametros!$B$13*Parametros!$B$7)*(1-0.55*K$5/(K$5+150))*9.81*Parametros!$B$11/100000+5*($F104/200)^1.8*(3.5/Parametros!$B$10)^4.8</f>
        <v>122.818774629016</v>
      </c>
      <c r="L104" s="8" t="n">
        <f aca="false">Parametros!$B$8+(Parametros!$B$12*(1-Parametros!$B$7)+Parametros!$B$13*Parametros!$B$7)*(1-0.55*L$5/(L$5+150))*9.81*Parametros!$B$11/100000+5*($F104/200)^1.8*(3.5/Parametros!$B$10)^4.8</f>
        <v>118.194060343302</v>
      </c>
      <c r="M104" s="8" t="n">
        <f aca="false">Parametros!$B$8+(Parametros!$B$12*(1-Parametros!$B$7)+Parametros!$B$13*Parametros!$B$7)*(1-0.55*M$5/(M$5+150))*9.81*Parametros!$B$11/100000+5*($F104/200)^1.8*(3.5/Parametros!$B$10)^4.8</f>
        <v>114.597060343302</v>
      </c>
      <c r="N104" s="8" t="n">
        <f aca="false">Parametros!$B$8+(Parametros!$B$12*(1-Parametros!$B$7)+Parametros!$B$13*Parametros!$B$7)*(1-0.55*N$5/(N$5+150))*9.81*Parametros!$B$11/100000+5*($F104/200)^1.8*(3.5/Parametros!$B$10)^4.8</f>
        <v>111.719460343302</v>
      </c>
      <c r="O104" s="8" t="n">
        <f aca="false">Parametros!$B$8+(Parametros!$B$12*(1-Parametros!$B$7)+Parametros!$B$13*Parametros!$B$7)*(1-0.55*O$5/(O$5+150))*9.81*Parametros!$B$11/100000+5*($F104/200)^1.8*(3.5/Parametros!$B$10)^4.8</f>
        <v>109.365060343302</v>
      </c>
    </row>
    <row r="105" customFormat="false" ht="15" hidden="false" customHeight="false" outlineLevel="0" collapsed="false">
      <c r="F105" s="8" t="n">
        <f aca="false">Curvas!A104</f>
        <v>206.25</v>
      </c>
      <c r="G105" s="8" t="n">
        <f aca="false">Parametros!$B$8+(Parametros!$B$12*(1-Parametros!$B$7)+Parametros!$B$13*Parametros!$B$7)*(1-0.55*G$5/(G$5+150))*9.81*Parametros!$B$11/100000+5*($F105/200)^1.8*(3.5/Parametros!$B$10)^4.8</f>
        <v>172.244758368517</v>
      </c>
      <c r="H105" s="8" t="n">
        <f aca="false">Parametros!$B$8+(Parametros!$B$12*(1-Parametros!$B$7)+Parametros!$B$13*Parametros!$B$7)*(1-0.55*H$5/(H$5+150))*9.81*Parametros!$B$11/100000+5*($F105/200)^1.8*(3.5/Parametros!$B$10)^4.8</f>
        <v>150.662758368517</v>
      </c>
      <c r="I105" s="8" t="n">
        <f aca="false">Parametros!$B$8+(Parametros!$B$12*(1-Parametros!$B$7)+Parametros!$B$13*Parametros!$B$7)*(1-0.55*I$5/(I$5+150))*9.81*Parametros!$B$11/100000+5*($F105/200)^1.8*(3.5/Parametros!$B$10)^4.8</f>
        <v>137.713558368517</v>
      </c>
      <c r="J105" s="8" t="n">
        <f aca="false">Parametros!$B$8+(Parametros!$B$12*(1-Parametros!$B$7)+Parametros!$B$13*Parametros!$B$7)*(1-0.55*J$5/(J$5+150))*9.81*Parametros!$B$11/100000+5*($F105/200)^1.8*(3.5/Parametros!$B$10)^4.8</f>
        <v>129.080758368517</v>
      </c>
      <c r="K105" s="8" t="n">
        <f aca="false">Parametros!$B$8+(Parametros!$B$12*(1-Parametros!$B$7)+Parametros!$B$13*Parametros!$B$7)*(1-0.55*K$5/(K$5+150))*9.81*Parametros!$B$11/100000+5*($F105/200)^1.8*(3.5/Parametros!$B$10)^4.8</f>
        <v>122.914472654231</v>
      </c>
      <c r="L105" s="8" t="n">
        <f aca="false">Parametros!$B$8+(Parametros!$B$12*(1-Parametros!$B$7)+Parametros!$B$13*Parametros!$B$7)*(1-0.55*L$5/(L$5+150))*9.81*Parametros!$B$11/100000+5*($F105/200)^1.8*(3.5/Parametros!$B$10)^4.8</f>
        <v>118.289758368517</v>
      </c>
      <c r="M105" s="8" t="n">
        <f aca="false">Parametros!$B$8+(Parametros!$B$12*(1-Parametros!$B$7)+Parametros!$B$13*Parametros!$B$7)*(1-0.55*M$5/(M$5+150))*9.81*Parametros!$B$11/100000+5*($F105/200)^1.8*(3.5/Parametros!$B$10)^4.8</f>
        <v>114.692758368517</v>
      </c>
      <c r="N105" s="8" t="n">
        <f aca="false">Parametros!$B$8+(Parametros!$B$12*(1-Parametros!$B$7)+Parametros!$B$13*Parametros!$B$7)*(1-0.55*N$5/(N$5+150))*9.81*Parametros!$B$11/100000+5*($F105/200)^1.8*(3.5/Parametros!$B$10)^4.8</f>
        <v>111.815158368517</v>
      </c>
      <c r="O105" s="8" t="n">
        <f aca="false">Parametros!$B$8+(Parametros!$B$12*(1-Parametros!$B$7)+Parametros!$B$13*Parametros!$B$7)*(1-0.55*O$5/(O$5+150))*9.81*Parametros!$B$11/100000+5*($F105/200)^1.8*(3.5/Parametros!$B$10)^4.8</f>
        <v>109.460758368517</v>
      </c>
    </row>
    <row r="106" customFormat="false" ht="15" hidden="false" customHeight="false" outlineLevel="0" collapsed="false">
      <c r="F106" s="8" t="n">
        <f aca="false">Curvas!A105</f>
        <v>208.333333333333</v>
      </c>
      <c r="G106" s="8" t="n">
        <f aca="false">Parametros!$B$8+(Parametros!$B$12*(1-Parametros!$B$7)+Parametros!$B$13*Parametros!$B$7)*(1-0.55*G$5/(G$5+150))*9.81*Parametros!$B$11/100000+5*($F106/200)^1.8*(3.5/Parametros!$B$10)^4.8</f>
        <v>172.34123285201</v>
      </c>
      <c r="H106" s="8" t="n">
        <f aca="false">Parametros!$B$8+(Parametros!$B$12*(1-Parametros!$B$7)+Parametros!$B$13*Parametros!$B$7)*(1-0.55*H$5/(H$5+150))*9.81*Parametros!$B$11/100000+5*($F106/200)^1.8*(3.5/Parametros!$B$10)^4.8</f>
        <v>150.75923285201</v>
      </c>
      <c r="I106" s="8" t="n">
        <f aca="false">Parametros!$B$8+(Parametros!$B$12*(1-Parametros!$B$7)+Parametros!$B$13*Parametros!$B$7)*(1-0.55*I$5/(I$5+150))*9.81*Parametros!$B$11/100000+5*($F106/200)^1.8*(3.5/Parametros!$B$10)^4.8</f>
        <v>137.81003285201</v>
      </c>
      <c r="J106" s="8" t="n">
        <f aca="false">Parametros!$B$8+(Parametros!$B$12*(1-Parametros!$B$7)+Parametros!$B$13*Parametros!$B$7)*(1-0.55*J$5/(J$5+150))*9.81*Parametros!$B$11/100000+5*($F106/200)^1.8*(3.5/Parametros!$B$10)^4.8</f>
        <v>129.17723285201</v>
      </c>
      <c r="K106" s="8" t="n">
        <f aca="false">Parametros!$B$8+(Parametros!$B$12*(1-Parametros!$B$7)+Parametros!$B$13*Parametros!$B$7)*(1-0.55*K$5/(K$5+150))*9.81*Parametros!$B$11/100000+5*($F106/200)^1.8*(3.5/Parametros!$B$10)^4.8</f>
        <v>123.010947137725</v>
      </c>
      <c r="L106" s="8" t="n">
        <f aca="false">Parametros!$B$8+(Parametros!$B$12*(1-Parametros!$B$7)+Parametros!$B$13*Parametros!$B$7)*(1-0.55*L$5/(L$5+150))*9.81*Parametros!$B$11/100000+5*($F106/200)^1.8*(3.5/Parametros!$B$10)^4.8</f>
        <v>118.38623285201</v>
      </c>
      <c r="M106" s="8" t="n">
        <f aca="false">Parametros!$B$8+(Parametros!$B$12*(1-Parametros!$B$7)+Parametros!$B$13*Parametros!$B$7)*(1-0.55*M$5/(M$5+150))*9.81*Parametros!$B$11/100000+5*($F106/200)^1.8*(3.5/Parametros!$B$10)^4.8</f>
        <v>114.78923285201</v>
      </c>
      <c r="N106" s="8" t="n">
        <f aca="false">Parametros!$B$8+(Parametros!$B$12*(1-Parametros!$B$7)+Parametros!$B$13*Parametros!$B$7)*(1-0.55*N$5/(N$5+150))*9.81*Parametros!$B$11/100000+5*($F106/200)^1.8*(3.5/Parametros!$B$10)^4.8</f>
        <v>111.91163285201</v>
      </c>
      <c r="O106" s="8" t="n">
        <f aca="false">Parametros!$B$8+(Parametros!$B$12*(1-Parametros!$B$7)+Parametros!$B$13*Parametros!$B$7)*(1-0.55*O$5/(O$5+150))*9.81*Parametros!$B$11/100000+5*($F106/200)^1.8*(3.5/Parametros!$B$10)^4.8</f>
        <v>109.55723285201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2026-10-31T08:03:48Z</dcterms:created>
  <dc:creator>openpyxl</dc:creator>
  <dc:description/>
  <dc:language>en-US</dc:language>
  <cp:lastModifiedBy/>
  <dcterms:modified xsi:type="dcterms:W3CDTF">2026-10-31T08:03:48Z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