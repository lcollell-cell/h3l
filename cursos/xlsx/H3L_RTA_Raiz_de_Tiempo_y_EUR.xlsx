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TA" sheetId="1" state="visible" r:id="rId3"/>
    <sheet name="EU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<sst xmlns="http://schemas.openxmlformats.org/spreadsheetml/2006/main" count="44" uniqueCount="37">
  <si>
    <t xml:space="preserve">Raíz de tiempo, ventana de ajuste y pronóstico lineal</t>
  </si>
  <si>
    <t xml:space="preserve">Pozo sintético con ruido (pendiente real m = 3, ordenada b = 16, fin del flujo lineal a 500 d; unidades ×10⁻⁵).</t>
  </si>
  <si>
    <t xml:space="preserve">Parámetro</t>
  </si>
  <si>
    <t xml:space="preserve">Valor</t>
  </si>
  <si>
    <t xml:space="preserve">Unidad</t>
  </si>
  <si>
    <t xml:space="preserve">Ventana: desde</t>
  </si>
  <si>
    <t xml:space="preserve">días</t>
  </si>
  <si>
    <t xml:space="preserve">Ventana: hasta</t>
  </si>
  <si>
    <t xml:space="preserve">Puntos en la ventana</t>
  </si>
  <si>
    <t xml:space="preserve">Pendiente ajustada m (×10⁻⁵)</t>
  </si>
  <si>
    <t xml:space="preserve">Ordenada ajustada b (×10⁻⁵)</t>
  </si>
  <si>
    <t xml:space="preserve">Pendiente real del ejemplo</t>
  </si>
  <si>
    <t xml:space="preserve">A·√k estimado / real</t>
  </si>
  <si>
    <t xml:space="preserve">Menor que 100 %: la ventana incluye flujo límite</t>
  </si>
  <si>
    <t xml:space="preserve">Pronóstico a 10 años con la recta (bbl/d)</t>
  </si>
  <si>
    <t xml:space="preserve">t (d)</t>
  </si>
  <si>
    <t xml:space="preserve">q (bbl/d)</t>
  </si>
  <si>
    <t xml:space="preserve">√t</t>
  </si>
  <si>
    <t xml:space="preserve">1/q (×10⁻⁵)</t>
  </si>
  <si>
    <t xml:space="preserve">¿En ventana?</t>
  </si>
  <si>
    <t xml:space="preserve">Declinación hiperbólica modificada y EUR</t>
  </si>
  <si>
    <t xml:space="preserve">El caudal pasa a declinación exponencial cuando la declinación instantánea baja a Dmin.</t>
  </si>
  <si>
    <t xml:space="preserve">t (años)</t>
  </si>
  <si>
    <t xml:space="preserve">q hiperbólica pura</t>
  </si>
  <si>
    <t xml:space="preserve">q modificada</t>
  </si>
  <si>
    <t xml:space="preserve">Caudal inicial qi</t>
  </si>
  <si>
    <t xml:space="preserve">bbl/d</t>
  </si>
  <si>
    <t xml:space="preserve">Declinación inicial Di</t>
  </si>
  <si>
    <t xml:space="preserve">1/año</t>
  </si>
  <si>
    <t xml:space="preserve">Exponente b</t>
  </si>
  <si>
    <t xml:space="preserve">Declinación terminal Dmin</t>
  </si>
  <si>
    <t xml:space="preserve">Límite económico</t>
  </si>
  <si>
    <t xml:space="preserve">Tiempo de transición ts (años)</t>
  </si>
  <si>
    <t xml:space="preserve">EUR a 30 años, hiperbólica modificada</t>
  </si>
  <si>
    <t xml:space="preserve">Mbbl</t>
  </si>
  <si>
    <t xml:space="preserve">EUR a 30 años, hiperbólica pura</t>
  </si>
  <si>
    <t xml:space="preserve">Sobreestimación de la hiperbólica pura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</si>
</sst>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"/>
    <numFmt numFmtId="168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60</v>
      </c>
      <c r="C5" s="5" t="s">
        <v>6</v>
      </c>
    </row>
    <row r="6" customFormat="false" ht="15" hidden="false" customHeight="false" outlineLevel="0" collapsed="false">
      <c r="A6" s="0" t="s">
        <v>7</v>
      </c>
      <c r="B6" s="4" t="n">
        <v>400</v>
      </c>
      <c r="C6" s="5" t="s">
        <v>6</v>
      </c>
    </row>
    <row r="7" customFormat="false" ht="15" hidden="false" customHeight="false" outlineLevel="0" collapsed="false">
      <c r="A7" s="0" t="s">
        <v>8</v>
      </c>
      <c r="B7" s="6" t="n">
        <f aca="false">SUM(E15:E94)</f>
        <v>15</v>
      </c>
    </row>
    <row r="8" customFormat="false" ht="15" hidden="false" customHeight="false" outlineLevel="0" collapsed="false">
      <c r="A8" s="0" t="s">
        <v>9</v>
      </c>
      <c r="B8" s="7" t="n">
        <f aca="false">(B7*SUMPRODUCT(E15:E94,C15:C94,D15:D94)-SUMPRODUCT(E15:E94,C15:C94)*SUMPRODUCT(E15:E94,D15:D94))/(B7*SUMPRODUCT(E15:E94,C15:C94,C15:C94)-SUMPRODUCT(E15:E94,C15:C94)^2)</f>
        <v>3.13283911392343</v>
      </c>
    </row>
    <row r="9" customFormat="false" ht="15" hidden="false" customHeight="false" outlineLevel="0" collapsed="false">
      <c r="A9" s="0" t="s">
        <v>10</v>
      </c>
      <c r="B9" s="8" t="n">
        <f aca="false">(SUMPRODUCT(E15:E94,D15:D94)-B8*SUMPRODUCT(E15:E94,C15:C94))/B7</f>
        <v>14.0411675771519</v>
      </c>
    </row>
    <row r="10" customFormat="false" ht="15" hidden="false" customHeight="false" outlineLevel="0" collapsed="false">
      <c r="A10" s="0" t="s">
        <v>11</v>
      </c>
      <c r="B10" s="9" t="n">
        <v>3</v>
      </c>
    </row>
    <row r="11" customFormat="false" ht="15" hidden="false" customHeight="false" outlineLevel="0" collapsed="false">
      <c r="A11" s="0" t="s">
        <v>12</v>
      </c>
      <c r="B11" s="10" t="n">
        <f aca="false">B10/B8</f>
        <v>0.957597850035436</v>
      </c>
      <c r="C11" s="2" t="s">
        <v>13</v>
      </c>
    </row>
    <row r="12" customFormat="false" ht="15" hidden="false" customHeight="false" outlineLevel="0" collapsed="false">
      <c r="A12" s="0" t="s">
        <v>14</v>
      </c>
      <c r="B12" s="11" t="n">
        <f aca="false">100000/(B9+B8*SQRT(3650))</f>
        <v>491.854005484831</v>
      </c>
    </row>
    <row r="14" customFormat="false" ht="15" hidden="false" customHeight="false" outlineLevel="0" collapsed="false">
      <c r="A14" s="3" t="s">
        <v>15</v>
      </c>
      <c r="B14" s="3" t="s">
        <v>16</v>
      </c>
      <c r="C14" s="3" t="s">
        <v>17</v>
      </c>
      <c r="D14" s="3" t="s">
        <v>18</v>
      </c>
      <c r="E14" s="3" t="s">
        <v>19</v>
      </c>
    </row>
    <row r="15" customFormat="false" ht="15" hidden="false" customHeight="false" outlineLevel="0" collapsed="false">
      <c r="A15" s="0" t="n">
        <v>10</v>
      </c>
      <c r="B15" s="12" t="n">
        <v>3812.9</v>
      </c>
      <c r="C15" s="13" t="n">
        <f aca="false">SQRT(A15)</f>
        <v>3.16227766016838</v>
      </c>
      <c r="D15" s="14" t="n">
        <f aca="false">100000/B15</f>
        <v>26.2267565370191</v>
      </c>
      <c r="E15" s="6" t="n">
        <f aca="false">IF(AND(A15&gt;=$B$5,A15&lt;=$B$6),1,0)</f>
        <v>0</v>
      </c>
    </row>
    <row r="16" customFormat="false" ht="15" hidden="false" customHeight="false" outlineLevel="0" collapsed="false">
      <c r="A16" s="0" t="n">
        <v>33</v>
      </c>
      <c r="B16" s="12" t="n">
        <v>3029.1</v>
      </c>
      <c r="C16" s="13" t="n">
        <f aca="false">SQRT(A16)</f>
        <v>5.74456264653803</v>
      </c>
      <c r="D16" s="14" t="n">
        <f aca="false">100000/B16</f>
        <v>33.0131062031627</v>
      </c>
      <c r="E16" s="6" t="n">
        <f aca="false">IF(AND(A16&gt;=$B$5,A16&lt;=$B$6),1,0)</f>
        <v>0</v>
      </c>
    </row>
    <row r="17" customFormat="false" ht="15" hidden="false" customHeight="false" outlineLevel="0" collapsed="false">
      <c r="A17" s="0" t="n">
        <v>55</v>
      </c>
      <c r="B17" s="12" t="n">
        <v>2715.9</v>
      </c>
      <c r="C17" s="13" t="n">
        <f aca="false">SQRT(A17)</f>
        <v>7.41619848709566</v>
      </c>
      <c r="D17" s="14" t="n">
        <f aca="false">100000/B17</f>
        <v>36.8202069295629</v>
      </c>
      <c r="E17" s="6" t="n">
        <f aca="false">IF(AND(A17&gt;=$B$5,A17&lt;=$B$6),1,0)</f>
        <v>0</v>
      </c>
    </row>
    <row r="18" customFormat="false" ht="15" hidden="false" customHeight="false" outlineLevel="0" collapsed="false">
      <c r="A18" s="0" t="n">
        <v>78</v>
      </c>
      <c r="B18" s="12" t="n">
        <v>2461.5</v>
      </c>
      <c r="C18" s="13" t="n">
        <f aca="false">SQRT(A18)</f>
        <v>8.83176086632785</v>
      </c>
      <c r="D18" s="14" t="n">
        <f aca="false">100000/B18</f>
        <v>40.6256347755434</v>
      </c>
      <c r="E18" s="6" t="n">
        <f aca="false">IF(AND(A18&gt;=$B$5,A18&lt;=$B$6),1,0)</f>
        <v>1</v>
      </c>
    </row>
    <row r="19" customFormat="false" ht="15" hidden="false" customHeight="false" outlineLevel="0" collapsed="false">
      <c r="A19" s="0" t="n">
        <v>101</v>
      </c>
      <c r="B19" s="12" t="n">
        <v>2243.6</v>
      </c>
      <c r="C19" s="13" t="n">
        <f aca="false">SQRT(A19)</f>
        <v>10.0498756211209</v>
      </c>
      <c r="D19" s="14" t="n">
        <f aca="false">100000/B19</f>
        <v>44.571224817258</v>
      </c>
      <c r="E19" s="6" t="n">
        <f aca="false">IF(AND(A19&gt;=$B$5,A19&lt;=$B$6),1,0)</f>
        <v>1</v>
      </c>
    </row>
    <row r="20" customFormat="false" ht="15" hidden="false" customHeight="false" outlineLevel="0" collapsed="false">
      <c r="A20" s="0" t="n">
        <v>123</v>
      </c>
      <c r="B20" s="12" t="n">
        <v>2032.5</v>
      </c>
      <c r="C20" s="13" t="n">
        <f aca="false">SQRT(A20)</f>
        <v>11.0905365064094</v>
      </c>
      <c r="D20" s="14" t="n">
        <f aca="false">100000/B20</f>
        <v>49.2004920049201</v>
      </c>
      <c r="E20" s="6" t="n">
        <f aca="false">IF(AND(A20&gt;=$B$5,A20&lt;=$B$6),1,0)</f>
        <v>1</v>
      </c>
    </row>
    <row r="21" customFormat="false" ht="15" hidden="false" customHeight="false" outlineLevel="0" collapsed="false">
      <c r="A21" s="0" t="n">
        <v>146</v>
      </c>
      <c r="B21" s="12" t="n">
        <v>1932.8</v>
      </c>
      <c r="C21" s="13" t="n">
        <f aca="false">SQRT(A21)</f>
        <v>12.0830459735946</v>
      </c>
      <c r="D21" s="14" t="n">
        <f aca="false">100000/B21</f>
        <v>51.7384105960265</v>
      </c>
      <c r="E21" s="6" t="n">
        <f aca="false">IF(AND(A21&gt;=$B$5,A21&lt;=$B$6),1,0)</f>
        <v>1</v>
      </c>
    </row>
    <row r="22" customFormat="false" ht="15" hidden="false" customHeight="false" outlineLevel="0" collapsed="false">
      <c r="A22" s="0" t="n">
        <v>169</v>
      </c>
      <c r="B22" s="12" t="n">
        <v>1804.8</v>
      </c>
      <c r="C22" s="13" t="n">
        <f aca="false">SQRT(A22)</f>
        <v>13</v>
      </c>
      <c r="D22" s="14" t="n">
        <f aca="false">100000/B22</f>
        <v>55.4078014184397</v>
      </c>
      <c r="E22" s="6" t="n">
        <f aca="false">IF(AND(A22&gt;=$B$5,A22&lt;=$B$6),1,0)</f>
        <v>1</v>
      </c>
    </row>
    <row r="23" customFormat="false" ht="15" hidden="false" customHeight="false" outlineLevel="0" collapsed="false">
      <c r="A23" s="0" t="n">
        <v>191</v>
      </c>
      <c r="B23" s="12" t="n">
        <v>1672.2</v>
      </c>
      <c r="C23" s="13" t="n">
        <f aca="false">SQRT(A23)</f>
        <v>13.8202749610853</v>
      </c>
      <c r="D23" s="14" t="n">
        <f aca="false">100000/B23</f>
        <v>59.8014591556034</v>
      </c>
      <c r="E23" s="6" t="n">
        <f aca="false">IF(AND(A23&gt;=$B$5,A23&lt;=$B$6),1,0)</f>
        <v>1</v>
      </c>
    </row>
    <row r="24" customFormat="false" ht="15" hidden="false" customHeight="false" outlineLevel="0" collapsed="false">
      <c r="A24" s="0" t="n">
        <v>214</v>
      </c>
      <c r="B24" s="12" t="n">
        <v>1646.6</v>
      </c>
      <c r="C24" s="13" t="n">
        <f aca="false">SQRT(A24)</f>
        <v>14.6287388383278</v>
      </c>
      <c r="D24" s="14" t="n">
        <f aca="false">100000/B24</f>
        <v>60.7312036924572</v>
      </c>
      <c r="E24" s="6" t="n">
        <f aca="false">IF(AND(A24&gt;=$B$5,A24&lt;=$B$6),1,0)</f>
        <v>1</v>
      </c>
    </row>
    <row r="25" customFormat="false" ht="15" hidden="false" customHeight="false" outlineLevel="0" collapsed="false">
      <c r="A25" s="0" t="n">
        <v>237</v>
      </c>
      <c r="B25" s="12" t="n">
        <v>1653.7</v>
      </c>
      <c r="C25" s="13" t="n">
        <f aca="false">SQRT(A25)</f>
        <v>15.3948043183407</v>
      </c>
      <c r="D25" s="14" t="n">
        <f aca="false">100000/B25</f>
        <v>60.470460180202</v>
      </c>
      <c r="E25" s="6" t="n">
        <f aca="false">IF(AND(A25&gt;=$B$5,A25&lt;=$B$6),1,0)</f>
        <v>1</v>
      </c>
    </row>
    <row r="26" customFormat="false" ht="15" hidden="false" customHeight="false" outlineLevel="0" collapsed="false">
      <c r="A26" s="0" t="n">
        <v>259</v>
      </c>
      <c r="B26" s="12" t="n">
        <v>1567.3</v>
      </c>
      <c r="C26" s="13" t="n">
        <f aca="false">SQRT(A26)</f>
        <v>16.0934769394311</v>
      </c>
      <c r="D26" s="14" t="n">
        <f aca="false">100000/B26</f>
        <v>63.8039941300325</v>
      </c>
      <c r="E26" s="6" t="n">
        <f aca="false">IF(AND(A26&gt;=$B$5,A26&lt;=$B$6),1,0)</f>
        <v>1</v>
      </c>
    </row>
    <row r="27" customFormat="false" ht="15" hidden="false" customHeight="false" outlineLevel="0" collapsed="false">
      <c r="A27" s="0" t="n">
        <v>282</v>
      </c>
      <c r="B27" s="12" t="n">
        <v>1492.2</v>
      </c>
      <c r="C27" s="13" t="n">
        <f aca="false">SQRT(A27)</f>
        <v>16.7928556237467</v>
      </c>
      <c r="D27" s="14" t="n">
        <f aca="false">100000/B27</f>
        <v>67.0151454228656</v>
      </c>
      <c r="E27" s="6" t="n">
        <f aca="false">IF(AND(A27&gt;=$B$5,A27&lt;=$B$6),1,0)</f>
        <v>1</v>
      </c>
    </row>
    <row r="28" customFormat="false" ht="15" hidden="false" customHeight="false" outlineLevel="0" collapsed="false">
      <c r="A28" s="0" t="n">
        <v>305</v>
      </c>
      <c r="B28" s="12" t="n">
        <v>1416.1</v>
      </c>
      <c r="C28" s="13" t="n">
        <f aca="false">SQRT(A28)</f>
        <v>17.464249196573</v>
      </c>
      <c r="D28" s="14" t="n">
        <f aca="false">100000/B28</f>
        <v>70.6164818868724</v>
      </c>
      <c r="E28" s="6" t="n">
        <f aca="false">IF(AND(A28&gt;=$B$5,A28&lt;=$B$6),1,0)</f>
        <v>1</v>
      </c>
    </row>
    <row r="29" customFormat="false" ht="15" hidden="false" customHeight="false" outlineLevel="0" collapsed="false">
      <c r="A29" s="0" t="n">
        <v>327</v>
      </c>
      <c r="B29" s="12" t="n">
        <v>1419.6</v>
      </c>
      <c r="C29" s="13" t="n">
        <f aca="false">SQRT(A29)</f>
        <v>18.0831413200251</v>
      </c>
      <c r="D29" s="14" t="n">
        <f aca="false">100000/B29</f>
        <v>70.4423781346858</v>
      </c>
      <c r="E29" s="6" t="n">
        <f aca="false">IF(AND(A29&gt;=$B$5,A29&lt;=$B$6),1,0)</f>
        <v>1</v>
      </c>
    </row>
    <row r="30" customFormat="false" ht="15" hidden="false" customHeight="false" outlineLevel="0" collapsed="false">
      <c r="A30" s="0" t="n">
        <v>350</v>
      </c>
      <c r="B30" s="12" t="n">
        <v>1362.5</v>
      </c>
      <c r="C30" s="13" t="n">
        <f aca="false">SQRT(A30)</f>
        <v>18.7082869338697</v>
      </c>
      <c r="D30" s="14" t="n">
        <f aca="false">100000/B30</f>
        <v>73.394495412844</v>
      </c>
      <c r="E30" s="6" t="n">
        <f aca="false">IF(AND(A30&gt;=$B$5,A30&lt;=$B$6),1,0)</f>
        <v>1</v>
      </c>
    </row>
    <row r="31" customFormat="false" ht="15" hidden="false" customHeight="false" outlineLevel="0" collapsed="false">
      <c r="A31" s="0" t="n">
        <v>373</v>
      </c>
      <c r="B31" s="12" t="n">
        <v>1353.9</v>
      </c>
      <c r="C31" s="13" t="n">
        <f aca="false">SQRT(A31)</f>
        <v>19.313207915828</v>
      </c>
      <c r="D31" s="14" t="n">
        <f aca="false">100000/B31</f>
        <v>73.8606987222099</v>
      </c>
      <c r="E31" s="6" t="n">
        <f aca="false">IF(AND(A31&gt;=$B$5,A31&lt;=$B$6),1,0)</f>
        <v>1</v>
      </c>
    </row>
    <row r="32" customFormat="false" ht="15" hidden="false" customHeight="false" outlineLevel="0" collapsed="false">
      <c r="A32" s="0" t="n">
        <v>395</v>
      </c>
      <c r="B32" s="12" t="n">
        <v>1341.5</v>
      </c>
      <c r="C32" s="13" t="n">
        <f aca="false">SQRT(A32)</f>
        <v>19.8746069143518</v>
      </c>
      <c r="D32" s="14" t="n">
        <f aca="false">100000/B32</f>
        <v>74.5434215430488</v>
      </c>
      <c r="E32" s="6" t="n">
        <f aca="false">IF(AND(A32&gt;=$B$5,A32&lt;=$B$6),1,0)</f>
        <v>1</v>
      </c>
    </row>
    <row r="33" customFormat="false" ht="15" hidden="false" customHeight="false" outlineLevel="0" collapsed="false">
      <c r="A33" s="0" t="n">
        <v>418</v>
      </c>
      <c r="B33" s="12" t="n">
        <v>1205.1</v>
      </c>
      <c r="C33" s="13" t="n">
        <f aca="false">SQRT(A33)</f>
        <v>20.4450483002609</v>
      </c>
      <c r="D33" s="14" t="n">
        <f aca="false">100000/B33</f>
        <v>82.9806655049374</v>
      </c>
      <c r="E33" s="6" t="n">
        <f aca="false">IF(AND(A33&gt;=$B$5,A33&lt;=$B$6),1,0)</f>
        <v>0</v>
      </c>
    </row>
    <row r="34" customFormat="false" ht="15" hidden="false" customHeight="false" outlineLevel="0" collapsed="false">
      <c r="A34" s="0" t="n">
        <v>441</v>
      </c>
      <c r="B34" s="12" t="n">
        <v>1262.4</v>
      </c>
      <c r="C34" s="13" t="n">
        <f aca="false">SQRT(A34)</f>
        <v>21</v>
      </c>
      <c r="D34" s="14" t="n">
        <f aca="false">100000/B34</f>
        <v>79.2141951837769</v>
      </c>
      <c r="E34" s="6" t="n">
        <f aca="false">IF(AND(A34&gt;=$B$5,A34&lt;=$B$6),1,0)</f>
        <v>0</v>
      </c>
    </row>
    <row r="35" customFormat="false" ht="15" hidden="false" customHeight="false" outlineLevel="0" collapsed="false">
      <c r="A35" s="0" t="n">
        <v>463</v>
      </c>
      <c r="B35" s="12" t="n">
        <v>1187.3</v>
      </c>
      <c r="C35" s="13" t="n">
        <f aca="false">SQRT(A35)</f>
        <v>21.51743479135</v>
      </c>
      <c r="D35" s="14" t="n">
        <f aca="false">100000/B35</f>
        <v>84.224711530363</v>
      </c>
      <c r="E35" s="6" t="n">
        <f aca="false">IF(AND(A35&gt;=$B$5,A35&lt;=$B$6),1,0)</f>
        <v>0</v>
      </c>
    </row>
    <row r="36" customFormat="false" ht="15" hidden="false" customHeight="false" outlineLevel="0" collapsed="false">
      <c r="A36" s="0" t="n">
        <v>486</v>
      </c>
      <c r="B36" s="12" t="n">
        <v>1183.6</v>
      </c>
      <c r="C36" s="13" t="n">
        <f aca="false">SQRT(A36)</f>
        <v>22.0454076850486</v>
      </c>
      <c r="D36" s="14" t="n">
        <f aca="false">100000/B36</f>
        <v>84.4880027036161</v>
      </c>
      <c r="E36" s="6" t="n">
        <f aca="false">IF(AND(A36&gt;=$B$5,A36&lt;=$B$6),1,0)</f>
        <v>0</v>
      </c>
    </row>
    <row r="37" customFormat="false" ht="15" hidden="false" customHeight="false" outlineLevel="0" collapsed="false">
      <c r="A37" s="0" t="n">
        <v>508</v>
      </c>
      <c r="B37" s="12" t="n">
        <v>1151.7</v>
      </c>
      <c r="C37" s="13" t="n">
        <f aca="false">SQRT(A37)</f>
        <v>22.5388553391693</v>
      </c>
      <c r="D37" s="14" t="n">
        <f aca="false">100000/B37</f>
        <v>86.8281670573934</v>
      </c>
      <c r="E37" s="6" t="n">
        <f aca="false">IF(AND(A37&gt;=$B$5,A37&lt;=$B$6),1,0)</f>
        <v>0</v>
      </c>
    </row>
    <row r="38" customFormat="false" ht="15" hidden="false" customHeight="false" outlineLevel="0" collapsed="false">
      <c r="A38" s="0" t="n">
        <v>531</v>
      </c>
      <c r="B38" s="12" t="n">
        <v>1212.8</v>
      </c>
      <c r="C38" s="13" t="n">
        <f aca="false">SQRT(A38)</f>
        <v>23.0434372436058</v>
      </c>
      <c r="D38" s="14" t="n">
        <f aca="false">100000/B38</f>
        <v>82.4538258575198</v>
      </c>
      <c r="E38" s="6" t="n">
        <f aca="false">IF(AND(A38&gt;=$B$5,A38&lt;=$B$6),1,0)</f>
        <v>0</v>
      </c>
    </row>
    <row r="39" customFormat="false" ht="15" hidden="false" customHeight="false" outlineLevel="0" collapsed="false">
      <c r="A39" s="0" t="n">
        <v>554</v>
      </c>
      <c r="B39" s="12" t="n">
        <v>1175.3</v>
      </c>
      <c r="C39" s="13" t="n">
        <f aca="false">SQRT(A39)</f>
        <v>23.5372045918796</v>
      </c>
      <c r="D39" s="14" t="n">
        <f aca="false">100000/B39</f>
        <v>85.0846592359398</v>
      </c>
      <c r="E39" s="6" t="n">
        <f aca="false">IF(AND(A39&gt;=$B$5,A39&lt;=$B$6),1,0)</f>
        <v>0</v>
      </c>
    </row>
    <row r="40" customFormat="false" ht="15" hidden="false" customHeight="false" outlineLevel="0" collapsed="false">
      <c r="A40" s="0" t="n">
        <v>576</v>
      </c>
      <c r="B40" s="12" t="n">
        <v>1148.8</v>
      </c>
      <c r="C40" s="13" t="n">
        <f aca="false">SQRT(A40)</f>
        <v>24</v>
      </c>
      <c r="D40" s="14" t="n">
        <f aca="false">100000/B40</f>
        <v>87.0473537604457</v>
      </c>
      <c r="E40" s="6" t="n">
        <f aca="false">IF(AND(A40&gt;=$B$5,A40&lt;=$B$6),1,0)</f>
        <v>0</v>
      </c>
    </row>
    <row r="41" customFormat="false" ht="15" hidden="false" customHeight="false" outlineLevel="0" collapsed="false">
      <c r="A41" s="0" t="n">
        <v>599</v>
      </c>
      <c r="B41" s="12" t="n">
        <v>1086.6</v>
      </c>
      <c r="C41" s="13" t="n">
        <f aca="false">SQRT(A41)</f>
        <v>24.4744765010408</v>
      </c>
      <c r="D41" s="14" t="n">
        <f aca="false">100000/B41</f>
        <v>92.0301859009755</v>
      </c>
      <c r="E41" s="6" t="n">
        <f aca="false">IF(AND(A41&gt;=$B$5,A41&lt;=$B$6),1,0)</f>
        <v>0</v>
      </c>
    </row>
    <row r="42" customFormat="false" ht="15" hidden="false" customHeight="false" outlineLevel="0" collapsed="false">
      <c r="A42" s="0" t="n">
        <v>622</v>
      </c>
      <c r="B42" s="12" t="n">
        <v>1043.9</v>
      </c>
      <c r="C42" s="13" t="n">
        <f aca="false">SQRT(A42)</f>
        <v>24.9399278266799</v>
      </c>
      <c r="D42" s="14" t="n">
        <f aca="false">100000/B42</f>
        <v>95.7946163425615</v>
      </c>
      <c r="E42" s="6" t="n">
        <f aca="false">IF(AND(A42&gt;=$B$5,A42&lt;=$B$6),1,0)</f>
        <v>0</v>
      </c>
    </row>
    <row r="43" customFormat="false" ht="15" hidden="false" customHeight="false" outlineLevel="0" collapsed="false">
      <c r="A43" s="0" t="n">
        <v>644</v>
      </c>
      <c r="B43" s="12" t="n">
        <v>1059.4</v>
      </c>
      <c r="C43" s="13" t="n">
        <f aca="false">SQRT(A43)</f>
        <v>25.377155080899</v>
      </c>
      <c r="D43" s="14" t="n">
        <f aca="false">100000/B43</f>
        <v>94.3930526713234</v>
      </c>
      <c r="E43" s="6" t="n">
        <f aca="false">IF(AND(A43&gt;=$B$5,A43&lt;=$B$6),1,0)</f>
        <v>0</v>
      </c>
    </row>
    <row r="44" customFormat="false" ht="15" hidden="false" customHeight="false" outlineLevel="0" collapsed="false">
      <c r="A44" s="0" t="n">
        <v>667</v>
      </c>
      <c r="B44" s="12" t="n">
        <v>1058.2</v>
      </c>
      <c r="C44" s="13" t="n">
        <f aca="false">SQRT(A44)</f>
        <v>25.8263431402899</v>
      </c>
      <c r="D44" s="14" t="n">
        <f aca="false">100000/B44</f>
        <v>94.5000945000945</v>
      </c>
      <c r="E44" s="6" t="n">
        <f aca="false">IF(AND(A44&gt;=$B$5,A44&lt;=$B$6),1,0)</f>
        <v>0</v>
      </c>
    </row>
    <row r="45" customFormat="false" ht="15" hidden="false" customHeight="false" outlineLevel="0" collapsed="false">
      <c r="A45" s="0" t="n">
        <v>690</v>
      </c>
      <c r="B45" s="12" t="n">
        <v>1030.2</v>
      </c>
      <c r="C45" s="13" t="n">
        <f aca="false">SQRT(A45)</f>
        <v>26.2678510731274</v>
      </c>
      <c r="D45" s="14" t="n">
        <f aca="false">100000/B45</f>
        <v>97.06853038245</v>
      </c>
      <c r="E45" s="6" t="n">
        <f aca="false">IF(AND(A45&gt;=$B$5,A45&lt;=$B$6),1,0)</f>
        <v>0</v>
      </c>
    </row>
    <row r="46" customFormat="false" ht="15" hidden="false" customHeight="false" outlineLevel="0" collapsed="false">
      <c r="A46" s="0" t="n">
        <v>712</v>
      </c>
      <c r="B46" s="12" t="n">
        <v>1035</v>
      </c>
      <c r="C46" s="13" t="n">
        <f aca="false">SQRT(A46)</f>
        <v>26.6833281282527</v>
      </c>
      <c r="D46" s="14" t="n">
        <f aca="false">100000/B46</f>
        <v>96.6183574879227</v>
      </c>
      <c r="E46" s="6" t="n">
        <f aca="false">IF(AND(A46&gt;=$B$5,A46&lt;=$B$6),1,0)</f>
        <v>0</v>
      </c>
    </row>
    <row r="47" customFormat="false" ht="15" hidden="false" customHeight="false" outlineLevel="0" collapsed="false">
      <c r="A47" s="0" t="n">
        <v>735</v>
      </c>
      <c r="B47" s="12" t="n">
        <v>985</v>
      </c>
      <c r="C47" s="13" t="n">
        <f aca="false">SQRT(A47)</f>
        <v>27.1108834234519</v>
      </c>
      <c r="D47" s="14" t="n">
        <f aca="false">100000/B47</f>
        <v>101.522842639594</v>
      </c>
      <c r="E47" s="6" t="n">
        <f aca="false">IF(AND(A47&gt;=$B$5,A47&lt;=$B$6),1,0)</f>
        <v>0</v>
      </c>
    </row>
    <row r="48" customFormat="false" ht="15" hidden="false" customHeight="false" outlineLevel="0" collapsed="false">
      <c r="A48" s="0" t="n">
        <v>758</v>
      </c>
      <c r="B48" s="12" t="n">
        <v>1029.7</v>
      </c>
      <c r="C48" s="13" t="n">
        <f aca="false">SQRT(A48)</f>
        <v>27.5317997958724</v>
      </c>
      <c r="D48" s="14" t="n">
        <f aca="false">100000/B48</f>
        <v>97.1156647567253</v>
      </c>
      <c r="E48" s="6" t="n">
        <f aca="false">IF(AND(A48&gt;=$B$5,A48&lt;=$B$6),1,0)</f>
        <v>0</v>
      </c>
    </row>
    <row r="49" customFormat="false" ht="15" hidden="false" customHeight="false" outlineLevel="0" collapsed="false">
      <c r="A49" s="0" t="n">
        <v>780</v>
      </c>
      <c r="B49" s="12" t="n">
        <v>978.8</v>
      </c>
      <c r="C49" s="13" t="n">
        <f aca="false">SQRT(A49)</f>
        <v>27.9284800875379</v>
      </c>
      <c r="D49" s="14" t="n">
        <f aca="false">100000/B49</f>
        <v>102.165917449939</v>
      </c>
      <c r="E49" s="6" t="n">
        <f aca="false">IF(AND(A49&gt;=$B$5,A49&lt;=$B$6),1,0)</f>
        <v>0</v>
      </c>
    </row>
    <row r="50" customFormat="false" ht="15" hidden="false" customHeight="false" outlineLevel="0" collapsed="false">
      <c r="A50" s="0" t="n">
        <v>803</v>
      </c>
      <c r="B50" s="12" t="n">
        <v>998.4</v>
      </c>
      <c r="C50" s="13" t="n">
        <f aca="false">SQRT(A50)</f>
        <v>28.3372546306095</v>
      </c>
      <c r="D50" s="14" t="n">
        <f aca="false">100000/B50</f>
        <v>100.160256410256</v>
      </c>
      <c r="E50" s="6" t="n">
        <f aca="false">IF(AND(A50&gt;=$B$5,A50&lt;=$B$6),1,0)</f>
        <v>0</v>
      </c>
    </row>
    <row r="51" customFormat="false" ht="15" hidden="false" customHeight="false" outlineLevel="0" collapsed="false">
      <c r="A51" s="0" t="n">
        <v>826</v>
      </c>
      <c r="B51" s="12" t="n">
        <v>931.8</v>
      </c>
      <c r="C51" s="13" t="n">
        <f aca="false">SQRT(A51)</f>
        <v>28.7402157263998</v>
      </c>
      <c r="D51" s="14" t="n">
        <f aca="false">100000/B51</f>
        <v>107.319167203263</v>
      </c>
      <c r="E51" s="6" t="n">
        <f aca="false">IF(AND(A51&gt;=$B$5,A51&lt;=$B$6),1,0)</f>
        <v>0</v>
      </c>
    </row>
    <row r="52" customFormat="false" ht="15" hidden="false" customHeight="false" outlineLevel="0" collapsed="false">
      <c r="A52" s="0" t="n">
        <v>848</v>
      </c>
      <c r="B52" s="12" t="n">
        <v>902.5</v>
      </c>
      <c r="C52" s="13" t="n">
        <f aca="false">SQRT(A52)</f>
        <v>29.1204395571221</v>
      </c>
      <c r="D52" s="14" t="n">
        <f aca="false">100000/B52</f>
        <v>110.803324099723</v>
      </c>
      <c r="E52" s="6" t="n">
        <f aca="false">IF(AND(A52&gt;=$B$5,A52&lt;=$B$6),1,0)</f>
        <v>0</v>
      </c>
    </row>
    <row r="53" customFormat="false" ht="15" hidden="false" customHeight="false" outlineLevel="0" collapsed="false">
      <c r="A53" s="0" t="n">
        <v>871</v>
      </c>
      <c r="B53" s="12" t="n">
        <v>869.5</v>
      </c>
      <c r="C53" s="13" t="n">
        <f aca="false">SQRT(A53)</f>
        <v>29.5127091267474</v>
      </c>
      <c r="D53" s="14" t="n">
        <f aca="false">100000/B53</f>
        <v>115.008625646924</v>
      </c>
      <c r="E53" s="6" t="n">
        <f aca="false">IF(AND(A53&gt;=$B$5,A53&lt;=$B$6),1,0)</f>
        <v>0</v>
      </c>
    </row>
    <row r="54" customFormat="false" ht="15" hidden="false" customHeight="false" outlineLevel="0" collapsed="false">
      <c r="A54" s="0" t="n">
        <v>894</v>
      </c>
      <c r="B54" s="12" t="n">
        <v>896.7</v>
      </c>
      <c r="C54" s="13" t="n">
        <f aca="false">SQRT(A54)</f>
        <v>29.8998327754521</v>
      </c>
      <c r="D54" s="14" t="n">
        <f aca="false">100000/B54</f>
        <v>111.520017843203</v>
      </c>
      <c r="E54" s="6" t="n">
        <f aca="false">IF(AND(A54&gt;=$B$5,A54&lt;=$B$6),1,0)</f>
        <v>0</v>
      </c>
    </row>
    <row r="55" customFormat="false" ht="15" hidden="false" customHeight="false" outlineLevel="0" collapsed="false">
      <c r="A55" s="0" t="n">
        <v>916</v>
      </c>
      <c r="B55" s="12" t="n">
        <v>887.1</v>
      </c>
      <c r="C55" s="13" t="n">
        <f aca="false">SQRT(A55)</f>
        <v>30.2654919008431</v>
      </c>
      <c r="D55" s="14" t="n">
        <f aca="false">100000/B55</f>
        <v>112.726862811408</v>
      </c>
      <c r="E55" s="6" t="n">
        <f aca="false">IF(AND(A55&gt;=$B$5,A55&lt;=$B$6),1,0)</f>
        <v>0</v>
      </c>
    </row>
    <row r="56" customFormat="false" ht="15" hidden="false" customHeight="false" outlineLevel="0" collapsed="false">
      <c r="A56" s="0" t="n">
        <v>939</v>
      </c>
      <c r="B56" s="12" t="n">
        <v>848.3</v>
      </c>
      <c r="C56" s="13" t="n">
        <f aca="false">SQRT(A56)</f>
        <v>30.6431068920891</v>
      </c>
      <c r="D56" s="14" t="n">
        <f aca="false">100000/B56</f>
        <v>117.882824472474</v>
      </c>
      <c r="E56" s="6" t="n">
        <f aca="false">IF(AND(A56&gt;=$B$5,A56&lt;=$B$6),1,0)</f>
        <v>0</v>
      </c>
    </row>
    <row r="57" customFormat="false" ht="15" hidden="false" customHeight="false" outlineLevel="0" collapsed="false">
      <c r="A57" s="0" t="n">
        <v>962</v>
      </c>
      <c r="B57" s="12" t="n">
        <v>839</v>
      </c>
      <c r="C57" s="13" t="n">
        <f aca="false">SQRT(A57)</f>
        <v>31.0161248385416</v>
      </c>
      <c r="D57" s="14" t="n">
        <f aca="false">100000/B57</f>
        <v>119.189511323004</v>
      </c>
      <c r="E57" s="6" t="n">
        <f aca="false">IF(AND(A57&gt;=$B$5,A57&lt;=$B$6),1,0)</f>
        <v>0</v>
      </c>
    </row>
    <row r="58" customFormat="false" ht="15" hidden="false" customHeight="false" outlineLevel="0" collapsed="false">
      <c r="A58" s="0" t="n">
        <v>984</v>
      </c>
      <c r="B58" s="12" t="n">
        <v>807.7</v>
      </c>
      <c r="C58" s="13" t="n">
        <f aca="false">SQRT(A58)</f>
        <v>31.3687742827162</v>
      </c>
      <c r="D58" s="14" t="n">
        <f aca="false">100000/B58</f>
        <v>123.808344682432</v>
      </c>
      <c r="E58" s="6" t="n">
        <f aca="false">IF(AND(A58&gt;=$B$5,A58&lt;=$B$6),1,0)</f>
        <v>0</v>
      </c>
    </row>
    <row r="59" customFormat="false" ht="15" hidden="false" customHeight="false" outlineLevel="0" collapsed="false">
      <c r="A59" s="0" t="n">
        <v>1007</v>
      </c>
      <c r="B59" s="12" t="n">
        <v>789.3</v>
      </c>
      <c r="C59" s="13" t="n">
        <f aca="false">SQRT(A59)</f>
        <v>31.7332633052449</v>
      </c>
      <c r="D59" s="14" t="n">
        <f aca="false">100000/B59</f>
        <v>126.694539465349</v>
      </c>
      <c r="E59" s="6" t="n">
        <f aca="false">IF(AND(A59&gt;=$B$5,A59&lt;=$B$6),1,0)</f>
        <v>0</v>
      </c>
    </row>
    <row r="60" customFormat="false" ht="15" hidden="false" customHeight="false" outlineLevel="0" collapsed="false">
      <c r="A60" s="0" t="n">
        <v>1030</v>
      </c>
      <c r="B60" s="12" t="n">
        <v>777.8</v>
      </c>
      <c r="C60" s="13" t="n">
        <f aca="false">SQRT(A60)</f>
        <v>32.0936130717624</v>
      </c>
      <c r="D60" s="14" t="n">
        <f aca="false">100000/B60</f>
        <v>128.567755206994</v>
      </c>
      <c r="E60" s="6" t="n">
        <f aca="false">IF(AND(A60&gt;=$B$5,A60&lt;=$B$6),1,0)</f>
        <v>0</v>
      </c>
    </row>
    <row r="61" customFormat="false" ht="15" hidden="false" customHeight="false" outlineLevel="0" collapsed="false">
      <c r="A61" s="0" t="n">
        <v>1052</v>
      </c>
      <c r="B61" s="12" t="n">
        <v>727.5</v>
      </c>
      <c r="C61" s="13" t="n">
        <f aca="false">SQRT(A61)</f>
        <v>32.4345494804537</v>
      </c>
      <c r="D61" s="14" t="n">
        <f aca="false">100000/B61</f>
        <v>137.45704467354</v>
      </c>
      <c r="E61" s="6" t="n">
        <f aca="false">IF(AND(A61&gt;=$B$5,A61&lt;=$B$6),1,0)</f>
        <v>0</v>
      </c>
    </row>
    <row r="62" customFormat="false" ht="15" hidden="false" customHeight="false" outlineLevel="0" collapsed="false">
      <c r="A62" s="0" t="n">
        <v>1075</v>
      </c>
      <c r="B62" s="12" t="n">
        <v>733.7</v>
      </c>
      <c r="C62" s="13" t="n">
        <f aca="false">SQRT(A62)</f>
        <v>32.78719262151</v>
      </c>
      <c r="D62" s="14" t="n">
        <f aca="false">100000/B62</f>
        <v>136.295488619327</v>
      </c>
      <c r="E62" s="6" t="n">
        <f aca="false">IF(AND(A62&gt;=$B$5,A62&lt;=$B$6),1,0)</f>
        <v>0</v>
      </c>
    </row>
    <row r="63" customFormat="false" ht="15" hidden="false" customHeight="false" outlineLevel="0" collapsed="false">
      <c r="A63" s="0" t="n">
        <v>1098</v>
      </c>
      <c r="B63" s="12" t="n">
        <v>743.5</v>
      </c>
      <c r="C63" s="13" t="n">
        <f aca="false">SQRT(A63)</f>
        <v>33.1360830515618</v>
      </c>
      <c r="D63" s="14" t="n">
        <f aca="false">100000/B63</f>
        <v>134.498991257566</v>
      </c>
      <c r="E63" s="6" t="n">
        <f aca="false">IF(AND(A63&gt;=$B$5,A63&lt;=$B$6),1,0)</f>
        <v>0</v>
      </c>
    </row>
    <row r="64" customFormat="false" ht="15" hidden="false" customHeight="false" outlineLevel="0" collapsed="false">
      <c r="A64" s="0" t="n">
        <v>1120</v>
      </c>
      <c r="B64" s="12" t="n">
        <v>732.3</v>
      </c>
      <c r="C64" s="13" t="n">
        <f aca="false">SQRT(A64)</f>
        <v>33.466401061363</v>
      </c>
      <c r="D64" s="14" t="n">
        <f aca="false">100000/B64</f>
        <v>136.556056261095</v>
      </c>
      <c r="E64" s="6" t="n">
        <f aca="false">IF(AND(A64&gt;=$B$5,A64&lt;=$B$6),1,0)</f>
        <v>0</v>
      </c>
    </row>
    <row r="65" customFormat="false" ht="15" hidden="false" customHeight="false" outlineLevel="0" collapsed="false">
      <c r="A65" s="0" t="n">
        <v>1143</v>
      </c>
      <c r="B65" s="12" t="n">
        <v>739.3</v>
      </c>
      <c r="C65" s="13" t="n">
        <f aca="false">SQRT(A65)</f>
        <v>33.8082830087539</v>
      </c>
      <c r="D65" s="14" t="n">
        <f aca="false">100000/B65</f>
        <v>135.263086703639</v>
      </c>
      <c r="E65" s="6" t="n">
        <f aca="false">IF(AND(A65&gt;=$B$5,A65&lt;=$B$6),1,0)</f>
        <v>0</v>
      </c>
    </row>
    <row r="66" customFormat="false" ht="15" hidden="false" customHeight="false" outlineLevel="0" collapsed="false">
      <c r="A66" s="0" t="n">
        <v>1166</v>
      </c>
      <c r="B66" s="12" t="n">
        <v>716.2</v>
      </c>
      <c r="C66" s="13" t="n">
        <f aca="false">SQRT(A66)</f>
        <v>34.1467421579278</v>
      </c>
      <c r="D66" s="14" t="n">
        <f aca="false">100000/B66</f>
        <v>139.625802848366</v>
      </c>
      <c r="E66" s="6" t="n">
        <f aca="false">IF(AND(A66&gt;=$B$5,A66&lt;=$B$6),1,0)</f>
        <v>0</v>
      </c>
    </row>
    <row r="67" customFormat="false" ht="15" hidden="false" customHeight="false" outlineLevel="0" collapsed="false">
      <c r="A67" s="0" t="n">
        <v>1188</v>
      </c>
      <c r="B67" s="12" t="n">
        <v>699.3</v>
      </c>
      <c r="C67" s="13" t="n">
        <f aca="false">SQRT(A67)</f>
        <v>34.4673758792282</v>
      </c>
      <c r="D67" s="14" t="n">
        <f aca="false">100000/B67</f>
        <v>143.000143000143</v>
      </c>
      <c r="E67" s="6" t="n">
        <f aca="false">IF(AND(A67&gt;=$B$5,A67&lt;=$B$6),1,0)</f>
        <v>0</v>
      </c>
    </row>
    <row r="68" customFormat="false" ht="15" hidden="false" customHeight="false" outlineLevel="0" collapsed="false">
      <c r="A68" s="0" t="n">
        <v>1211</v>
      </c>
      <c r="B68" s="12" t="n">
        <v>678.9</v>
      </c>
      <c r="C68" s="13" t="n">
        <f aca="false">SQRT(A68)</f>
        <v>34.7994252826106</v>
      </c>
      <c r="D68" s="14" t="n">
        <f aca="false">100000/B68</f>
        <v>147.297098247165</v>
      </c>
      <c r="E68" s="6" t="n">
        <f aca="false">IF(AND(A68&gt;=$B$5,A68&lt;=$B$6),1,0)</f>
        <v>0</v>
      </c>
    </row>
    <row r="69" customFormat="false" ht="15" hidden="false" customHeight="false" outlineLevel="0" collapsed="false">
      <c r="A69" s="0" t="n">
        <v>1234</v>
      </c>
      <c r="B69" s="12" t="n">
        <v>620.5</v>
      </c>
      <c r="C69" s="13" t="n">
        <f aca="false">SQRT(A69)</f>
        <v>35.1283361405006</v>
      </c>
      <c r="D69" s="14" t="n">
        <f aca="false">100000/B69</f>
        <v>161.16035455278</v>
      </c>
      <c r="E69" s="6" t="n">
        <f aca="false">IF(AND(A69&gt;=$B$5,A69&lt;=$B$6),1,0)</f>
        <v>0</v>
      </c>
    </row>
    <row r="70" customFormat="false" ht="15" hidden="false" customHeight="false" outlineLevel="0" collapsed="false">
      <c r="A70" s="0" t="n">
        <v>1256</v>
      </c>
      <c r="B70" s="12" t="n">
        <v>654.6</v>
      </c>
      <c r="C70" s="13" t="n">
        <f aca="false">SQRT(A70)</f>
        <v>35.4400902933387</v>
      </c>
      <c r="D70" s="14" t="n">
        <f aca="false">100000/B70</f>
        <v>152.765047357165</v>
      </c>
      <c r="E70" s="6" t="n">
        <f aca="false">IF(AND(A70&gt;=$B$5,A70&lt;=$B$6),1,0)</f>
        <v>0</v>
      </c>
    </row>
    <row r="71" customFormat="false" ht="15" hidden="false" customHeight="false" outlineLevel="0" collapsed="false">
      <c r="A71" s="0" t="n">
        <v>1279</v>
      </c>
      <c r="B71" s="12" t="n">
        <v>624.7</v>
      </c>
      <c r="C71" s="13" t="n">
        <f aca="false">SQRT(A71)</f>
        <v>35.7631094844953</v>
      </c>
      <c r="D71" s="14" t="n">
        <f aca="false">100000/B71</f>
        <v>160.076836881703</v>
      </c>
      <c r="E71" s="6" t="n">
        <f aca="false">IF(AND(A71&gt;=$B$5,A71&lt;=$B$6),1,0)</f>
        <v>0</v>
      </c>
    </row>
    <row r="72" customFormat="false" ht="15" hidden="false" customHeight="false" outlineLevel="0" collapsed="false">
      <c r="A72" s="0" t="n">
        <v>1302</v>
      </c>
      <c r="B72" s="12" t="n">
        <v>639.1</v>
      </c>
      <c r="C72" s="13" t="n">
        <f aca="false">SQRT(A72)</f>
        <v>36.0832371053374</v>
      </c>
      <c r="D72" s="14" t="n">
        <f aca="false">100000/B72</f>
        <v>156.470035988108</v>
      </c>
      <c r="E72" s="6" t="n">
        <f aca="false">IF(AND(A72&gt;=$B$5,A72&lt;=$B$6),1,0)</f>
        <v>0</v>
      </c>
    </row>
    <row r="73" customFormat="false" ht="15" hidden="false" customHeight="false" outlineLevel="0" collapsed="false">
      <c r="A73" s="0" t="n">
        <v>1324</v>
      </c>
      <c r="B73" s="12" t="n">
        <v>613.5</v>
      </c>
      <c r="C73" s="13" t="n">
        <f aca="false">SQRT(A73)</f>
        <v>36.3868107973205</v>
      </c>
      <c r="D73" s="14" t="n">
        <f aca="false">100000/B73</f>
        <v>162.999185004075</v>
      </c>
      <c r="E73" s="6" t="n">
        <f aca="false">IF(AND(A73&gt;=$B$5,A73&lt;=$B$6),1,0)</f>
        <v>0</v>
      </c>
    </row>
    <row r="74" customFormat="false" ht="15" hidden="false" customHeight="false" outlineLevel="0" collapsed="false">
      <c r="A74" s="0" t="n">
        <v>1347</v>
      </c>
      <c r="B74" s="12" t="n">
        <v>601.2</v>
      </c>
      <c r="C74" s="13" t="n">
        <f aca="false">SQRT(A74)</f>
        <v>36.7014986070051</v>
      </c>
      <c r="D74" s="14" t="n">
        <f aca="false">100000/B74</f>
        <v>166.333998669328</v>
      </c>
      <c r="E74" s="6" t="n">
        <f aca="false">IF(AND(A74&gt;=$B$5,A74&lt;=$B$6),1,0)</f>
        <v>0</v>
      </c>
    </row>
    <row r="75" customFormat="false" ht="15" hidden="false" customHeight="false" outlineLevel="0" collapsed="false">
      <c r="A75" s="0" t="n">
        <v>1369</v>
      </c>
      <c r="B75" s="12" t="n">
        <v>587.1</v>
      </c>
      <c r="C75" s="13" t="n">
        <f aca="false">SQRT(A75)</f>
        <v>37</v>
      </c>
      <c r="D75" s="14" t="n">
        <f aca="false">100000/B75</f>
        <v>170.328734457503</v>
      </c>
      <c r="E75" s="6" t="n">
        <f aca="false">IF(AND(A75&gt;=$B$5,A75&lt;=$B$6),1,0)</f>
        <v>0</v>
      </c>
    </row>
    <row r="76" customFormat="false" ht="15" hidden="false" customHeight="false" outlineLevel="0" collapsed="false">
      <c r="A76" s="0" t="n">
        <v>1392</v>
      </c>
      <c r="B76" s="12" t="n">
        <v>580.5</v>
      </c>
      <c r="C76" s="13" t="n">
        <f aca="false">SQRT(A76)</f>
        <v>37.3095162123553</v>
      </c>
      <c r="D76" s="14" t="n">
        <f aca="false">100000/B76</f>
        <v>172.265288544358</v>
      </c>
      <c r="E76" s="6" t="n">
        <f aca="false">IF(AND(A76&gt;=$B$5,A76&lt;=$B$6),1,0)</f>
        <v>0</v>
      </c>
    </row>
    <row r="77" customFormat="false" ht="15" hidden="false" customHeight="false" outlineLevel="0" collapsed="false">
      <c r="A77" s="0" t="n">
        <v>1415</v>
      </c>
      <c r="B77" s="12" t="n">
        <v>541.3</v>
      </c>
      <c r="C77" s="13" t="n">
        <f aca="false">SQRT(A77)</f>
        <v>37.6164857476081</v>
      </c>
      <c r="D77" s="14" t="n">
        <f aca="false">100000/B77</f>
        <v>184.740439682246</v>
      </c>
      <c r="E77" s="6" t="n">
        <f aca="false">IF(AND(A77&gt;=$B$5,A77&lt;=$B$6),1,0)</f>
        <v>0</v>
      </c>
    </row>
    <row r="78" customFormat="false" ht="15" hidden="false" customHeight="false" outlineLevel="0" collapsed="false">
      <c r="A78" s="0" t="n">
        <v>1437</v>
      </c>
      <c r="B78" s="12" t="n">
        <v>537.8</v>
      </c>
      <c r="C78" s="13" t="n">
        <f aca="false">SQRT(A78)</f>
        <v>37.9077828420497</v>
      </c>
      <c r="D78" s="14" t="n">
        <f aca="false">100000/B78</f>
        <v>185.942729639271</v>
      </c>
      <c r="E78" s="6" t="n">
        <f aca="false">IF(AND(A78&gt;=$B$5,A78&lt;=$B$6),1,0)</f>
        <v>0</v>
      </c>
    </row>
    <row r="79" customFormat="false" ht="15" hidden="false" customHeight="false" outlineLevel="0" collapsed="false">
      <c r="A79" s="0" t="n">
        <v>1460</v>
      </c>
      <c r="B79" s="12" t="n">
        <v>574.4</v>
      </c>
      <c r="C79" s="13" t="n">
        <f aca="false">SQRT(A79)</f>
        <v>38.2099463490856</v>
      </c>
      <c r="D79" s="14" t="n">
        <f aca="false">100000/B79</f>
        <v>174.094707520891</v>
      </c>
      <c r="E79" s="6" t="n">
        <f aca="false">IF(AND(A79&gt;=$B$5,A79&lt;=$B$6),1,0)</f>
        <v>0</v>
      </c>
    </row>
    <row r="80" customFormat="false" ht="15" hidden="false" customHeight="false" outlineLevel="0" collapsed="false">
      <c r="A80" s="0" t="n">
        <v>1483</v>
      </c>
      <c r="B80" s="12" t="n">
        <v>551.2</v>
      </c>
      <c r="C80" s="13" t="n">
        <f aca="false">SQRT(A80)</f>
        <v>38.5097390279394</v>
      </c>
      <c r="D80" s="14" t="n">
        <f aca="false">100000/B80</f>
        <v>181.422351233672</v>
      </c>
      <c r="E80" s="6" t="n">
        <f aca="false">IF(AND(A80&gt;=$B$5,A80&lt;=$B$6),1,0)</f>
        <v>0</v>
      </c>
    </row>
    <row r="81" customFormat="false" ht="15" hidden="false" customHeight="false" outlineLevel="0" collapsed="false">
      <c r="A81" s="0" t="n">
        <v>1505</v>
      </c>
      <c r="B81" s="12" t="n">
        <v>527.5</v>
      </c>
      <c r="C81" s="13" t="n">
        <f aca="false">SQRT(A81)</f>
        <v>38.7943294825417</v>
      </c>
      <c r="D81" s="14" t="n">
        <f aca="false">100000/B81</f>
        <v>189.57345971564</v>
      </c>
      <c r="E81" s="6" t="n">
        <f aca="false">IF(AND(A81&gt;=$B$5,A81&lt;=$B$6),1,0)</f>
        <v>0</v>
      </c>
    </row>
    <row r="82" customFormat="false" ht="15" hidden="false" customHeight="false" outlineLevel="0" collapsed="false">
      <c r="A82" s="0" t="n">
        <v>1528</v>
      </c>
      <c r="B82" s="12" t="n">
        <v>519.3</v>
      </c>
      <c r="C82" s="13" t="n">
        <f aca="false">SQRT(A82)</f>
        <v>39.0896405713841</v>
      </c>
      <c r="D82" s="14" t="n">
        <f aca="false">100000/B82</f>
        <v>192.566917003659</v>
      </c>
      <c r="E82" s="6" t="n">
        <f aca="false">IF(AND(A82&gt;=$B$5,A82&lt;=$B$6),1,0)</f>
        <v>0</v>
      </c>
    </row>
    <row r="83" customFormat="false" ht="15" hidden="false" customHeight="false" outlineLevel="0" collapsed="false">
      <c r="A83" s="0" t="n">
        <v>1551</v>
      </c>
      <c r="B83" s="12" t="n">
        <v>509.4</v>
      </c>
      <c r="C83" s="13" t="n">
        <f aca="false">SQRT(A83)</f>
        <v>39.3827373350304</v>
      </c>
      <c r="D83" s="14" t="n">
        <f aca="false">100000/B83</f>
        <v>196.309383588536</v>
      </c>
      <c r="E83" s="6" t="n">
        <f aca="false">IF(AND(A83&gt;=$B$5,A83&lt;=$B$6),1,0)</f>
        <v>0</v>
      </c>
    </row>
    <row r="84" customFormat="false" ht="15" hidden="false" customHeight="false" outlineLevel="0" collapsed="false">
      <c r="A84" s="0" t="n">
        <v>1573</v>
      </c>
      <c r="B84" s="12" t="n">
        <v>555.1</v>
      </c>
      <c r="C84" s="13" t="n">
        <f aca="false">SQRT(A84)</f>
        <v>39.6610640301039</v>
      </c>
      <c r="D84" s="14" t="n">
        <f aca="false">100000/B84</f>
        <v>180.147721131328</v>
      </c>
      <c r="E84" s="6" t="n">
        <f aca="false">IF(AND(A84&gt;=$B$5,A84&lt;=$B$6),1,0)</f>
        <v>0</v>
      </c>
    </row>
    <row r="85" customFormat="false" ht="15" hidden="false" customHeight="false" outlineLevel="0" collapsed="false">
      <c r="A85" s="0" t="n">
        <v>1596</v>
      </c>
      <c r="B85" s="12" t="n">
        <v>504.4</v>
      </c>
      <c r="C85" s="13" t="n">
        <f aca="false">SQRT(A85)</f>
        <v>39.9499687108764</v>
      </c>
      <c r="D85" s="14" t="n">
        <f aca="false">100000/B85</f>
        <v>198.255352894528</v>
      </c>
      <c r="E85" s="6" t="n">
        <f aca="false">IF(AND(A85&gt;=$B$5,A85&lt;=$B$6),1,0)</f>
        <v>0</v>
      </c>
    </row>
    <row r="86" customFormat="false" ht="15" hidden="false" customHeight="false" outlineLevel="0" collapsed="false">
      <c r="A86" s="0" t="n">
        <v>1619</v>
      </c>
      <c r="B86" s="12" t="n">
        <v>487.6</v>
      </c>
      <c r="C86" s="13" t="n">
        <f aca="false">SQRT(A86)</f>
        <v>40.2367990774614</v>
      </c>
      <c r="D86" s="14" t="n">
        <f aca="false">100000/B86</f>
        <v>205.086136177194</v>
      </c>
      <c r="E86" s="6" t="n">
        <f aca="false">IF(AND(A86&gt;=$B$5,A86&lt;=$B$6),1,0)</f>
        <v>0</v>
      </c>
    </row>
    <row r="87" customFormat="false" ht="15" hidden="false" customHeight="false" outlineLevel="0" collapsed="false">
      <c r="A87" s="0" t="n">
        <v>1641</v>
      </c>
      <c r="B87" s="12" t="n">
        <v>469.3</v>
      </c>
      <c r="C87" s="13" t="n">
        <f aca="false">SQRT(A87)</f>
        <v>40.5092582010582</v>
      </c>
      <c r="D87" s="14" t="n">
        <f aca="false">100000/B87</f>
        <v>213.08331557639</v>
      </c>
      <c r="E87" s="6" t="n">
        <f aca="false">IF(AND(A87&gt;=$B$5,A87&lt;=$B$6),1,0)</f>
        <v>0</v>
      </c>
    </row>
    <row r="88" customFormat="false" ht="15" hidden="false" customHeight="false" outlineLevel="0" collapsed="false">
      <c r="A88" s="0" t="n">
        <v>1664</v>
      </c>
      <c r="B88" s="12" t="n">
        <v>437</v>
      </c>
      <c r="C88" s="13" t="n">
        <f aca="false">SQRT(A88)</f>
        <v>40.7921561087423</v>
      </c>
      <c r="D88" s="14" t="n">
        <f aca="false">100000/B88</f>
        <v>228.83295194508</v>
      </c>
      <c r="E88" s="6" t="n">
        <f aca="false">IF(AND(A88&gt;=$B$5,A88&lt;=$B$6),1,0)</f>
        <v>0</v>
      </c>
    </row>
    <row r="89" customFormat="false" ht="15" hidden="false" customHeight="false" outlineLevel="0" collapsed="false">
      <c r="A89" s="0" t="n">
        <v>1687</v>
      </c>
      <c r="B89" s="12" t="n">
        <v>463.2</v>
      </c>
      <c r="C89" s="13" t="n">
        <f aca="false">SQRT(A89)</f>
        <v>41.0731055558257</v>
      </c>
      <c r="D89" s="14" t="n">
        <f aca="false">100000/B89</f>
        <v>215.889464594128</v>
      </c>
      <c r="E89" s="6" t="n">
        <f aca="false">IF(AND(A89&gt;=$B$5,A89&lt;=$B$6),1,0)</f>
        <v>0</v>
      </c>
    </row>
    <row r="90" customFormat="false" ht="15" hidden="false" customHeight="false" outlineLevel="0" collapsed="false">
      <c r="A90" s="0" t="n">
        <v>1709</v>
      </c>
      <c r="B90" s="12" t="n">
        <v>472.1</v>
      </c>
      <c r="C90" s="13" t="n">
        <f aca="false">SQRT(A90)</f>
        <v>41.3400532171888</v>
      </c>
      <c r="D90" s="14" t="n">
        <f aca="false">100000/B90</f>
        <v>211.819529760644</v>
      </c>
      <c r="E90" s="6" t="n">
        <f aca="false">IF(AND(A90&gt;=$B$5,A90&lt;=$B$6),1,0)</f>
        <v>0</v>
      </c>
    </row>
    <row r="91" customFormat="false" ht="15" hidden="false" customHeight="false" outlineLevel="0" collapsed="false">
      <c r="A91" s="0" t="n">
        <v>1732</v>
      </c>
      <c r="B91" s="12" t="n">
        <v>457.4</v>
      </c>
      <c r="C91" s="13" t="n">
        <f aca="false">SQRT(A91)</f>
        <v>41.6173040933696</v>
      </c>
      <c r="D91" s="14" t="n">
        <f aca="false">100000/B91</f>
        <v>218.627022299956</v>
      </c>
      <c r="E91" s="6" t="n">
        <f aca="false">IF(AND(A91&gt;=$B$5,A91&lt;=$B$6),1,0)</f>
        <v>0</v>
      </c>
    </row>
    <row r="92" customFormat="false" ht="15" hidden="false" customHeight="false" outlineLevel="0" collapsed="false">
      <c r="A92" s="0" t="n">
        <v>1755</v>
      </c>
      <c r="B92" s="12" t="n">
        <v>440.3</v>
      </c>
      <c r="C92" s="13" t="n">
        <f aca="false">SQRT(A92)</f>
        <v>41.8927201313068</v>
      </c>
      <c r="D92" s="14" t="n">
        <f aca="false">100000/B92</f>
        <v>227.117874176698</v>
      </c>
      <c r="E92" s="6" t="n">
        <f aca="false">IF(AND(A92&gt;=$B$5,A92&lt;=$B$6),1,0)</f>
        <v>0</v>
      </c>
    </row>
    <row r="93" customFormat="false" ht="15" hidden="false" customHeight="false" outlineLevel="0" collapsed="false">
      <c r="A93" s="0" t="n">
        <v>1777</v>
      </c>
      <c r="B93" s="12" t="n">
        <v>421.3</v>
      </c>
      <c r="C93" s="13" t="n">
        <f aca="false">SQRT(A93)</f>
        <v>42.154477816716</v>
      </c>
      <c r="D93" s="14" t="n">
        <f aca="false">100000/B93</f>
        <v>237.360550676478</v>
      </c>
      <c r="E93" s="6" t="n">
        <f aca="false">IF(AND(A93&gt;=$B$5,A93&lt;=$B$6),1,0)</f>
        <v>0</v>
      </c>
    </row>
    <row r="94" customFormat="false" ht="15" hidden="false" customHeight="false" outlineLevel="0" collapsed="false">
      <c r="A94" s="0" t="n">
        <v>1800</v>
      </c>
      <c r="B94" s="12" t="n">
        <v>406.3</v>
      </c>
      <c r="C94" s="13" t="n">
        <f aca="false">SQRT(A94)</f>
        <v>42.4264068711929</v>
      </c>
      <c r="D94" s="14" t="n">
        <f aca="false">100000/B94</f>
        <v>246.12355402412</v>
      </c>
      <c r="E94" s="6" t="n">
        <f aca="false">IF(AND(A94&gt;=$B$5,A94&lt;=$B$6),1,0)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22</v>
      </c>
      <c r="E4" s="3" t="s">
        <v>23</v>
      </c>
      <c r="F4" s="3" t="s">
        <v>24</v>
      </c>
      <c r="G4" s="3"/>
      <c r="H4" s="3"/>
    </row>
    <row r="5" customFormat="false" ht="15" hidden="false" customHeight="false" outlineLevel="0" collapsed="false">
      <c r="A5" s="0" t="s">
        <v>25</v>
      </c>
      <c r="B5" s="4" t="n">
        <v>1200</v>
      </c>
      <c r="C5" s="2" t="s">
        <v>26</v>
      </c>
      <c r="D5" s="15" t="n">
        <f aca="false">0/12</f>
        <v>0</v>
      </c>
      <c r="E5" s="9" t="n">
        <f aca="false">$B$5/(1+$B$7*$B$6*D5)^(1/$B$7)</f>
        <v>1200</v>
      </c>
      <c r="F5" s="9" t="n">
        <f aca="false">IF(D5&lt;=$B$11,$B$5/(1+$B$7*$B$6*D5)^(1/$B$7),$B$5/(1+$B$7*$B$6*$B$11)^(1/$B$7)*EXP(-$B$8*(D5-$B$11)))</f>
        <v>1200</v>
      </c>
    </row>
    <row r="6" customFormat="false" ht="15" hidden="false" customHeight="false" outlineLevel="0" collapsed="false">
      <c r="A6" s="0" t="s">
        <v>27</v>
      </c>
      <c r="B6" s="16" t="n">
        <v>0.75</v>
      </c>
      <c r="C6" s="2" t="s">
        <v>28</v>
      </c>
      <c r="D6" s="15" t="n">
        <f aca="false">1/12</f>
        <v>0.0833333333333333</v>
      </c>
      <c r="E6" s="9" t="n">
        <f aca="false">$B$5/(1+$B$7*$B$6*D6)^(1/$B$7)</f>
        <v>1130.4096822332</v>
      </c>
      <c r="F6" s="9" t="n">
        <f aca="false">IF(D6&lt;=$B$11,$B$5/(1+$B$7*$B$6*D6)^(1/$B$7),$B$5/(1+$B$7*$B$6*$B$11)^(1/$B$7)*EXP(-$B$8*(D6-$B$11)))</f>
        <v>1130.4096822332</v>
      </c>
    </row>
    <row r="7" customFormat="false" ht="15" hidden="false" customHeight="false" outlineLevel="0" collapsed="false">
      <c r="A7" s="0" t="s">
        <v>29</v>
      </c>
      <c r="B7" s="16" t="n">
        <v>1.5</v>
      </c>
      <c r="C7" s="2"/>
      <c r="D7" s="15" t="n">
        <f aca="false">2/12</f>
        <v>0.166666666666667</v>
      </c>
      <c r="E7" s="9" t="n">
        <f aca="false">$B$5/(1+$B$7*$B$6*D7)^(1/$B$7)</f>
        <v>1070.10280023282</v>
      </c>
      <c r="F7" s="9" t="n">
        <f aca="false">IF(D7&lt;=$B$11,$B$5/(1+$B$7*$B$6*D7)^(1/$B$7),$B$5/(1+$B$7*$B$6*$B$11)^(1/$B$7)*EXP(-$B$8*(D7-$B$11)))</f>
        <v>1070.10280023282</v>
      </c>
    </row>
    <row r="8" customFormat="false" ht="15" hidden="false" customHeight="false" outlineLevel="0" collapsed="false">
      <c r="A8" s="0" t="s">
        <v>30</v>
      </c>
      <c r="B8" s="16" t="n">
        <v>0.06</v>
      </c>
      <c r="C8" s="2" t="s">
        <v>28</v>
      </c>
      <c r="D8" s="15" t="n">
        <f aca="false">3/12</f>
        <v>0.25</v>
      </c>
      <c r="E8" s="9" t="n">
        <f aca="false">$B$5/(1+$B$7*$B$6*D8)^(1/$B$7)</f>
        <v>1017.24444544826</v>
      </c>
      <c r="F8" s="9" t="n">
        <f aca="false">IF(D8&lt;=$B$11,$B$5/(1+$B$7*$B$6*D8)^(1/$B$7),$B$5/(1+$B$7*$B$6*$B$11)^(1/$B$7)*EXP(-$B$8*(D8-$B$11)))</f>
        <v>1017.24444544826</v>
      </c>
    </row>
    <row r="9" customFormat="false" ht="15" hidden="false" customHeight="false" outlineLevel="0" collapsed="false">
      <c r="A9" s="0" t="s">
        <v>31</v>
      </c>
      <c r="B9" s="4" t="n">
        <v>15</v>
      </c>
      <c r="C9" s="2" t="s">
        <v>26</v>
      </c>
      <c r="D9" s="15" t="n">
        <f aca="false">4/12</f>
        <v>0.333333333333333</v>
      </c>
      <c r="E9" s="9" t="n">
        <f aca="false">$B$5/(1+$B$7*$B$6*D9)^(1/$B$7)</f>
        <v>970.464039521156</v>
      </c>
      <c r="F9" s="9" t="n">
        <f aca="false">IF(D9&lt;=$B$11,$B$5/(1+$B$7*$B$6*D9)^(1/$B$7),$B$5/(1+$B$7*$B$6*$B$11)^(1/$B$7)*EXP(-$B$8*(D9-$B$11)))</f>
        <v>970.464039521156</v>
      </c>
    </row>
    <row r="10" customFormat="false" ht="15" hidden="false" customHeight="false" outlineLevel="0" collapsed="false">
      <c r="D10" s="15" t="n">
        <f aca="false">5/12</f>
        <v>0.416666666666667</v>
      </c>
      <c r="E10" s="9" t="n">
        <f aca="false">$B$5/(1+$B$7*$B$6*D10)^(1/$B$7)</f>
        <v>928.715426813892</v>
      </c>
      <c r="F10" s="9" t="n">
        <f aca="false">IF(D10&lt;=$B$11,$B$5/(1+$B$7*$B$6*D10)^(1/$B$7),$B$5/(1+$B$7*$B$6*$B$11)^(1/$B$7)*EXP(-$B$8*(D10-$B$11)))</f>
        <v>928.715426813892</v>
      </c>
    </row>
    <row r="11" customFormat="false" ht="15" hidden="false" customHeight="false" outlineLevel="0" collapsed="false">
      <c r="A11" s="0" t="s">
        <v>32</v>
      </c>
      <c r="B11" s="13" t="n">
        <f aca="false">MAX(0,(B6/B8-1)/(B7*B6))</f>
        <v>10.2222222222222</v>
      </c>
      <c r="D11" s="15" t="n">
        <f aca="false">6/12</f>
        <v>0.5</v>
      </c>
      <c r="E11" s="9" t="n">
        <f aca="false">$B$5/(1+$B$7*$B$6*D11)^(1/$B$7)</f>
        <v>891.185056053654</v>
      </c>
      <c r="F11" s="9" t="n">
        <f aca="false">IF(D11&lt;=$B$11,$B$5/(1+$B$7*$B$6*D11)^(1/$B$7),$B$5/(1+$B$7*$B$6*$B$11)^(1/$B$7)*EXP(-$B$8*(D11-$B$11)))</f>
        <v>891.185056053654</v>
      </c>
    </row>
    <row r="12" customFormat="false" ht="15" hidden="false" customHeight="false" outlineLevel="0" collapsed="false">
      <c r="A12" s="0" t="s">
        <v>33</v>
      </c>
      <c r="B12" s="11" t="n">
        <f aca="false">SUMPRODUCT(F5:F364*(F5:F364&gt;=B9))*30.4/1000</f>
        <v>2500.36471734131</v>
      </c>
      <c r="C12" s="2" t="s">
        <v>34</v>
      </c>
      <c r="D12" s="15" t="n">
        <f aca="false">7/12</f>
        <v>0.583333333333333</v>
      </c>
      <c r="E12" s="9" t="n">
        <f aca="false">$B$5/(1+$B$7*$B$6*D12)^(1/$B$7)</f>
        <v>857.229915380535</v>
      </c>
      <c r="F12" s="9" t="n">
        <f aca="false">IF(D12&lt;=$B$11,$B$5/(1+$B$7*$B$6*D12)^(1/$B$7),$B$5/(1+$B$7*$B$6*$B$11)^(1/$B$7)*EXP(-$B$8*(D12-$B$11)))</f>
        <v>857.229915380535</v>
      </c>
    </row>
    <row r="13" customFormat="false" ht="15" hidden="false" customHeight="false" outlineLevel="0" collapsed="false">
      <c r="A13" s="0" t="s">
        <v>35</v>
      </c>
      <c r="B13" s="11" t="n">
        <f aca="false">SUMPRODUCT(E5:E364*(E5:E364&gt;=B9))*30.4/1000</f>
        <v>2658.75504373454</v>
      </c>
      <c r="C13" s="2" t="s">
        <v>34</v>
      </c>
      <c r="D13" s="15" t="n">
        <f aca="false">8/12</f>
        <v>0.666666666666667</v>
      </c>
      <c r="E13" s="9" t="n">
        <f aca="false">$B$5/(1+$B$7*$B$6*D13)^(1/$B$7)</f>
        <v>826.334490574365</v>
      </c>
      <c r="F13" s="9" t="n">
        <f aca="false">IF(D13&lt;=$B$11,$B$5/(1+$B$7*$B$6*D13)^(1/$B$7),$B$5/(1+$B$7*$B$6*$B$11)^(1/$B$7)*EXP(-$B$8*(D13-$B$11)))</f>
        <v>826.334490574365</v>
      </c>
    </row>
    <row r="14" customFormat="false" ht="15" hidden="false" customHeight="false" outlineLevel="0" collapsed="false">
      <c r="A14" s="0" t="s">
        <v>36</v>
      </c>
      <c r="B14" s="10" t="n">
        <f aca="false">B13/B12-1</f>
        <v>0.0633468890737057</v>
      </c>
      <c r="D14" s="15" t="n">
        <f aca="false">9/12</f>
        <v>0.75</v>
      </c>
      <c r="E14" s="9" t="n">
        <f aca="false">$B$5/(1+$B$7*$B$6*D14)^(1/$B$7)</f>
        <v>798.080238349671</v>
      </c>
      <c r="F14" s="9" t="n">
        <f aca="false">IF(D14&lt;=$B$11,$B$5/(1+$B$7*$B$6*D14)^(1/$B$7),$B$5/(1+$B$7*$B$6*$B$11)^(1/$B$7)*EXP(-$B$8*(D14-$B$11)))</f>
        <v>798.080238349671</v>
      </c>
    </row>
    <row r="15" customFormat="false" ht="15" hidden="false" customHeight="false" outlineLevel="0" collapsed="false">
      <c r="D15" s="15" t="n">
        <f aca="false">10/12</f>
        <v>0.833333333333333</v>
      </c>
      <c r="E15" s="9" t="n">
        <f aca="false">$B$5/(1+$B$7*$B$6*D15)^(1/$B$7)</f>
        <v>772.123502282113</v>
      </c>
      <c r="F15" s="9" t="n">
        <f aca="false">IF(D15&lt;=$B$11,$B$5/(1+$B$7*$B$6*D15)^(1/$B$7),$B$5/(1+$B$7*$B$6*$B$11)^(1/$B$7)*EXP(-$B$8*(D15-$B$11)))</f>
        <v>772.123502282113</v>
      </c>
    </row>
    <row r="16" customFormat="false" ht="15" hidden="false" customHeight="false" outlineLevel="0" collapsed="false">
      <c r="D16" s="15" t="n">
        <f aca="false">11/12</f>
        <v>0.916666666666667</v>
      </c>
      <c r="E16" s="9" t="n">
        <f aca="false">$B$5/(1+$B$7*$B$6*D16)^(1/$B$7)</f>
        <v>748.179252051823</v>
      </c>
      <c r="F16" s="9" t="n">
        <f aca="false">IF(D16&lt;=$B$11,$B$5/(1+$B$7*$B$6*D16)^(1/$B$7),$B$5/(1+$B$7*$B$6*$B$11)^(1/$B$7)*EXP(-$B$8*(D16-$B$11)))</f>
        <v>748.179252051823</v>
      </c>
    </row>
    <row r="17" customFormat="false" ht="15" hidden="false" customHeight="false" outlineLevel="0" collapsed="false">
      <c r="D17" s="15" t="n">
        <f aca="false">12/12</f>
        <v>1</v>
      </c>
      <c r="E17" s="9" t="n">
        <f aca="false">$B$5/(1+$B$7*$B$6*D17)^(1/$B$7)</f>
        <v>726.008919715266</v>
      </c>
      <c r="F17" s="9" t="n">
        <f aca="false">IF(D17&lt;=$B$11,$B$5/(1+$B$7*$B$6*D17)^(1/$B$7),$B$5/(1+$B$7*$B$6*$B$11)^(1/$B$7)*EXP(-$B$8*(D17-$B$11)))</f>
        <v>726.008919715266</v>
      </c>
    </row>
    <row r="18" customFormat="false" ht="15" hidden="false" customHeight="false" outlineLevel="0" collapsed="false">
      <c r="D18" s="15" t="n">
        <f aca="false">13/12</f>
        <v>1.08333333333333</v>
      </c>
      <c r="E18" s="9" t="n">
        <f aca="false">$B$5/(1+$B$7*$B$6*D18)^(1/$B$7)</f>
        <v>705.411170200721</v>
      </c>
      <c r="F18" s="9" t="n">
        <f aca="false">IF(D18&lt;=$B$11,$B$5/(1+$B$7*$B$6*D18)^(1/$B$7),$B$5/(1+$B$7*$B$6*$B$11)^(1/$B$7)*EXP(-$B$8*(D18-$B$11)))</f>
        <v>705.411170200721</v>
      </c>
    </row>
    <row r="19" customFormat="false" ht="15" hidden="false" customHeight="false" outlineLevel="0" collapsed="false">
      <c r="D19" s="15" t="n">
        <f aca="false">14/12</f>
        <v>1.16666666666667</v>
      </c>
      <c r="E19" s="9" t="n">
        <f aca="false">$B$5/(1+$B$7*$B$6*D19)^(1/$B$7)</f>
        <v>686.214807268438</v>
      </c>
      <c r="F19" s="9" t="n">
        <f aca="false">IF(D19&lt;=$B$11,$B$5/(1+$B$7*$B$6*D19)^(1/$B$7),$B$5/(1+$B$7*$B$6*$B$11)^(1/$B$7)*EXP(-$B$8*(D19-$B$11)))</f>
        <v>686.214807268438</v>
      </c>
    </row>
    <row r="20" customFormat="false" ht="15" hidden="false" customHeight="false" outlineLevel="0" collapsed="false">
      <c r="D20" s="15" t="n">
        <f aca="false">15/12</f>
        <v>1.25</v>
      </c>
      <c r="E20" s="9" t="n">
        <f aca="false">$B$5/(1+$B$7*$B$6*D20)^(1/$B$7)</f>
        <v>668.273256432045</v>
      </c>
      <c r="F20" s="9" t="n">
        <f aca="false">IF(D20&lt;=$B$11,$B$5/(1+$B$7*$B$6*D20)^(1/$B$7),$B$5/(1+$B$7*$B$6*$B$11)^(1/$B$7)*EXP(-$B$8*(D20-$B$11)))</f>
        <v>668.273256432045</v>
      </c>
    </row>
    <row r="21" customFormat="false" ht="15" hidden="false" customHeight="false" outlineLevel="0" collapsed="false">
      <c r="D21" s="15" t="n">
        <f aca="false">16/12</f>
        <v>1.33333333333333</v>
      </c>
      <c r="E21" s="9" t="n">
        <f aca="false">$B$5/(1+$B$7*$B$6*D21)^(1/$B$7)</f>
        <v>651.460227982778</v>
      </c>
      <c r="F21" s="9" t="n">
        <f aca="false">IF(D21&lt;=$B$11,$B$5/(1+$B$7*$B$6*D21)^(1/$B$7),$B$5/(1+$B$7*$B$6*$B$11)^(1/$B$7)*EXP(-$B$8*(D21-$B$11)))</f>
        <v>651.460227982778</v>
      </c>
    </row>
    <row r="22" customFormat="false" ht="15" hidden="false" customHeight="false" outlineLevel="0" collapsed="false">
      <c r="D22" s="15" t="n">
        <f aca="false">17/12</f>
        <v>1.41666666666667</v>
      </c>
      <c r="E22" s="9" t="n">
        <f aca="false">$B$5/(1+$B$7*$B$6*D22)^(1/$B$7)</f>
        <v>635.6662739387</v>
      </c>
      <c r="F22" s="9" t="n">
        <f aca="false">IF(D22&lt;=$B$11,$B$5/(1+$B$7*$B$6*D22)^(1/$B$7),$B$5/(1+$B$7*$B$6*$B$11)^(1/$B$7)*EXP(-$B$8*(D22-$B$11)))</f>
        <v>635.6662739387</v>
      </c>
    </row>
    <row r="23" customFormat="false" ht="15" hidden="false" customHeight="false" outlineLevel="0" collapsed="false">
      <c r="D23" s="15" t="n">
        <f aca="false">18/12</f>
        <v>1.5</v>
      </c>
      <c r="E23" s="9" t="n">
        <f aca="false">$B$5/(1+$B$7*$B$6*D23)^(1/$B$7)</f>
        <v>620.796029751208</v>
      </c>
      <c r="F23" s="9" t="n">
        <f aca="false">IF(D23&lt;=$B$11,$B$5/(1+$B$7*$B$6*D23)^(1/$B$7),$B$5/(1+$B$7*$B$6*$B$11)^(1/$B$7)*EXP(-$B$8*(D23-$B$11)))</f>
        <v>620.796029751208</v>
      </c>
    </row>
    <row r="24" customFormat="false" ht="15" hidden="false" customHeight="false" outlineLevel="0" collapsed="false">
      <c r="D24" s="15" t="n">
        <f aca="false">19/12</f>
        <v>1.58333333333333</v>
      </c>
      <c r="E24" s="9" t="n">
        <f aca="false">$B$5/(1+$B$7*$B$6*D24)^(1/$B$7)</f>
        <v>606.765985978448</v>
      </c>
      <c r="F24" s="9" t="n">
        <f aca="false">IF(D24&lt;=$B$11,$B$5/(1+$B$7*$B$6*D24)^(1/$B$7),$B$5/(1+$B$7*$B$6*$B$11)^(1/$B$7)*EXP(-$B$8*(D24-$B$11)))</f>
        <v>606.765985978448</v>
      </c>
    </row>
    <row r="25" customFormat="false" ht="15" hidden="false" customHeight="false" outlineLevel="0" collapsed="false">
      <c r="D25" s="15" t="n">
        <f aca="false">20/12</f>
        <v>1.66666666666667</v>
      </c>
      <c r="E25" s="9" t="n">
        <f aca="false">$B$5/(1+$B$7*$B$6*D25)^(1/$B$7)</f>
        <v>593.502674055979</v>
      </c>
      <c r="F25" s="9" t="n">
        <f aca="false">IF(D25&lt;=$B$11,$B$5/(1+$B$7*$B$6*D25)^(1/$B$7),$B$5/(1+$B$7*$B$6*$B$11)^(1/$B$7)*EXP(-$B$8*(D25-$B$11)))</f>
        <v>593.502674055979</v>
      </c>
    </row>
    <row r="26" customFormat="false" ht="15" hidden="false" customHeight="false" outlineLevel="0" collapsed="false">
      <c r="D26" s="15" t="n">
        <f aca="false">21/12</f>
        <v>1.75</v>
      </c>
      <c r="E26" s="9" t="n">
        <f aca="false">$B$5/(1+$B$7*$B$6*D26)^(1/$B$7)</f>
        <v>580.941178503899</v>
      </c>
      <c r="F26" s="9" t="n">
        <f aca="false">IF(D26&lt;=$B$11,$B$5/(1+$B$7*$B$6*D26)^(1/$B$7),$B$5/(1+$B$7*$B$6*$B$11)^(1/$B$7)*EXP(-$B$8*(D26-$B$11)))</f>
        <v>580.941178503899</v>
      </c>
    </row>
    <row r="27" customFormat="false" ht="15" hidden="false" customHeight="false" outlineLevel="0" collapsed="false">
      <c r="D27" s="15" t="n">
        <f aca="false">22/12</f>
        <v>1.83333333333333</v>
      </c>
      <c r="E27" s="9" t="n">
        <f aca="false">$B$5/(1+$B$7*$B$6*D27)^(1/$B$7)</f>
        <v>569.023908593996</v>
      </c>
      <c r="F27" s="9" t="n">
        <f aca="false">IF(D27&lt;=$B$11,$B$5/(1+$B$7*$B$6*D27)^(1/$B$7),$B$5/(1+$B$7*$B$6*$B$11)^(1/$B$7)*EXP(-$B$8*(D27-$B$11)))</f>
        <v>569.023908593996</v>
      </c>
    </row>
    <row r="28" customFormat="false" ht="15" hidden="false" customHeight="false" outlineLevel="0" collapsed="false">
      <c r="D28" s="15" t="n">
        <f aca="false">23/12</f>
        <v>1.91666666666667</v>
      </c>
      <c r="E28" s="9" t="n">
        <f aca="false">$B$5/(1+$B$7*$B$6*D28)^(1/$B$7)</f>
        <v>557.699577832169</v>
      </c>
      <c r="F28" s="9" t="n">
        <f aca="false">IF(D28&lt;=$B$11,$B$5/(1+$B$7*$B$6*D28)^(1/$B$7),$B$5/(1+$B$7*$B$6*$B$11)^(1/$B$7)*EXP(-$B$8*(D28-$B$11)))</f>
        <v>557.699577832169</v>
      </c>
    </row>
    <row r="29" customFormat="false" ht="15" hidden="false" customHeight="false" outlineLevel="0" collapsed="false">
      <c r="D29" s="15" t="n">
        <f aca="false">24/12</f>
        <v>2</v>
      </c>
      <c r="E29" s="9" t="n">
        <f aca="false">$B$5/(1+$B$7*$B$6*D29)^(1/$B$7)</f>
        <v>546.922351090592</v>
      </c>
      <c r="F29" s="9" t="n">
        <f aca="false">IF(D29&lt;=$B$11,$B$5/(1+$B$7*$B$6*D29)^(1/$B$7),$B$5/(1+$B$7*$B$6*$B$11)^(1/$B$7)*EXP(-$B$8*(D29-$B$11)))</f>
        <v>546.922351090592</v>
      </c>
    </row>
    <row r="30" customFormat="false" ht="15" hidden="false" customHeight="false" outlineLevel="0" collapsed="false">
      <c r="D30" s="15" t="n">
        <f aca="false">25/12</f>
        <v>2.08333333333333</v>
      </c>
      <c r="E30" s="9" t="n">
        <f aca="false">$B$5/(1+$B$7*$B$6*D30)^(1/$B$7)</f>
        <v>536.651127900192</v>
      </c>
      <c r="F30" s="9" t="n">
        <f aca="false">IF(D30&lt;=$B$11,$B$5/(1+$B$7*$B$6*D30)^(1/$B$7),$B$5/(1+$B$7*$B$6*$B$11)^(1/$B$7)*EXP(-$B$8*(D30-$B$11)))</f>
        <v>536.651127900192</v>
      </c>
    </row>
    <row r="31" customFormat="false" ht="15" hidden="false" customHeight="false" outlineLevel="0" collapsed="false">
      <c r="D31" s="15" t="n">
        <f aca="false">26/12</f>
        <v>2.16666666666667</v>
      </c>
      <c r="E31" s="9" t="n">
        <f aca="false">$B$5/(1+$B$7*$B$6*D31)^(1/$B$7)</f>
        <v>526.848937029616</v>
      </c>
      <c r="F31" s="9" t="n">
        <f aca="false">IF(D31&lt;=$B$11,$B$5/(1+$B$7*$B$6*D31)^(1/$B$7),$B$5/(1+$B$7*$B$6*$B$11)^(1/$B$7)*EXP(-$B$8*(D31-$B$11)))</f>
        <v>526.848937029616</v>
      </c>
    </row>
    <row r="32" customFormat="false" ht="15" hidden="false" customHeight="false" outlineLevel="0" collapsed="false">
      <c r="D32" s="15" t="n">
        <f aca="false">27/12</f>
        <v>2.25</v>
      </c>
      <c r="E32" s="9" t="n">
        <f aca="false">$B$5/(1+$B$7*$B$6*D32)^(1/$B$7)</f>
        <v>517.482422563097</v>
      </c>
      <c r="F32" s="9" t="n">
        <f aca="false">IF(D32&lt;=$B$11,$B$5/(1+$B$7*$B$6*D32)^(1/$B$7),$B$5/(1+$B$7*$B$6*$B$11)^(1/$B$7)*EXP(-$B$8*(D32-$B$11)))</f>
        <v>517.482422563097</v>
      </c>
    </row>
    <row r="33" customFormat="false" ht="15" hidden="false" customHeight="false" outlineLevel="0" collapsed="false">
      <c r="D33" s="15" t="n">
        <f aca="false">28/12</f>
        <v>2.33333333333333</v>
      </c>
      <c r="E33" s="9" t="n">
        <f aca="false">$B$5/(1+$B$7*$B$6*D33)^(1/$B$7)</f>
        <v>508.521405630761</v>
      </c>
      <c r="F33" s="9" t="n">
        <f aca="false">IF(D33&lt;=$B$11,$B$5/(1+$B$7*$B$6*D33)^(1/$B$7),$B$5/(1+$B$7*$B$6*$B$11)^(1/$B$7)*EXP(-$B$8*(D33-$B$11)))</f>
        <v>508.521405630761</v>
      </c>
    </row>
    <row r="34" customFormat="false" ht="15" hidden="false" customHeight="false" outlineLevel="0" collapsed="false">
      <c r="D34" s="15" t="n">
        <f aca="false">29/12</f>
        <v>2.41666666666667</v>
      </c>
      <c r="E34" s="9" t="n">
        <f aca="false">$B$5/(1+$B$7*$B$6*D34)^(1/$B$7)</f>
        <v>499.938509021133</v>
      </c>
      <c r="F34" s="9" t="n">
        <f aca="false">IF(D34&lt;=$B$11,$B$5/(1+$B$7*$B$6*D34)^(1/$B$7),$B$5/(1+$B$7*$B$6*$B$11)^(1/$B$7)*EXP(-$B$8*(D34-$B$11)))</f>
        <v>499.938509021133</v>
      </c>
    </row>
    <row r="35" customFormat="false" ht="15" hidden="false" customHeight="false" outlineLevel="0" collapsed="false">
      <c r="D35" s="15" t="n">
        <f aca="false">30/12</f>
        <v>2.5</v>
      </c>
      <c r="E35" s="9" t="n">
        <f aca="false">$B$5/(1+$B$7*$B$6*D35)^(1/$B$7)</f>
        <v>491.708834323377</v>
      </c>
      <c r="F35" s="9" t="n">
        <f aca="false">IF(D35&lt;=$B$11,$B$5/(1+$B$7*$B$6*D35)^(1/$B$7),$B$5/(1+$B$7*$B$6*$B$11)^(1/$B$7)*EXP(-$B$8*(D35-$B$11)))</f>
        <v>491.708834323377</v>
      </c>
    </row>
    <row r="36" customFormat="false" ht="15" hidden="false" customHeight="false" outlineLevel="0" collapsed="false">
      <c r="D36" s="15" t="n">
        <f aca="false">31/12</f>
        <v>2.58333333333333</v>
      </c>
      <c r="E36" s="9" t="n">
        <f aca="false">$B$5/(1+$B$7*$B$6*D36)^(1/$B$7)</f>
        <v>483.809683159631</v>
      </c>
      <c r="F36" s="9" t="n">
        <f aca="false">IF(D36&lt;=$B$11,$B$5/(1+$B$7*$B$6*D36)^(1/$B$7),$B$5/(1+$B$7*$B$6*$B$11)^(1/$B$7)*EXP(-$B$8*(D36-$B$11)))</f>
        <v>483.809683159631</v>
      </c>
    </row>
    <row r="37" customFormat="false" ht="15" hidden="false" customHeight="false" outlineLevel="0" collapsed="false">
      <c r="D37" s="15" t="n">
        <f aca="false">32/12</f>
        <v>2.66666666666667</v>
      </c>
      <c r="E37" s="9" t="n">
        <f aca="false">$B$5/(1+$B$7*$B$6*D37)^(1/$B$7)</f>
        <v>476.22031559046</v>
      </c>
      <c r="F37" s="9" t="n">
        <f aca="false">IF(D37&lt;=$B$11,$B$5/(1+$B$7*$B$6*D37)^(1/$B$7),$B$5/(1+$B$7*$B$6*$B$11)^(1/$B$7)*EXP(-$B$8*(D37-$B$11)))</f>
        <v>476.22031559046</v>
      </c>
    </row>
    <row r="38" customFormat="false" ht="15" hidden="false" customHeight="false" outlineLevel="0" collapsed="false">
      <c r="D38" s="15" t="n">
        <f aca="false">33/12</f>
        <v>2.75</v>
      </c>
      <c r="E38" s="9" t="n">
        <f aca="false">$B$5/(1+$B$7*$B$6*D38)^(1/$B$7)</f>
        <v>468.921739995684</v>
      </c>
      <c r="F38" s="9" t="n">
        <f aca="false">IF(D38&lt;=$B$11,$B$5/(1+$B$7*$B$6*D38)^(1/$B$7),$B$5/(1+$B$7*$B$6*$B$11)^(1/$B$7)*EXP(-$B$8*(D38-$B$11)))</f>
        <v>468.921739995684</v>
      </c>
    </row>
    <row r="39" customFormat="false" ht="15" hidden="false" customHeight="false" outlineLevel="0" collapsed="false">
      <c r="D39" s="15" t="n">
        <f aca="false">34/12</f>
        <v>2.83333333333333</v>
      </c>
      <c r="E39" s="9" t="n">
        <f aca="false">$B$5/(1+$B$7*$B$6*D39)^(1/$B$7)</f>
        <v>461.896529714645</v>
      </c>
      <c r="F39" s="9" t="n">
        <f aca="false">IF(D39&lt;=$B$11,$B$5/(1+$B$7*$B$6*D39)^(1/$B$7),$B$5/(1+$B$7*$B$6*$B$11)^(1/$B$7)*EXP(-$B$8*(D39-$B$11)))</f>
        <v>461.896529714645</v>
      </c>
    </row>
    <row r="40" customFormat="false" ht="15" hidden="false" customHeight="false" outlineLevel="0" collapsed="false">
      <c r="D40" s="15" t="n">
        <f aca="false">35/12</f>
        <v>2.91666666666667</v>
      </c>
      <c r="E40" s="9" t="n">
        <f aca="false">$B$5/(1+$B$7*$B$6*D40)^(1/$B$7)</f>
        <v>455.128662524655</v>
      </c>
      <c r="F40" s="9" t="n">
        <f aca="false">IF(D40&lt;=$B$11,$B$5/(1+$B$7*$B$6*D40)^(1/$B$7),$B$5/(1+$B$7*$B$6*$B$11)^(1/$B$7)*EXP(-$B$8*(D40-$B$11)))</f>
        <v>455.128662524655</v>
      </c>
    </row>
    <row r="41" customFormat="false" ht="15" hidden="false" customHeight="false" outlineLevel="0" collapsed="false">
      <c r="D41" s="15" t="n">
        <f aca="false">36/12</f>
        <v>3</v>
      </c>
      <c r="E41" s="9" t="n">
        <f aca="false">$B$5/(1+$B$7*$B$6*D41)^(1/$B$7)</f>
        <v>448.603379683007</v>
      </c>
      <c r="F41" s="9" t="n">
        <f aca="false">IF(D41&lt;=$B$11,$B$5/(1+$B$7*$B$6*D41)^(1/$B$7),$B$5/(1+$B$7*$B$6*$B$11)^(1/$B$7)*EXP(-$B$8*(D41-$B$11)))</f>
        <v>448.603379683007</v>
      </c>
    </row>
    <row r="42" customFormat="false" ht="15" hidden="false" customHeight="false" outlineLevel="0" collapsed="false">
      <c r="D42" s="15" t="n">
        <f aca="false">37/12</f>
        <v>3.08333333333333</v>
      </c>
      <c r="E42" s="9" t="n">
        <f aca="false">$B$5/(1+$B$7*$B$6*D42)^(1/$B$7)</f>
        <v>442.307061786486</v>
      </c>
      <c r="F42" s="9" t="n">
        <f aca="false">IF(D42&lt;=$B$11,$B$5/(1+$B$7*$B$6*D42)^(1/$B$7),$B$5/(1+$B$7*$B$6*$B$11)^(1/$B$7)*EXP(-$B$8*(D42-$B$11)))</f>
        <v>442.307061786486</v>
      </c>
    </row>
    <row r="43" customFormat="false" ht="15" hidden="false" customHeight="false" outlineLevel="0" collapsed="false">
      <c r="D43" s="15" t="n">
        <f aca="false">38/12</f>
        <v>3.16666666666667</v>
      </c>
      <c r="E43" s="9" t="n">
        <f aca="false">$B$5/(1+$B$7*$B$6*D43)^(1/$B$7)</f>
        <v>436.227119136493</v>
      </c>
      <c r="F43" s="9" t="n">
        <f aca="false">IF(D43&lt;=$B$11,$B$5/(1+$B$7*$B$6*D43)^(1/$B$7),$B$5/(1+$B$7*$B$6*$B$11)^(1/$B$7)*EXP(-$B$8*(D43-$B$11)))</f>
        <v>436.227119136493</v>
      </c>
    </row>
    <row r="44" customFormat="false" ht="15" hidden="false" customHeight="false" outlineLevel="0" collapsed="false">
      <c r="D44" s="15" t="n">
        <f aca="false">39/12</f>
        <v>3.25</v>
      </c>
      <c r="E44" s="9" t="n">
        <f aca="false">$B$5/(1+$B$7*$B$6*D44)^(1/$B$7)</f>
        <v>430.35189465596</v>
      </c>
      <c r="F44" s="9" t="n">
        <f aca="false">IF(D44&lt;=$B$11,$B$5/(1+$B$7*$B$6*D44)^(1/$B$7),$B$5/(1+$B$7*$B$6*$B$11)^(1/$B$7)*EXP(-$B$8*(D44-$B$11)))</f>
        <v>430.35189465596</v>
      </c>
    </row>
    <row r="45" customFormat="false" ht="15" hidden="false" customHeight="false" outlineLevel="0" collapsed="false">
      <c r="D45" s="15" t="n">
        <f aca="false">40/12</f>
        <v>3.33333333333333</v>
      </c>
      <c r="E45" s="9" t="n">
        <f aca="false">$B$5/(1+$B$7*$B$6*D45)^(1/$B$7)</f>
        <v>424.670577700922</v>
      </c>
      <c r="F45" s="9" t="n">
        <f aca="false">IF(D45&lt;=$B$11,$B$5/(1+$B$7*$B$6*D45)^(1/$B$7),$B$5/(1+$B$7*$B$6*$B$11)^(1/$B$7)*EXP(-$B$8*(D45-$B$11)))</f>
        <v>424.670577700922</v>
      </c>
    </row>
    <row r="46" customFormat="false" ht="15" hidden="false" customHeight="false" outlineLevel="0" collapsed="false">
      <c r="D46" s="15" t="n">
        <f aca="false">41/12</f>
        <v>3.41666666666667</v>
      </c>
      <c r="E46" s="9" t="n">
        <f aca="false">$B$5/(1+$B$7*$B$6*D46)^(1/$B$7)</f>
        <v>419.173127356305</v>
      </c>
      <c r="F46" s="9" t="n">
        <f aca="false">IF(D46&lt;=$B$11,$B$5/(1+$B$7*$B$6*D46)^(1/$B$7),$B$5/(1+$B$7*$B$6*$B$11)^(1/$B$7)*EXP(-$B$8*(D46-$B$11)))</f>
        <v>419.173127356305</v>
      </c>
    </row>
    <row r="47" customFormat="false" ht="15" hidden="false" customHeight="false" outlineLevel="0" collapsed="false">
      <c r="D47" s="15" t="n">
        <f aca="false">42/12</f>
        <v>3.5</v>
      </c>
      <c r="E47" s="9" t="n">
        <f aca="false">$B$5/(1+$B$7*$B$6*D47)^(1/$B$7)</f>
        <v>413.850204011488</v>
      </c>
      <c r="F47" s="9" t="n">
        <f aca="false">IF(D47&lt;=$B$11,$B$5/(1+$B$7*$B$6*D47)^(1/$B$7),$B$5/(1+$B$7*$B$6*$B$11)^(1/$B$7)*EXP(-$B$8*(D47-$B$11)))</f>
        <v>413.850204011488</v>
      </c>
    </row>
    <row r="48" customFormat="false" ht="15" hidden="false" customHeight="false" outlineLevel="0" collapsed="false">
      <c r="D48" s="15" t="n">
        <f aca="false">43/12</f>
        <v>3.58333333333333</v>
      </c>
      <c r="E48" s="9" t="n">
        <f aca="false">$B$5/(1+$B$7*$B$6*D48)^(1/$B$7)</f>
        <v>408.693108183809</v>
      </c>
      <c r="F48" s="9" t="n">
        <f aca="false">IF(D48&lt;=$B$11,$B$5/(1+$B$7*$B$6*D48)^(1/$B$7),$B$5/(1+$B$7*$B$6*$B$11)^(1/$B$7)*EXP(-$B$8*(D48-$B$11)))</f>
        <v>408.693108183809</v>
      </c>
    </row>
    <row r="49" customFormat="false" ht="15" hidden="false" customHeight="false" outlineLevel="0" collapsed="false">
      <c r="D49" s="15" t="n">
        <f aca="false">44/12</f>
        <v>3.66666666666667</v>
      </c>
      <c r="E49" s="9" t="n">
        <f aca="false">$B$5/(1+$B$7*$B$6*D49)^(1/$B$7)</f>
        <v>403.693725703344</v>
      </c>
      <c r="F49" s="9" t="n">
        <f aca="false">IF(D49&lt;=$B$11,$B$5/(1+$B$7*$B$6*D49)^(1/$B$7),$B$5/(1+$B$7*$B$6*$B$11)^(1/$B$7)*EXP(-$B$8*(D49-$B$11)))</f>
        <v>403.693725703344</v>
      </c>
    </row>
    <row r="50" customFormat="false" ht="15" hidden="false" customHeight="false" outlineLevel="0" collapsed="false">
      <c r="D50" s="15" t="n">
        <f aca="false">45/12</f>
        <v>3.75</v>
      </c>
      <c r="E50" s="9" t="n">
        <f aca="false">$B$5/(1+$B$7*$B$6*D50)^(1/$B$7)</f>
        <v>398.844478494801</v>
      </c>
      <c r="F50" s="9" t="n">
        <f aca="false">IF(D50&lt;=$B$11,$B$5/(1+$B$7*$B$6*D50)^(1/$B$7),$B$5/(1+$B$7*$B$6*$B$11)^(1/$B$7)*EXP(-$B$8*(D50-$B$11)))</f>
        <v>398.844478494801</v>
      </c>
    </row>
    <row r="51" customFormat="false" ht="15" hidden="false" customHeight="false" outlineLevel="0" collapsed="false">
      <c r="D51" s="15" t="n">
        <f aca="false">46/12</f>
        <v>3.83333333333333</v>
      </c>
      <c r="E51" s="9" t="n">
        <f aca="false">$B$5/(1+$B$7*$B$6*D51)^(1/$B$7)</f>
        <v>394.138280296031</v>
      </c>
      <c r="F51" s="9" t="n">
        <f aca="false">IF(D51&lt;=$B$11,$B$5/(1+$B$7*$B$6*D51)^(1/$B$7),$B$5/(1+$B$7*$B$6*$B$11)^(1/$B$7)*EXP(-$B$8*(D51-$B$11)))</f>
        <v>394.138280296031</v>
      </c>
    </row>
    <row r="52" customFormat="false" ht="15" hidden="false" customHeight="false" outlineLevel="0" collapsed="false">
      <c r="D52" s="15" t="n">
        <f aca="false">47/12</f>
        <v>3.91666666666667</v>
      </c>
      <c r="E52" s="9" t="n">
        <f aca="false">$B$5/(1+$B$7*$B$6*D52)^(1/$B$7)</f>
        <v>389.568496740784</v>
      </c>
      <c r="F52" s="9" t="n">
        <f aca="false">IF(D52&lt;=$B$11,$B$5/(1+$B$7*$B$6*D52)^(1/$B$7),$B$5/(1+$B$7*$B$6*$B$11)^(1/$B$7)*EXP(-$B$8*(D52-$B$11)))</f>
        <v>389.568496740784</v>
      </c>
    </row>
    <row r="53" customFormat="false" ht="15" hidden="false" customHeight="false" outlineLevel="0" collapsed="false">
      <c r="D53" s="15" t="n">
        <f aca="false">48/12</f>
        <v>4</v>
      </c>
      <c r="E53" s="9" t="n">
        <f aca="false">$B$5/(1+$B$7*$B$6*D53)^(1/$B$7)</f>
        <v>385.128909308298</v>
      </c>
      <c r="F53" s="9" t="n">
        <f aca="false">IF(D53&lt;=$B$11,$B$5/(1+$B$7*$B$6*D53)^(1/$B$7),$B$5/(1+$B$7*$B$6*$B$11)^(1/$B$7)*EXP(-$B$8*(D53-$B$11)))</f>
        <v>385.128909308298</v>
      </c>
    </row>
    <row r="54" customFormat="false" ht="15" hidden="false" customHeight="false" outlineLevel="0" collapsed="false">
      <c r="D54" s="15" t="n">
        <f aca="false">49/12</f>
        <v>4.08333333333333</v>
      </c>
      <c r="E54" s="9" t="n">
        <f aca="false">$B$5/(1+$B$7*$B$6*D54)^(1/$B$7)</f>
        <v>380.81368270646</v>
      </c>
      <c r="F54" s="9" t="n">
        <f aca="false">IF(D54&lt;=$B$11,$B$5/(1+$B$7*$B$6*D54)^(1/$B$7),$B$5/(1+$B$7*$B$6*$B$11)^(1/$B$7)*EXP(-$B$8*(D54-$B$11)))</f>
        <v>380.81368270646</v>
      </c>
    </row>
    <row r="55" customFormat="false" ht="15" hidden="false" customHeight="false" outlineLevel="0" collapsed="false">
      <c r="D55" s="15" t="n">
        <f aca="false">50/12</f>
        <v>4.16666666666667</v>
      </c>
      <c r="E55" s="9" t="n">
        <f aca="false">$B$5/(1+$B$7*$B$6*D55)^(1/$B$7)</f>
        <v>376.617335310148</v>
      </c>
      <c r="F55" s="9" t="n">
        <f aca="false">IF(D55&lt;=$B$11,$B$5/(1+$B$7*$B$6*D55)^(1/$B$7),$B$5/(1+$B$7*$B$6*$B$11)^(1/$B$7)*EXP(-$B$8*(D55-$B$11)))</f>
        <v>376.617335310148</v>
      </c>
    </row>
    <row r="56" customFormat="false" ht="15" hidden="false" customHeight="false" outlineLevel="0" collapsed="false">
      <c r="D56" s="15" t="n">
        <f aca="false">51/12</f>
        <v>4.25</v>
      </c>
      <c r="E56" s="9" t="n">
        <f aca="false">$B$5/(1+$B$7*$B$6*D56)^(1/$B$7)</f>
        <v>372.534712323545</v>
      </c>
      <c r="F56" s="9" t="n">
        <f aca="false">IF(D56&lt;=$B$11,$B$5/(1+$B$7*$B$6*D56)^(1/$B$7),$B$5/(1+$B$7*$B$6*$B$11)^(1/$B$7)*EXP(-$B$8*(D56-$B$11)))</f>
        <v>372.534712323545</v>
      </c>
    </row>
    <row r="57" customFormat="false" ht="15" hidden="false" customHeight="false" outlineLevel="0" collapsed="false">
      <c r="D57" s="15" t="n">
        <f aca="false">52/12</f>
        <v>4.33333333333333</v>
      </c>
      <c r="E57" s="9" t="n">
        <f aca="false">$B$5/(1+$B$7*$B$6*D57)^(1/$B$7)</f>
        <v>368.560961375867</v>
      </c>
      <c r="F57" s="9" t="n">
        <f aca="false">IF(D57&lt;=$B$11,$B$5/(1+$B$7*$B$6*D57)^(1/$B$7),$B$5/(1+$B$7*$B$6*$B$11)^(1/$B$7)*EXP(-$B$8*(D57-$B$11)))</f>
        <v>368.560961375867</v>
      </c>
    </row>
    <row r="58" customFormat="false" ht="15" hidden="false" customHeight="false" outlineLevel="0" collapsed="false">
      <c r="D58" s="15" t="n">
        <f aca="false">53/12</f>
        <v>4.41666666666667</v>
      </c>
      <c r="E58" s="9" t="n">
        <f aca="false">$B$5/(1+$B$7*$B$6*D58)^(1/$B$7)</f>
        <v>364.691510294995</v>
      </c>
      <c r="F58" s="9" t="n">
        <f aca="false">IF(D58&lt;=$B$11,$B$5/(1+$B$7*$B$6*D58)^(1/$B$7),$B$5/(1+$B$7*$B$6*$B$11)^(1/$B$7)*EXP(-$B$8*(D58-$B$11)))</f>
        <v>364.691510294995</v>
      </c>
    </row>
    <row r="59" customFormat="false" ht="15" hidden="false" customHeight="false" outlineLevel="0" collapsed="false">
      <c r="D59" s="15" t="n">
        <f aca="false">54/12</f>
        <v>4.5</v>
      </c>
      <c r="E59" s="9" t="n">
        <f aca="false">$B$5/(1+$B$7*$B$6*D59)^(1/$B$7)</f>
        <v>360.922046833914</v>
      </c>
      <c r="F59" s="9" t="n">
        <f aca="false">IF(D59&lt;=$B$11,$B$5/(1+$B$7*$B$6*D59)^(1/$B$7),$B$5/(1+$B$7*$B$6*$B$11)^(1/$B$7)*EXP(-$B$8*(D59-$B$11)))</f>
        <v>360.922046833914</v>
      </c>
    </row>
    <row r="60" customFormat="false" ht="15" hidden="false" customHeight="false" outlineLevel="0" collapsed="false">
      <c r="D60" s="15" t="n">
        <f aca="false">55/12</f>
        <v>4.58333333333333</v>
      </c>
      <c r="E60" s="9" t="n">
        <f aca="false">$B$5/(1+$B$7*$B$6*D60)^(1/$B$7)</f>
        <v>357.248500151164</v>
      </c>
      <c r="F60" s="9" t="n">
        <f aca="false">IF(D60&lt;=$B$11,$B$5/(1+$B$7*$B$6*D60)^(1/$B$7),$B$5/(1+$B$7*$B$6*$B$11)^(1/$B$7)*EXP(-$B$8*(D60-$B$11)))</f>
        <v>357.248500151164</v>
      </c>
    </row>
    <row r="61" customFormat="false" ht="15" hidden="false" customHeight="false" outlineLevel="0" collapsed="false">
      <c r="D61" s="15" t="n">
        <f aca="false">56/12</f>
        <v>4.66666666666667</v>
      </c>
      <c r="E61" s="9" t="n">
        <f aca="false">$B$5/(1+$B$7*$B$6*D61)^(1/$B$7)</f>
        <v>353.667023869477</v>
      </c>
      <c r="F61" s="9" t="n">
        <f aca="false">IF(D61&lt;=$B$11,$B$5/(1+$B$7*$B$6*D61)^(1/$B$7),$B$5/(1+$B$7*$B$6*$B$11)^(1/$B$7)*EXP(-$B$8*(D61-$B$11)))</f>
        <v>353.667023869477</v>
      </c>
    </row>
    <row r="62" customFormat="false" ht="15" hidden="false" customHeight="false" outlineLevel="0" collapsed="false">
      <c r="D62" s="15" t="n">
        <f aca="false">57/12</f>
        <v>4.75</v>
      </c>
      <c r="E62" s="9" t="n">
        <f aca="false">$B$5/(1+$B$7*$B$6*D62)^(1/$B$7)</f>
        <v>350.173980556712</v>
      </c>
      <c r="F62" s="9" t="n">
        <f aca="false">IF(D62&lt;=$B$11,$B$5/(1+$B$7*$B$6*D62)^(1/$B$7),$B$5/(1+$B$7*$B$6*$B$11)^(1/$B$7)*EXP(-$B$8*(D62-$B$11)))</f>
        <v>350.173980556712</v>
      </c>
    </row>
    <row r="63" customFormat="false" ht="15" hidden="false" customHeight="false" outlineLevel="0" collapsed="false">
      <c r="D63" s="15" t="n">
        <f aca="false">58/12</f>
        <v>4.83333333333333</v>
      </c>
      <c r="E63" s="9" t="n">
        <f aca="false">$B$5/(1+$B$7*$B$6*D63)^(1/$B$7)</f>
        <v>346.765927490652</v>
      </c>
      <c r="F63" s="9" t="n">
        <f aca="false">IF(D63&lt;=$B$11,$B$5/(1+$B$7*$B$6*D63)^(1/$B$7),$B$5/(1+$B$7*$B$6*$B$11)^(1/$B$7)*EXP(-$B$8*(D63-$B$11)))</f>
        <v>346.765927490652</v>
      </c>
    </row>
    <row r="64" customFormat="false" ht="15" hidden="false" customHeight="false" outlineLevel="0" collapsed="false">
      <c r="D64" s="15" t="n">
        <f aca="false">59/12</f>
        <v>4.91666666666667</v>
      </c>
      <c r="E64" s="9" t="n">
        <f aca="false">$B$5/(1+$B$7*$B$6*D64)^(1/$B$7)</f>
        <v>343.439603584516</v>
      </c>
      <c r="F64" s="9" t="n">
        <f aca="false">IF(D64&lt;=$B$11,$B$5/(1+$B$7*$B$6*D64)^(1/$B$7),$B$5/(1+$B$7*$B$6*$B$11)^(1/$B$7)*EXP(-$B$8*(D64-$B$11)))</f>
        <v>343.439603584516</v>
      </c>
    </row>
    <row r="65" customFormat="false" ht="15" hidden="false" customHeight="false" outlineLevel="0" collapsed="false">
      <c r="D65" s="15" t="n">
        <f aca="false">60/12</f>
        <v>5</v>
      </c>
      <c r="E65" s="9" t="n">
        <f aca="false">$B$5/(1+$B$7*$B$6*D65)^(1/$B$7)</f>
        <v>340.191917363418</v>
      </c>
      <c r="F65" s="9" t="n">
        <f aca="false">IF(D65&lt;=$B$11,$B$5/(1+$B$7*$B$6*D65)^(1/$B$7),$B$5/(1+$B$7*$B$6*$B$11)^(1/$B$7)*EXP(-$B$8*(D65-$B$11)))</f>
        <v>340.191917363418</v>
      </c>
    </row>
    <row r="66" customFormat="false" ht="15" hidden="false" customHeight="false" outlineLevel="0" collapsed="false">
      <c r="D66" s="15" t="n">
        <f aca="false">61/12</f>
        <v>5.08333333333333</v>
      </c>
      <c r="E66" s="9" t="n">
        <f aca="false">$B$5/(1+$B$7*$B$6*D66)^(1/$B$7)</f>
        <v>337.019935893771</v>
      </c>
      <c r="F66" s="9" t="n">
        <f aca="false">IF(D66&lt;=$B$11,$B$5/(1+$B$7*$B$6*D66)^(1/$B$7),$B$5/(1+$B$7*$B$6*$B$11)^(1/$B$7)*EXP(-$B$8*(D66-$B$11)))</f>
        <v>337.019935893771</v>
      </c>
    </row>
    <row r="67" customFormat="false" ht="15" hidden="false" customHeight="false" outlineLevel="0" collapsed="false">
      <c r="D67" s="15" t="n">
        <f aca="false">62/12</f>
        <v>5.16666666666667</v>
      </c>
      <c r="E67" s="9" t="n">
        <f aca="false">$B$5/(1+$B$7*$B$6*D67)^(1/$B$7)</f>
        <v>333.920874578016</v>
      </c>
      <c r="F67" s="9" t="n">
        <f aca="false">IF(D67&lt;=$B$11,$B$5/(1+$B$7*$B$6*D67)^(1/$B$7),$B$5/(1+$B$7*$B$6*$B$11)^(1/$B$7)*EXP(-$B$8*(D67-$B$11)))</f>
        <v>333.920874578016</v>
      </c>
    </row>
    <row r="68" customFormat="false" ht="15" hidden="false" customHeight="false" outlineLevel="0" collapsed="false">
      <c r="D68" s="15" t="n">
        <f aca="false">63/12</f>
        <v>5.25</v>
      </c>
      <c r="E68" s="9" t="n">
        <f aca="false">$B$5/(1+$B$7*$B$6*D68)^(1/$B$7)</f>
        <v>330.892087736178</v>
      </c>
      <c r="F68" s="9" t="n">
        <f aca="false">IF(D68&lt;=$B$11,$B$5/(1+$B$7*$B$6*D68)^(1/$B$7),$B$5/(1+$B$7*$B$6*$B$11)^(1/$B$7)*EXP(-$B$8*(D68-$B$11)))</f>
        <v>330.892087736178</v>
      </c>
    </row>
    <row r="69" customFormat="false" ht="15" hidden="false" customHeight="false" outlineLevel="0" collapsed="false">
      <c r="D69" s="15" t="n">
        <f aca="false">64/12</f>
        <v>5.33333333333333</v>
      </c>
      <c r="E69" s="9" t="n">
        <f aca="false">$B$5/(1+$B$7*$B$6*D69)^(1/$B$7)</f>
        <v>327.931059903838</v>
      </c>
      <c r="F69" s="9" t="n">
        <f aca="false">IF(D69&lt;=$B$11,$B$5/(1+$B$7*$B$6*D69)^(1/$B$7),$B$5/(1+$B$7*$B$6*$B$11)^(1/$B$7)*EXP(-$B$8*(D69-$B$11)))</f>
        <v>327.931059903838</v>
      </c>
    </row>
    <row r="70" customFormat="false" ht="15" hidden="false" customHeight="false" outlineLevel="0" collapsed="false">
      <c r="D70" s="15" t="n">
        <f aca="false">65/12</f>
        <v>5.41666666666667</v>
      </c>
      <c r="E70" s="9" t="n">
        <f aca="false">$B$5/(1+$B$7*$B$6*D70)^(1/$B$7)</f>
        <v>325.035397783259</v>
      </c>
      <c r="F70" s="9" t="n">
        <f aca="false">IF(D70&lt;=$B$11,$B$5/(1+$B$7*$B$6*D70)^(1/$B$7),$B$5/(1+$B$7*$B$6*$B$11)^(1/$B$7)*EXP(-$B$8*(D70-$B$11)))</f>
        <v>325.035397783259</v>
      </c>
    </row>
    <row r="71" customFormat="false" ht="15" hidden="false" customHeight="false" outlineLevel="0" collapsed="false">
      <c r="D71" s="15" t="n">
        <f aca="false">66/12</f>
        <v>5.5</v>
      </c>
      <c r="E71" s="9" t="n">
        <f aca="false">$B$5/(1+$B$7*$B$6*D71)^(1/$B$7)</f>
        <v>322.202822790747</v>
      </c>
      <c r="F71" s="9" t="n">
        <f aca="false">IF(D71&lt;=$B$11,$B$5/(1+$B$7*$B$6*D71)^(1/$B$7),$B$5/(1+$B$7*$B$6*$B$11)^(1/$B$7)*EXP(-$B$8*(D71-$B$11)))</f>
        <v>322.202822790747</v>
      </c>
    </row>
    <row r="72" customFormat="false" ht="15" hidden="false" customHeight="false" outlineLevel="0" collapsed="false">
      <c r="D72" s="15" t="n">
        <f aca="false">67/12</f>
        <v>5.58333333333333</v>
      </c>
      <c r="E72" s="9" t="n">
        <f aca="false">$B$5/(1+$B$7*$B$6*D72)^(1/$B$7)</f>
        <v>319.431164148951</v>
      </c>
      <c r="F72" s="9" t="n">
        <f aca="false">IF(D72&lt;=$B$11,$B$5/(1+$B$7*$B$6*D72)^(1/$B$7),$B$5/(1+$B$7*$B$6*$B$11)^(1/$B$7)*EXP(-$B$8*(D72-$B$11)))</f>
        <v>319.431164148951</v>
      </c>
    </row>
    <row r="73" customFormat="false" ht="15" hidden="false" customHeight="false" outlineLevel="0" collapsed="false">
      <c r="D73" s="15" t="n">
        <f aca="false">68/12</f>
        <v>5.66666666666667</v>
      </c>
      <c r="E73" s="9" t="n">
        <f aca="false">$B$5/(1+$B$7*$B$6*D73)^(1/$B$7)</f>
        <v>316.718352477825</v>
      </c>
      <c r="F73" s="9" t="n">
        <f aca="false">IF(D73&lt;=$B$11,$B$5/(1+$B$7*$B$6*D73)^(1/$B$7),$B$5/(1+$B$7*$B$6*$B$11)^(1/$B$7)*EXP(-$B$8*(D73-$B$11)))</f>
        <v>316.718352477825</v>
      </c>
    </row>
    <row r="74" customFormat="false" ht="15" hidden="false" customHeight="false" outlineLevel="0" collapsed="false">
      <c r="D74" s="15" t="n">
        <f aca="false">69/12</f>
        <v>5.75</v>
      </c>
      <c r="E74" s="9" t="n">
        <f aca="false">$B$5/(1+$B$7*$B$6*D74)^(1/$B$7)</f>
        <v>314.062413842432</v>
      </c>
      <c r="F74" s="9" t="n">
        <f aca="false">IF(D74&lt;=$B$11,$B$5/(1+$B$7*$B$6*D74)^(1/$B$7),$B$5/(1+$B$7*$B$6*$B$11)^(1/$B$7)*EXP(-$B$8*(D74-$B$11)))</f>
        <v>314.062413842432</v>
      </c>
    </row>
    <row r="75" customFormat="false" ht="15" hidden="false" customHeight="false" outlineLevel="0" collapsed="false">
      <c r="D75" s="15" t="n">
        <f aca="false">70/12</f>
        <v>5.83333333333333</v>
      </c>
      <c r="E75" s="9" t="n">
        <f aca="false">$B$5/(1+$B$7*$B$6*D75)^(1/$B$7)</f>
        <v>311.461464219756</v>
      </c>
      <c r="F75" s="9" t="n">
        <f aca="false">IF(D75&lt;=$B$11,$B$5/(1+$B$7*$B$6*D75)^(1/$B$7),$B$5/(1+$B$7*$B$6*$B$11)^(1/$B$7)*EXP(-$B$8*(D75-$B$11)))</f>
        <v>311.461464219756</v>
      </c>
    </row>
    <row r="76" customFormat="false" ht="15" hidden="false" customHeight="false" outlineLevel="0" collapsed="false">
      <c r="D76" s="15" t="n">
        <f aca="false">71/12</f>
        <v>5.91666666666667</v>
      </c>
      <c r="E76" s="9" t="n">
        <f aca="false">$B$5/(1+$B$7*$B$6*D76)^(1/$B$7)</f>
        <v>308.913704350246</v>
      </c>
      <c r="F76" s="9" t="n">
        <f aca="false">IF(D76&lt;=$B$11,$B$5/(1+$B$7*$B$6*D76)^(1/$B$7),$B$5/(1+$B$7*$B$6*$B$11)^(1/$B$7)*EXP(-$B$8*(D76-$B$11)))</f>
        <v>308.913704350246</v>
      </c>
    </row>
    <row r="77" customFormat="false" ht="15" hidden="false" customHeight="false" outlineLevel="0" collapsed="false">
      <c r="D77" s="15" t="n">
        <f aca="false">72/12</f>
        <v>6</v>
      </c>
      <c r="E77" s="9" t="n">
        <f aca="false">$B$5/(1+$B$7*$B$6*D77)^(1/$B$7)</f>
        <v>306.417414942999</v>
      </c>
      <c r="F77" s="9" t="n">
        <f aca="false">IF(D77&lt;=$B$11,$B$5/(1+$B$7*$B$6*D77)^(1/$B$7),$B$5/(1+$B$7*$B$6*$B$11)^(1/$B$7)*EXP(-$B$8*(D77-$B$11)))</f>
        <v>306.417414942999</v>
      </c>
    </row>
    <row r="78" customFormat="false" ht="15" hidden="false" customHeight="false" outlineLevel="0" collapsed="false">
      <c r="D78" s="15" t="n">
        <f aca="false">73/12</f>
        <v>6.08333333333333</v>
      </c>
      <c r="E78" s="9" t="n">
        <f aca="false">$B$5/(1+$B$7*$B$6*D78)^(1/$B$7)</f>
        <v>303.970952206352</v>
      </c>
      <c r="F78" s="9" t="n">
        <f aca="false">IF(D78&lt;=$B$11,$B$5/(1+$B$7*$B$6*D78)^(1/$B$7),$B$5/(1+$B$7*$B$6*$B$11)^(1/$B$7)*EXP(-$B$8*(D78-$B$11)))</f>
        <v>303.970952206352</v>
      </c>
    </row>
    <row r="79" customFormat="false" ht="15" hidden="false" customHeight="false" outlineLevel="0" collapsed="false">
      <c r="D79" s="15" t="n">
        <f aca="false">74/12</f>
        <v>6.16666666666667</v>
      </c>
      <c r="E79" s="9" t="n">
        <f aca="false">$B$5/(1+$B$7*$B$6*D79)^(1/$B$7)</f>
        <v>301.572743678204</v>
      </c>
      <c r="F79" s="9" t="n">
        <f aca="false">IF(D79&lt;=$B$11,$B$5/(1+$B$7*$B$6*D79)^(1/$B$7),$B$5/(1+$B$7*$B$6*$B$11)^(1/$B$7)*EXP(-$B$8*(D79-$B$11)))</f>
        <v>301.572743678204</v>
      </c>
    </row>
    <row r="80" customFormat="false" ht="15" hidden="false" customHeight="false" outlineLevel="0" collapsed="false">
      <c r="D80" s="15" t="n">
        <f aca="false">75/12</f>
        <v>6.25</v>
      </c>
      <c r="E80" s="9" t="n">
        <f aca="false">$B$5/(1+$B$7*$B$6*D80)^(1/$B$7)</f>
        <v>299.221284332697</v>
      </c>
      <c r="F80" s="9" t="n">
        <f aca="false">IF(D80&lt;=$B$11,$B$5/(1+$B$7*$B$6*D80)^(1/$B$7),$B$5/(1+$B$7*$B$6*$B$11)^(1/$B$7)*EXP(-$B$8*(D80-$B$11)))</f>
        <v>299.221284332697</v>
      </c>
    </row>
    <row r="81" customFormat="false" ht="15" hidden="false" customHeight="false" outlineLevel="0" collapsed="false">
      <c r="D81" s="15" t="n">
        <f aca="false">76/12</f>
        <v>6.33333333333333</v>
      </c>
      <c r="E81" s="9" t="n">
        <f aca="false">$B$5/(1+$B$7*$B$6*D81)^(1/$B$7)</f>
        <v>296.915132941961</v>
      </c>
      <c r="F81" s="9" t="n">
        <f aca="false">IF(D81&lt;=$B$11,$B$5/(1+$B$7*$B$6*D81)^(1/$B$7),$B$5/(1+$B$7*$B$6*$B$11)^(1/$B$7)*EXP(-$B$8*(D81-$B$11)))</f>
        <v>296.915132941961</v>
      </c>
    </row>
    <row r="82" customFormat="false" ht="15" hidden="false" customHeight="false" outlineLevel="0" collapsed="false">
      <c r="D82" s="15" t="n">
        <f aca="false">77/12</f>
        <v>6.41666666666667</v>
      </c>
      <c r="E82" s="9" t="n">
        <f aca="false">$B$5/(1+$B$7*$B$6*D82)^(1/$B$7)</f>
        <v>294.652908673482</v>
      </c>
      <c r="F82" s="9" t="n">
        <f aca="false">IF(D82&lt;=$B$11,$B$5/(1+$B$7*$B$6*D82)^(1/$B$7),$B$5/(1+$B$7*$B$6*$B$11)^(1/$B$7)*EXP(-$B$8*(D82-$B$11)))</f>
        <v>294.652908673482</v>
      </c>
    </row>
    <row r="83" customFormat="false" ht="15" hidden="false" customHeight="false" outlineLevel="0" collapsed="false">
      <c r="D83" s="15" t="n">
        <f aca="false">78/12</f>
        <v>6.5</v>
      </c>
      <c r="E83" s="9" t="n">
        <f aca="false">$B$5/(1+$B$7*$B$6*D83)^(1/$B$7)</f>
        <v>292.433287905344</v>
      </c>
      <c r="F83" s="9" t="n">
        <f aca="false">IF(D83&lt;=$B$11,$B$5/(1+$B$7*$B$6*D83)^(1/$B$7),$B$5/(1+$B$7*$B$6*$B$11)^(1/$B$7)*EXP(-$B$8*(D83-$B$11)))</f>
        <v>292.433287905344</v>
      </c>
    </row>
    <row r="84" customFormat="false" ht="15" hidden="false" customHeight="false" outlineLevel="0" collapsed="false">
      <c r="D84" s="15" t="n">
        <f aca="false">79/12</f>
        <v>6.58333333333333</v>
      </c>
      <c r="E84" s="9" t="n">
        <f aca="false">$B$5/(1+$B$7*$B$6*D84)^(1/$B$7)</f>
        <v>290.255001243124</v>
      </c>
      <c r="F84" s="9" t="n">
        <f aca="false">IF(D84&lt;=$B$11,$B$5/(1+$B$7*$B$6*D84)^(1/$B$7),$B$5/(1+$B$7*$B$6*$B$11)^(1/$B$7)*EXP(-$B$8*(D84-$B$11)))</f>
        <v>290.255001243124</v>
      </c>
    </row>
    <row r="85" customFormat="false" ht="15" hidden="false" customHeight="false" outlineLevel="0" collapsed="false">
      <c r="D85" s="15" t="n">
        <f aca="false">80/12</f>
        <v>6.66666666666667</v>
      </c>
      <c r="E85" s="9" t="n">
        <f aca="false">$B$5/(1+$B$7*$B$6*D85)^(1/$B$7)</f>
        <v>288.116830723578</v>
      </c>
      <c r="F85" s="9" t="n">
        <f aca="false">IF(D85&lt;=$B$11,$B$5/(1+$B$7*$B$6*D85)^(1/$B$7),$B$5/(1+$B$7*$B$6*$B$11)^(1/$B$7)*EXP(-$B$8*(D85-$B$11)))</f>
        <v>288.116830723578</v>
      </c>
    </row>
    <row r="86" customFormat="false" ht="15" hidden="false" customHeight="false" outlineLevel="0" collapsed="false">
      <c r="D86" s="15" t="n">
        <f aca="false">81/12</f>
        <v>6.75</v>
      </c>
      <c r="E86" s="9" t="n">
        <f aca="false">$B$5/(1+$B$7*$B$6*D86)^(1/$B$7)</f>
        <v>286.017607191498</v>
      </c>
      <c r="F86" s="9" t="n">
        <f aca="false">IF(D86&lt;=$B$11,$B$5/(1+$B$7*$B$6*D86)^(1/$B$7),$B$5/(1+$B$7*$B$6*$B$11)^(1/$B$7)*EXP(-$B$8*(D86-$B$11)))</f>
        <v>286.017607191498</v>
      </c>
    </row>
    <row r="87" customFormat="false" ht="15" hidden="false" customHeight="false" outlineLevel="0" collapsed="false">
      <c r="D87" s="15" t="n">
        <f aca="false">82/12</f>
        <v>6.83333333333333</v>
      </c>
      <c r="E87" s="9" t="n">
        <f aca="false">$B$5/(1+$B$7*$B$6*D87)^(1/$B$7)</f>
        <v>283.956207837289</v>
      </c>
      <c r="F87" s="9" t="n">
        <f aca="false">IF(D87&lt;=$B$11,$B$5/(1+$B$7*$B$6*D87)^(1/$B$7),$B$5/(1+$B$7*$B$6*$B$11)^(1/$B$7)*EXP(-$B$8*(D87-$B$11)))</f>
        <v>283.956207837289</v>
      </c>
    </row>
    <row r="88" customFormat="false" ht="15" hidden="false" customHeight="false" outlineLevel="0" collapsed="false">
      <c r="D88" s="15" t="n">
        <f aca="false">83/12</f>
        <v>6.91666666666667</v>
      </c>
      <c r="E88" s="9" t="n">
        <f aca="false">$B$5/(1+$B$7*$B$6*D88)^(1/$B$7)</f>
        <v>281.931553883767</v>
      </c>
      <c r="F88" s="9" t="n">
        <f aca="false">IF(D88&lt;=$B$11,$B$5/(1+$B$7*$B$6*D88)^(1/$B$7),$B$5/(1+$B$7*$B$6*$B$11)^(1/$B$7)*EXP(-$B$8*(D88-$B$11)))</f>
        <v>281.931553883767</v>
      </c>
    </row>
    <row r="89" customFormat="false" ht="15" hidden="false" customHeight="false" outlineLevel="0" collapsed="false">
      <c r="D89" s="15" t="n">
        <f aca="false">84/12</f>
        <v>7</v>
      </c>
      <c r="E89" s="9" t="n">
        <f aca="false">$B$5/(1+$B$7*$B$6*D89)^(1/$B$7)</f>
        <v>279.942608411686</v>
      </c>
      <c r="F89" s="9" t="n">
        <f aca="false">IF(D89&lt;=$B$11,$B$5/(1+$B$7*$B$6*D89)^(1/$B$7),$B$5/(1+$B$7*$B$6*$B$11)^(1/$B$7)*EXP(-$B$8*(D89-$B$11)))</f>
        <v>279.942608411686</v>
      </c>
    </row>
    <row r="90" customFormat="false" ht="15" hidden="false" customHeight="false" outlineLevel="0" collapsed="false">
      <c r="D90" s="15" t="n">
        <f aca="false">85/12</f>
        <v>7.08333333333333</v>
      </c>
      <c r="E90" s="9" t="n">
        <f aca="false">$B$5/(1+$B$7*$B$6*D90)^(1/$B$7)</f>
        <v>277.988374314283</v>
      </c>
      <c r="F90" s="9" t="n">
        <f aca="false">IF(D90&lt;=$B$11,$B$5/(1+$B$7*$B$6*D90)^(1/$B$7),$B$5/(1+$B$7*$B$6*$B$11)^(1/$B$7)*EXP(-$B$8*(D90-$B$11)))</f>
        <v>277.988374314283</v>
      </c>
    </row>
    <row r="91" customFormat="false" ht="15" hidden="false" customHeight="false" outlineLevel="0" collapsed="false">
      <c r="D91" s="15" t="n">
        <f aca="false">86/12</f>
        <v>7.16666666666667</v>
      </c>
      <c r="E91" s="9" t="n">
        <f aca="false">$B$5/(1+$B$7*$B$6*D91)^(1/$B$7)</f>
        <v>276.067892371948</v>
      </c>
      <c r="F91" s="9" t="n">
        <f aca="false">IF(D91&lt;=$B$11,$B$5/(1+$B$7*$B$6*D91)^(1/$B$7),$B$5/(1+$B$7*$B$6*$B$11)^(1/$B$7)*EXP(-$B$8*(D91-$B$11)))</f>
        <v>276.067892371948</v>
      </c>
    </row>
    <row r="92" customFormat="false" ht="15" hidden="false" customHeight="false" outlineLevel="0" collapsed="false">
      <c r="D92" s="15" t="n">
        <f aca="false">87/12</f>
        <v>7.25</v>
      </c>
      <c r="E92" s="9" t="n">
        <f aca="false">$B$5/(1+$B$7*$B$6*D92)^(1/$B$7)</f>
        <v>274.180239438787</v>
      </c>
      <c r="F92" s="9" t="n">
        <f aca="false">IF(D92&lt;=$B$11,$B$5/(1+$B$7*$B$6*D92)^(1/$B$7),$B$5/(1+$B$7*$B$6*$B$11)^(1/$B$7)*EXP(-$B$8*(D92-$B$11)))</f>
        <v>274.180239438787</v>
      </c>
    </row>
    <row r="93" customFormat="false" ht="15" hidden="false" customHeight="false" outlineLevel="0" collapsed="false">
      <c r="D93" s="15" t="n">
        <f aca="false">88/12</f>
        <v>7.33333333333333</v>
      </c>
      <c r="E93" s="9" t="n">
        <f aca="false">$B$5/(1+$B$7*$B$6*D93)^(1/$B$7)</f>
        <v>272.324526733518</v>
      </c>
      <c r="F93" s="9" t="n">
        <f aca="false">IF(D93&lt;=$B$11,$B$5/(1+$B$7*$B$6*D93)^(1/$B$7),$B$5/(1+$B$7*$B$6*$B$11)^(1/$B$7)*EXP(-$B$8*(D93-$B$11)))</f>
        <v>272.324526733518</v>
      </c>
    </row>
    <row r="94" customFormat="false" ht="15" hidden="false" customHeight="false" outlineLevel="0" collapsed="false">
      <c r="D94" s="15" t="n">
        <f aca="false">89/12</f>
        <v>7.41666666666667</v>
      </c>
      <c r="E94" s="9" t="n">
        <f aca="false">$B$5/(1+$B$7*$B$6*D94)^(1/$B$7)</f>
        <v>270.499898227708</v>
      </c>
      <c r="F94" s="9" t="n">
        <f aca="false">IF(D94&lt;=$B$11,$B$5/(1+$B$7*$B$6*D94)^(1/$B$7),$B$5/(1+$B$7*$B$6*$B$11)^(1/$B$7)*EXP(-$B$8*(D94-$B$11)))</f>
        <v>270.499898227708</v>
      </c>
    </row>
    <row r="95" customFormat="false" ht="15" hidden="false" customHeight="false" outlineLevel="0" collapsed="false">
      <c r="D95" s="15" t="n">
        <f aca="false">90/12</f>
        <v>7.5</v>
      </c>
      <c r="E95" s="9" t="n">
        <f aca="false">$B$5/(1+$B$7*$B$6*D95)^(1/$B$7)</f>
        <v>268.705529124879</v>
      </c>
      <c r="F95" s="9" t="n">
        <f aca="false">IF(D95&lt;=$B$11,$B$5/(1+$B$7*$B$6*D95)^(1/$B$7),$B$5/(1+$B$7*$B$6*$B$11)^(1/$B$7)*EXP(-$B$8*(D95-$B$11)))</f>
        <v>268.705529124879</v>
      </c>
    </row>
    <row r="96" customFormat="false" ht="15" hidden="false" customHeight="false" outlineLevel="0" collapsed="false">
      <c r="D96" s="15" t="n">
        <f aca="false">91/12</f>
        <v>7.58333333333333</v>
      </c>
      <c r="E96" s="9" t="n">
        <f aca="false">$B$5/(1+$B$7*$B$6*D96)^(1/$B$7)</f>
        <v>266.940624424544</v>
      </c>
      <c r="F96" s="9" t="n">
        <f aca="false">IF(D96&lt;=$B$11,$B$5/(1+$B$7*$B$6*D96)^(1/$B$7),$B$5/(1+$B$7*$B$6*$B$11)^(1/$B$7)*EXP(-$B$8*(D96-$B$11)))</f>
        <v>266.940624424544</v>
      </c>
    </row>
    <row r="97" customFormat="false" ht="15" hidden="false" customHeight="false" outlineLevel="0" collapsed="false">
      <c r="D97" s="15" t="n">
        <f aca="false">92/12</f>
        <v>7.66666666666667</v>
      </c>
      <c r="E97" s="9" t="n">
        <f aca="false">$B$5/(1+$B$7*$B$6*D97)^(1/$B$7)</f>
        <v>265.204417565611</v>
      </c>
      <c r="F97" s="9" t="n">
        <f aca="false">IF(D97&lt;=$B$11,$B$5/(1+$B$7*$B$6*D97)^(1/$B$7),$B$5/(1+$B$7*$B$6*$B$11)^(1/$B$7)*EXP(-$B$8*(D97-$B$11)))</f>
        <v>265.204417565611</v>
      </c>
    </row>
    <row r="98" customFormat="false" ht="15" hidden="false" customHeight="false" outlineLevel="0" collapsed="false">
      <c r="D98" s="15" t="n">
        <f aca="false">93/12</f>
        <v>7.75</v>
      </c>
      <c r="E98" s="9" t="n">
        <f aca="false">$B$5/(1+$B$7*$B$6*D98)^(1/$B$7)</f>
        <v>263.496169144077</v>
      </c>
      <c r="F98" s="9" t="n">
        <f aca="false">IF(D98&lt;=$B$11,$B$5/(1+$B$7*$B$6*D98)^(1/$B$7),$B$5/(1+$B$7*$B$6*$B$11)^(1/$B$7)*EXP(-$B$8*(D98-$B$11)))</f>
        <v>263.496169144077</v>
      </c>
    </row>
    <row r="99" customFormat="false" ht="15" hidden="false" customHeight="false" outlineLevel="0" collapsed="false">
      <c r="D99" s="15" t="n">
        <f aca="false">94/12</f>
        <v>7.83333333333333</v>
      </c>
      <c r="E99" s="9" t="n">
        <f aca="false">$B$5/(1+$B$7*$B$6*D99)^(1/$B$7)</f>
        <v>261.815165700255</v>
      </c>
      <c r="F99" s="9" t="n">
        <f aca="false">IF(D99&lt;=$B$11,$B$5/(1+$B$7*$B$6*D99)^(1/$B$7),$B$5/(1+$B$7*$B$6*$B$11)^(1/$B$7)*EXP(-$B$8*(D99-$B$11)))</f>
        <v>261.815165700255</v>
      </c>
    </row>
    <row r="100" customFormat="false" ht="15" hidden="false" customHeight="false" outlineLevel="0" collapsed="false">
      <c r="D100" s="15" t="n">
        <f aca="false">95/12</f>
        <v>7.91666666666667</v>
      </c>
      <c r="E100" s="9" t="n">
        <f aca="false">$B$5/(1+$B$7*$B$6*D100)^(1/$B$7)</f>
        <v>260.160718571136</v>
      </c>
      <c r="F100" s="9" t="n">
        <f aca="false">IF(D100&lt;=$B$11,$B$5/(1+$B$7*$B$6*D100)^(1/$B$7),$B$5/(1+$B$7*$B$6*$B$11)^(1/$B$7)*EXP(-$B$8*(D100-$B$11)))</f>
        <v>260.160718571136</v>
      </c>
    </row>
    <row r="101" customFormat="false" ht="15" hidden="false" customHeight="false" outlineLevel="0" collapsed="false">
      <c r="D101" s="15" t="n">
        <f aca="false">96/12</f>
        <v>8</v>
      </c>
      <c r="E101" s="9" t="n">
        <f aca="false">$B$5/(1+$B$7*$B$6*D101)^(1/$B$7)</f>
        <v>258.532162803826</v>
      </c>
      <c r="F101" s="9" t="n">
        <f aca="false">IF(D101&lt;=$B$11,$B$5/(1+$B$7*$B$6*D101)^(1/$B$7),$B$5/(1+$B$7*$B$6*$B$11)^(1/$B$7)*EXP(-$B$8*(D101-$B$11)))</f>
        <v>258.532162803826</v>
      </c>
    </row>
    <row r="102" customFormat="false" ht="15" hidden="false" customHeight="false" outlineLevel="0" collapsed="false">
      <c r="D102" s="15" t="n">
        <f aca="false">97/12</f>
        <v>8.08333333333333</v>
      </c>
      <c r="E102" s="9" t="n">
        <f aca="false">$B$5/(1+$B$7*$B$6*D102)^(1/$B$7)</f>
        <v>256.928856126254</v>
      </c>
      <c r="F102" s="9" t="n">
        <f aca="false">IF(D102&lt;=$B$11,$B$5/(1+$B$7*$B$6*D102)^(1/$B$7),$B$5/(1+$B$7*$B$6*$B$11)^(1/$B$7)*EXP(-$B$8*(D102-$B$11)))</f>
        <v>256.928856126254</v>
      </c>
    </row>
    <row r="103" customFormat="false" ht="15" hidden="false" customHeight="false" outlineLevel="0" collapsed="false">
      <c r="D103" s="15" t="n">
        <f aca="false">98/12</f>
        <v>8.16666666666667</v>
      </c>
      <c r="E103" s="9" t="n">
        <f aca="false">$B$5/(1+$B$7*$B$6*D103)^(1/$B$7)</f>
        <v>255.350177971637</v>
      </c>
      <c r="F103" s="9" t="n">
        <f aca="false">IF(D103&lt;=$B$11,$B$5/(1+$B$7*$B$6*D103)^(1/$B$7),$B$5/(1+$B$7*$B$6*$B$11)^(1/$B$7)*EXP(-$B$8*(D103-$B$11)))</f>
        <v>255.350177971637</v>
      </c>
    </row>
    <row r="104" customFormat="false" ht="15" hidden="false" customHeight="false" outlineLevel="0" collapsed="false">
      <c r="D104" s="15" t="n">
        <f aca="false">99/12</f>
        <v>8.25</v>
      </c>
      <c r="E104" s="9" t="n">
        <f aca="false">$B$5/(1+$B$7*$B$6*D104)^(1/$B$7)</f>
        <v>253.795528553437</v>
      </c>
      <c r="F104" s="9" t="n">
        <f aca="false">IF(D104&lt;=$B$11,$B$5/(1+$B$7*$B$6*D104)^(1/$B$7),$B$5/(1+$B$7*$B$6*$B$11)^(1/$B$7)*EXP(-$B$8*(D104-$B$11)))</f>
        <v>253.795528553437</v>
      </c>
    </row>
    <row r="105" customFormat="false" ht="15" hidden="false" customHeight="false" outlineLevel="0" collapsed="false">
      <c r="D105" s="15" t="n">
        <f aca="false">100/12</f>
        <v>8.33333333333333</v>
      </c>
      <c r="E105" s="9" t="n">
        <f aca="false">$B$5/(1+$B$7*$B$6*D105)^(1/$B$7)</f>
        <v>252.26432798775</v>
      </c>
      <c r="F105" s="9" t="n">
        <f aca="false">IF(D105&lt;=$B$11,$B$5/(1+$B$7*$B$6*D105)^(1/$B$7),$B$5/(1+$B$7*$B$6*$B$11)^(1/$B$7)*EXP(-$B$8*(D105-$B$11)))</f>
        <v>252.26432798775</v>
      </c>
    </row>
    <row r="106" customFormat="false" ht="15" hidden="false" customHeight="false" outlineLevel="0" collapsed="false">
      <c r="D106" s="15" t="n">
        <f aca="false">101/12</f>
        <v>8.41666666666667</v>
      </c>
      <c r="E106" s="9" t="n">
        <f aca="false">$B$5/(1+$B$7*$B$6*D106)^(1/$B$7)</f>
        <v>250.756015460297</v>
      </c>
      <c r="F106" s="9" t="n">
        <f aca="false">IF(D106&lt;=$B$11,$B$5/(1+$B$7*$B$6*D106)^(1/$B$7),$B$5/(1+$B$7*$B$6*$B$11)^(1/$B$7)*EXP(-$B$8*(D106-$B$11)))</f>
        <v>250.756015460297</v>
      </c>
    </row>
    <row r="107" customFormat="false" ht="15" hidden="false" customHeight="false" outlineLevel="0" collapsed="false">
      <c r="D107" s="15" t="n">
        <f aca="false">102/12</f>
        <v>8.5</v>
      </c>
      <c r="E107" s="9" t="n">
        <f aca="false">$B$5/(1+$B$7*$B$6*D107)^(1/$B$7)</f>
        <v>249.270048435384</v>
      </c>
      <c r="F107" s="9" t="n">
        <f aca="false">IF(D107&lt;=$B$11,$B$5/(1+$B$7*$B$6*D107)^(1/$B$7),$B$5/(1+$B$7*$B$6*$B$11)^(1/$B$7)*EXP(-$B$8*(D107-$B$11)))</f>
        <v>249.270048435384</v>
      </c>
    </row>
    <row r="108" customFormat="false" ht="15" hidden="false" customHeight="false" outlineLevel="0" collapsed="false">
      <c r="D108" s="15" t="n">
        <f aca="false">103/12</f>
        <v>8.58333333333333</v>
      </c>
      <c r="E108" s="9" t="n">
        <f aca="false">$B$5/(1+$B$7*$B$6*D108)^(1/$B$7)</f>
        <v>247.805901904344</v>
      </c>
      <c r="F108" s="9" t="n">
        <f aca="false">IF(D108&lt;=$B$11,$B$5/(1+$B$7*$B$6*D108)^(1/$B$7),$B$5/(1+$B$7*$B$6*$B$11)^(1/$B$7)*EXP(-$B$8*(D108-$B$11)))</f>
        <v>247.805901904344</v>
      </c>
    </row>
    <row r="109" customFormat="false" ht="15" hidden="false" customHeight="false" outlineLevel="0" collapsed="false">
      <c r="D109" s="15" t="n">
        <f aca="false">104/12</f>
        <v>8.66666666666667</v>
      </c>
      <c r="E109" s="9" t="n">
        <f aca="false">$B$5/(1+$B$7*$B$6*D109)^(1/$B$7)</f>
        <v>246.363067671187</v>
      </c>
      <c r="F109" s="9" t="n">
        <f aca="false">IF(D109&lt;=$B$11,$B$5/(1+$B$7*$B$6*D109)^(1/$B$7),$B$5/(1+$B$7*$B$6*$B$11)^(1/$B$7)*EXP(-$B$8*(D109-$B$11)))</f>
        <v>246.363067671187</v>
      </c>
    </row>
    <row r="110" customFormat="false" ht="15" hidden="false" customHeight="false" outlineLevel="0" collapsed="false">
      <c r="D110" s="15" t="n">
        <f aca="false">105/12</f>
        <v>8.75</v>
      </c>
      <c r="E110" s="9" t="n">
        <f aca="false">$B$5/(1+$B$7*$B$6*D110)^(1/$B$7)</f>
        <v>244.941053673286</v>
      </c>
      <c r="F110" s="9" t="n">
        <f aca="false">IF(D110&lt;=$B$11,$B$5/(1+$B$7*$B$6*D110)^(1/$B$7),$B$5/(1+$B$7*$B$6*$B$11)^(1/$B$7)*EXP(-$B$8*(D110-$B$11)))</f>
        <v>244.941053673286</v>
      </c>
    </row>
    <row r="111" customFormat="false" ht="15" hidden="false" customHeight="false" outlineLevel="0" collapsed="false">
      <c r="D111" s="15" t="n">
        <f aca="false">106/12</f>
        <v>8.83333333333333</v>
      </c>
      <c r="E111" s="9" t="n">
        <f aca="false">$B$5/(1+$B$7*$B$6*D111)^(1/$B$7)</f>
        <v>243.539383335113</v>
      </c>
      <c r="F111" s="9" t="n">
        <f aca="false">IF(D111&lt;=$B$11,$B$5/(1+$B$7*$B$6*D111)^(1/$B$7),$B$5/(1+$B$7*$B$6*$B$11)^(1/$B$7)*EXP(-$B$8*(D111-$B$11)))</f>
        <v>243.539383335113</v>
      </c>
    </row>
    <row r="112" customFormat="false" ht="15" hidden="false" customHeight="false" outlineLevel="0" collapsed="false">
      <c r="D112" s="15" t="n">
        <f aca="false">107/12</f>
        <v>8.91666666666667</v>
      </c>
      <c r="E112" s="9" t="n">
        <f aca="false">$B$5/(1+$B$7*$B$6*D112)^(1/$B$7)</f>
        <v>242.157594953146</v>
      </c>
      <c r="F112" s="9" t="n">
        <f aca="false">IF(D112&lt;=$B$11,$B$5/(1+$B$7*$B$6*D112)^(1/$B$7),$B$5/(1+$B$7*$B$6*$B$11)^(1/$B$7)*EXP(-$B$8*(D112-$B$11)))</f>
        <v>242.157594953146</v>
      </c>
    </row>
    <row r="113" customFormat="false" ht="15" hidden="false" customHeight="false" outlineLevel="0" collapsed="false">
      <c r="D113" s="15" t="n">
        <f aca="false">108/12</f>
        <v>9</v>
      </c>
      <c r="E113" s="9" t="n">
        <f aca="false">$B$5/(1+$B$7*$B$6*D113)^(1/$B$7)</f>
        <v>240.795241110177</v>
      </c>
      <c r="F113" s="9" t="n">
        <f aca="false">IF(D113&lt;=$B$11,$B$5/(1+$B$7*$B$6*D113)^(1/$B$7),$B$5/(1+$B$7*$B$6*$B$11)^(1/$B$7)*EXP(-$B$8*(D113-$B$11)))</f>
        <v>240.795241110177</v>
      </c>
    </row>
    <row r="114" customFormat="false" ht="15" hidden="false" customHeight="false" outlineLevel="0" collapsed="false">
      <c r="D114" s="15" t="n">
        <f aca="false">109/12</f>
        <v>9.08333333333333</v>
      </c>
      <c r="E114" s="9" t="n">
        <f aca="false">$B$5/(1+$B$7*$B$6*D114)^(1/$B$7)</f>
        <v>239.451888117412</v>
      </c>
      <c r="F114" s="9" t="n">
        <f aca="false">IF(D114&lt;=$B$11,$B$5/(1+$B$7*$B$6*D114)^(1/$B$7),$B$5/(1+$B$7*$B$6*$B$11)^(1/$B$7)*EXP(-$B$8*(D114-$B$11)))</f>
        <v>239.451888117412</v>
      </c>
    </row>
    <row r="115" customFormat="false" ht="15" hidden="false" customHeight="false" outlineLevel="0" collapsed="false">
      <c r="D115" s="15" t="n">
        <f aca="false">110/12</f>
        <v>9.16666666666667</v>
      </c>
      <c r="E115" s="9" t="n">
        <f aca="false">$B$5/(1+$B$7*$B$6*D115)^(1/$B$7)</f>
        <v>238.127115482789</v>
      </c>
      <c r="F115" s="9" t="n">
        <f aca="false">IF(D115&lt;=$B$11,$B$5/(1+$B$7*$B$6*D115)^(1/$B$7),$B$5/(1+$B$7*$B$6*$B$11)^(1/$B$7)*EXP(-$B$8*(D115-$B$11)))</f>
        <v>238.127115482789</v>
      </c>
    </row>
    <row r="116" customFormat="false" ht="15" hidden="false" customHeight="false" outlineLevel="0" collapsed="false">
      <c r="D116" s="15" t="n">
        <f aca="false">111/12</f>
        <v>9.25</v>
      </c>
      <c r="E116" s="9" t="n">
        <f aca="false">$B$5/(1+$B$7*$B$6*D116)^(1/$B$7)</f>
        <v>236.820515404108</v>
      </c>
      <c r="F116" s="9" t="n">
        <f aca="false">IF(D116&lt;=$B$11,$B$5/(1+$B$7*$B$6*D116)^(1/$B$7),$B$5/(1+$B$7*$B$6*$B$11)^(1/$B$7)*EXP(-$B$8*(D116-$B$11)))</f>
        <v>236.820515404108</v>
      </c>
    </row>
    <row r="117" customFormat="false" ht="15" hidden="false" customHeight="false" outlineLevel="0" collapsed="false">
      <c r="D117" s="15" t="n">
        <f aca="false">112/12</f>
        <v>9.33333333333333</v>
      </c>
      <c r="E117" s="9" t="n">
        <f aca="false">$B$5/(1+$B$7*$B$6*D117)^(1/$B$7)</f>
        <v>235.5316922856</v>
      </c>
      <c r="F117" s="9" t="n">
        <f aca="false">IF(D117&lt;=$B$11,$B$5/(1+$B$7*$B$6*D117)^(1/$B$7),$B$5/(1+$B$7*$B$6*$B$11)^(1/$B$7)*EXP(-$B$8*(D117-$B$11)))</f>
        <v>235.5316922856</v>
      </c>
    </row>
    <row r="118" customFormat="false" ht="15" hidden="false" customHeight="false" outlineLevel="0" collapsed="false">
      <c r="D118" s="15" t="n">
        <f aca="false">113/12</f>
        <v>9.41666666666667</v>
      </c>
      <c r="E118" s="9" t="n">
        <f aca="false">$B$5/(1+$B$7*$B$6*D118)^(1/$B$7)</f>
        <v>234.26026227668</v>
      </c>
      <c r="F118" s="9" t="n">
        <f aca="false">IF(D118&lt;=$B$11,$B$5/(1+$B$7*$B$6*D118)^(1/$B$7),$B$5/(1+$B$7*$B$6*$B$11)^(1/$B$7)*EXP(-$B$8*(D118-$B$11)))</f>
        <v>234.26026227668</v>
      </c>
    </row>
    <row r="119" customFormat="false" ht="15" hidden="false" customHeight="false" outlineLevel="0" collapsed="false">
      <c r="D119" s="15" t="n">
        <f aca="false">114/12</f>
        <v>9.5</v>
      </c>
      <c r="E119" s="9" t="n">
        <f aca="false">$B$5/(1+$B$7*$B$6*D119)^(1/$B$7)</f>
        <v>233.005852831697</v>
      </c>
      <c r="F119" s="9" t="n">
        <f aca="false">IF(D119&lt;=$B$11,$B$5/(1+$B$7*$B$6*D119)^(1/$B$7),$B$5/(1+$B$7*$B$6*$B$11)^(1/$B$7)*EXP(-$B$8*(D119-$B$11)))</f>
        <v>233.005852831697</v>
      </c>
    </row>
    <row r="120" customFormat="false" ht="15" hidden="false" customHeight="false" outlineLevel="0" collapsed="false">
      <c r="D120" s="15" t="n">
        <f aca="false">115/12</f>
        <v>9.58333333333333</v>
      </c>
      <c r="E120" s="9" t="n">
        <f aca="false">$B$5/(1+$B$7*$B$6*D120)^(1/$B$7)</f>
        <v>231.768102289557</v>
      </c>
      <c r="F120" s="9" t="n">
        <f aca="false">IF(D120&lt;=$B$11,$B$5/(1+$B$7*$B$6*D120)^(1/$B$7),$B$5/(1+$B$7*$B$6*$B$11)^(1/$B$7)*EXP(-$B$8*(D120-$B$11)))</f>
        <v>231.768102289557</v>
      </c>
    </row>
    <row r="121" customFormat="false" ht="15" hidden="false" customHeight="false" outlineLevel="0" collapsed="false">
      <c r="D121" s="15" t="n">
        <f aca="false">116/12</f>
        <v>9.66666666666667</v>
      </c>
      <c r="E121" s="9" t="n">
        <f aca="false">$B$5/(1+$B$7*$B$6*D121)^(1/$B$7)</f>
        <v>230.546659472184</v>
      </c>
      <c r="F121" s="9" t="n">
        <f aca="false">IF(D121&lt;=$B$11,$B$5/(1+$B$7*$B$6*D121)^(1/$B$7),$B$5/(1+$B$7*$B$6*$B$11)^(1/$B$7)*EXP(-$B$8*(D121-$B$11)))</f>
        <v>230.546659472184</v>
      </c>
    </row>
    <row r="122" customFormat="false" ht="15" hidden="false" customHeight="false" outlineLevel="0" collapsed="false">
      <c r="D122" s="15" t="n">
        <f aca="false">117/12</f>
        <v>9.75</v>
      </c>
      <c r="E122" s="9" t="n">
        <f aca="false">$B$5/(1+$B$7*$B$6*D122)^(1/$B$7)</f>
        <v>229.341183300821</v>
      </c>
      <c r="F122" s="9" t="n">
        <f aca="false">IF(D122&lt;=$B$11,$B$5/(1+$B$7*$B$6*D122)^(1/$B$7),$B$5/(1+$B$7*$B$6*$B$11)^(1/$B$7)*EXP(-$B$8*(D122-$B$11)))</f>
        <v>229.341183300821</v>
      </c>
    </row>
    <row r="123" customFormat="false" ht="15" hidden="false" customHeight="false" outlineLevel="0" collapsed="false">
      <c r="D123" s="15" t="n">
        <f aca="false">118/12</f>
        <v>9.83333333333333</v>
      </c>
      <c r="E123" s="9" t="n">
        <f aca="false">$B$5/(1+$B$7*$B$6*D123)^(1/$B$7)</f>
        <v>228.151342429259</v>
      </c>
      <c r="F123" s="9" t="n">
        <f aca="false">IF(D123&lt;=$B$11,$B$5/(1+$B$7*$B$6*D123)^(1/$B$7),$B$5/(1+$B$7*$B$6*$B$11)^(1/$B$7)*EXP(-$B$8*(D123-$B$11)))</f>
        <v>228.151342429259</v>
      </c>
    </row>
    <row r="124" customFormat="false" ht="15" hidden="false" customHeight="false" outlineLevel="0" collapsed="false">
      <c r="D124" s="15" t="n">
        <f aca="false">119/12</f>
        <v>9.91666666666667</v>
      </c>
      <c r="E124" s="9" t="n">
        <f aca="false">$B$5/(1+$B$7*$B$6*D124)^(1/$B$7)</f>
        <v>226.976814893105</v>
      </c>
      <c r="F124" s="9" t="n">
        <f aca="false">IF(D124&lt;=$B$11,$B$5/(1+$B$7*$B$6*D124)^(1/$B$7),$B$5/(1+$B$7*$B$6*$B$11)^(1/$B$7)*EXP(-$B$8*(D124-$B$11)))</f>
        <v>226.976814893105</v>
      </c>
    </row>
    <row r="125" customFormat="false" ht="15" hidden="false" customHeight="false" outlineLevel="0" collapsed="false">
      <c r="D125" s="15" t="n">
        <f aca="false">120/12</f>
        <v>10</v>
      </c>
      <c r="E125" s="9" t="n">
        <f aca="false">$B$5/(1+$B$7*$B$6*D125)^(1/$B$7)</f>
        <v>225.817287774291</v>
      </c>
      <c r="F125" s="9" t="n">
        <f aca="false">IF(D125&lt;=$B$11,$B$5/(1+$B$7*$B$6*D125)^(1/$B$7),$B$5/(1+$B$7*$B$6*$B$11)^(1/$B$7)*EXP(-$B$8*(D125-$B$11)))</f>
        <v>225.817287774291</v>
      </c>
    </row>
    <row r="126" customFormat="false" ht="15" hidden="false" customHeight="false" outlineLevel="0" collapsed="false">
      <c r="D126" s="15" t="n">
        <f aca="false">121/12</f>
        <v>10.0833333333333</v>
      </c>
      <c r="E126" s="9" t="n">
        <f aca="false">$B$5/(1+$B$7*$B$6*D126)^(1/$B$7)</f>
        <v>224.672456880036</v>
      </c>
      <c r="F126" s="9" t="n">
        <f aca="false">IF(D126&lt;=$B$11,$B$5/(1+$B$7*$B$6*D126)^(1/$B$7),$B$5/(1+$B$7*$B$6*$B$11)^(1/$B$7)*EXP(-$B$8*(D126-$B$11)))</f>
        <v>224.672456880036</v>
      </c>
    </row>
    <row r="127" customFormat="false" ht="15" hidden="false" customHeight="false" outlineLevel="0" collapsed="false">
      <c r="D127" s="15" t="n">
        <f aca="false">122/12</f>
        <v>10.1666666666667</v>
      </c>
      <c r="E127" s="9" t="n">
        <f aca="false">$B$5/(1+$B$7*$B$6*D127)^(1/$B$7)</f>
        <v>223.542026435532</v>
      </c>
      <c r="F127" s="9" t="n">
        <f aca="false">IF(D127&lt;=$B$11,$B$5/(1+$B$7*$B$6*D127)^(1/$B$7),$B$5/(1+$B$7*$B$6*$B$11)^(1/$B$7)*EXP(-$B$8*(D127-$B$11)))</f>
        <v>223.542026435532</v>
      </c>
    </row>
    <row r="128" customFormat="false" ht="15" hidden="false" customHeight="false" outlineLevel="0" collapsed="false">
      <c r="D128" s="15" t="n">
        <f aca="false">123/12</f>
        <v>10.25</v>
      </c>
      <c r="E128" s="9" t="n">
        <f aca="false">$B$5/(1+$B$7*$B$6*D128)^(1/$B$7)</f>
        <v>222.425708789687</v>
      </c>
      <c r="F128" s="9" t="n">
        <f aca="false">IF(D128&lt;=$B$11,$B$5/(1+$B$7*$B$6*D128)^(1/$B$7),$B$5/(1+$B$7*$B$6*$B$11)^(1/$B$7)*EXP(-$B$8*(D128-$B$11)))</f>
        <v>222.425246174141</v>
      </c>
    </row>
    <row r="129" customFormat="false" ht="15" hidden="false" customHeight="false" outlineLevel="0" collapsed="false">
      <c r="D129" s="15" t="n">
        <f aca="false">124/12</f>
        <v>10.3333333333333</v>
      </c>
      <c r="E129" s="9" t="n">
        <f aca="false">$B$5/(1+$B$7*$B$6*D129)^(1/$B$7)</f>
        <v>221.323224133252</v>
      </c>
      <c r="F129" s="9" t="n">
        <f aca="false">IF(D129&lt;=$B$11,$B$5/(1+$B$7*$B$6*D129)^(1/$B$7),$B$5/(1+$B$7*$B$6*$B$11)^(1/$B$7)*EXP(-$B$8*(D129-$B$11)))</f>
        <v>221.315895630775</v>
      </c>
    </row>
    <row r="130" customFormat="false" ht="15" hidden="false" customHeight="false" outlineLevel="0" collapsed="false">
      <c r="D130" s="15" t="n">
        <f aca="false">125/12</f>
        <v>10.4166666666667</v>
      </c>
      <c r="E130" s="9" t="n">
        <f aca="false">$B$5/(1+$B$7*$B$6*D130)^(1/$B$7)</f>
        <v>220.234300228748</v>
      </c>
      <c r="F130" s="9" t="n">
        <f aca="false">IF(D130&lt;=$B$11,$B$5/(1+$B$7*$B$6*D130)^(1/$B$7),$B$5/(1+$B$7*$B$6*$B$11)^(1/$B$7)*EXP(-$B$8*(D130-$B$11)))</f>
        <v>220.212077996326</v>
      </c>
    </row>
    <row r="131" customFormat="false" ht="15" hidden="false" customHeight="false" outlineLevel="0" collapsed="false">
      <c r="D131" s="15" t="n">
        <f aca="false">126/12</f>
        <v>10.5</v>
      </c>
      <c r="E131" s="9" t="n">
        <f aca="false">$B$5/(1+$B$7*$B$6*D131)^(1/$B$7)</f>
        <v>219.158672151598</v>
      </c>
      <c r="F131" s="9" t="n">
        <f aca="false">IF(D131&lt;=$B$11,$B$5/(1+$B$7*$B$6*D131)^(1/$B$7),$B$5/(1+$B$7*$B$6*$B$11)^(1/$B$7)*EXP(-$B$8*(D131-$B$11)))</f>
        <v>219.113765675297</v>
      </c>
    </row>
    <row r="132" customFormat="false" ht="15" hidden="false" customHeight="false" outlineLevel="0" collapsed="false">
      <c r="D132" s="15" t="n">
        <f aca="false">127/12</f>
        <v>10.5833333333333</v>
      </c>
      <c r="E132" s="9" t="n">
        <f aca="false">$B$5/(1+$B$7*$B$6*D132)^(1/$B$7)</f>
        <v>218.096082041929</v>
      </c>
      <c r="F132" s="9" t="n">
        <f aca="false">IF(D132&lt;=$B$11,$B$5/(1+$B$7*$B$6*D132)^(1/$B$7),$B$5/(1+$B$7*$B$6*$B$11)^(1/$B$7)*EXP(-$B$8*(D132-$B$11)))</f>
        <v>218.020931209821</v>
      </c>
    </row>
    <row r="133" customFormat="false" ht="15" hidden="false" customHeight="false" outlineLevel="0" collapsed="false">
      <c r="D133" s="15" t="n">
        <f aca="false">128/12</f>
        <v>10.6666666666667</v>
      </c>
      <c r="E133" s="9" t="n">
        <f aca="false">$B$5/(1+$B$7*$B$6*D133)^(1/$B$7)</f>
        <v>217.046278866532</v>
      </c>
      <c r="F133" s="9" t="n">
        <f aca="false">IF(D133&lt;=$B$11,$B$5/(1+$B$7*$B$6*D133)^(1/$B$7),$B$5/(1+$B$7*$B$6*$B$11)^(1/$B$7)*EXP(-$B$8*(D133-$B$11)))</f>
        <v>216.933547278982</v>
      </c>
    </row>
    <row r="134" customFormat="false" ht="15" hidden="false" customHeight="false" outlineLevel="0" collapsed="false">
      <c r="D134" s="15" t="n">
        <f aca="false">129/12</f>
        <v>10.75</v>
      </c>
      <c r="E134" s="9" t="n">
        <f aca="false">$B$5/(1+$B$7*$B$6*D134)^(1/$B$7)</f>
        <v>216.009018190482</v>
      </c>
      <c r="F134" s="9" t="n">
        <f aca="false">IF(D134&lt;=$B$11,$B$5/(1+$B$7*$B$6*D134)^(1/$B$7),$B$5/(1+$B$7*$B$6*$B$11)^(1/$B$7)*EXP(-$B$8*(D134-$B$11)))</f>
        <v>215.851586698122</v>
      </c>
    </row>
    <row r="135" customFormat="false" ht="15" hidden="false" customHeight="false" outlineLevel="0" collapsed="false">
      <c r="D135" s="15" t="n">
        <f aca="false">130/12</f>
        <v>10.8333333333333</v>
      </c>
      <c r="E135" s="9" t="n">
        <f aca="false">$B$5/(1+$B$7*$B$6*D135)^(1/$B$7)</f>
        <v>214.984061957987</v>
      </c>
      <c r="F135" s="9" t="n">
        <f aca="false">IF(D135&lt;=$B$11,$B$5/(1+$B$7*$B$6*D135)^(1/$B$7),$B$5/(1+$B$7*$B$6*$B$11)^(1/$B$7)*EXP(-$B$8*(D135-$B$11)))</f>
        <v>214.775022418173</v>
      </c>
    </row>
    <row r="136" customFormat="false" ht="15" hidden="false" customHeight="false" outlineLevel="0" collapsed="false">
      <c r="D136" s="15" t="n">
        <f aca="false">131/12</f>
        <v>10.9166666666667</v>
      </c>
      <c r="E136" s="9" t="n">
        <f aca="false">$B$5/(1+$B$7*$B$6*D136)^(1/$B$7)</f>
        <v>213.971178281994</v>
      </c>
      <c r="F136" s="9" t="n">
        <f aca="false">IF(D136&lt;=$B$11,$B$5/(1+$B$7*$B$6*D136)^(1/$B$7),$B$5/(1+$B$7*$B$6*$B$11)^(1/$B$7)*EXP(-$B$8*(D136-$B$11)))</f>
        <v>213.70382752497</v>
      </c>
    </row>
    <row r="137" customFormat="false" ht="15" hidden="false" customHeight="false" outlineLevel="0" collapsed="false">
      <c r="D137" s="15" t="n">
        <f aca="false">132/12</f>
        <v>11</v>
      </c>
      <c r="E137" s="9" t="n">
        <f aca="false">$B$5/(1+$B$7*$B$6*D137)^(1/$B$7)</f>
        <v>212.970141242171</v>
      </c>
      <c r="F137" s="9" t="n">
        <f aca="false">IF(D137&lt;=$B$11,$B$5/(1+$B$7*$B$6*D137)^(1/$B$7),$B$5/(1+$B$7*$B$6*$B$11)^(1/$B$7)*EXP(-$B$8*(D137-$B$11)))</f>
        <v>212.637975238586</v>
      </c>
    </row>
    <row r="138" customFormat="false" ht="15" hidden="false" customHeight="false" outlineLevel="0" collapsed="false">
      <c r="D138" s="15" t="n">
        <f aca="false">133/12</f>
        <v>11.0833333333333</v>
      </c>
      <c r="E138" s="9" t="n">
        <f aca="false">$B$5/(1+$B$7*$B$6*D138)^(1/$B$7)</f>
        <v>211.980730690872</v>
      </c>
      <c r="F138" s="9" t="n">
        <f aca="false">IF(D138&lt;=$B$11,$B$5/(1+$B$7*$B$6*D138)^(1/$B$7),$B$5/(1+$B$7*$B$6*$B$11)^(1/$B$7)*EXP(-$B$8*(D138-$B$11)))</f>
        <v>211.577438912658</v>
      </c>
    </row>
    <row r="139" customFormat="false" ht="15" hidden="false" customHeight="false" outlineLevel="0" collapsed="false">
      <c r="D139" s="15" t="n">
        <f aca="false">134/12</f>
        <v>11.1666666666667</v>
      </c>
      <c r="E139" s="9" t="n">
        <f aca="false">$B$5/(1+$B$7*$B$6*D139)^(1/$B$7)</f>
        <v>211.002732066697</v>
      </c>
      <c r="F139" s="9" t="n">
        <f aca="false">IF(D139&lt;=$B$11,$B$5/(1+$B$7*$B$6*D139)^(1/$B$7),$B$5/(1+$B$7*$B$6*$B$11)^(1/$B$7)*EXP(-$B$8*(D139-$B$11)))</f>
        <v>210.522192033722</v>
      </c>
    </row>
    <row r="140" customFormat="false" ht="15" hidden="false" customHeight="false" outlineLevel="0" collapsed="false">
      <c r="D140" s="15" t="n">
        <f aca="false">135/12</f>
        <v>11.25</v>
      </c>
      <c r="E140" s="9" t="n">
        <f aca="false">$B$5/(1+$B$7*$B$6*D140)^(1/$B$7)</f>
        <v>210.035936215329</v>
      </c>
      <c r="F140" s="9" t="n">
        <f aca="false">IF(D140&lt;=$B$11,$B$5/(1+$B$7*$B$6*D140)^(1/$B$7),$B$5/(1+$B$7*$B$6*$B$11)^(1/$B$7)*EXP(-$B$8*(D140-$B$11)))</f>
        <v>209.472208220551</v>
      </c>
    </row>
    <row r="141" customFormat="false" ht="15" hidden="false" customHeight="false" outlineLevel="0" collapsed="false">
      <c r="D141" s="15" t="n">
        <f aca="false">136/12</f>
        <v>11.3333333333333</v>
      </c>
      <c r="E141" s="9" t="n">
        <f aca="false">$B$5/(1+$B$7*$B$6*D141)^(1/$B$7)</f>
        <v>209.080139217285</v>
      </c>
      <c r="F141" s="9" t="n">
        <f aca="false">IF(D141&lt;=$B$11,$B$5/(1+$B$7*$B$6*D141)^(1/$B$7),$B$5/(1+$B$7*$B$6*$B$11)^(1/$B$7)*EXP(-$B$8*(D141-$B$11)))</f>
        <v>208.427461223497</v>
      </c>
    </row>
    <row r="142" customFormat="false" ht="15" hidden="false" customHeight="false" outlineLevel="0" collapsed="false">
      <c r="D142" s="15" t="n">
        <f aca="false">137/12</f>
        <v>11.4166666666667</v>
      </c>
      <c r="E142" s="9" t="n">
        <f aca="false">$B$5/(1+$B$7*$B$6*D142)^(1/$B$7)</f>
        <v>208.135142222302</v>
      </c>
      <c r="F142" s="9" t="n">
        <f aca="false">IF(D142&lt;=$B$11,$B$5/(1+$B$7*$B$6*D142)^(1/$B$7),$B$5/(1+$B$7*$B$6*$B$11)^(1/$B$7)*EXP(-$B$8*(D142-$B$11)))</f>
        <v>207.387924923828</v>
      </c>
    </row>
    <row r="143" customFormat="false" ht="15" hidden="false" customHeight="false" outlineLevel="0" collapsed="false">
      <c r="D143" s="15" t="n">
        <f aca="false">138/12</f>
        <v>11.5</v>
      </c>
      <c r="E143" s="9" t="n">
        <f aca="false">$B$5/(1+$B$7*$B$6*D143)^(1/$B$7)</f>
        <v>207.200751290026</v>
      </c>
      <c r="F143" s="9" t="n">
        <f aca="false">IF(D143&lt;=$B$11,$B$5/(1+$B$7*$B$6*D143)^(1/$B$7),$B$5/(1+$B$7*$B$6*$B$11)^(1/$B$7)*EXP(-$B$8*(D143-$B$11)))</f>
        <v>206.353573333084</v>
      </c>
    </row>
    <row r="144" customFormat="false" ht="15" hidden="false" customHeight="false" outlineLevel="0" collapsed="false">
      <c r="D144" s="15" t="n">
        <f aca="false">139/12</f>
        <v>11.5833333333333</v>
      </c>
      <c r="E144" s="9" t="n">
        <f aca="false">$B$5/(1+$B$7*$B$6*D144)^(1/$B$7)</f>
        <v>206.276777236752</v>
      </c>
      <c r="F144" s="9" t="n">
        <f aca="false">IF(D144&lt;=$B$11,$B$5/(1+$B$7*$B$6*D144)^(1/$B$7),$B$5/(1+$B$7*$B$6*$B$11)^(1/$B$7)*EXP(-$B$8*(D144-$B$11)))</f>
        <v>205.324380592421</v>
      </c>
    </row>
    <row r="145" customFormat="false" ht="15" hidden="false" customHeight="false" outlineLevel="0" collapsed="false">
      <c r="D145" s="15" t="n">
        <f aca="false">140/12</f>
        <v>11.6666666666667</v>
      </c>
      <c r="E145" s="9" t="n">
        <f aca="false">$B$5/(1+$B$7*$B$6*D145)^(1/$B$7)</f>
        <v>205.363035487928</v>
      </c>
      <c r="F145" s="9" t="n">
        <f aca="false">IF(D145&lt;=$B$11,$B$5/(1+$B$7*$B$6*D145)^(1/$B$7),$B$5/(1+$B$7*$B$6*$B$11)^(1/$B$7)*EXP(-$B$8*(D145-$B$11)))</f>
        <v>204.300320971967</v>
      </c>
    </row>
    <row r="146" customFormat="false" ht="15" hidden="false" customHeight="false" outlineLevel="0" collapsed="false">
      <c r="D146" s="15" t="n">
        <f aca="false">141/12</f>
        <v>11.75</v>
      </c>
      <c r="E146" s="9" t="n">
        <f aca="false">$B$5/(1+$B$7*$B$6*D146)^(1/$B$7)</f>
        <v>204.459345936179</v>
      </c>
      <c r="F146" s="9" t="n">
        <f aca="false">IF(D146&lt;=$B$11,$B$5/(1+$B$7*$B$6*D146)^(1/$B$7),$B$5/(1+$B$7*$B$6*$B$11)^(1/$B$7)*EXP(-$B$8*(D146-$B$11)))</f>
        <v>203.281368870177</v>
      </c>
    </row>
    <row r="147" customFormat="false" ht="15" hidden="false" customHeight="false" outlineLevel="0" collapsed="false">
      <c r="D147" s="15" t="n">
        <f aca="false">142/12</f>
        <v>11.8333333333333</v>
      </c>
      <c r="E147" s="9" t="n">
        <f aca="false">$B$5/(1+$B$7*$B$6*D147)^(1/$B$7)</f>
        <v>203.565532804605</v>
      </c>
      <c r="F147" s="9" t="n">
        <f aca="false">IF(D147&lt;=$B$11,$B$5/(1+$B$7*$B$6*D147)^(1/$B$7),$B$5/(1+$B$7*$B$6*$B$11)^(1/$B$7)*EXP(-$B$8*(D147-$B$11)))</f>
        <v>202.267498813197</v>
      </c>
    </row>
    <row r="148" customFormat="false" ht="15" hidden="false" customHeight="false" outlineLevel="0" collapsed="false">
      <c r="D148" s="15" t="n">
        <f aca="false">143/12</f>
        <v>11.9166666666667</v>
      </c>
      <c r="E148" s="9" t="n">
        <f aca="false">$B$5/(1+$B$7*$B$6*D148)^(1/$B$7)</f>
        <v>202.681424515126</v>
      </c>
      <c r="F148" s="9" t="n">
        <f aca="false">IF(D148&lt;=$B$11,$B$5/(1+$B$7*$B$6*D148)^(1/$B$7),$B$5/(1+$B$7*$B$6*$B$11)^(1/$B$7)*EXP(-$B$8*(D148-$B$11)))</f>
        <v>201.258685454222</v>
      </c>
    </row>
    <row r="149" customFormat="false" ht="15" hidden="false" customHeight="false" outlineLevel="0" collapsed="false">
      <c r="D149" s="15" t="n">
        <f aca="false">144/12</f>
        <v>12</v>
      </c>
      <c r="E149" s="9" t="n">
        <f aca="false">$B$5/(1+$B$7*$B$6*D149)^(1/$B$7)</f>
        <v>201.806853561654</v>
      </c>
      <c r="F149" s="9" t="n">
        <f aca="false">IF(D149&lt;=$B$11,$B$5/(1+$B$7*$B$6*D149)^(1/$B$7),$B$5/(1+$B$7*$B$6*$B$11)^(1/$B$7)*EXP(-$B$8*(D149-$B$11)))</f>
        <v>200.254903572866</v>
      </c>
    </row>
    <row r="150" customFormat="false" ht="15" hidden="false" customHeight="false" outlineLevel="0" collapsed="false">
      <c r="D150" s="15" t="n">
        <f aca="false">145/12</f>
        <v>12.0833333333333</v>
      </c>
      <c r="E150" s="9" t="n">
        <f aca="false">$B$5/(1+$B$7*$B$6*D150)^(1/$B$7)</f>
        <v>200.941656387895</v>
      </c>
      <c r="F150" s="9" t="n">
        <f aca="false">IF(D150&lt;=$B$11,$B$5/(1+$B$7*$B$6*D150)^(1/$B$7),$B$5/(1+$B$7*$B$6*$B$11)^(1/$B$7)*EXP(-$B$8*(D150-$B$11)))</f>
        <v>199.256128074529</v>
      </c>
    </row>
    <row r="151" customFormat="false" ht="15" hidden="false" customHeight="false" outlineLevel="0" collapsed="false">
      <c r="D151" s="15" t="n">
        <f aca="false">146/12</f>
        <v>12.1666666666667</v>
      </c>
      <c r="E151" s="9" t="n">
        <f aca="false">$B$5/(1+$B$7*$B$6*D151)^(1/$B$7)</f>
        <v>200.085673269562</v>
      </c>
      <c r="F151" s="9" t="n">
        <f aca="false">IF(D151&lt;=$B$11,$B$5/(1+$B$7*$B$6*D151)^(1/$B$7),$B$5/(1+$B$7*$B$6*$B$11)^(1/$B$7)*EXP(-$B$8*(D151-$B$11)))</f>
        <v>198.262333989772</v>
      </c>
    </row>
    <row r="152" customFormat="false" ht="15" hidden="false" customHeight="false" outlineLevel="0" collapsed="false">
      <c r="D152" s="15" t="n">
        <f aca="false">147/12</f>
        <v>12.25</v>
      </c>
      <c r="E152" s="9" t="n">
        <f aca="false">$B$5/(1+$B$7*$B$6*D152)^(1/$B$7)</f>
        <v>199.238748200837</v>
      </c>
      <c r="F152" s="9" t="n">
        <f aca="false">IF(D152&lt;=$B$11,$B$5/(1+$B$7*$B$6*D152)^(1/$B$7),$B$5/(1+$B$7*$B$6*$B$11)^(1/$B$7)*EXP(-$B$8*(D152-$B$11)))</f>
        <v>197.27349647369</v>
      </c>
    </row>
    <row r="153" customFormat="false" ht="15" hidden="false" customHeight="false" outlineLevel="0" collapsed="false">
      <c r="D153" s="15" t="n">
        <f aca="false">148/12</f>
        <v>12.3333333333333</v>
      </c>
      <c r="E153" s="9" t="n">
        <f aca="false">$B$5/(1+$B$7*$B$6*D153)^(1/$B$7)</f>
        <v>198.40072878489</v>
      </c>
      <c r="F153" s="9" t="n">
        <f aca="false">IF(D153&lt;=$B$11,$B$5/(1+$B$7*$B$6*D153)^(1/$B$7),$B$5/(1+$B$7*$B$6*$B$11)^(1/$B$7)*EXP(-$B$8*(D153-$B$11)))</f>
        <v>196.289590805295</v>
      </c>
    </row>
    <row r="154" customFormat="false" ht="15" hidden="false" customHeight="false" outlineLevel="0" collapsed="false">
      <c r="D154" s="15" t="n">
        <f aca="false">149/12</f>
        <v>12.4166666666667</v>
      </c>
      <c r="E154" s="9" t="n">
        <f aca="false">$B$5/(1+$B$7*$B$6*D154)^(1/$B$7)</f>
        <v>197.571466128283</v>
      </c>
      <c r="F154" s="9" t="n">
        <f aca="false">IF(D154&lt;=$B$11,$B$5/(1+$B$7*$B$6*D154)^(1/$B$7),$B$5/(1+$B$7*$B$6*$B$11)^(1/$B$7)*EXP(-$B$8*(D154-$B$11)))</f>
        <v>195.310592386894</v>
      </c>
    </row>
    <row r="155" customFormat="false" ht="15" hidden="false" customHeight="false" outlineLevel="0" collapsed="false">
      <c r="D155" s="15" t="n">
        <f aca="false">150/12</f>
        <v>12.5</v>
      </c>
      <c r="E155" s="9" t="n">
        <f aca="false">$B$5/(1+$B$7*$B$6*D155)^(1/$B$7)</f>
        <v>196.750814739108</v>
      </c>
      <c r="F155" s="9" t="n">
        <f aca="false">IF(D155&lt;=$B$11,$B$5/(1+$B$7*$B$6*D155)^(1/$B$7),$B$5/(1+$B$7*$B$6*$B$11)^(1/$B$7)*EXP(-$B$8*(D155-$B$11)))</f>
        <v>194.336476743475</v>
      </c>
    </row>
    <row r="156" customFormat="false" ht="15" hidden="false" customHeight="false" outlineLevel="0" collapsed="false">
      <c r="D156" s="15" t="n">
        <f aca="false">151/12</f>
        <v>12.5833333333333</v>
      </c>
      <c r="E156" s="9" t="n">
        <f aca="false">$B$5/(1+$B$7*$B$6*D156)^(1/$B$7)</f>
        <v>195.938632428694</v>
      </c>
      <c r="F156" s="9" t="n">
        <f aca="false">IF(D156&lt;=$B$11,$B$5/(1+$B$7*$B$6*D156)^(1/$B$7),$B$5/(1+$B$7*$B$6*$B$11)^(1/$B$7)*EXP(-$B$8*(D156-$B$11)))</f>
        <v>193.367219522096</v>
      </c>
    </row>
    <row r="157" customFormat="false" ht="15" hidden="false" customHeight="false" outlineLevel="0" collapsed="false">
      <c r="D157" s="15" t="n">
        <f aca="false">152/12</f>
        <v>12.6666666666667</v>
      </c>
      <c r="E157" s="9" t="n">
        <f aca="false">$B$5/(1+$B$7*$B$6*D157)^(1/$B$7)</f>
        <v>195.134780216746</v>
      </c>
      <c r="F157" s="9" t="n">
        <f aca="false">IF(D157&lt;=$B$11,$B$5/(1+$B$7*$B$6*D157)^(1/$B$7),$B$5/(1+$B$7*$B$6*$B$11)^(1/$B$7)*EXP(-$B$8*(D157-$B$11)))</f>
        <v>192.402796491276</v>
      </c>
    </row>
    <row r="158" customFormat="false" ht="15" hidden="false" customHeight="false" outlineLevel="0" collapsed="false">
      <c r="D158" s="15" t="n">
        <f aca="false">153/12</f>
        <v>12.75</v>
      </c>
      <c r="E158" s="9" t="n">
        <f aca="false">$B$5/(1+$B$7*$B$6*D158)^(1/$B$7)</f>
        <v>194.339122239772</v>
      </c>
      <c r="F158" s="9" t="n">
        <f aca="false">IF(D158&lt;=$B$11,$B$5/(1+$B$7*$B$6*D158)^(1/$B$7),$B$5/(1+$B$7*$B$6*$B$11)^(1/$B$7)*EXP(-$B$8*(D158-$B$11)))</f>
        <v>191.44318354039</v>
      </c>
    </row>
    <row r="159" customFormat="false" ht="15" hidden="false" customHeight="false" outlineLevel="0" collapsed="false">
      <c r="D159" s="15" t="n">
        <f aca="false">154/12</f>
        <v>12.8333333333333</v>
      </c>
      <c r="E159" s="9" t="n">
        <f aca="false">$B$5/(1+$B$7*$B$6*D159)^(1/$B$7)</f>
        <v>193.551525662657</v>
      </c>
      <c r="F159" s="9" t="n">
        <f aca="false">IF(D159&lt;=$B$11,$B$5/(1+$B$7*$B$6*D159)^(1/$B$7),$B$5/(1+$B$7*$B$6*$B$11)^(1/$B$7)*EXP(-$B$8*(D159-$B$11)))</f>
        <v>190.488356679063</v>
      </c>
    </row>
    <row r="160" customFormat="false" ht="15" hidden="false" customHeight="false" outlineLevel="0" collapsed="false">
      <c r="D160" s="15" t="n">
        <f aca="false">155/12</f>
        <v>12.9166666666667</v>
      </c>
      <c r="E160" s="9" t="n">
        <f aca="false">$B$5/(1+$B$7*$B$6*D160)^(1/$B$7)</f>
        <v>192.771860593274</v>
      </c>
      <c r="F160" s="9" t="n">
        <f aca="false">IF(D160&lt;=$B$11,$B$5/(1+$B$7*$B$6*D160)^(1/$B$7),$B$5/(1+$B$7*$B$6*$B$11)^(1/$B$7)*EXP(-$B$8*(D160-$B$11)))</f>
        <v>189.538292036575</v>
      </c>
    </row>
    <row r="161" customFormat="false" ht="15" hidden="false" customHeight="false" outlineLevel="0" collapsed="false">
      <c r="D161" s="15" t="n">
        <f aca="false">156/12</f>
        <v>13</v>
      </c>
      <c r="E161" s="9" t="n">
        <f aca="false">$B$5/(1+$B$7*$B$6*D161)^(1/$B$7)</f>
        <v>192</v>
      </c>
      <c r="F161" s="9" t="n">
        <f aca="false">IF(D161&lt;=$B$11,$B$5/(1+$B$7*$B$6*D161)^(1/$B$7),$B$5/(1+$B$7*$B$6*$B$11)^(1/$B$7)*EXP(-$B$8*(D161-$B$11)))</f>
        <v>188.592965861259</v>
      </c>
    </row>
    <row r="162" customFormat="false" ht="15" hidden="false" customHeight="false" outlineLevel="0" collapsed="false">
      <c r="D162" s="15" t="n">
        <f aca="false">157/12</f>
        <v>13.0833333333333</v>
      </c>
      <c r="E162" s="9" t="n">
        <f aca="false">$B$5/(1+$B$7*$B$6*D162)^(1/$B$7)</f>
        <v>191.235819632013</v>
      </c>
      <c r="F162" s="9" t="n">
        <f aca="false">IF(D162&lt;=$B$11,$B$5/(1+$B$7*$B$6*D162)^(1/$B$7),$B$5/(1+$B$7*$B$6*$B$11)^(1/$B$7)*EXP(-$B$8*(D162-$B$11)))</f>
        <v>187.652354519912</v>
      </c>
    </row>
    <row r="163" customFormat="false" ht="15" hidden="false" customHeight="false" outlineLevel="0" collapsed="false">
      <c r="D163" s="15" t="n">
        <f aca="false">158/12</f>
        <v>13.1666666666667</v>
      </c>
      <c r="E163" s="9" t="n">
        <f aca="false">$B$5/(1+$B$7*$B$6*D163)^(1/$B$7)</f>
        <v>190.479197942281</v>
      </c>
      <c r="F163" s="9" t="n">
        <f aca="false">IF(D163&lt;=$B$11,$B$5/(1+$B$7*$B$6*D163)^(1/$B$7),$B$5/(1+$B$7*$B$6*$B$11)^(1/$B$7)*EXP(-$B$8*(D163-$B$11)))</f>
        <v>186.716434497202</v>
      </c>
    </row>
    <row r="164" customFormat="false" ht="15" hidden="false" customHeight="false" outlineLevel="0" collapsed="false">
      <c r="D164" s="15" t="n">
        <f aca="false">159/12</f>
        <v>13.25</v>
      </c>
      <c r="E164" s="9" t="n">
        <f aca="false">$B$5/(1+$B$7*$B$6*D164)^(1/$B$7)</f>
        <v>189.730016013121</v>
      </c>
      <c r="F164" s="9" t="n">
        <f aca="false">IF(D164&lt;=$B$11,$B$5/(1+$B$7*$B$6*D164)^(1/$B$7),$B$5/(1+$B$7*$B$6*$B$11)^(1/$B$7)*EXP(-$B$8*(D164-$B$11)))</f>
        <v>185.785182395079</v>
      </c>
    </row>
    <row r="165" customFormat="false" ht="15" hidden="false" customHeight="false" outlineLevel="0" collapsed="false">
      <c r="D165" s="15" t="n">
        <f aca="false">160/12</f>
        <v>13.3333333333333</v>
      </c>
      <c r="E165" s="9" t="n">
        <f aca="false">$B$5/(1+$B$7*$B$6*D165)^(1/$B$7)</f>
        <v>188.988157484231</v>
      </c>
      <c r="F165" s="9" t="n">
        <f aca="false">IF(D165&lt;=$B$11,$B$5/(1+$B$7*$B$6*D165)^(1/$B$7),$B$5/(1+$B$7*$B$6*$B$11)^(1/$B$7)*EXP(-$B$8*(D165-$B$11)))</f>
        <v>184.858574932192</v>
      </c>
    </row>
    <row r="166" customFormat="false" ht="15" hidden="false" customHeight="false" outlineLevel="0" collapsed="false">
      <c r="D166" s="15" t="n">
        <f aca="false">161/12</f>
        <v>13.4166666666667</v>
      </c>
      <c r="E166" s="9" t="n">
        <f aca="false">$B$5/(1+$B$7*$B$6*D166)^(1/$B$7)</f>
        <v>188.2535084831</v>
      </c>
      <c r="F166" s="9" t="n">
        <f aca="false">IF(D166&lt;=$B$11,$B$5/(1+$B$7*$B$6*D166)^(1/$B$7),$B$5/(1+$B$7*$B$6*$B$11)^(1/$B$7)*EXP(-$B$8*(D166-$B$11)))</f>
        <v>183.936588943307</v>
      </c>
    </row>
    <row r="167" customFormat="false" ht="15" hidden="false" customHeight="false" outlineLevel="0" collapsed="false">
      <c r="D167" s="15" t="n">
        <f aca="false">162/12</f>
        <v>13.5</v>
      </c>
      <c r="E167" s="9" t="n">
        <f aca="false">$B$5/(1+$B$7*$B$6*D167)^(1/$B$7)</f>
        <v>187.525957557706</v>
      </c>
      <c r="F167" s="9" t="n">
        <f aca="false">IF(D167&lt;=$B$11,$B$5/(1+$B$7*$B$6*D167)^(1/$B$7),$B$5/(1+$B$7*$B$6*$B$11)^(1/$B$7)*EXP(-$B$8*(D167-$B$11)))</f>
        <v>183.019201378725</v>
      </c>
    </row>
    <row r="168" customFormat="false" ht="15" hidden="false" customHeight="false" outlineLevel="0" collapsed="false">
      <c r="D168" s="15" t="n">
        <f aca="false">163/12</f>
        <v>13.5833333333333</v>
      </c>
      <c r="E168" s="9" t="n">
        <f aca="false">$B$5/(1+$B$7*$B$6*D168)^(1/$B$7)</f>
        <v>186.805395611412</v>
      </c>
      <c r="F168" s="9" t="n">
        <f aca="false">IF(D168&lt;=$B$11,$B$5/(1+$B$7*$B$6*D168)^(1/$B$7),$B$5/(1+$B$7*$B$6*$B$11)^(1/$B$7)*EXP(-$B$8*(D168-$B$11)))</f>
        <v>182.10638930371</v>
      </c>
    </row>
    <row r="169" customFormat="false" ht="15" hidden="false" customHeight="false" outlineLevel="0" collapsed="false">
      <c r="D169" s="15" t="n">
        <f aca="false">164/12</f>
        <v>13.6666666666667</v>
      </c>
      <c r="E169" s="9" t="n">
        <f aca="false">$B$5/(1+$B$7*$B$6*D169)^(1/$B$7)</f>
        <v>186.091715839977</v>
      </c>
      <c r="F169" s="9" t="n">
        <f aca="false">IF(D169&lt;=$B$11,$B$5/(1+$B$7*$B$6*D169)^(1/$B$7),$B$5/(1+$B$7*$B$6*$B$11)^(1/$B$7)*EXP(-$B$8*(D169-$B$11)))</f>
        <v>181.198129897912</v>
      </c>
    </row>
    <row r="170" customFormat="false" ht="15" hidden="false" customHeight="false" outlineLevel="0" collapsed="false">
      <c r="D170" s="15" t="n">
        <f aca="false">165/12</f>
        <v>13.75</v>
      </c>
      <c r="E170" s="9" t="n">
        <f aca="false">$B$5/(1+$B$7*$B$6*D170)^(1/$B$7)</f>
        <v>185.384813670593</v>
      </c>
      <c r="F170" s="9" t="n">
        <f aca="false">IF(D170&lt;=$B$11,$B$5/(1+$B$7*$B$6*D170)^(1/$B$7),$B$5/(1+$B$7*$B$6*$B$11)^(1/$B$7)*EXP(-$B$8*(D170-$B$11)))</f>
        <v>180.294400454799</v>
      </c>
    </row>
    <row r="171" customFormat="false" ht="15" hidden="false" customHeight="false" outlineLevel="0" collapsed="false">
      <c r="D171" s="15" t="n">
        <f aca="false">166/12</f>
        <v>13.8333333333333</v>
      </c>
      <c r="E171" s="9" t="n">
        <f aca="false">$B$5/(1+$B$7*$B$6*D171)^(1/$B$7)</f>
        <v>184.684586702892</v>
      </c>
      <c r="F171" s="9" t="n">
        <f aca="false">IF(D171&lt;=$B$11,$B$5/(1+$B$7*$B$6*D171)^(1/$B$7),$B$5/(1+$B$7*$B$6*$B$11)^(1/$B$7)*EXP(-$B$8*(D171-$B$11)))</f>
        <v>179.395178381088</v>
      </c>
    </row>
    <row r="172" customFormat="false" ht="15" hidden="false" customHeight="false" outlineLevel="0" collapsed="false">
      <c r="D172" s="15" t="n">
        <f aca="false">167/12</f>
        <v>13.9166666666667</v>
      </c>
      <c r="E172" s="9" t="n">
        <f aca="false">$B$5/(1+$B$7*$B$6*D172)^(1/$B$7)</f>
        <v>183.990934651828</v>
      </c>
      <c r="F172" s="9" t="n">
        <f aca="false">IF(D172&lt;=$B$11,$B$5/(1+$B$7*$B$6*D172)^(1/$B$7),$B$5/(1+$B$7*$B$6*$B$11)^(1/$B$7)*EXP(-$B$8*(D172-$B$11)))</f>
        <v>178.50044119618</v>
      </c>
    </row>
    <row r="173" customFormat="false" ht="15" hidden="false" customHeight="false" outlineLevel="0" collapsed="false">
      <c r="D173" s="15" t="n">
        <f aca="false">168/12</f>
        <v>14</v>
      </c>
      <c r="E173" s="9" t="n">
        <f aca="false">$B$5/(1+$B$7*$B$6*D173)^(1/$B$7)</f>
        <v>183.303759292372</v>
      </c>
      <c r="F173" s="9" t="n">
        <f aca="false">IF(D173&lt;=$B$11,$B$5/(1+$B$7*$B$6*D173)^(1/$B$7),$B$5/(1+$B$7*$B$6*$B$11)^(1/$B$7)*EXP(-$B$8*(D173-$B$11)))</f>
        <v>177.610166531599</v>
      </c>
    </row>
    <row r="174" customFormat="false" ht="15" hidden="false" customHeight="false" outlineLevel="0" collapsed="false">
      <c r="D174" s="15" t="n">
        <f aca="false">169/12</f>
        <v>14.0833333333333</v>
      </c>
      <c r="E174" s="9" t="n">
        <f aca="false">$B$5/(1+$B$7*$B$6*D174)^(1/$B$7)</f>
        <v>182.622964405958</v>
      </c>
      <c r="F174" s="9" t="n">
        <f aca="false">IF(D174&lt;=$B$11,$B$5/(1+$B$7*$B$6*D174)^(1/$B$7),$B$5/(1+$B$7*$B$6*$B$11)^(1/$B$7)*EXP(-$B$8*(D174-$B$11)))</f>
        <v>176.724332130431</v>
      </c>
    </row>
    <row r="175" customFormat="false" ht="15" hidden="false" customHeight="false" outlineLevel="0" collapsed="false">
      <c r="D175" s="15" t="n">
        <f aca="false">170/12</f>
        <v>14.1666666666667</v>
      </c>
      <c r="E175" s="9" t="n">
        <f aca="false">$B$5/(1+$B$7*$B$6*D175)^(1/$B$7)</f>
        <v>181.948455728607</v>
      </c>
      <c r="F175" s="9" t="n">
        <f aca="false">IF(D175&lt;=$B$11,$B$5/(1+$B$7*$B$6*D175)^(1/$B$7),$B$5/(1+$B$7*$B$6*$B$11)^(1/$B$7)*EXP(-$B$8*(D175-$B$11)))</f>
        <v>175.842915846771</v>
      </c>
    </row>
    <row r="176" customFormat="false" ht="15" hidden="false" customHeight="false" outlineLevel="0" collapsed="false">
      <c r="D176" s="15" t="n">
        <f aca="false">171/12</f>
        <v>14.25</v>
      </c>
      <c r="E176" s="9" t="n">
        <f aca="false">$B$5/(1+$B$7*$B$6*D176)^(1/$B$7)</f>
        <v>181.280140900669</v>
      </c>
      <c r="F176" s="9" t="n">
        <f aca="false">IF(D176&lt;=$B$11,$B$5/(1+$B$7*$B$6*D176)^(1/$B$7),$B$5/(1+$B$7*$B$6*$B$11)^(1/$B$7)*EXP(-$B$8*(D176-$B$11)))</f>
        <v>174.965895645166</v>
      </c>
    </row>
    <row r="177" customFormat="false" ht="15" hidden="false" customHeight="false" outlineLevel="0" collapsed="false">
      <c r="D177" s="15" t="n">
        <f aca="false">172/12</f>
        <v>14.3333333333333</v>
      </c>
      <c r="E177" s="9" t="n">
        <f aca="false">$B$5/(1+$B$7*$B$6*D177)^(1/$B$7)</f>
        <v>180.617929418129</v>
      </c>
      <c r="F177" s="9" t="n">
        <f aca="false">IF(D177&lt;=$B$11,$B$5/(1+$B$7*$B$6*D177)^(1/$B$7),$B$5/(1+$B$7*$B$6*$B$11)^(1/$B$7)*EXP(-$B$8*(D177-$B$11)))</f>
        <v>174.093249600065</v>
      </c>
    </row>
    <row r="178" customFormat="false" ht="15" hidden="false" customHeight="false" outlineLevel="0" collapsed="false">
      <c r="D178" s="15" t="n">
        <f aca="false">173/12</f>
        <v>14.4166666666667</v>
      </c>
      <c r="E178" s="9" t="n">
        <f aca="false">$B$5/(1+$B$7*$B$6*D178)^(1/$B$7)</f>
        <v>179.961732585417</v>
      </c>
      <c r="F178" s="9" t="n">
        <f aca="false">IF(D178&lt;=$B$11,$B$5/(1+$B$7*$B$6*D178)^(1/$B$7),$B$5/(1+$B$7*$B$6*$B$11)^(1/$B$7)*EXP(-$B$8*(D178-$B$11)))</f>
        <v>173.224955895271</v>
      </c>
    </row>
    <row r="179" customFormat="false" ht="15" hidden="false" customHeight="false" outlineLevel="0" collapsed="false">
      <c r="D179" s="15" t="n">
        <f aca="false">174/12</f>
        <v>14.5</v>
      </c>
      <c r="E179" s="9" t="n">
        <f aca="false">$B$5/(1+$B$7*$B$6*D179)^(1/$B$7)</f>
        <v>179.311463469661</v>
      </c>
      <c r="F179" s="9" t="n">
        <f aca="false">IF(D179&lt;=$B$11,$B$5/(1+$B$7*$B$6*D179)^(1/$B$7),$B$5/(1+$B$7*$B$6*$B$11)^(1/$B$7)*EXP(-$B$8*(D179-$B$11)))</f>
        <v>172.360992823397</v>
      </c>
    </row>
    <row r="180" customFormat="false" ht="15" hidden="false" customHeight="false" outlineLevel="0" collapsed="false">
      <c r="D180" s="15" t="n">
        <f aca="false">175/12</f>
        <v>14.5833333333333</v>
      </c>
      <c r="E180" s="9" t="n">
        <f aca="false">$B$5/(1+$B$7*$B$6*D180)^(1/$B$7)</f>
        <v>178.667036856349</v>
      </c>
      <c r="F180" s="9" t="n">
        <f aca="false">IF(D180&lt;=$B$11,$B$5/(1+$B$7*$B$6*D180)^(1/$B$7),$B$5/(1+$B$7*$B$6*$B$11)^(1/$B$7)*EXP(-$B$8*(D180-$B$11)))</f>
        <v>171.50133878532</v>
      </c>
    </row>
    <row r="181" customFormat="false" ht="15" hidden="false" customHeight="false" outlineLevel="0" collapsed="false">
      <c r="D181" s="15" t="n">
        <f aca="false">176/12</f>
        <v>14.6666666666667</v>
      </c>
      <c r="E181" s="9" t="n">
        <f aca="false">$B$5/(1+$B$7*$B$6*D181)^(1/$B$7)</f>
        <v>178.028369206324</v>
      </c>
      <c r="F181" s="9" t="n">
        <f aca="false">IF(D181&lt;=$B$11,$B$5/(1+$B$7*$B$6*D181)^(1/$B$7),$B$5/(1+$B$7*$B$6*$B$11)^(1/$B$7)*EXP(-$B$8*(D181-$B$11)))</f>
        <v>170.645972289645</v>
      </c>
    </row>
    <row r="182" customFormat="false" ht="15" hidden="false" customHeight="false" outlineLevel="0" collapsed="false">
      <c r="D182" s="15" t="n">
        <f aca="false">177/12</f>
        <v>14.75</v>
      </c>
      <c r="E182" s="9" t="n">
        <f aca="false">$B$5/(1+$B$7*$B$6*D182)^(1/$B$7)</f>
        <v>177.395378614092</v>
      </c>
      <c r="F182" s="9" t="n">
        <f aca="false">IF(D182&lt;=$B$11,$B$5/(1+$B$7*$B$6*D182)^(1/$B$7),$B$5/(1+$B$7*$B$6*$B$11)^(1/$B$7)*EXP(-$B$8*(D182-$B$11)))</f>
        <v>169.794871952166</v>
      </c>
    </row>
    <row r="183" customFormat="false" ht="15" hidden="false" customHeight="false" outlineLevel="0" collapsed="false">
      <c r="D183" s="15" t="n">
        <f aca="false">178/12</f>
        <v>14.8333333333333</v>
      </c>
      <c r="E183" s="9" t="n">
        <f aca="false">$B$5/(1+$B$7*$B$6*D183)^(1/$B$7)</f>
        <v>176.767984767375</v>
      </c>
      <c r="F183" s="9" t="n">
        <f aca="false">IF(D183&lt;=$B$11,$B$5/(1+$B$7*$B$6*D183)^(1/$B$7),$B$5/(1+$B$7*$B$6*$B$11)^(1/$B$7)*EXP(-$B$8*(D183-$B$11)))</f>
        <v>168.948016495328</v>
      </c>
    </row>
    <row r="184" customFormat="false" ht="15" hidden="false" customHeight="false" outlineLevel="0" collapsed="false">
      <c r="D184" s="15" t="n">
        <f aca="false">179/12</f>
        <v>14.9166666666667</v>
      </c>
      <c r="E184" s="9" t="n">
        <f aca="false">$B$5/(1+$B$7*$B$6*D184)^(1/$B$7)</f>
        <v>176.146108907875</v>
      </c>
      <c r="F184" s="9" t="n">
        <f aca="false">IF(D184&lt;=$B$11,$B$5/(1+$B$7*$B$6*D184)^(1/$B$7),$B$5/(1+$B$7*$B$6*$B$11)^(1/$B$7)*EXP(-$B$8*(D184-$B$11)))</f>
        <v>168.105384747703</v>
      </c>
    </row>
    <row r="185" customFormat="false" ht="15" hidden="false" customHeight="false" outlineLevel="0" collapsed="false">
      <c r="D185" s="15" t="n">
        <f aca="false">180/12</f>
        <v>15</v>
      </c>
      <c r="E185" s="9" t="n">
        <f aca="false">$B$5/(1+$B$7*$B$6*D185)^(1/$B$7)</f>
        <v>175.529673793208</v>
      </c>
      <c r="F185" s="9" t="n">
        <f aca="false">IF(D185&lt;=$B$11,$B$5/(1+$B$7*$B$6*D185)^(1/$B$7),$B$5/(1+$B$7*$B$6*$B$11)^(1/$B$7)*EXP(-$B$8*(D185-$B$11)))</f>
        <v>167.266955643452</v>
      </c>
    </row>
    <row r="186" customFormat="false" ht="15" hidden="false" customHeight="false" outlineLevel="0" collapsed="false">
      <c r="D186" s="15" t="n">
        <f aca="false">181/12</f>
        <v>15.0833333333333</v>
      </c>
      <c r="E186" s="9" t="n">
        <f aca="false">$B$5/(1+$B$7*$B$6*D186)^(1/$B$7)</f>
        <v>174.918603659962</v>
      </c>
      <c r="F186" s="9" t="n">
        <f aca="false">IF(D186&lt;=$B$11,$B$5/(1+$B$7*$B$6*D186)^(1/$B$7),$B$5/(1+$B$7*$B$6*$B$11)^(1/$B$7)*EXP(-$B$8*(D186-$B$11)))</f>
        <v>166.432708221803</v>
      </c>
    </row>
    <row r="187" customFormat="false" ht="15" hidden="false" customHeight="false" outlineLevel="0" collapsed="false">
      <c r="D187" s="15" t="n">
        <f aca="false">182/12</f>
        <v>15.1666666666667</v>
      </c>
      <c r="E187" s="9" t="n">
        <f aca="false">$B$5/(1+$B$7*$B$6*D187)^(1/$B$7)</f>
        <v>174.312824187842</v>
      </c>
      <c r="F187" s="9" t="n">
        <f aca="false">IF(D187&lt;=$B$11,$B$5/(1+$B$7*$B$6*D187)^(1/$B$7),$B$5/(1+$B$7*$B$6*$B$11)^(1/$B$7)*EXP(-$B$8*(D187-$B$11)))</f>
        <v>165.602621626529</v>
      </c>
    </row>
    <row r="188" customFormat="false" ht="15" hidden="false" customHeight="false" outlineLevel="0" collapsed="false">
      <c r="D188" s="15" t="n">
        <f aca="false">183/12</f>
        <v>15.25</v>
      </c>
      <c r="E188" s="9" t="n">
        <f aca="false">$B$5/(1+$B$7*$B$6*D188)^(1/$B$7)</f>
        <v>173.712262464868</v>
      </c>
      <c r="F188" s="9" t="n">
        <f aca="false">IF(D188&lt;=$B$11,$B$5/(1+$B$7*$B$6*D188)^(1/$B$7),$B$5/(1+$B$7*$B$6*$B$11)^(1/$B$7)*EXP(-$B$8*(D188-$B$11)))</f>
        <v>164.77667510542</v>
      </c>
    </row>
    <row r="189" customFormat="false" ht="15" hidden="false" customHeight="false" outlineLevel="0" collapsed="false">
      <c r="D189" s="15" t="n">
        <f aca="false">184/12</f>
        <v>15.3333333333333</v>
      </c>
      <c r="E189" s="9" t="n">
        <f aca="false">$B$5/(1+$B$7*$B$6*D189)^(1/$B$7)</f>
        <v>173.116846953582</v>
      </c>
      <c r="F189" s="9" t="n">
        <f aca="false">IF(D189&lt;=$B$11,$B$5/(1+$B$7*$B$6*D189)^(1/$B$7),$B$5/(1+$B$7*$B$6*$B$11)^(1/$B$7)*EXP(-$B$8*(D189-$B$11)))</f>
        <v>163.954848009771</v>
      </c>
    </row>
    <row r="190" customFormat="false" ht="15" hidden="false" customHeight="false" outlineLevel="0" collapsed="false">
      <c r="D190" s="15" t="n">
        <f aca="false">185/12</f>
        <v>15.4166666666667</v>
      </c>
      <c r="E190" s="9" t="n">
        <f aca="false">$B$5/(1+$B$7*$B$6*D190)^(1/$B$7)</f>
        <v>172.526507458239</v>
      </c>
      <c r="F190" s="9" t="n">
        <f aca="false">IF(D190&lt;=$B$11,$B$5/(1+$B$7*$B$6*D190)^(1/$B$7),$B$5/(1+$B$7*$B$6*$B$11)^(1/$B$7)*EXP(-$B$8*(D190-$B$11)))</f>
        <v>163.137119793862</v>
      </c>
    </row>
    <row r="191" customFormat="false" ht="15" hidden="false" customHeight="false" outlineLevel="0" collapsed="false">
      <c r="D191" s="15" t="n">
        <f aca="false">186/12</f>
        <v>15.5</v>
      </c>
      <c r="E191" s="9" t="n">
        <f aca="false">$B$5/(1+$B$7*$B$6*D191)^(1/$B$7)</f>
        <v>171.941175092944</v>
      </c>
      <c r="F191" s="9" t="n">
        <f aca="false">IF(D191&lt;=$B$11,$B$5/(1+$B$7*$B$6*D191)^(1/$B$7),$B$5/(1+$B$7*$B$6*$B$11)^(1/$B$7)*EXP(-$B$8*(D191-$B$11)))</f>
        <v>162.323470014444</v>
      </c>
    </row>
    <row r="192" customFormat="false" ht="15" hidden="false" customHeight="false" outlineLevel="0" collapsed="false">
      <c r="D192" s="15" t="n">
        <f aca="false">187/12</f>
        <v>15.5833333333333</v>
      </c>
      <c r="E192" s="9" t="n">
        <f aca="false">$B$5/(1+$B$7*$B$6*D192)^(1/$B$7)</f>
        <v>171.360782250701</v>
      </c>
      <c r="F192" s="9" t="n">
        <f aca="false">IF(D192&lt;=$B$11,$B$5/(1+$B$7*$B$6*D192)^(1/$B$7),$B$5/(1+$B$7*$B$6*$B$11)^(1/$B$7)*EXP(-$B$8*(D192-$B$11)))</f>
        <v>161.513878330231</v>
      </c>
    </row>
    <row r="193" customFormat="false" ht="15" hidden="false" customHeight="false" outlineLevel="0" collapsed="false">
      <c r="D193" s="15" t="n">
        <f aca="false">188/12</f>
        <v>15.6666666666667</v>
      </c>
      <c r="E193" s="9" t="n">
        <f aca="false">$B$5/(1+$B$7*$B$6*D193)^(1/$B$7)</f>
        <v>170.785262573345</v>
      </c>
      <c r="F193" s="9" t="n">
        <f aca="false">IF(D193&lt;=$B$11,$B$5/(1+$B$7*$B$6*D193)^(1/$B$7),$B$5/(1+$B$7*$B$6*$B$11)^(1/$B$7)*EXP(-$B$8*(D193-$B$11)))</f>
        <v>160.708324501388</v>
      </c>
    </row>
    <row r="194" customFormat="false" ht="15" hidden="false" customHeight="false" outlineLevel="0" collapsed="false">
      <c r="D194" s="15" t="n">
        <f aca="false">189/12</f>
        <v>15.75</v>
      </c>
      <c r="E194" s="9" t="n">
        <f aca="false">$B$5/(1+$B$7*$B$6*D194)^(1/$B$7)</f>
        <v>170.214550922329</v>
      </c>
      <c r="F194" s="9" t="n">
        <f aca="false">IF(D194&lt;=$B$11,$B$5/(1+$B$7*$B$6*D194)^(1/$B$7),$B$5/(1+$B$7*$B$6*$B$11)^(1/$B$7)*EXP(-$B$8*(D194-$B$11)))</f>
        <v>159.906788389029</v>
      </c>
    </row>
    <row r="195" customFormat="false" ht="15" hidden="false" customHeight="false" outlineLevel="0" collapsed="false">
      <c r="D195" s="15" t="n">
        <f aca="false">190/12</f>
        <v>15.8333333333333</v>
      </c>
      <c r="E195" s="9" t="n">
        <f aca="false">$B$5/(1+$B$7*$B$6*D195)^(1/$B$7)</f>
        <v>169.64858335034</v>
      </c>
      <c r="F195" s="9" t="n">
        <f aca="false">IF(D195&lt;=$B$11,$B$5/(1+$B$7*$B$6*D195)^(1/$B$7),$B$5/(1+$B$7*$B$6*$B$11)^(1/$B$7)*EXP(-$B$8*(D195-$B$11)))</f>
        <v>159.109249954707</v>
      </c>
    </row>
    <row r="196" customFormat="false" ht="15" hidden="false" customHeight="false" outlineLevel="0" collapsed="false">
      <c r="D196" s="15" t="n">
        <f aca="false">191/12</f>
        <v>15.9166666666667</v>
      </c>
      <c r="E196" s="9" t="n">
        <f aca="false">$B$5/(1+$B$7*$B$6*D196)^(1/$B$7)</f>
        <v>169.08729707371</v>
      </c>
      <c r="F196" s="9" t="n">
        <f aca="false">IF(D196&lt;=$B$11,$B$5/(1+$B$7*$B$6*D196)^(1/$B$7),$B$5/(1+$B$7*$B$6*$B$11)^(1/$B$7)*EXP(-$B$8*(D196-$B$11)))</f>
        <v>158.315689259921</v>
      </c>
    </row>
    <row r="197" customFormat="false" ht="15" hidden="false" customHeight="false" outlineLevel="0" collapsed="false">
      <c r="D197" s="15" t="n">
        <f aca="false">192/12</f>
        <v>16</v>
      </c>
      <c r="E197" s="9" t="n">
        <f aca="false">$B$5/(1+$B$7*$B$6*D197)^(1/$B$7)</f>
        <v>168.530630445597</v>
      </c>
      <c r="F197" s="9" t="n">
        <f aca="false">IF(D197&lt;=$B$11,$B$5/(1+$B$7*$B$6*D197)^(1/$B$7),$B$5/(1+$B$7*$B$6*$B$11)^(1/$B$7)*EXP(-$B$8*(D197-$B$11)))</f>
        <v>157.526086465612</v>
      </c>
    </row>
    <row r="198" customFormat="false" ht="15" hidden="false" customHeight="false" outlineLevel="0" collapsed="false">
      <c r="D198" s="15" t="n">
        <f aca="false">193/12</f>
        <v>16.0833333333333</v>
      </c>
      <c r="E198" s="9" t="n">
        <f aca="false">$B$5/(1+$B$7*$B$6*D198)^(1/$B$7)</f>
        <v>167.978522929915</v>
      </c>
      <c r="F198" s="9" t="n">
        <f aca="false">IF(D198&lt;=$B$11,$B$5/(1+$B$7*$B$6*D198)^(1/$B$7),$B$5/(1+$B$7*$B$6*$B$11)^(1/$B$7)*EXP(-$B$8*(D198-$B$11)))</f>
        <v>156.74042183167</v>
      </c>
    </row>
    <row r="199" customFormat="false" ht="15" hidden="false" customHeight="false" outlineLevel="0" collapsed="false">
      <c r="D199" s="15" t="n">
        <f aca="false">194/12</f>
        <v>16.1666666666667</v>
      </c>
      <c r="E199" s="9" t="n">
        <f aca="false">$B$5/(1+$B$7*$B$6*D199)^(1/$B$7)</f>
        <v>167.43091507599</v>
      </c>
      <c r="F199" s="9" t="n">
        <f aca="false">IF(D199&lt;=$B$11,$B$5/(1+$B$7*$B$6*D199)^(1/$B$7),$B$5/(1+$B$7*$B$6*$B$11)^(1/$B$7)*EXP(-$B$8*(D199-$B$11)))</f>
        <v>155.958675716437</v>
      </c>
    </row>
    <row r="200" customFormat="false" ht="15" hidden="false" customHeight="false" outlineLevel="0" collapsed="false">
      <c r="D200" s="15" t="n">
        <f aca="false">195/12</f>
        <v>16.25</v>
      </c>
      <c r="E200" s="9" t="n">
        <f aca="false">$B$5/(1+$B$7*$B$6*D200)^(1/$B$7)</f>
        <v>166.88774849391</v>
      </c>
      <c r="F200" s="9" t="n">
        <f aca="false">IF(D200&lt;=$B$11,$B$5/(1+$B$7*$B$6*D200)^(1/$B$7),$B$5/(1+$B$7*$B$6*$B$11)^(1/$B$7)*EXP(-$B$8*(D200-$B$11)))</f>
        <v>155.180828576219</v>
      </c>
    </row>
    <row r="201" customFormat="false" ht="15" hidden="false" customHeight="false" outlineLevel="0" collapsed="false">
      <c r="D201" s="15" t="n">
        <f aca="false">196/12</f>
        <v>16.3333333333333</v>
      </c>
      <c r="E201" s="9" t="n">
        <f aca="false">$B$5/(1+$B$7*$B$6*D201)^(1/$B$7)</f>
        <v>166.34896583055</v>
      </c>
      <c r="F201" s="9" t="n">
        <f aca="false">IF(D201&lt;=$B$11,$B$5/(1+$B$7*$B$6*D201)^(1/$B$7),$B$5/(1+$B$7*$B$6*$B$11)^(1/$B$7)*EXP(-$B$8*(D201-$B$11)))</f>
        <v>154.406860964799</v>
      </c>
    </row>
    <row r="202" customFormat="false" ht="15" hidden="false" customHeight="false" outlineLevel="0" collapsed="false">
      <c r="D202" s="15" t="n">
        <f aca="false">197/12</f>
        <v>16.4166666666667</v>
      </c>
      <c r="E202" s="9" t="n">
        <f aca="false">$B$5/(1+$B$7*$B$6*D202)^(1/$B$7)</f>
        <v>165.814510746258</v>
      </c>
      <c r="F202" s="9" t="n">
        <f aca="false">IF(D202&lt;=$B$11,$B$5/(1+$B$7*$B$6*D202)^(1/$B$7),$B$5/(1+$B$7*$B$6*$B$11)^(1/$B$7)*EXP(-$B$8*(D202-$B$11)))</f>
        <v>153.636753532944</v>
      </c>
    </row>
    <row r="203" customFormat="false" ht="15" hidden="false" customHeight="false" outlineLevel="0" collapsed="false">
      <c r="D203" s="15" t="n">
        <f aca="false">198/12</f>
        <v>16.5</v>
      </c>
      <c r="E203" s="9" t="n">
        <f aca="false">$B$5/(1+$B$7*$B$6*D203)^(1/$B$7)</f>
        <v>165.284327892171</v>
      </c>
      <c r="F203" s="9" t="n">
        <f aca="false">IF(D203&lt;=$B$11,$B$5/(1+$B$7*$B$6*D203)^(1/$B$7),$B$5/(1+$B$7*$B$6*$B$11)^(1/$B$7)*EXP(-$B$8*(D203-$B$11)))</f>
        <v>152.87048702793</v>
      </c>
    </row>
    <row r="204" customFormat="false" ht="15" hidden="false" customHeight="false" outlineLevel="0" collapsed="false">
      <c r="D204" s="15" t="n">
        <f aca="false">199/12</f>
        <v>16.5833333333333</v>
      </c>
      <c r="E204" s="9" t="n">
        <f aca="false">$B$5/(1+$B$7*$B$6*D204)^(1/$B$7)</f>
        <v>164.758362888144</v>
      </c>
      <c r="F204" s="9" t="n">
        <f aca="false">IF(D204&lt;=$B$11,$B$5/(1+$B$7*$B$6*D204)^(1/$B$7),$B$5/(1+$B$7*$B$6*$B$11)^(1/$B$7)*EXP(-$B$8*(D204-$B$11)))</f>
        <v>152.108042293053</v>
      </c>
    </row>
    <row r="205" customFormat="false" ht="15" hidden="false" customHeight="false" outlineLevel="0" collapsed="false">
      <c r="D205" s="15" t="n">
        <f aca="false">200/12</f>
        <v>16.6666666666667</v>
      </c>
      <c r="E205" s="9" t="n">
        <f aca="false">$B$5/(1+$B$7*$B$6*D205)^(1/$B$7)</f>
        <v>164.236562301273</v>
      </c>
      <c r="F205" s="9" t="n">
        <f aca="false">IF(D205&lt;=$B$11,$B$5/(1+$B$7*$B$6*D205)^(1/$B$7),$B$5/(1+$B$7*$B$6*$B$11)^(1/$B$7)*EXP(-$B$8*(D205-$B$11)))</f>
        <v>151.349400267156</v>
      </c>
    </row>
    <row r="206" customFormat="false" ht="15" hidden="false" customHeight="false" outlineLevel="0" collapsed="false">
      <c r="D206" s="15" t="n">
        <f aca="false">201/12</f>
        <v>16.75</v>
      </c>
      <c r="E206" s="9" t="n">
        <f aca="false">$B$5/(1+$B$7*$B$6*D206)^(1/$B$7)</f>
        <v>163.718873624995</v>
      </c>
      <c r="F206" s="9" t="n">
        <f aca="false">IF(D206&lt;=$B$11,$B$5/(1+$B$7*$B$6*D206)^(1/$B$7),$B$5/(1+$B$7*$B$6*$B$11)^(1/$B$7)*EXP(-$B$8*(D206-$B$11)))</f>
        <v>150.594541984149</v>
      </c>
    </row>
    <row r="207" customFormat="false" ht="15" hidden="false" customHeight="false" outlineLevel="0" collapsed="false">
      <c r="D207" s="15" t="n">
        <f aca="false">202/12</f>
        <v>16.8333333333333</v>
      </c>
      <c r="E207" s="9" t="n">
        <f aca="false">$B$5/(1+$B$7*$B$6*D207)^(1/$B$7)</f>
        <v>163.205245258748</v>
      </c>
      <c r="F207" s="9" t="n">
        <f aca="false">IF(D207&lt;=$B$11,$B$5/(1+$B$7*$B$6*D207)^(1/$B$7),$B$5/(1+$B$7*$B$6*$B$11)^(1/$B$7)*EXP(-$B$8*(D207-$B$11)))</f>
        <v>149.843448572534</v>
      </c>
    </row>
    <row r="208" customFormat="false" ht="15" hidden="false" customHeight="false" outlineLevel="0" collapsed="false">
      <c r="D208" s="15" t="n">
        <f aca="false">203/12</f>
        <v>16.9166666666667</v>
      </c>
      <c r="E208" s="9" t="n">
        <f aca="false">$B$5/(1+$B$7*$B$6*D208)^(1/$B$7)</f>
        <v>162.695626488162</v>
      </c>
      <c r="F208" s="9" t="n">
        <f aca="false">IF(D208&lt;=$B$11,$B$5/(1+$B$7*$B$6*D208)^(1/$B$7),$B$5/(1+$B$7*$B$6*$B$11)^(1/$B$7)*EXP(-$B$8*(D208-$B$11)))</f>
        <v>149.096101254939</v>
      </c>
    </row>
    <row r="209" customFormat="false" ht="15" hidden="false" customHeight="false" outlineLevel="0" collapsed="false">
      <c r="D209" s="15" t="n">
        <f aca="false">204/12</f>
        <v>17</v>
      </c>
      <c r="E209" s="9" t="n">
        <f aca="false">$B$5/(1+$B$7*$B$6*D209)^(1/$B$7)</f>
        <v>162.189967465783</v>
      </c>
      <c r="F209" s="9" t="n">
        <f aca="false">IF(D209&lt;=$B$11,$B$5/(1+$B$7*$B$6*D209)^(1/$B$7),$B$5/(1+$B$7*$B$6*$B$11)^(1/$B$7)*EXP(-$B$8*(D209-$B$11)))</f>
        <v>148.35248134764</v>
      </c>
    </row>
    <row r="210" customFormat="false" ht="15" hidden="false" customHeight="false" outlineLevel="0" collapsed="false">
      <c r="D210" s="15" t="n">
        <f aca="false">205/12</f>
        <v>17.0833333333333</v>
      </c>
      <c r="E210" s="9" t="n">
        <f aca="false">$B$5/(1+$B$7*$B$6*D210)^(1/$B$7)</f>
        <v>161.688219192298</v>
      </c>
      <c r="F210" s="9" t="n">
        <f aca="false">IF(D210&lt;=$B$11,$B$5/(1+$B$7*$B$6*D210)^(1/$B$7),$B$5/(1+$B$7*$B$6*$B$11)^(1/$B$7)*EXP(-$B$8*(D210-$B$11)))</f>
        <v>147.612570260101</v>
      </c>
    </row>
    <row r="211" customFormat="false" ht="15" hidden="false" customHeight="false" outlineLevel="0" collapsed="false">
      <c r="D211" s="15" t="n">
        <f aca="false">206/12</f>
        <v>17.1666666666667</v>
      </c>
      <c r="E211" s="9" t="n">
        <f aca="false">$B$5/(1+$B$7*$B$6*D211)^(1/$B$7)</f>
        <v>161.190333498256</v>
      </c>
      <c r="F211" s="9" t="n">
        <f aca="false">IF(D211&lt;=$B$11,$B$5/(1+$B$7*$B$6*D211)^(1/$B$7),$B$5/(1+$B$7*$B$6*$B$11)^(1/$B$7)*EXP(-$B$8*(D211-$B$11)))</f>
        <v>146.876349494507</v>
      </c>
    </row>
    <row r="212" customFormat="false" ht="15" hidden="false" customHeight="false" outlineLevel="0" collapsed="false">
      <c r="D212" s="15" t="n">
        <f aca="false">207/12</f>
        <v>17.25</v>
      </c>
      <c r="E212" s="9" t="n">
        <f aca="false">$B$5/(1+$B$7*$B$6*D212)^(1/$B$7)</f>
        <v>160.696263026256</v>
      </c>
      <c r="F212" s="9" t="n">
        <f aca="false">IF(D212&lt;=$B$11,$B$5/(1+$B$7*$B$6*D212)^(1/$B$7),$B$5/(1+$B$7*$B$6*$B$11)^(1/$B$7)*EXP(-$B$8*(D212-$B$11)))</f>
        <v>146.1438006453</v>
      </c>
    </row>
    <row r="213" customFormat="false" ht="15" hidden="false" customHeight="false" outlineLevel="0" collapsed="false">
      <c r="D213" s="15" t="n">
        <f aca="false">208/12</f>
        <v>17.3333333333333</v>
      </c>
      <c r="E213" s="9" t="n">
        <f aca="false">$B$5/(1+$B$7*$B$6*D213)^(1/$B$7)</f>
        <v>160.205961213613</v>
      </c>
      <c r="F213" s="9" t="n">
        <f aca="false">IF(D213&lt;=$B$11,$B$5/(1+$B$7*$B$6*D213)^(1/$B$7),$B$5/(1+$B$7*$B$6*$B$11)^(1/$B$7)*EXP(-$B$8*(D213-$B$11)))</f>
        <v>145.414905398721</v>
      </c>
    </row>
    <row r="214" customFormat="false" ht="15" hidden="false" customHeight="false" outlineLevel="0" collapsed="false">
      <c r="D214" s="15" t="n">
        <f aca="false">209/12</f>
        <v>17.4166666666667</v>
      </c>
      <c r="E214" s="9" t="n">
        <f aca="false">$B$5/(1+$B$7*$B$6*D214)^(1/$B$7)</f>
        <v>159.719382275451</v>
      </c>
      <c r="F214" s="9" t="n">
        <f aca="false">IF(D214&lt;=$B$11,$B$5/(1+$B$7*$B$6*D214)^(1/$B$7),$B$5/(1+$B$7*$B$6*$B$11)^(1/$B$7)*EXP(-$B$8*(D214-$B$11)))</f>
        <v>144.689645532351</v>
      </c>
    </row>
    <row r="215" customFormat="false" ht="15" hidden="false" customHeight="false" outlineLevel="0" collapsed="false">
      <c r="D215" s="15" t="n">
        <f aca="false">210/12</f>
        <v>17.5</v>
      </c>
      <c r="E215" s="9" t="n">
        <f aca="false">$B$5/(1+$B$7*$B$6*D215)^(1/$B$7)</f>
        <v>159.236481188252</v>
      </c>
      <c r="F215" s="9" t="n">
        <f aca="false">IF(D215&lt;=$B$11,$B$5/(1+$B$7*$B$6*D215)^(1/$B$7),$B$5/(1+$B$7*$B$6*$B$11)^(1/$B$7)*EXP(-$B$8*(D215-$B$11)))</f>
        <v>143.968002914655</v>
      </c>
    </row>
    <row r="216" customFormat="false" ht="15" hidden="false" customHeight="false" outlineLevel="0" collapsed="false">
      <c r="D216" s="15" t="n">
        <f aca="false">211/12</f>
        <v>17.5833333333333</v>
      </c>
      <c r="E216" s="9" t="n">
        <f aca="false">$B$5/(1+$B$7*$B$6*D216)^(1/$B$7)</f>
        <v>158.757213673807</v>
      </c>
      <c r="F216" s="9" t="n">
        <f aca="false">IF(D216&lt;=$B$11,$B$5/(1+$B$7*$B$6*D216)^(1/$B$7),$B$5/(1+$B$7*$B$6*$B$11)^(1/$B$7)*EXP(-$B$8*(D216-$B$11)))</f>
        <v>143.24995950453</v>
      </c>
    </row>
    <row r="217" customFormat="false" ht="15" hidden="false" customHeight="false" outlineLevel="0" collapsed="false">
      <c r="D217" s="15" t="n">
        <f aca="false">212/12</f>
        <v>17.6666666666667</v>
      </c>
      <c r="E217" s="9" t="n">
        <f aca="false">$B$5/(1+$B$7*$B$6*D217)^(1/$B$7)</f>
        <v>158.281536183589</v>
      </c>
      <c r="F217" s="9" t="n">
        <f aca="false">IF(D217&lt;=$B$11,$B$5/(1+$B$7*$B$6*D217)^(1/$B$7),$B$5/(1+$B$7*$B$6*$B$11)^(1/$B$7)*EXP(-$B$8*(D217-$B$11)))</f>
        <v>142.535497350854</v>
      </c>
    </row>
    <row r="218" customFormat="false" ht="15" hidden="false" customHeight="false" outlineLevel="0" collapsed="false">
      <c r="D218" s="15" t="n">
        <f aca="false">213/12</f>
        <v>17.75</v>
      </c>
      <c r="E218" s="9" t="n">
        <f aca="false">$B$5/(1+$B$7*$B$6*D218)^(1/$B$7)</f>
        <v>157.809405883514</v>
      </c>
      <c r="F218" s="9" t="n">
        <f aca="false">IF(D218&lt;=$B$11,$B$5/(1+$B$7*$B$6*D218)^(1/$B$7),$B$5/(1+$B$7*$B$6*$B$11)^(1/$B$7)*EXP(-$B$8*(D218-$B$11)))</f>
        <v>141.824598592035</v>
      </c>
    </row>
    <row r="219" customFormat="false" ht="15" hidden="false" customHeight="false" outlineLevel="0" collapsed="false">
      <c r="D219" s="15" t="n">
        <f aca="false">214/12</f>
        <v>17.8333333333333</v>
      </c>
      <c r="E219" s="9" t="n">
        <f aca="false">$B$5/(1+$B$7*$B$6*D219)^(1/$B$7)</f>
        <v>157.340780639093</v>
      </c>
      <c r="F219" s="9" t="n">
        <f aca="false">IF(D219&lt;=$B$11,$B$5/(1+$B$7*$B$6*D219)^(1/$B$7),$B$5/(1+$B$7*$B$6*$B$11)^(1/$B$7)*EXP(-$B$8*(D219-$B$11)))</f>
        <v>141.117245455568</v>
      </c>
    </row>
    <row r="220" customFormat="false" ht="15" hidden="false" customHeight="false" outlineLevel="0" collapsed="false">
      <c r="D220" s="15" t="n">
        <f aca="false">215/12</f>
        <v>17.9166666666667</v>
      </c>
      <c r="E220" s="9" t="n">
        <f aca="false">$B$5/(1+$B$7*$B$6*D220)^(1/$B$7)</f>
        <v>156.875619000951</v>
      </c>
      <c r="F220" s="9" t="n">
        <f aca="false">IF(D220&lt;=$B$11,$B$5/(1+$B$7*$B$6*D220)^(1/$B$7),$B$5/(1+$B$7*$B$6*$B$11)^(1/$B$7)*EXP(-$B$8*(D220-$B$11)))</f>
        <v>140.413420257587</v>
      </c>
    </row>
    <row r="221" customFormat="false" ht="15" hidden="false" customHeight="false" outlineLevel="0" collapsed="false">
      <c r="D221" s="15" t="n">
        <f aca="false">216/12</f>
        <v>18</v>
      </c>
      <c r="E221" s="9" t="n">
        <f aca="false">$B$5/(1+$B$7*$B$6*D221)^(1/$B$7)</f>
        <v>156.413880190714</v>
      </c>
      <c r="F221" s="9" t="n">
        <f aca="false">IF(D221&lt;=$B$11,$B$5/(1+$B$7*$B$6*D221)^(1/$B$7),$B$5/(1+$B$7*$B$6*$B$11)^(1/$B$7)*EXP(-$B$8*(D221-$B$11)))</f>
        <v>139.713105402426</v>
      </c>
    </row>
    <row r="222" customFormat="false" ht="15" hidden="false" customHeight="false" outlineLevel="0" collapsed="false">
      <c r="D222" s="15" t="n">
        <f aca="false">217/12</f>
        <v>18.0833333333333</v>
      </c>
      <c r="E222" s="9" t="n">
        <f aca="false">$B$5/(1+$B$7*$B$6*D222)^(1/$B$7)</f>
        <v>155.955524087243</v>
      </c>
      <c r="F222" s="9" t="n">
        <f aca="false">IF(D222&lt;=$B$11,$B$5/(1+$B$7*$B$6*D222)^(1/$B$7),$B$5/(1+$B$7*$B$6*$B$11)^(1/$B$7)*EXP(-$B$8*(D222-$B$11)))</f>
        <v>139.016283382176</v>
      </c>
    </row>
    <row r="223" customFormat="false" ht="15" hidden="false" customHeight="false" outlineLevel="0" collapsed="false">
      <c r="D223" s="15" t="n">
        <f aca="false">218/12</f>
        <v>18.1666666666667</v>
      </c>
      <c r="E223" s="9" t="n">
        <f aca="false">$B$5/(1+$B$7*$B$6*D223)^(1/$B$7)</f>
        <v>155.500511213211</v>
      </c>
      <c r="F223" s="9" t="n">
        <f aca="false">IF(D223&lt;=$B$11,$B$5/(1+$B$7*$B$6*D223)^(1/$B$7),$B$5/(1+$B$7*$B$6*$B$11)^(1/$B$7)*EXP(-$B$8*(D223-$B$11)))</f>
        <v>138.322936776252</v>
      </c>
    </row>
    <row r="224" customFormat="false" ht="15" hidden="false" customHeight="false" outlineLevel="0" collapsed="false">
      <c r="D224" s="15" t="n">
        <f aca="false">219/12</f>
        <v>18.25</v>
      </c>
      <c r="E224" s="9" t="n">
        <f aca="false">$B$5/(1+$B$7*$B$6*D224)^(1/$B$7)</f>
        <v>155.048802722014</v>
      </c>
      <c r="F224" s="9" t="n">
        <f aca="false">IF(D224&lt;=$B$11,$B$5/(1+$B$7*$B$6*D224)^(1/$B$7),$B$5/(1+$B$7*$B$6*$B$11)^(1/$B$7)*EXP(-$B$8*(D224-$B$11)))</f>
        <v>137.633048250951</v>
      </c>
    </row>
    <row r="225" customFormat="false" ht="15" hidden="false" customHeight="false" outlineLevel="0" collapsed="false">
      <c r="D225" s="15" t="n">
        <f aca="false">220/12</f>
        <v>18.3333333333333</v>
      </c>
      <c r="E225" s="9" t="n">
        <f aca="false">$B$5/(1+$B$7*$B$6*D225)^(1/$B$7)</f>
        <v>154.600360384998</v>
      </c>
      <c r="F225" s="9" t="n">
        <f aca="false">IF(D225&lt;=$B$11,$B$5/(1+$B$7*$B$6*D225)^(1/$B$7),$B$5/(1+$B$7*$B$6*$B$11)^(1/$B$7)*EXP(-$B$8*(D225-$B$11)))</f>
        <v>136.946600559025</v>
      </c>
    </row>
    <row r="226" customFormat="false" ht="15" hidden="false" customHeight="false" outlineLevel="0" collapsed="false">
      <c r="D226" s="15" t="n">
        <f aca="false">221/12</f>
        <v>18.4166666666667</v>
      </c>
      <c r="E226" s="9" t="n">
        <f aca="false">$B$5/(1+$B$7*$B$6*D226)^(1/$B$7)</f>
        <v>154.155146579004</v>
      </c>
      <c r="F226" s="9" t="n">
        <f aca="false">IF(D226&lt;=$B$11,$B$5/(1+$B$7*$B$6*D226)^(1/$B$7),$B$5/(1+$B$7*$B$6*$B$11)^(1/$B$7)*EXP(-$B$8*(D226-$B$11)))</f>
        <v>136.263576539245</v>
      </c>
    </row>
    <row r="227" customFormat="false" ht="15" hidden="false" customHeight="false" outlineLevel="0" collapsed="false">
      <c r="D227" s="15" t="n">
        <f aca="false">222/12</f>
        <v>18.5</v>
      </c>
      <c r="E227" s="9" t="n">
        <f aca="false">$B$5/(1+$B$7*$B$6*D227)^(1/$B$7)</f>
        <v>153.713124274217</v>
      </c>
      <c r="F227" s="9" t="n">
        <f aca="false">IF(D227&lt;=$B$11,$B$5/(1+$B$7*$B$6*D227)^(1/$B$7),$B$5/(1+$B$7*$B$6*$B$11)^(1/$B$7)*EXP(-$B$8*(D227-$B$11)))</f>
        <v>135.583959115976</v>
      </c>
    </row>
    <row r="228" customFormat="false" ht="15" hidden="false" customHeight="false" outlineLevel="0" collapsed="false">
      <c r="D228" s="15" t="n">
        <f aca="false">223/12</f>
        <v>18.5833333333333</v>
      </c>
      <c r="E228" s="9" t="n">
        <f aca="false">$B$5/(1+$B$7*$B$6*D228)^(1/$B$7)</f>
        <v>153.274257022303</v>
      </c>
      <c r="F228" s="9" t="n">
        <f aca="false">IF(D228&lt;=$B$11,$B$5/(1+$B$7*$B$6*D228)^(1/$B$7),$B$5/(1+$B$7*$B$6*$B$11)^(1/$B$7)*EXP(-$B$8*(D228-$B$11)))</f>
        <v>134.907731298747</v>
      </c>
    </row>
    <row r="229" customFormat="false" ht="15" hidden="false" customHeight="false" outlineLevel="0" collapsed="false">
      <c r="D229" s="15" t="n">
        <f aca="false">224/12</f>
        <v>18.6666666666667</v>
      </c>
      <c r="E229" s="9" t="n">
        <f aca="false">$B$5/(1+$B$7*$B$6*D229)^(1/$B$7)</f>
        <v>152.838508944839</v>
      </c>
      <c r="F229" s="9" t="n">
        <f aca="false">IF(D229&lt;=$B$11,$B$5/(1+$B$7*$B$6*D229)^(1/$B$7),$B$5/(1+$B$7*$B$6*$B$11)^(1/$B$7)*EXP(-$B$8*(D229-$B$11)))</f>
        <v>134.234876181826</v>
      </c>
    </row>
    <row r="230" customFormat="false" ht="15" hidden="false" customHeight="false" outlineLevel="0" collapsed="false">
      <c r="D230" s="15" t="n">
        <f aca="false">225/12</f>
        <v>18.75</v>
      </c>
      <c r="E230" s="9" t="n">
        <f aca="false">$B$5/(1+$B$7*$B$6*D230)^(1/$B$7)</f>
        <v>152.405844722022</v>
      </c>
      <c r="F230" s="9" t="n">
        <f aca="false">IF(D230&lt;=$B$11,$B$5/(1+$B$7*$B$6*D230)^(1/$B$7),$B$5/(1+$B$7*$B$6*$B$11)^(1/$B$7)*EXP(-$B$8*(D230-$B$11)))</f>
        <v>133.565376943801</v>
      </c>
    </row>
    <row r="231" customFormat="false" ht="15" hidden="false" customHeight="false" outlineLevel="0" collapsed="false">
      <c r="D231" s="15" t="n">
        <f aca="false">226/12</f>
        <v>18.8333333333333</v>
      </c>
      <c r="E231" s="9" t="n">
        <f aca="false">$B$5/(1+$B$7*$B$6*D231)^(1/$B$7)</f>
        <v>151.976229581642</v>
      </c>
      <c r="F231" s="9" t="n">
        <f aca="false">IF(D231&lt;=$B$11,$B$5/(1+$B$7*$B$6*D231)^(1/$B$7),$B$5/(1+$B$7*$B$6*$B$11)^(1/$B$7)*EXP(-$B$8*(D231-$B$11)))</f>
        <v>132.899216847157</v>
      </c>
    </row>
    <row r="232" customFormat="false" ht="15" hidden="false" customHeight="false" outlineLevel="0" collapsed="false">
      <c r="D232" s="15" t="n">
        <f aca="false">227/12</f>
        <v>18.9166666666667</v>
      </c>
      <c r="E232" s="9" t="n">
        <f aca="false">$B$5/(1+$B$7*$B$6*D232)^(1/$B$7)</f>
        <v>151.549629288325</v>
      </c>
      <c r="F232" s="9" t="n">
        <f aca="false">IF(D232&lt;=$B$11,$B$5/(1+$B$7*$B$6*D232)^(1/$B$7),$B$5/(1+$B$7*$B$6*$B$11)^(1/$B$7)*EXP(-$B$8*(D232-$B$11)))</f>
        <v>132.236379237856</v>
      </c>
    </row>
    <row r="233" customFormat="false" ht="15" hidden="false" customHeight="false" outlineLevel="0" collapsed="false">
      <c r="D233" s="15" t="n">
        <f aca="false">228/12</f>
        <v>19</v>
      </c>
      <c r="E233" s="9" t="n">
        <f aca="false">$B$5/(1+$B$7*$B$6*D233)^(1/$B$7)</f>
        <v>151.12601013303</v>
      </c>
      <c r="F233" s="9" t="n">
        <f aca="false">IF(D233&lt;=$B$11,$B$5/(1+$B$7*$B$6*D233)^(1/$B$7),$B$5/(1+$B$7*$B$6*$B$11)^(1/$B$7)*EXP(-$B$8*(D233-$B$11)))</f>
        <v>131.576847544922</v>
      </c>
    </row>
    <row r="234" customFormat="false" ht="15" hidden="false" customHeight="false" outlineLevel="0" collapsed="false">
      <c r="D234" s="15" t="n">
        <f aca="false">229/12</f>
        <v>19.0833333333333</v>
      </c>
      <c r="E234" s="9" t="n">
        <f aca="false">$B$5/(1+$B$7*$B$6*D234)^(1/$B$7)</f>
        <v>150.705338922788</v>
      </c>
      <c r="F234" s="9" t="n">
        <f aca="false">IF(D234&lt;=$B$11,$B$5/(1+$B$7*$B$6*D234)^(1/$B$7),$B$5/(1+$B$7*$B$6*$B$11)^(1/$B$7)*EXP(-$B$8*(D234-$B$11)))</f>
        <v>130.920605280031</v>
      </c>
    </row>
    <row r="235" customFormat="false" ht="15" hidden="false" customHeight="false" outlineLevel="0" collapsed="false">
      <c r="D235" s="15" t="n">
        <f aca="false">230/12</f>
        <v>19.1666666666667</v>
      </c>
      <c r="E235" s="9" t="n">
        <f aca="false">$B$5/(1+$B$7*$B$6*D235)^(1/$B$7)</f>
        <v>150.287582970696</v>
      </c>
      <c r="F235" s="9" t="n">
        <f aca="false">IF(D235&lt;=$B$11,$B$5/(1+$B$7*$B$6*D235)^(1/$B$7),$B$5/(1+$B$7*$B$6*$B$11)^(1/$B$7)*EXP(-$B$8*(D235-$B$11)))</f>
        <v>130.26763603709</v>
      </c>
    </row>
    <row r="236" customFormat="false" ht="15" hidden="false" customHeight="false" outlineLevel="0" collapsed="false">
      <c r="D236" s="15" t="n">
        <f aca="false">231/12</f>
        <v>19.25</v>
      </c>
      <c r="E236" s="9" t="n">
        <f aca="false">$B$5/(1+$B$7*$B$6*D236)^(1/$B$7)</f>
        <v>149.872710086129</v>
      </c>
      <c r="F236" s="9" t="n">
        <f aca="false">IF(D236&lt;=$B$11,$B$5/(1+$B$7*$B$6*D236)^(1/$B$7),$B$5/(1+$B$7*$B$6*$B$11)^(1/$B$7)*EXP(-$B$8*(D236-$B$11)))</f>
        <v>129.617923491835</v>
      </c>
    </row>
    <row r="237" customFormat="false" ht="15" hidden="false" customHeight="false" outlineLevel="0" collapsed="false">
      <c r="D237" s="15" t="n">
        <f aca="false">232/12</f>
        <v>19.3333333333333</v>
      </c>
      <c r="E237" s="9" t="n">
        <f aca="false">$B$5/(1+$B$7*$B$6*D237)^(1/$B$7)</f>
        <v>149.460688565197</v>
      </c>
      <c r="F237" s="9" t="n">
        <f aca="false">IF(D237&lt;=$B$11,$B$5/(1+$B$7*$B$6*D237)^(1/$B$7),$B$5/(1+$B$7*$B$6*$B$11)^(1/$B$7)*EXP(-$B$8*(D237-$B$11)))</f>
        <v>128.971451401418</v>
      </c>
    </row>
    <row r="238" customFormat="false" ht="15" hidden="false" customHeight="false" outlineLevel="0" collapsed="false">
      <c r="D238" s="15" t="n">
        <f aca="false">233/12</f>
        <v>19.4166666666667</v>
      </c>
      <c r="E238" s="9" t="n">
        <f aca="false">$B$5/(1+$B$7*$B$6*D238)^(1/$B$7)</f>
        <v>149.051487181415</v>
      </c>
      <c r="F238" s="9" t="n">
        <f aca="false">IF(D238&lt;=$B$11,$B$5/(1+$B$7*$B$6*D238)^(1/$B$7),$B$5/(1+$B$7*$B$6*$B$11)^(1/$B$7)*EXP(-$B$8*(D238-$B$11)))</f>
        <v>128.328203604004</v>
      </c>
    </row>
    <row r="239" customFormat="false" ht="15" hidden="false" customHeight="false" outlineLevel="0" collapsed="false">
      <c r="D239" s="15" t="n">
        <f aca="false">234/12</f>
        <v>19.5</v>
      </c>
      <c r="E239" s="9" t="n">
        <f aca="false">$B$5/(1+$B$7*$B$6*D239)^(1/$B$7)</f>
        <v>148.645075176586</v>
      </c>
      <c r="F239" s="9" t="n">
        <f aca="false">IF(D239&lt;=$B$11,$B$5/(1+$B$7*$B$6*D239)^(1/$B$7),$B$5/(1+$B$7*$B$6*$B$11)^(1/$B$7)*EXP(-$B$8*(D239-$B$11)))</f>
        <v>127.688164018363</v>
      </c>
    </row>
    <row r="240" customFormat="false" ht="15" hidden="false" customHeight="false" outlineLevel="0" collapsed="false">
      <c r="D240" s="15" t="n">
        <f aca="false">235/12</f>
        <v>19.5833333333333</v>
      </c>
      <c r="E240" s="9" t="n">
        <f aca="false">$B$5/(1+$B$7*$B$6*D240)^(1/$B$7)</f>
        <v>148.241422251907</v>
      </c>
      <c r="F240" s="9" t="n">
        <f aca="false">IF(D240&lt;=$B$11,$B$5/(1+$B$7*$B$6*D240)^(1/$B$7),$B$5/(1+$B$7*$B$6*$B$11)^(1/$B$7)*EXP(-$B$8*(D240-$B$11)))</f>
        <v>127.051316643473</v>
      </c>
    </row>
    <row r="241" customFormat="false" ht="15" hidden="false" customHeight="false" outlineLevel="0" collapsed="false">
      <c r="D241" s="15" t="n">
        <f aca="false">236/12</f>
        <v>19.6666666666667</v>
      </c>
      <c r="E241" s="9" t="n">
        <f aca="false">$B$5/(1+$B$7*$B$6*D241)^(1/$B$7)</f>
        <v>147.840498559267</v>
      </c>
      <c r="F241" s="9" t="n">
        <f aca="false">IF(D241&lt;=$B$11,$B$5/(1+$B$7*$B$6*D241)^(1/$B$7),$B$5/(1+$B$7*$B$6*$B$11)^(1/$B$7)*EXP(-$B$8*(D241-$B$11)))</f>
        <v>126.417645558117</v>
      </c>
    </row>
    <row r="242" customFormat="false" ht="15" hidden="false" customHeight="false" outlineLevel="0" collapsed="false">
      <c r="D242" s="15" t="n">
        <f aca="false">237/12</f>
        <v>19.75</v>
      </c>
      <c r="E242" s="9" t="n">
        <f aca="false">$B$5/(1+$B$7*$B$6*D242)^(1/$B$7)</f>
        <v>147.442274692748</v>
      </c>
      <c r="F242" s="9" t="n">
        <f aca="false">IF(D242&lt;=$B$11,$B$5/(1+$B$7*$B$6*D242)^(1/$B$7),$B$5/(1+$B$7*$B$6*$B$11)^(1/$B$7)*EXP(-$B$8*(D242-$B$11)))</f>
        <v>125.787134920484</v>
      </c>
    </row>
    <row r="243" customFormat="false" ht="15" hidden="false" customHeight="false" outlineLevel="0" collapsed="false">
      <c r="D243" s="15" t="n">
        <f aca="false">238/12</f>
        <v>19.8333333333333</v>
      </c>
      <c r="E243" s="9" t="n">
        <f aca="false">$B$5/(1+$B$7*$B$6*D243)^(1/$B$7)</f>
        <v>147.046721680325</v>
      </c>
      <c r="F243" s="9" t="n">
        <f aca="false">IF(D243&lt;=$B$11,$B$5/(1+$B$7*$B$6*D243)^(1/$B$7),$B$5/(1+$B$7*$B$6*$B$11)^(1/$B$7)*EXP(-$B$8*(D243-$B$11)))</f>
        <v>125.159768967775</v>
      </c>
    </row>
    <row r="244" customFormat="false" ht="15" hidden="false" customHeight="false" outlineLevel="0" collapsed="false">
      <c r="D244" s="15" t="n">
        <f aca="false">239/12</f>
        <v>19.9166666666667</v>
      </c>
      <c r="E244" s="9" t="n">
        <f aca="false">$B$5/(1+$B$7*$B$6*D244)^(1/$B$7)</f>
        <v>146.65381097575</v>
      </c>
      <c r="F244" s="9" t="n">
        <f aca="false">IF(D244&lt;=$B$11,$B$5/(1+$B$7*$B$6*D244)^(1/$B$7),$B$5/(1+$B$7*$B$6*$B$11)^(1/$B$7)*EXP(-$B$8*(D244-$B$11)))</f>
        <v>124.535532015809</v>
      </c>
    </row>
    <row r="245" customFormat="false" ht="15" hidden="false" customHeight="false" outlineLevel="0" collapsed="false">
      <c r="D245" s="15" t="n">
        <f aca="false">240/12</f>
        <v>20</v>
      </c>
      <c r="E245" s="9" t="n">
        <f aca="false">$B$5/(1+$B$7*$B$6*D245)^(1/$B$7)</f>
        <v>146.263514450615</v>
      </c>
      <c r="F245" s="9" t="n">
        <f aca="false">IF(D245&lt;=$B$11,$B$5/(1+$B$7*$B$6*D245)^(1/$B$7),$B$5/(1+$B$7*$B$6*$B$11)^(1/$B$7)*EXP(-$B$8*(D245-$B$11)))</f>
        <v>123.91440845863</v>
      </c>
    </row>
    <row r="246" customFormat="false" ht="15" hidden="false" customHeight="false" outlineLevel="0" collapsed="false">
      <c r="D246" s="15" t="n">
        <f aca="false">241/12</f>
        <v>20.0833333333333</v>
      </c>
      <c r="E246" s="9" t="n">
        <f aca="false">$B$5/(1+$B$7*$B$6*D246)^(1/$B$7)</f>
        <v>145.875804386606</v>
      </c>
      <c r="F246" s="9" t="n">
        <f aca="false">IF(D246&lt;=$B$11,$B$5/(1+$B$7*$B$6*D246)^(1/$B$7),$B$5/(1+$B$7*$B$6*$B$11)^(1/$B$7)*EXP(-$B$8*(D246-$B$11)))</f>
        <v>123.296382768116</v>
      </c>
    </row>
    <row r="247" customFormat="false" ht="15" hidden="false" customHeight="false" outlineLevel="0" collapsed="false">
      <c r="D247" s="15" t="n">
        <f aca="false">242/12</f>
        <v>20.1666666666667</v>
      </c>
      <c r="E247" s="9" t="n">
        <f aca="false">$B$5/(1+$B$7*$B$6*D247)^(1/$B$7)</f>
        <v>145.490653467916</v>
      </c>
      <c r="F247" s="9" t="n">
        <f aca="false">IF(D247&lt;=$B$11,$B$5/(1+$B$7*$B$6*D247)^(1/$B$7),$B$5/(1+$B$7*$B$6*$B$11)^(1/$B$7)*EXP(-$B$8*(D247-$B$11)))</f>
        <v>122.681439493593</v>
      </c>
    </row>
    <row r="248" customFormat="false" ht="15" hidden="false" customHeight="false" outlineLevel="0" collapsed="false">
      <c r="D248" s="15" t="n">
        <f aca="false">243/12</f>
        <v>20.25</v>
      </c>
      <c r="E248" s="9" t="n">
        <f aca="false">$B$5/(1+$B$7*$B$6*D248)^(1/$B$7)</f>
        <v>145.108034773842</v>
      </c>
      <c r="F248" s="9" t="n">
        <f aca="false">IF(D248&lt;=$B$11,$B$5/(1+$B$7*$B$6*D248)^(1/$B$7),$B$5/(1+$B$7*$B$6*$B$11)^(1/$B$7)*EXP(-$B$8*(D248-$B$11)))</f>
        <v>122.069563261447</v>
      </c>
    </row>
    <row r="249" customFormat="false" ht="15" hidden="false" customHeight="false" outlineLevel="0" collapsed="false">
      <c r="D249" s="15" t="n">
        <f aca="false">244/12</f>
        <v>20.3333333333333</v>
      </c>
      <c r="E249" s="9" t="n">
        <f aca="false">$B$5/(1+$B$7*$B$6*D249)^(1/$B$7)</f>
        <v>144.727921771537</v>
      </c>
      <c r="F249" s="9" t="n">
        <f aca="false">IF(D249&lt;=$B$11,$B$5/(1+$B$7*$B$6*D249)^(1/$B$7),$B$5/(1+$B$7*$B$6*$B$11)^(1/$B$7)*EXP(-$B$8*(D249-$B$11)))</f>
        <v>121.46073877474</v>
      </c>
    </row>
    <row r="250" customFormat="false" ht="15" hidden="false" customHeight="false" outlineLevel="0" collapsed="false">
      <c r="D250" s="15" t="n">
        <f aca="false">245/12</f>
        <v>20.4166666666667</v>
      </c>
      <c r="E250" s="9" t="n">
        <f aca="false">$B$5/(1+$B$7*$B$6*D250)^(1/$B$7)</f>
        <v>144.350288308925</v>
      </c>
      <c r="F250" s="9" t="n">
        <f aca="false">IF(D250&lt;=$B$11,$B$5/(1+$B$7*$B$6*D250)^(1/$B$7),$B$5/(1+$B$7*$B$6*$B$11)^(1/$B$7)*EXP(-$B$8*(D250-$B$11)))</f>
        <v>120.854950812829</v>
      </c>
    </row>
    <row r="251" customFormat="false" ht="15" hidden="false" customHeight="false" outlineLevel="0" collapsed="false">
      <c r="D251" s="15" t="n">
        <f aca="false">246/12</f>
        <v>20.5</v>
      </c>
      <c r="E251" s="9" t="n">
        <f aca="false">$B$5/(1+$B$7*$B$6*D251)^(1/$B$7)</f>
        <v>143.975108607777</v>
      </c>
      <c r="F251" s="9" t="n">
        <f aca="false">IF(D251&lt;=$B$11,$B$5/(1+$B$7*$B$6*D251)^(1/$B$7),$B$5/(1+$B$7*$B$6*$B$11)^(1/$B$7)*EXP(-$B$8*(D251-$B$11)))</f>
        <v>120.252184230983</v>
      </c>
    </row>
    <row r="252" customFormat="false" ht="15" hidden="false" customHeight="false" outlineLevel="0" collapsed="false">
      <c r="D252" s="15" t="n">
        <f aca="false">247/12</f>
        <v>20.5833333333333</v>
      </c>
      <c r="E252" s="9" t="n">
        <f aca="false">$B$5/(1+$B$7*$B$6*D252)^(1/$B$7)</f>
        <v>143.602357256931</v>
      </c>
      <c r="F252" s="9" t="n">
        <f aca="false">IF(D252&lt;=$B$11,$B$5/(1+$B$7*$B$6*D252)^(1/$B$7),$B$5/(1+$B$7*$B$6*$B$11)^(1/$B$7)*EXP(-$B$8*(D252-$B$11)))</f>
        <v>119.652423960005</v>
      </c>
    </row>
    <row r="253" customFormat="false" ht="15" hidden="false" customHeight="false" outlineLevel="0" collapsed="false">
      <c r="D253" s="15" t="n">
        <f aca="false">248/12</f>
        <v>20.6666666666667</v>
      </c>
      <c r="E253" s="9" t="n">
        <f aca="false">$B$5/(1+$B$7*$B$6*D253)^(1/$B$7)</f>
        <v>143.232009205668</v>
      </c>
      <c r="F253" s="9" t="n">
        <f aca="false">IF(D253&lt;=$B$11,$B$5/(1+$B$7*$B$6*D253)^(1/$B$7),$B$5/(1+$B$7*$B$6*$B$11)^(1/$B$7)*EXP(-$B$8*(D253-$B$11)))</f>
        <v>119.055655005859</v>
      </c>
    </row>
    <row r="254" customFormat="false" ht="15" hidden="false" customHeight="false" outlineLevel="0" collapsed="false">
      <c r="D254" s="15" t="n">
        <f aca="false">249/12</f>
        <v>20.75</v>
      </c>
      <c r="E254" s="9" t="n">
        <f aca="false">$B$5/(1+$B$7*$B$6*D254)^(1/$B$7)</f>
        <v>142.86403975723</v>
      </c>
      <c r="F254" s="9" t="n">
        <f aca="false">IF(D254&lt;=$B$11,$B$5/(1+$B$7*$B$6*D254)^(1/$B$7),$B$5/(1+$B$7*$B$6*$B$11)^(1/$B$7)*EXP(-$B$8*(D254-$B$11)))</f>
        <v>118.461862449288</v>
      </c>
    </row>
    <row r="255" customFormat="false" ht="15" hidden="false" customHeight="false" outlineLevel="0" collapsed="false">
      <c r="D255" s="15" t="n">
        <f aca="false">250/12</f>
        <v>20.8333333333333</v>
      </c>
      <c r="E255" s="9" t="n">
        <f aca="false">$B$5/(1+$B$7*$B$6*D255)^(1/$B$7)</f>
        <v>142.498424562481</v>
      </c>
      <c r="F255" s="9" t="n">
        <f aca="false">IF(D255&lt;=$B$11,$B$5/(1+$B$7*$B$6*D255)^(1/$B$7),$B$5/(1+$B$7*$B$6*$B$11)^(1/$B$7)*EXP(-$B$8*(D255-$B$11)))</f>
        <v>117.871031445449</v>
      </c>
    </row>
    <row r="256" customFormat="false" ht="15" hidden="false" customHeight="false" outlineLevel="0" collapsed="false">
      <c r="D256" s="15" t="n">
        <f aca="false">251/12</f>
        <v>20.9166666666667</v>
      </c>
      <c r="E256" s="9" t="n">
        <f aca="false">$B$5/(1+$B$7*$B$6*D256)^(1/$B$7)</f>
        <v>142.135139613697</v>
      </c>
      <c r="F256" s="9" t="n">
        <f aca="false">IF(D256&lt;=$B$11,$B$5/(1+$B$7*$B$6*D256)^(1/$B$7),$B$5/(1+$B$7*$B$6*$B$11)^(1/$B$7)*EXP(-$B$8*(D256-$B$11)))</f>
        <v>117.283147223535</v>
      </c>
    </row>
    <row r="257" customFormat="false" ht="15" hidden="false" customHeight="false" outlineLevel="0" collapsed="false">
      <c r="D257" s="15" t="n">
        <f aca="false">252/12</f>
        <v>21</v>
      </c>
      <c r="E257" s="9" t="n">
        <f aca="false">$B$5/(1+$B$7*$B$6*D257)^(1/$B$7)</f>
        <v>141.774161238505</v>
      </c>
      <c r="F257" s="9" t="n">
        <f aca="false">IF(D257&lt;=$B$11,$B$5/(1+$B$7*$B$6*D257)^(1/$B$7),$B$5/(1+$B$7*$B$6*$B$11)^(1/$B$7)*EXP(-$B$8*(D257-$B$11)))</f>
        <v>116.698195086409</v>
      </c>
    </row>
    <row r="258" customFormat="false" ht="15" hidden="false" customHeight="false" outlineLevel="0" collapsed="false">
      <c r="D258" s="15" t="n">
        <f aca="false">253/12</f>
        <v>21.0833333333333</v>
      </c>
      <c r="E258" s="9" t="n">
        <f aca="false">$B$5/(1+$B$7*$B$6*D258)^(1/$B$7)</f>
        <v>141.415466093935</v>
      </c>
      <c r="F258" s="9" t="n">
        <f aca="false">IF(D258&lt;=$B$11,$B$5/(1+$B$7*$B$6*D258)^(1/$B$7),$B$5/(1+$B$7*$B$6*$B$11)^(1/$B$7)*EXP(-$B$8*(D258-$B$11)))</f>
        <v>116.11616041024</v>
      </c>
    </row>
    <row r="259" customFormat="false" ht="15" hidden="false" customHeight="false" outlineLevel="0" collapsed="false">
      <c r="D259" s="15" t="n">
        <f aca="false">254/12</f>
        <v>21.1666666666667</v>
      </c>
      <c r="E259" s="9" t="n">
        <f aca="false">$B$5/(1+$B$7*$B$6*D259)^(1/$B$7)</f>
        <v>141.059031160617</v>
      </c>
      <c r="F259" s="9" t="n">
        <f aca="false">IF(D259&lt;=$B$11,$B$5/(1+$B$7*$B$6*D259)^(1/$B$7),$B$5/(1+$B$7*$B$6*$B$11)^(1/$B$7)*EXP(-$B$8*(D259-$B$11)))</f>
        <v>115.537028644128</v>
      </c>
    </row>
    <row r="260" customFormat="false" ht="15" hidden="false" customHeight="false" outlineLevel="0" collapsed="false">
      <c r="D260" s="15" t="n">
        <f aca="false">255/12</f>
        <v>21.25</v>
      </c>
      <c r="E260" s="9" t="n">
        <f aca="false">$B$5/(1+$B$7*$B$6*D260)^(1/$B$7)</f>
        <v>140.704833737085</v>
      </c>
      <c r="F260" s="9" t="n">
        <f aca="false">IF(D260&lt;=$B$11,$B$5/(1+$B$7*$B$6*D260)^(1/$B$7),$B$5/(1+$B$7*$B$6*$B$11)^(1/$B$7)*EXP(-$B$8*(D260-$B$11)))</f>
        <v>114.960785309749</v>
      </c>
    </row>
    <row r="261" customFormat="false" ht="15" hidden="false" customHeight="false" outlineLevel="0" collapsed="false">
      <c r="D261" s="15" t="n">
        <f aca="false">256/12</f>
        <v>21.3333333333333</v>
      </c>
      <c r="E261" s="9" t="n">
        <f aca="false">$B$5/(1+$B$7*$B$6*D261)^(1/$B$7)</f>
        <v>140.352851434218</v>
      </c>
      <c r="F261" s="9" t="n">
        <f aca="false">IF(D261&lt;=$B$11,$B$5/(1+$B$7*$B$6*D261)^(1/$B$7),$B$5/(1+$B$7*$B$6*$B$11)^(1/$B$7)*EXP(-$B$8*(D261-$B$11)))</f>
        <v>114.387416000991</v>
      </c>
    </row>
    <row r="262" customFormat="false" ht="15" hidden="false" customHeight="false" outlineLevel="0" collapsed="false">
      <c r="D262" s="15" t="n">
        <f aca="false">257/12</f>
        <v>21.4166666666667</v>
      </c>
      <c r="E262" s="9" t="n">
        <f aca="false">$B$5/(1+$B$7*$B$6*D262)^(1/$B$7)</f>
        <v>140.003062169782</v>
      </c>
      <c r="F262" s="9" t="n">
        <f aca="false">IF(D262&lt;=$B$11,$B$5/(1+$B$7*$B$6*D262)^(1/$B$7),$B$5/(1+$B$7*$B$6*$B$11)^(1/$B$7)*EXP(-$B$8*(D262-$B$11)))</f>
        <v>113.816906383591</v>
      </c>
    </row>
    <row r="263" customFormat="false" ht="15" hidden="false" customHeight="false" outlineLevel="0" collapsed="false">
      <c r="D263" s="15" t="n">
        <f aca="false">258/12</f>
        <v>21.5</v>
      </c>
      <c r="E263" s="9" t="n">
        <f aca="false">$B$5/(1+$B$7*$B$6*D263)^(1/$B$7)</f>
        <v>139.655444163105</v>
      </c>
      <c r="F263" s="9" t="n">
        <f aca="false">IF(D263&lt;=$B$11,$B$5/(1+$B$7*$B$6*D263)^(1/$B$7),$B$5/(1+$B$7*$B$6*$B$11)^(1/$B$7)*EXP(-$B$8*(D263-$B$11)))</f>
        <v>113.249242194779</v>
      </c>
    </row>
    <row r="264" customFormat="false" ht="15" hidden="false" customHeight="false" outlineLevel="0" collapsed="false">
      <c r="D264" s="15" t="n">
        <f aca="false">259/12</f>
        <v>21.5833333333333</v>
      </c>
      <c r="E264" s="9" t="n">
        <f aca="false">$B$5/(1+$B$7*$B$6*D264)^(1/$B$7)</f>
        <v>139.309975929851</v>
      </c>
      <c r="F264" s="9" t="n">
        <f aca="false">IF(D264&lt;=$B$11,$B$5/(1+$B$7*$B$6*D264)^(1/$B$7),$B$5/(1+$B$7*$B$6*$B$11)^(1/$B$7)*EXP(-$B$8*(D264-$B$11)))</f>
        <v>112.684409242919</v>
      </c>
    </row>
    <row r="265" customFormat="false" ht="15" hidden="false" customHeight="false" outlineLevel="0" collapsed="false">
      <c r="D265" s="15" t="n">
        <f aca="false">260/12</f>
        <v>21.6666666666667</v>
      </c>
      <c r="E265" s="9" t="n">
        <f aca="false">$B$5/(1+$B$7*$B$6*D265)^(1/$B$7)</f>
        <v>138.966636276904</v>
      </c>
      <c r="F265" s="9" t="n">
        <f aca="false">IF(D265&lt;=$B$11,$B$5/(1+$B$7*$B$6*D265)^(1/$B$7),$B$5/(1+$B$7*$B$6*$B$11)^(1/$B$7)*EXP(-$B$8*(D265-$B$11)))</f>
        <v>112.12239340716</v>
      </c>
    </row>
    <row r="266" customFormat="false" ht="15" hidden="false" customHeight="false" outlineLevel="0" collapsed="false">
      <c r="D266" s="15" t="n">
        <f aca="false">261/12</f>
        <v>21.75</v>
      </c>
      <c r="E266" s="9" t="n">
        <f aca="false">$B$5/(1+$B$7*$B$6*D266)^(1/$B$7)</f>
        <v>138.625404297371</v>
      </c>
      <c r="F266" s="9" t="n">
        <f aca="false">IF(D266&lt;=$B$11,$B$5/(1+$B$7*$B$6*D266)^(1/$B$7),$B$5/(1+$B$7*$B$6*$B$11)^(1/$B$7)*EXP(-$B$8*(D266-$B$11)))</f>
        <v>111.563180637075</v>
      </c>
    </row>
    <row r="267" customFormat="false" ht="15" hidden="false" customHeight="false" outlineLevel="0" collapsed="false">
      <c r="D267" s="15" t="n">
        <f aca="false">262/12</f>
        <v>21.8333333333333</v>
      </c>
      <c r="E267" s="9" t="n">
        <f aca="false">$B$5/(1+$B$7*$B$6*D267)^(1/$B$7)</f>
        <v>138.286259365673</v>
      </c>
      <c r="F267" s="9" t="n">
        <f aca="false">IF(D267&lt;=$B$11,$B$5/(1+$B$7*$B$6*D267)^(1/$B$7),$B$5/(1+$B$7*$B$6*$B$11)^(1/$B$7)*EXP(-$B$8*(D267-$B$11)))</f>
        <v>111.006756952317</v>
      </c>
    </row>
    <row r="268" customFormat="false" ht="15" hidden="false" customHeight="false" outlineLevel="0" collapsed="false">
      <c r="D268" s="15" t="n">
        <f aca="false">263/12</f>
        <v>21.9166666666667</v>
      </c>
      <c r="E268" s="9" t="n">
        <f aca="false">$B$5/(1+$B$7*$B$6*D268)^(1/$B$7)</f>
        <v>137.949181132747</v>
      </c>
      <c r="F268" s="9" t="n">
        <f aca="false">IF(D268&lt;=$B$11,$B$5/(1+$B$7*$B$6*D268)^(1/$B$7),$B$5/(1+$B$7*$B$6*$B$11)^(1/$B$7)*EXP(-$B$8*(D268-$B$11)))</f>
        <v>110.453108442265</v>
      </c>
    </row>
    <row r="269" customFormat="false" ht="15" hidden="false" customHeight="false" outlineLevel="0" collapsed="false">
      <c r="D269" s="15" t="n">
        <f aca="false">264/12</f>
        <v>22</v>
      </c>
      <c r="E269" s="9" t="n">
        <f aca="false">$B$5/(1+$B$7*$B$6*D269)^(1/$B$7)</f>
        <v>137.614149521347</v>
      </c>
      <c r="F269" s="9" t="n">
        <f aca="false">IF(D269&lt;=$B$11,$B$5/(1+$B$7*$B$6*D269)^(1/$B$7),$B$5/(1+$B$7*$B$6*$B$11)^(1/$B$7)*EXP(-$B$8*(D269-$B$11)))</f>
        <v>109.902221265676</v>
      </c>
    </row>
    <row r="270" customFormat="false" ht="15" hidden="false" customHeight="false" outlineLevel="0" collapsed="false">
      <c r="D270" s="15" t="n">
        <f aca="false">265/12</f>
        <v>22.0833333333333</v>
      </c>
      <c r="E270" s="9" t="n">
        <f aca="false">$B$5/(1+$B$7*$B$6*D270)^(1/$B$7)</f>
        <v>137.281144721438</v>
      </c>
      <c r="F270" s="9" t="n">
        <f aca="false">IF(D270&lt;=$B$11,$B$5/(1+$B$7*$B$6*D270)^(1/$B$7),$B$5/(1+$B$7*$B$6*$B$11)^(1/$B$7)*EXP(-$B$8*(D270-$B$11)))</f>
        <v>109.354081650343</v>
      </c>
    </row>
    <row r="271" customFormat="false" ht="15" hidden="false" customHeight="false" outlineLevel="0" collapsed="false">
      <c r="D271" s="15" t="n">
        <f aca="false">266/12</f>
        <v>22.1666666666667</v>
      </c>
      <c r="E271" s="9" t="n">
        <f aca="false">$B$5/(1+$B$7*$B$6*D271)^(1/$B$7)</f>
        <v>136.950147185685</v>
      </c>
      <c r="F271" s="9" t="n">
        <f aca="false">IF(D271&lt;=$B$11,$B$5/(1+$B$7*$B$6*D271)^(1/$B$7),$B$5/(1+$B$7*$B$6*$B$11)^(1/$B$7)*EXP(-$B$8*(D271-$B$11)))</f>
        <v>108.808675892747</v>
      </c>
    </row>
    <row r="272" customFormat="false" ht="15" hidden="false" customHeight="false" outlineLevel="0" collapsed="false">
      <c r="D272" s="15" t="n">
        <f aca="false">267/12</f>
        <v>22.25</v>
      </c>
      <c r="E272" s="9" t="n">
        <f aca="false">$B$5/(1+$B$7*$B$6*D272)^(1/$B$7)</f>
        <v>136.621137625037</v>
      </c>
      <c r="F272" s="9" t="n">
        <f aca="false">IF(D272&lt;=$B$11,$B$5/(1+$B$7*$B$6*D272)^(1/$B$7),$B$5/(1+$B$7*$B$6*$B$11)^(1/$B$7)*EXP(-$B$8*(D272-$B$11)))</f>
        <v>108.265990357715</v>
      </c>
    </row>
    <row r="273" customFormat="false" ht="15" hidden="false" customHeight="false" outlineLevel="0" collapsed="false">
      <c r="D273" s="15" t="n">
        <f aca="false">268/12</f>
        <v>22.3333333333333</v>
      </c>
      <c r="E273" s="9" t="n">
        <f aca="false">$B$5/(1+$B$7*$B$6*D273)^(1/$B$7)</f>
        <v>136.294097004401</v>
      </c>
      <c r="F273" s="9" t="n">
        <f aca="false">IF(D273&lt;=$B$11,$B$5/(1+$B$7*$B$6*D273)^(1/$B$7),$B$5/(1+$B$7*$B$6*$B$11)^(1/$B$7)*EXP(-$B$8*(D273-$B$11)))</f>
        <v>107.726011478081</v>
      </c>
    </row>
    <row r="274" customFormat="false" ht="15" hidden="false" customHeight="false" outlineLevel="0" collapsed="false">
      <c r="D274" s="15" t="n">
        <f aca="false">269/12</f>
        <v>22.4166666666667</v>
      </c>
      <c r="E274" s="9" t="n">
        <f aca="false">$B$5/(1+$B$7*$B$6*D274)^(1/$B$7)</f>
        <v>135.969006538395</v>
      </c>
      <c r="F274" s="9" t="n">
        <f aca="false">IF(D274&lt;=$B$11,$B$5/(1+$B$7*$B$6*D274)^(1/$B$7),$B$5/(1+$B$7*$B$6*$B$11)^(1/$B$7)*EXP(-$B$8*(D274-$B$11)))</f>
        <v>107.188725754345</v>
      </c>
    </row>
    <row r="275" customFormat="false" ht="15" hidden="false" customHeight="false" outlineLevel="0" collapsed="false">
      <c r="D275" s="15" t="n">
        <f aca="false">270/12</f>
        <v>22.5</v>
      </c>
      <c r="E275" s="9" t="n">
        <f aca="false">$B$5/(1+$B$7*$B$6*D275)^(1/$B$7)</f>
        <v>135.645847687203</v>
      </c>
      <c r="F275" s="9" t="n">
        <f aca="false">IF(D275&lt;=$B$11,$B$5/(1+$B$7*$B$6*D275)^(1/$B$7),$B$5/(1+$B$7*$B$6*$B$11)^(1/$B$7)*EXP(-$B$8*(D275-$B$11)))</f>
        <v>106.654119754335</v>
      </c>
    </row>
    <row r="276" customFormat="false" ht="15" hidden="false" customHeight="false" outlineLevel="0" collapsed="false">
      <c r="D276" s="15" t="n">
        <f aca="false">271/12</f>
        <v>22.5833333333333</v>
      </c>
      <c r="E276" s="9" t="n">
        <f aca="false">$B$5/(1+$B$7*$B$6*D276)^(1/$B$7)</f>
        <v>135.324602152494</v>
      </c>
      <c r="F276" s="9" t="n">
        <f aca="false">IF(D276&lt;=$B$11,$B$5/(1+$B$7*$B$6*D276)^(1/$B$7),$B$5/(1+$B$7*$B$6*$B$11)^(1/$B$7)*EXP(-$B$8*(D276-$B$11)))</f>
        <v>106.122180112874</v>
      </c>
    </row>
    <row r="277" customFormat="false" ht="15" hidden="false" customHeight="false" outlineLevel="0" collapsed="false">
      <c r="D277" s="15" t="n">
        <f aca="false">272/12</f>
        <v>22.6666666666667</v>
      </c>
      <c r="E277" s="9" t="n">
        <f aca="false">$B$5/(1+$B$7*$B$6*D277)^(1/$B$7)</f>
        <v>135.005251873442</v>
      </c>
      <c r="F277" s="9" t="n">
        <f aca="false">IF(D277&lt;=$B$11,$B$5/(1+$B$7*$B$6*D277)^(1/$B$7),$B$5/(1+$B$7*$B$6*$B$11)^(1/$B$7)*EXP(-$B$8*(D277-$B$11)))</f>
        <v>105.592893531443</v>
      </c>
    </row>
    <row r="278" customFormat="false" ht="15" hidden="false" customHeight="false" outlineLevel="0" collapsed="false">
      <c r="D278" s="15" t="n">
        <f aca="false">273/12</f>
        <v>22.75</v>
      </c>
      <c r="E278" s="9" t="n">
        <f aca="false">$B$5/(1+$B$7*$B$6*D278)^(1/$B$7)</f>
        <v>134.68777902281</v>
      </c>
      <c r="F278" s="9" t="n">
        <f aca="false">IF(D278&lt;=$B$11,$B$5/(1+$B$7*$B$6*D278)^(1/$B$7),$B$5/(1+$B$7*$B$6*$B$11)^(1/$B$7)*EXP(-$B$8*(D278-$B$11)))</f>
        <v>105.06624677785</v>
      </c>
    </row>
    <row r="279" customFormat="false" ht="15" hidden="false" customHeight="false" outlineLevel="0" collapsed="false">
      <c r="D279" s="15" t="n">
        <f aca="false">274/12</f>
        <v>22.8333333333333</v>
      </c>
      <c r="E279" s="9" t="n">
        <f aca="false">$B$5/(1+$B$7*$B$6*D279)^(1/$B$7)</f>
        <v>134.372166003121</v>
      </c>
      <c r="F279" s="9" t="n">
        <f aca="false">IF(D279&lt;=$B$11,$B$5/(1+$B$7*$B$6*D279)^(1/$B$7),$B$5/(1+$B$7*$B$6*$B$11)^(1/$B$7)*EXP(-$B$8*(D279-$B$11)))</f>
        <v>104.542226685899</v>
      </c>
    </row>
    <row r="280" customFormat="false" ht="15" hidden="false" customHeight="false" outlineLevel="0" collapsed="false">
      <c r="D280" s="15" t="n">
        <f aca="false">275/12</f>
        <v>22.9166666666667</v>
      </c>
      <c r="E280" s="9" t="n">
        <f aca="false">$B$5/(1+$B$7*$B$6*D280)^(1/$B$7)</f>
        <v>134.058395442903</v>
      </c>
      <c r="F280" s="9" t="n">
        <f aca="false">IF(D280&lt;=$B$11,$B$5/(1+$B$7*$B$6*D280)^(1/$B$7),$B$5/(1+$B$7*$B$6*$B$11)^(1/$B$7)*EXP(-$B$8*(D280-$B$11)))</f>
        <v>104.02082015506</v>
      </c>
    </row>
    <row r="281" customFormat="false" ht="15" hidden="false" customHeight="false" outlineLevel="0" collapsed="false">
      <c r="D281" s="15" t="n">
        <f aca="false">276/12</f>
        <v>23</v>
      </c>
      <c r="E281" s="9" t="n">
        <f aca="false">$B$5/(1+$B$7*$B$6*D281)^(1/$B$7)</f>
        <v>133.746450193007</v>
      </c>
      <c r="F281" s="9" t="n">
        <f aca="false">IF(D281&lt;=$B$11,$B$5/(1+$B$7*$B$6*D281)^(1/$B$7),$B$5/(1+$B$7*$B$6*$B$11)^(1/$B$7)*EXP(-$B$8*(D281-$B$11)))</f>
        <v>103.502014150142</v>
      </c>
    </row>
    <row r="282" customFormat="false" ht="15" hidden="false" customHeight="false" outlineLevel="0" collapsed="false">
      <c r="D282" s="15" t="n">
        <f aca="false">277/12</f>
        <v>23.0833333333333</v>
      </c>
      <c r="E282" s="9" t="n">
        <f aca="false">$B$5/(1+$B$7*$B$6*D282)^(1/$B$7)</f>
        <v>133.436313322996</v>
      </c>
      <c r="F282" s="9" t="n">
        <f aca="false">IF(D282&lt;=$B$11,$B$5/(1+$B$7*$B$6*D282)^(1/$B$7),$B$5/(1+$B$7*$B$6*$B$11)^(1/$B$7)*EXP(-$B$8*(D282-$B$11)))</f>
        <v>102.985795700969</v>
      </c>
    </row>
    <row r="283" customFormat="false" ht="15" hidden="false" customHeight="false" outlineLevel="0" collapsed="false">
      <c r="D283" s="15" t="n">
        <f aca="false">278/12</f>
        <v>23.1666666666667</v>
      </c>
      <c r="E283" s="9" t="n">
        <f aca="false">$B$5/(1+$B$7*$B$6*D283)^(1/$B$7)</f>
        <v>133.127968117611</v>
      </c>
      <c r="F283" s="9" t="n">
        <f aca="false">IF(D283&lt;=$B$11,$B$5/(1+$B$7*$B$6*D283)^(1/$B$7),$B$5/(1+$B$7*$B$6*$B$11)^(1/$B$7)*EXP(-$B$8*(D283-$B$11)))</f>
        <v>102.472151902052</v>
      </c>
    </row>
    <row r="284" customFormat="false" ht="15" hidden="false" customHeight="false" outlineLevel="0" collapsed="false">
      <c r="D284" s="15" t="n">
        <f aca="false">279/12</f>
        <v>23.25</v>
      </c>
      <c r="E284" s="9" t="n">
        <f aca="false">$B$5/(1+$B$7*$B$6*D284)^(1/$B$7)</f>
        <v>132.821398073301</v>
      </c>
      <c r="F284" s="9" t="n">
        <f aca="false">IF(D284&lt;=$B$11,$B$5/(1+$B$7*$B$6*D284)^(1/$B$7),$B$5/(1+$B$7*$B$6*$B$11)^(1/$B$7)*EXP(-$B$8*(D284-$B$11)))</f>
        <v>101.96106991227</v>
      </c>
    </row>
    <row r="285" customFormat="false" ht="15" hidden="false" customHeight="false" outlineLevel="0" collapsed="false">
      <c r="D285" s="15" t="n">
        <f aca="false">280/12</f>
        <v>23.3333333333333</v>
      </c>
      <c r="E285" s="9" t="n">
        <f aca="false">$B$5/(1+$B$7*$B$6*D285)^(1/$B$7)</f>
        <v>132.516586894821</v>
      </c>
      <c r="F285" s="9" t="n">
        <f aca="false">IF(D285&lt;=$B$11,$B$5/(1+$B$7*$B$6*D285)^(1/$B$7),$B$5/(1+$B$7*$B$6*$B$11)^(1/$B$7)*EXP(-$B$8*(D285-$B$11)))</f>
        <v>101.452536954547</v>
      </c>
    </row>
    <row r="286" customFormat="false" ht="15" hidden="false" customHeight="false" outlineLevel="0" collapsed="false">
      <c r="D286" s="15" t="n">
        <f aca="false">281/12</f>
        <v>23.4166666666667</v>
      </c>
      <c r="E286" s="9" t="n">
        <f aca="false">$B$5/(1+$B$7*$B$6*D286)^(1/$B$7)</f>
        <v>132.213518491898</v>
      </c>
      <c r="F286" s="9" t="n">
        <f aca="false">IF(D286&lt;=$B$11,$B$5/(1+$B$7*$B$6*D286)^(1/$B$7),$B$5/(1+$B$7*$B$6*$B$11)^(1/$B$7)*EXP(-$B$8*(D286-$B$11)))</f>
        <v>100.946540315531</v>
      </c>
    </row>
    <row r="287" customFormat="false" ht="15" hidden="false" customHeight="false" outlineLevel="0" collapsed="false">
      <c r="D287" s="15" t="n">
        <f aca="false">282/12</f>
        <v>23.5</v>
      </c>
      <c r="E287" s="9" t="n">
        <f aca="false">$B$5/(1+$B$7*$B$6*D287)^(1/$B$7)</f>
        <v>131.912176975962</v>
      </c>
      <c r="F287" s="9" t="n">
        <f aca="false">IF(D287&lt;=$B$11,$B$5/(1+$B$7*$B$6*D287)^(1/$B$7),$B$5/(1+$B$7*$B$6*$B$11)^(1/$B$7)*EXP(-$B$8*(D287-$B$11)))</f>
        <v>100.44306734528</v>
      </c>
    </row>
    <row r="288" customFormat="false" ht="15" hidden="false" customHeight="false" outlineLevel="0" collapsed="false">
      <c r="D288" s="15" t="n">
        <f aca="false">283/12</f>
        <v>23.5833333333333</v>
      </c>
      <c r="E288" s="9" t="n">
        <f aca="false">$B$5/(1+$B$7*$B$6*D288)^(1/$B$7)</f>
        <v>131.612546656935</v>
      </c>
      <c r="F288" s="9" t="n">
        <f aca="false">IF(D288&lt;=$B$11,$B$5/(1+$B$7*$B$6*D288)^(1/$B$7),$B$5/(1+$B$7*$B$6*$B$11)^(1/$B$7)*EXP(-$B$8*(D288-$B$11)))</f>
        <v>99.9421054569447</v>
      </c>
    </row>
    <row r="289" customFormat="false" ht="15" hidden="false" customHeight="false" outlineLevel="0" collapsed="false">
      <c r="D289" s="15" t="n">
        <f aca="false">284/12</f>
        <v>23.6666666666667</v>
      </c>
      <c r="E289" s="9" t="n">
        <f aca="false">$B$5/(1+$B$7*$B$6*D289)^(1/$B$7)</f>
        <v>131.314612040091</v>
      </c>
      <c r="F289" s="9" t="n">
        <f aca="false">IF(D289&lt;=$B$11,$B$5/(1+$B$7*$B$6*D289)^(1/$B$7),$B$5/(1+$B$7*$B$6*$B$11)^(1/$B$7)*EXP(-$B$8*(D289-$B$11)))</f>
        <v>99.4436421264511</v>
      </c>
    </row>
    <row r="290" customFormat="false" ht="15" hidden="false" customHeight="false" outlineLevel="0" collapsed="false">
      <c r="D290" s="15" t="n">
        <f aca="false">285/12</f>
        <v>23.75</v>
      </c>
      <c r="E290" s="9" t="n">
        <f aca="false">$B$5/(1+$B$7*$B$6*D290)^(1/$B$7)</f>
        <v>131.018357822966</v>
      </c>
      <c r="F290" s="9" t="n">
        <f aca="false">IF(D290&lt;=$B$11,$B$5/(1+$B$7*$B$6*D290)^(1/$B$7),$B$5/(1+$B$7*$B$6*$B$11)^(1/$B$7)*EXP(-$B$8*(D290-$B$11)))</f>
        <v>98.94766489219</v>
      </c>
    </row>
    <row r="291" customFormat="false" ht="15" hidden="false" customHeight="false" outlineLevel="0" collapsed="false">
      <c r="D291" s="15" t="n">
        <f aca="false">286/12</f>
        <v>23.8333333333333</v>
      </c>
      <c r="E291" s="9" t="n">
        <f aca="false">$B$5/(1+$B$7*$B$6*D291)^(1/$B$7)</f>
        <v>130.723768892337</v>
      </c>
      <c r="F291" s="9" t="n">
        <f aca="false">IF(D291&lt;=$B$11,$B$5/(1+$B$7*$B$6*D291)^(1/$B$7),$B$5/(1+$B$7*$B$6*$B$11)^(1/$B$7)*EXP(-$B$8*(D291-$B$11)))</f>
        <v>98.4541613547046</v>
      </c>
    </row>
    <row r="292" customFormat="false" ht="15" hidden="false" customHeight="false" outlineLevel="0" collapsed="false">
      <c r="D292" s="15" t="n">
        <f aca="false">287/12</f>
        <v>23.9166666666667</v>
      </c>
      <c r="E292" s="9" t="n">
        <f aca="false">$B$5/(1+$B$7*$B$6*D292)^(1/$B$7)</f>
        <v>130.430830321247</v>
      </c>
      <c r="F292" s="9" t="n">
        <f aca="false">IF(D292&lt;=$B$11,$B$5/(1+$B$7*$B$6*D292)^(1/$B$7),$B$5/(1+$B$7*$B$6*$B$11)^(1/$B$7)*EXP(-$B$8*(D292-$B$11)))</f>
        <v>97.963119176381</v>
      </c>
    </row>
    <row r="293" customFormat="false" ht="15" hidden="false" customHeight="false" outlineLevel="0" collapsed="false">
      <c r="D293" s="15" t="n">
        <f aca="false">288/12</f>
        <v>24</v>
      </c>
      <c r="E293" s="9" t="n">
        <f aca="false">$B$5/(1+$B$7*$B$6*D293)^(1/$B$7)</f>
        <v>130.1395273661</v>
      </c>
      <c r="F293" s="9" t="n">
        <f aca="false">IF(D293&lt;=$B$11,$B$5/(1+$B$7*$B$6*D293)^(1/$B$7),$B$5/(1+$B$7*$B$6*$B$11)^(1/$B$7)*EXP(-$B$8*(D293-$B$11)))</f>
        <v>97.4745260811391</v>
      </c>
    </row>
    <row r="294" customFormat="false" ht="15" hidden="false" customHeight="false" outlineLevel="0" collapsed="false">
      <c r="D294" s="15" t="n">
        <f aca="false">289/12</f>
        <v>24.0833333333333</v>
      </c>
      <c r="E294" s="9" t="n">
        <f aca="false">$B$5/(1+$B$7*$B$6*D294)^(1/$B$7)</f>
        <v>129.849845463798</v>
      </c>
      <c r="F294" s="9" t="n">
        <f aca="false">IF(D294&lt;=$B$11,$B$5/(1+$B$7*$B$6*D294)^(1/$B$7),$B$5/(1+$B$7*$B$6*$B$11)^(1/$B$7)*EXP(-$B$8*(D294-$B$11)))</f>
        <v>96.988369854126</v>
      </c>
    </row>
    <row r="295" customFormat="false" ht="15" hidden="false" customHeight="false" outlineLevel="0" collapsed="false">
      <c r="D295" s="15" t="n">
        <f aca="false">290/12</f>
        <v>24.1666666666667</v>
      </c>
      <c r="E295" s="9" t="n">
        <f aca="false">$B$5/(1+$B$7*$B$6*D295)^(1/$B$7)</f>
        <v>129.561770228943</v>
      </c>
      <c r="F295" s="9" t="n">
        <f aca="false">IF(D295&lt;=$B$11,$B$5/(1+$B$7*$B$6*D295)^(1/$B$7),$B$5/(1+$B$7*$B$6*$B$11)^(1/$B$7)*EXP(-$B$8*(D295-$B$11)))</f>
        <v>96.5046383414107</v>
      </c>
    </row>
    <row r="296" customFormat="false" ht="15" hidden="false" customHeight="false" outlineLevel="0" collapsed="false">
      <c r="D296" s="15" t="n">
        <f aca="false">291/12</f>
        <v>24.25</v>
      </c>
      <c r="E296" s="9" t="n">
        <f aca="false">$B$5/(1+$B$7*$B$6*D296)^(1/$B$7)</f>
        <v>129.275287451083</v>
      </c>
      <c r="F296" s="9" t="n">
        <f aca="false">IF(D296&lt;=$B$11,$B$5/(1+$B$7*$B$6*D296)^(1/$B$7),$B$5/(1+$B$7*$B$6*$B$11)^(1/$B$7)*EXP(-$B$8*(D296-$B$11)))</f>
        <v>96.0233194496803</v>
      </c>
    </row>
    <row r="297" customFormat="false" ht="15" hidden="false" customHeight="false" outlineLevel="0" collapsed="false">
      <c r="D297" s="15" t="n">
        <f aca="false">292/12</f>
        <v>24.3333333333333</v>
      </c>
      <c r="E297" s="9" t="n">
        <f aca="false">$B$5/(1+$B$7*$B$6*D297)^(1/$B$7)</f>
        <v>128.990383092012</v>
      </c>
      <c r="F297" s="9" t="n">
        <f aca="false">IF(D297&lt;=$B$11,$B$5/(1+$B$7*$B$6*D297)^(1/$B$7),$B$5/(1+$B$7*$B$6*$B$11)^(1/$B$7)*EXP(-$B$8*(D297-$B$11)))</f>
        <v>95.5444011459373</v>
      </c>
    </row>
    <row r="298" customFormat="false" ht="15" hidden="false" customHeight="false" outlineLevel="0" collapsed="false">
      <c r="D298" s="15" t="n">
        <f aca="false">293/12</f>
        <v>24.4166666666667</v>
      </c>
      <c r="E298" s="9" t="n">
        <f aca="false">$B$5/(1+$B$7*$B$6*D298)^(1/$B$7)</f>
        <v>128.707043283127</v>
      </c>
      <c r="F298" s="9" t="n">
        <f aca="false">IF(D298&lt;=$B$11,$B$5/(1+$B$7*$B$6*D298)^(1/$B$7),$B$5/(1+$B$7*$B$6*$B$11)^(1/$B$7)*EXP(-$B$8*(D298-$B$11)))</f>
        <v>95.0678714571992</v>
      </c>
    </row>
    <row r="299" customFormat="false" ht="15" hidden="false" customHeight="false" outlineLevel="0" collapsed="false">
      <c r="D299" s="15" t="n">
        <f aca="false">294/12</f>
        <v>24.5</v>
      </c>
      <c r="E299" s="9" t="n">
        <f aca="false">$B$5/(1+$B$7*$B$6*D299)^(1/$B$7)</f>
        <v>128.425254322824</v>
      </c>
      <c r="F299" s="9" t="n">
        <f aca="false">IF(D299&lt;=$B$11,$B$5/(1+$B$7*$B$6*D299)^(1/$B$7),$B$5/(1+$B$7*$B$6*$B$11)^(1/$B$7)*EXP(-$B$8*(D299-$B$11)))</f>
        <v>94.593718470199</v>
      </c>
    </row>
    <row r="300" customFormat="false" ht="15" hidden="false" customHeight="false" outlineLevel="0" collapsed="false">
      <c r="D300" s="15" t="n">
        <f aca="false">295/12</f>
        <v>24.5833333333333</v>
      </c>
      <c r="E300" s="9" t="n">
        <f aca="false">$B$5/(1+$B$7*$B$6*D300)^(1/$B$7)</f>
        <v>128.145002673947</v>
      </c>
      <c r="F300" s="9" t="n">
        <f aca="false">IF(D300&lt;=$B$11,$B$5/(1+$B$7*$B$6*D300)^(1/$B$7),$B$5/(1+$B$7*$B$6*$B$11)^(1/$B$7)*EXP(-$B$8*(D300-$B$11)))</f>
        <v>94.1219303310873</v>
      </c>
    </row>
    <row r="301" customFormat="false" ht="15" hidden="false" customHeight="false" outlineLevel="0" collapsed="false">
      <c r="D301" s="15" t="n">
        <f aca="false">296/12</f>
        <v>24.6666666666667</v>
      </c>
      <c r="E301" s="9" t="n">
        <f aca="false">$B$5/(1+$B$7*$B$6*D301)^(1/$B$7)</f>
        <v>127.866274961289</v>
      </c>
      <c r="F301" s="9" t="n">
        <f aca="false">IF(D301&lt;=$B$11,$B$5/(1+$B$7*$B$6*D301)^(1/$B$7),$B$5/(1+$B$7*$B$6*$B$11)^(1/$B$7)*EXP(-$B$8*(D301-$B$11)))</f>
        <v>93.6524952451361</v>
      </c>
    </row>
    <row r="302" customFormat="false" ht="15" hidden="false" customHeight="false" outlineLevel="0" collapsed="false">
      <c r="D302" s="15" t="n">
        <f aca="false">297/12</f>
        <v>24.75</v>
      </c>
      <c r="E302" s="9" t="n">
        <f aca="false">$B$5/(1+$B$7*$B$6*D302)^(1/$B$7)</f>
        <v>127.589057969127</v>
      </c>
      <c r="F302" s="9" t="n">
        <f aca="false">IF(D302&lt;=$B$11,$B$5/(1+$B$7*$B$6*D302)^(1/$B$7),$B$5/(1+$B$7*$B$6*$B$11)^(1/$B$7)*EXP(-$B$8*(D302-$B$11)))</f>
        <v>93.1854014764438</v>
      </c>
    </row>
    <row r="303" customFormat="false" ht="15" hidden="false" customHeight="false" outlineLevel="0" collapsed="false">
      <c r="D303" s="15" t="n">
        <f aca="false">298/12</f>
        <v>24.8333333333333</v>
      </c>
      <c r="E303" s="9" t="n">
        <f aca="false">$B$5/(1+$B$7*$B$6*D303)^(1/$B$7)</f>
        <v>127.313338638815</v>
      </c>
      <c r="F303" s="9" t="n">
        <f aca="false">IF(D303&lt;=$B$11,$B$5/(1+$B$7*$B$6*D303)^(1/$B$7),$B$5/(1+$B$7*$B$6*$B$11)^(1/$B$7)*EXP(-$B$8*(D303-$B$11)))</f>
        <v>92.7206373476418</v>
      </c>
    </row>
    <row r="304" customFormat="false" ht="15" hidden="false" customHeight="false" outlineLevel="0" collapsed="false">
      <c r="D304" s="15" t="n">
        <f aca="false">299/12</f>
        <v>24.9166666666667</v>
      </c>
      <c r="E304" s="9" t="n">
        <f aca="false">$B$5/(1+$B$7*$B$6*D304)^(1/$B$7)</f>
        <v>127.039104066415</v>
      </c>
      <c r="F304" s="9" t="n">
        <f aca="false">IF(D304&lt;=$B$11,$B$5/(1+$B$7*$B$6*D304)^(1/$B$7),$B$5/(1+$B$7*$B$6*$B$11)^(1/$B$7)*EXP(-$B$8*(D304-$B$11)))</f>
        <v>92.2581912396027</v>
      </c>
    </row>
    <row r="305" customFormat="false" ht="15" hidden="false" customHeight="false" outlineLevel="0" collapsed="false">
      <c r="D305" s="15" t="n">
        <f aca="false">300/12</f>
        <v>25</v>
      </c>
      <c r="E305" s="9" t="n">
        <f aca="false">$B$5/(1+$B$7*$B$6*D305)^(1/$B$7)</f>
        <v>126.766341500368</v>
      </c>
      <c r="F305" s="9" t="n">
        <f aca="false">IF(D305&lt;=$B$11,$B$5/(1+$B$7*$B$6*D305)^(1/$B$7),$B$5/(1+$B$7*$B$6*$B$11)^(1/$B$7)*EXP(-$B$8*(D305-$B$11)))</f>
        <v>91.7980515911496</v>
      </c>
    </row>
    <row r="306" customFormat="false" ht="15" hidden="false" customHeight="false" outlineLevel="0" collapsed="false">
      <c r="D306" s="15" t="n">
        <f aca="false">301/12</f>
        <v>25.0833333333333</v>
      </c>
      <c r="E306" s="9" t="n">
        <f aca="false">$B$5/(1+$B$7*$B$6*D306)^(1/$B$7)</f>
        <v>126.495038339216</v>
      </c>
      <c r="F306" s="9" t="n">
        <f aca="false">IF(D306&lt;=$B$11,$B$5/(1+$B$7*$B$6*D306)^(1/$B$7),$B$5/(1+$B$7*$B$6*$B$11)^(1/$B$7)*EXP(-$B$8*(D306-$B$11)))</f>
        <v>91.3402068987676</v>
      </c>
    </row>
    <row r="307" customFormat="false" ht="15" hidden="false" customHeight="false" outlineLevel="0" collapsed="false">
      <c r="D307" s="15" t="n">
        <f aca="false">302/12</f>
        <v>25.1666666666667</v>
      </c>
      <c r="E307" s="9" t="n">
        <f aca="false">$B$5/(1+$B$7*$B$6*D307)^(1/$B$7)</f>
        <v>126.225182129357</v>
      </c>
      <c r="F307" s="9" t="n">
        <f aca="false">IF(D307&lt;=$B$11,$B$5/(1+$B$7*$B$6*D307)^(1/$B$7),$B$5/(1+$B$7*$B$6*$B$11)^(1/$B$7)*EXP(-$B$8*(D307-$B$11)))</f>
        <v>90.8846457163153</v>
      </c>
    </row>
    <row r="308" customFormat="false" ht="15" hidden="false" customHeight="false" outlineLevel="0" collapsed="false">
      <c r="D308" s="15" t="n">
        <f aca="false">303/12</f>
        <v>25.25</v>
      </c>
      <c r="E308" s="9" t="n">
        <f aca="false">$B$5/(1+$B$7*$B$6*D308)^(1/$B$7)</f>
        <v>125.956760562846</v>
      </c>
      <c r="F308" s="9" t="n">
        <f aca="false">IF(D308&lt;=$B$11,$B$5/(1+$B$7*$B$6*D308)^(1/$B$7),$B$5/(1+$B$7*$B$6*$B$11)^(1/$B$7)*EXP(-$B$8*(D308-$B$11)))</f>
        <v>90.4313566547395</v>
      </c>
    </row>
    <row r="309" customFormat="false" ht="15" hidden="false" customHeight="false" outlineLevel="0" collapsed="false">
      <c r="D309" s="15" t="n">
        <f aca="false">304/12</f>
        <v>25.3333333333333</v>
      </c>
      <c r="E309" s="9" t="n">
        <f aca="false">$B$5/(1+$B$7*$B$6*D309)^(1/$B$7)</f>
        <v>125.689761475233</v>
      </c>
      <c r="F309" s="9" t="n">
        <f aca="false">IF(D309&lt;=$B$11,$B$5/(1+$B$7*$B$6*D309)^(1/$B$7),$B$5/(1+$B$7*$B$6*$B$11)^(1/$B$7)*EXP(-$B$8*(D309-$B$11)))</f>
        <v>89.98032838179</v>
      </c>
    </row>
    <row r="310" customFormat="false" ht="15" hidden="false" customHeight="false" outlineLevel="0" collapsed="false">
      <c r="D310" s="15" t="n">
        <f aca="false">305/12</f>
        <v>25.4166666666667</v>
      </c>
      <c r="E310" s="9" t="n">
        <f aca="false">$B$5/(1+$B$7*$B$6*D310)^(1/$B$7)</f>
        <v>125.424172843441</v>
      </c>
      <c r="F310" s="9" t="n">
        <f aca="false">IF(D310&lt;=$B$11,$B$5/(1+$B$7*$B$6*D310)^(1/$B$7),$B$5/(1+$B$7*$B$6*$B$11)^(1/$B$7)*EXP(-$B$8*(D310-$B$11)))</f>
        <v>89.5315496217365</v>
      </c>
    </row>
    <row r="311" customFormat="false" ht="15" hidden="false" customHeight="false" outlineLevel="0" collapsed="false">
      <c r="D311" s="15" t="n">
        <f aca="false">306/12</f>
        <v>25.5</v>
      </c>
      <c r="E311" s="9" t="n">
        <f aca="false">$B$5/(1+$B$7*$B$6*D311)^(1/$B$7)</f>
        <v>125.15998278368</v>
      </c>
      <c r="F311" s="9" t="n">
        <f aca="false">IF(D311&lt;=$B$11,$B$5/(1+$B$7*$B$6*D311)^(1/$B$7),$B$5/(1+$B$7*$B$6*$B$11)^(1/$B$7)*EXP(-$B$8*(D311-$B$11)))</f>
        <v>89.0850091550867</v>
      </c>
    </row>
    <row r="312" customFormat="false" ht="15" hidden="false" customHeight="false" outlineLevel="0" collapsed="false">
      <c r="D312" s="15" t="n">
        <f aca="false">307/12</f>
        <v>25.5833333333333</v>
      </c>
      <c r="E312" s="9" t="n">
        <f aca="false">$B$5/(1+$B$7*$B$6*D312)^(1/$B$7)</f>
        <v>124.897179549402</v>
      </c>
      <c r="F312" s="9" t="n">
        <f aca="false">IF(D312&lt;=$B$11,$B$5/(1+$B$7*$B$6*D312)^(1/$B$7),$B$5/(1+$B$7*$B$6*$B$11)^(1/$B$7)*EXP(-$B$8*(D312-$B$11)))</f>
        <v>88.6406958183056</v>
      </c>
    </row>
    <row r="313" customFormat="false" ht="15" hidden="false" customHeight="false" outlineLevel="0" collapsed="false">
      <c r="D313" s="15" t="n">
        <f aca="false">308/12</f>
        <v>25.6666666666667</v>
      </c>
      <c r="E313" s="9" t="n">
        <f aca="false">$B$5/(1+$B$7*$B$6*D313)^(1/$B$7)</f>
        <v>124.635751529287</v>
      </c>
      <c r="F313" s="9" t="n">
        <f aca="false">IF(D313&lt;=$B$11,$B$5/(1+$B$7*$B$6*D313)^(1/$B$7),$B$5/(1+$B$7*$B$6*$B$11)^(1/$B$7)*EXP(-$B$8*(D313-$B$11)))</f>
        <v>88.1985985035367</v>
      </c>
    </row>
    <row r="314" customFormat="false" ht="15" hidden="false" customHeight="false" outlineLevel="0" collapsed="false">
      <c r="D314" s="15" t="n">
        <f aca="false">309/12</f>
        <v>25.75</v>
      </c>
      <c r="E314" s="9" t="n">
        <f aca="false">$B$5/(1+$B$7*$B$6*D314)^(1/$B$7)</f>
        <v>124.375687245272</v>
      </c>
      <c r="F314" s="9" t="n">
        <f aca="false">IF(D314&lt;=$B$11,$B$5/(1+$B$7*$B$6*D314)^(1/$B$7),$B$5/(1+$B$7*$B$6*$B$11)^(1/$B$7)*EXP(-$B$8*(D314-$B$11)))</f>
        <v>87.7587061583241</v>
      </c>
    </row>
    <row r="315" customFormat="false" ht="15" hidden="false" customHeight="false" outlineLevel="0" collapsed="false">
      <c r="D315" s="15" t="n">
        <f aca="false">310/12</f>
        <v>25.8333333333333</v>
      </c>
      <c r="E315" s="9" t="n">
        <f aca="false">$B$5/(1+$B$7*$B$6*D315)^(1/$B$7)</f>
        <v>124.116975350607</v>
      </c>
      <c r="F315" s="9" t="n">
        <f aca="false">IF(D315&lt;=$B$11,$B$5/(1+$B$7*$B$6*D315)^(1/$B$7),$B$5/(1+$B$7*$B$6*$B$11)^(1/$B$7)*EXP(-$B$8*(D315-$B$11)))</f>
        <v>87.3210077853361</v>
      </c>
    </row>
    <row r="316" customFormat="false" ht="15" hidden="false" customHeight="false" outlineLevel="0" collapsed="false">
      <c r="D316" s="15" t="n">
        <f aca="false">311/12</f>
        <v>25.9166666666667</v>
      </c>
      <c r="E316" s="9" t="n">
        <f aca="false">$B$5/(1+$B$7*$B$6*D316)^(1/$B$7)</f>
        <v>123.859604627951</v>
      </c>
      <c r="F316" s="9" t="n">
        <f aca="false">IF(D316&lt;=$B$11,$B$5/(1+$B$7*$B$6*D316)^(1/$B$7),$B$5/(1+$B$7*$B$6*$B$11)^(1/$B$7)*EXP(-$B$8*(D316-$B$11)))</f>
        <v>86.8854924420908</v>
      </c>
    </row>
    <row r="317" customFormat="false" ht="15" hidden="false" customHeight="false" outlineLevel="0" collapsed="false">
      <c r="D317" s="15" t="n">
        <f aca="false">312/12</f>
        <v>26</v>
      </c>
      <c r="E317" s="9" t="n">
        <f aca="false">$B$5/(1+$B$7*$B$6*D317)^(1/$B$7)</f>
        <v>123.603563987499</v>
      </c>
      <c r="F317" s="9" t="n">
        <f aca="false">IF(D317&lt;=$B$11,$B$5/(1+$B$7*$B$6*D317)^(1/$B$7),$B$5/(1+$B$7*$B$6*$B$11)^(1/$B$7)*EXP(-$B$8*(D317-$B$11)))</f>
        <v>86.4521492406819</v>
      </c>
    </row>
    <row r="318" customFormat="false" ht="15" hidden="false" customHeight="false" outlineLevel="0" collapsed="false">
      <c r="D318" s="15" t="n">
        <f aca="false">313/12</f>
        <v>26.0833333333333</v>
      </c>
      <c r="E318" s="9" t="n">
        <f aca="false">$B$5/(1+$B$7*$B$6*D318)^(1/$B$7)</f>
        <v>123.348842465142</v>
      </c>
      <c r="F318" s="9" t="n">
        <f aca="false">IF(D318&lt;=$B$11,$B$5/(1+$B$7*$B$6*D318)^(1/$B$7),$B$5/(1+$B$7*$B$6*$B$11)^(1/$B$7)*EXP(-$B$8*(D318-$B$11)))</f>
        <v>86.0209673475066</v>
      </c>
    </row>
    <row r="319" customFormat="false" ht="15" hidden="false" customHeight="false" outlineLevel="0" collapsed="false">
      <c r="D319" s="15" t="n">
        <f aca="false">314/12</f>
        <v>26.1666666666667</v>
      </c>
      <c r="E319" s="9" t="n">
        <f aca="false">$B$5/(1+$B$7*$B$6*D319)^(1/$B$7)</f>
        <v>123.095429220658</v>
      </c>
      <c r="F319" s="9" t="n">
        <f aca="false">IF(D319&lt;=$B$11,$B$5/(1+$B$7*$B$6*D319)^(1/$B$7),$B$5/(1+$B$7*$B$6*$B$11)^(1/$B$7)*EXP(-$B$8*(D319-$B$11)))</f>
        <v>85.5919359829953</v>
      </c>
    </row>
    <row r="320" customFormat="false" ht="15" hidden="false" customHeight="false" outlineLevel="0" collapsed="false">
      <c r="D320" s="15" t="n">
        <f aca="false">315/12</f>
        <v>26.25</v>
      </c>
      <c r="E320" s="9" t="n">
        <f aca="false">$B$5/(1+$B$7*$B$6*D320)^(1/$B$7)</f>
        <v>122.843313535939</v>
      </c>
      <c r="F320" s="9" t="n">
        <f aca="false">IF(D320&lt;=$B$11,$B$5/(1+$B$7*$B$6*D320)^(1/$B$7),$B$5/(1+$B$7*$B$6*$B$11)^(1/$B$7)*EXP(-$B$8*(D320-$B$11)))</f>
        <v>85.1650444213415</v>
      </c>
    </row>
    <row r="321" customFormat="false" ht="15" hidden="false" customHeight="false" outlineLevel="0" collapsed="false">
      <c r="D321" s="15" t="n">
        <f aca="false">316/12</f>
        <v>26.3333333333333</v>
      </c>
      <c r="E321" s="9" t="n">
        <f aca="false">$B$5/(1+$B$7*$B$6*D321)^(1/$B$7)</f>
        <v>122.592484813244</v>
      </c>
      <c r="F321" s="9" t="n">
        <f aca="false">IF(D321&lt;=$B$11,$B$5/(1+$B$7*$B$6*D321)^(1/$B$7),$B$5/(1+$B$7*$B$6*$B$11)^(1/$B$7)*EXP(-$B$8*(D321-$B$11)))</f>
        <v>84.740281990234</v>
      </c>
    </row>
    <row r="322" customFormat="false" ht="15" hidden="false" customHeight="false" outlineLevel="0" collapsed="false">
      <c r="D322" s="15" t="n">
        <f aca="false">317/12</f>
        <v>26.4166666666667</v>
      </c>
      <c r="E322" s="9" t="n">
        <f aca="false">$B$5/(1+$B$7*$B$6*D322)^(1/$B$7)</f>
        <v>122.342932573481</v>
      </c>
      <c r="F322" s="9" t="n">
        <f aca="false">IF(D322&lt;=$B$11,$B$5/(1+$B$7*$B$6*D322)^(1/$B$7),$B$5/(1+$B$7*$B$6*$B$11)^(1/$B$7)*EXP(-$B$8*(D322-$B$11)))</f>
        <v>84.3176380705897</v>
      </c>
    </row>
    <row r="323" customFormat="false" ht="15" hidden="false" customHeight="false" outlineLevel="0" collapsed="false">
      <c r="D323" s="15" t="n">
        <f aca="false">318/12</f>
        <v>26.5</v>
      </c>
      <c r="E323" s="9" t="n">
        <f aca="false">$B$5/(1+$B$7*$B$6*D323)^(1/$B$7)</f>
        <v>122.094646454528</v>
      </c>
      <c r="F323" s="9" t="n">
        <f aca="false">IF(D323&lt;=$B$11,$B$5/(1+$B$7*$B$6*D323)^(1/$B$7),$B$5/(1+$B$7*$B$6*$B$11)^(1/$B$7)*EXP(-$B$8*(D323-$B$11)))</f>
        <v>83.8971020962888</v>
      </c>
    </row>
    <row r="324" customFormat="false" ht="15" hidden="false" customHeight="false" outlineLevel="0" collapsed="false">
      <c r="D324" s="15" t="n">
        <f aca="false">319/12</f>
        <v>26.5833333333333</v>
      </c>
      <c r="E324" s="9" t="n">
        <f aca="false">$B$5/(1+$B$7*$B$6*D324)^(1/$B$7)</f>
        <v>121.84761620957</v>
      </c>
      <c r="F324" s="9" t="n">
        <f aca="false">IF(D324&lt;=$B$11,$B$5/(1+$B$7*$B$6*D324)^(1/$B$7),$B$5/(1+$B$7*$B$6*$B$11)^(1/$B$7)*EXP(-$B$8*(D324-$B$11)))</f>
        <v>83.4786635539099</v>
      </c>
    </row>
    <row r="325" customFormat="false" ht="15" hidden="false" customHeight="false" outlineLevel="0" collapsed="false">
      <c r="D325" s="15" t="n">
        <f aca="false">320/12</f>
        <v>26.6666666666667</v>
      </c>
      <c r="E325" s="9" t="n">
        <f aca="false">$B$5/(1+$B$7*$B$6*D325)^(1/$B$7)</f>
        <v>121.601831705473</v>
      </c>
      <c r="F325" s="9" t="n">
        <f aca="false">IF(D325&lt;=$B$11,$B$5/(1+$B$7*$B$6*D325)^(1/$B$7),$B$5/(1+$B$7*$B$6*$B$11)^(1/$B$7)*EXP(-$B$8*(D325-$B$11)))</f>
        <v>83.0623119824677</v>
      </c>
    </row>
    <row r="326" customFormat="false" ht="15" hidden="false" customHeight="false" outlineLevel="0" collapsed="false">
      <c r="D326" s="15" t="n">
        <f aca="false">321/12</f>
        <v>26.75</v>
      </c>
      <c r="E326" s="9" t="n">
        <f aca="false">$B$5/(1+$B$7*$B$6*D326)^(1/$B$7)</f>
        <v>121.357282921187</v>
      </c>
      <c r="F326" s="9" t="n">
        <f aca="false">IF(D326&lt;=$B$11,$B$5/(1+$B$7*$B$6*D326)^(1/$B$7),$B$5/(1+$B$7*$B$6*$B$11)^(1/$B$7)*EXP(-$B$8*(D326-$B$11)))</f>
        <v>82.6480369731512</v>
      </c>
    </row>
    <row r="327" customFormat="false" ht="15" hidden="false" customHeight="false" outlineLevel="0" collapsed="false">
      <c r="D327" s="15" t="n">
        <f aca="false">322/12</f>
        <v>26.8333333333333</v>
      </c>
      <c r="E327" s="9" t="n">
        <f aca="false">$B$5/(1+$B$7*$B$6*D327)^(1/$B$7)</f>
        <v>121.113959946166</v>
      </c>
      <c r="F327" s="9" t="n">
        <f aca="false">IF(D327&lt;=$B$11,$B$5/(1+$B$7*$B$6*D327)^(1/$B$7),$B$5/(1+$B$7*$B$6*$B$11)^(1/$B$7)*EXP(-$B$8*(D327-$B$11)))</f>
        <v>82.2358281690637</v>
      </c>
    </row>
    <row r="328" customFormat="false" ht="15" hidden="false" customHeight="false" outlineLevel="0" collapsed="false">
      <c r="D328" s="15" t="n">
        <f aca="false">323/12</f>
        <v>26.9166666666667</v>
      </c>
      <c r="E328" s="9" t="n">
        <f aca="false">$B$5/(1+$B$7*$B$6*D328)^(1/$B$7)</f>
        <v>120.871852978829</v>
      </c>
      <c r="F328" s="9" t="n">
        <f aca="false">IF(D328&lt;=$B$11,$B$5/(1+$B$7*$B$6*D328)^(1/$B$7),$B$5/(1+$B$7*$B$6*$B$11)^(1/$B$7)*EXP(-$B$8*(D328-$B$11)))</f>
        <v>81.8256752649634</v>
      </c>
    </row>
    <row r="329" customFormat="false" ht="15" hidden="false" customHeight="false" outlineLevel="0" collapsed="false">
      <c r="D329" s="15" t="n">
        <f aca="false">324/12</f>
        <v>27</v>
      </c>
      <c r="E329" s="9" t="n">
        <f aca="false">$B$5/(1+$B$7*$B$6*D329)^(1/$B$7)</f>
        <v>120.630952325035</v>
      </c>
      <c r="F329" s="9" t="n">
        <f aca="false">IF(D329&lt;=$B$11,$B$5/(1+$B$7*$B$6*D329)^(1/$B$7),$B$5/(1+$B$7*$B$6*$B$11)^(1/$B$7)*EXP(-$B$8*(D329-$B$11)))</f>
        <v>81.4175680070066</v>
      </c>
    </row>
    <row r="330" customFormat="false" ht="15" hidden="false" customHeight="false" outlineLevel="0" collapsed="false">
      <c r="D330" s="15" t="n">
        <f aca="false">325/12</f>
        <v>27.0833333333333</v>
      </c>
      <c r="E330" s="9" t="n">
        <f aca="false">$B$5/(1+$B$7*$B$6*D330)^(1/$B$7)</f>
        <v>120.391248396589</v>
      </c>
      <c r="F330" s="9" t="n">
        <f aca="false">IF(D330&lt;=$B$11,$B$5/(1+$B$7*$B$6*D330)^(1/$B$7),$B$5/(1+$B$7*$B$6*$B$11)^(1/$B$7)*EXP(-$B$8*(D330-$B$11)))</f>
        <v>81.0114961924905</v>
      </c>
    </row>
    <row r="331" customFormat="false" ht="15" hidden="false" customHeight="false" outlineLevel="0" collapsed="false">
      <c r="D331" s="15" t="n">
        <f aca="false">326/12</f>
        <v>27.1666666666667</v>
      </c>
      <c r="E331" s="9" t="n">
        <f aca="false">$B$5/(1+$B$7*$B$6*D331)^(1/$B$7)</f>
        <v>120.152731709776</v>
      </c>
      <c r="F331" s="9" t="n">
        <f aca="false">IF(D331&lt;=$B$11,$B$5/(1+$B$7*$B$6*D331)^(1/$B$7),$B$5/(1+$B$7*$B$6*$B$11)^(1/$B$7)*EXP(-$B$8*(D331-$B$11)))</f>
        <v>80.6074496695985</v>
      </c>
    </row>
    <row r="332" customFormat="false" ht="15" hidden="false" customHeight="false" outlineLevel="0" collapsed="false">
      <c r="D332" s="15" t="n">
        <f aca="false">327/12</f>
        <v>27.25</v>
      </c>
      <c r="E332" s="9" t="n">
        <f aca="false">$B$5/(1+$B$7*$B$6*D332)^(1/$B$7)</f>
        <v>119.915392883913</v>
      </c>
      <c r="F332" s="9" t="n">
        <f aca="false">IF(D332&lt;=$B$11,$B$5/(1+$B$7*$B$6*D332)^(1/$B$7),$B$5/(1+$B$7*$B$6*$B$11)^(1/$B$7)*EXP(-$B$8*(D332-$B$11)))</f>
        <v>80.2054183371465</v>
      </c>
    </row>
    <row r="333" customFormat="false" ht="15" hidden="false" customHeight="false" outlineLevel="0" collapsed="false">
      <c r="D333" s="15" t="n">
        <f aca="false">328/12</f>
        <v>27.3333333333333</v>
      </c>
      <c r="E333" s="9" t="n">
        <f aca="false">$B$5/(1+$B$7*$B$6*D333)^(1/$B$7)</f>
        <v>119.679222639929</v>
      </c>
      <c r="F333" s="9" t="n">
        <f aca="false">IF(D333&lt;=$B$11,$B$5/(1+$B$7*$B$6*D333)^(1/$B$7),$B$5/(1+$B$7*$B$6*$B$11)^(1/$B$7)*EXP(-$B$8*(D333-$B$11)))</f>
        <v>79.8053921443304</v>
      </c>
    </row>
    <row r="334" customFormat="false" ht="15" hidden="false" customHeight="false" outlineLevel="0" collapsed="false">
      <c r="D334" s="15" t="n">
        <f aca="false">329/12</f>
        <v>27.4166666666667</v>
      </c>
      <c r="E334" s="9" t="n">
        <f aca="false">$B$5/(1+$B$7*$B$6*D334)^(1/$B$7)</f>
        <v>119.44421179897</v>
      </c>
      <c r="F334" s="9" t="n">
        <f aca="false">IF(D334&lt;=$B$11,$B$5/(1+$B$7*$B$6*D334)^(1/$B$7),$B$5/(1+$B$7*$B$6*$B$11)^(1/$B$7)*EXP(-$B$8*(D334-$B$11)))</f>
        <v>79.4073610904744</v>
      </c>
    </row>
    <row r="335" customFormat="false" ht="15" hidden="false" customHeight="false" outlineLevel="0" collapsed="false">
      <c r="D335" s="15" t="n">
        <f aca="false">330/12</f>
        <v>27.5</v>
      </c>
      <c r="E335" s="9" t="n">
        <f aca="false">$B$5/(1+$B$7*$B$6*D335)^(1/$B$7)</f>
        <v>119.210351281023</v>
      </c>
      <c r="F335" s="9" t="n">
        <f aca="false">IF(D335&lt;=$B$11,$B$5/(1+$B$7*$B$6*D335)^(1/$B$7),$B$5/(1+$B$7*$B$6*$B$11)^(1/$B$7)*EXP(-$B$8*(D335-$B$11)))</f>
        <v>79.0113152247815</v>
      </c>
    </row>
    <row r="336" customFormat="false" ht="15" hidden="false" customHeight="false" outlineLevel="0" collapsed="false">
      <c r="D336" s="15" t="n">
        <f aca="false">331/12</f>
        <v>27.5833333333333</v>
      </c>
      <c r="E336" s="9" t="n">
        <f aca="false">$B$5/(1+$B$7*$B$6*D336)^(1/$B$7)</f>
        <v>118.977632103569</v>
      </c>
      <c r="F336" s="9" t="n">
        <f aca="false">IF(D336&lt;=$B$11,$B$5/(1+$B$7*$B$6*D336)^(1/$B$7),$B$5/(1+$B$7*$B$6*$B$11)^(1/$B$7)*EXP(-$B$8*(D336-$B$11)))</f>
        <v>78.6172446460844</v>
      </c>
    </row>
    <row r="337" customFormat="false" ht="15" hidden="false" customHeight="false" outlineLevel="0" collapsed="false">
      <c r="D337" s="15" t="n">
        <f aca="false">332/12</f>
        <v>27.6666666666667</v>
      </c>
      <c r="E337" s="9" t="n">
        <f aca="false">$B$5/(1+$B$7*$B$6*D337)^(1/$B$7)</f>
        <v>118.74604538025</v>
      </c>
      <c r="F337" s="9" t="n">
        <f aca="false">IF(D337&lt;=$B$11,$B$5/(1+$B$7*$B$6*D337)^(1/$B$7),$B$5/(1+$B$7*$B$6*$B$11)^(1/$B$7)*EXP(-$B$8*(D337-$B$11)))</f>
        <v>78.225139502598</v>
      </c>
    </row>
    <row r="338" customFormat="false" ht="15" hidden="false" customHeight="false" outlineLevel="0" collapsed="false">
      <c r="D338" s="15" t="n">
        <f aca="false">333/12</f>
        <v>27.75</v>
      </c>
      <c r="E338" s="9" t="n">
        <f aca="false">$B$5/(1+$B$7*$B$6*D338)^(1/$B$7)</f>
        <v>118.515582319565</v>
      </c>
      <c r="F338" s="9" t="n">
        <f aca="false">IF(D338&lt;=$B$11,$B$5/(1+$B$7*$B$6*D338)^(1/$B$7),$B$5/(1+$B$7*$B$6*$B$11)^(1/$B$7)*EXP(-$B$8*(D338-$B$11)))</f>
        <v>77.8349899916735</v>
      </c>
    </row>
    <row r="339" customFormat="false" ht="15" hidden="false" customHeight="false" outlineLevel="0" collapsed="false">
      <c r="D339" s="15" t="n">
        <f aca="false">334/12</f>
        <v>27.8333333333333</v>
      </c>
      <c r="E339" s="9" t="n">
        <f aca="false">$B$5/(1+$B$7*$B$6*D339)^(1/$B$7)</f>
        <v>118.286234223588</v>
      </c>
      <c r="F339" s="9" t="n">
        <f aca="false">IF(D339&lt;=$B$11,$B$5/(1+$B$7*$B$6*D339)^(1/$B$7),$B$5/(1+$B$7*$B$6*$B$11)^(1/$B$7)*EXP(-$B$8*(D339-$B$11)))</f>
        <v>77.4467863595527</v>
      </c>
    </row>
    <row r="340" customFormat="false" ht="15" hidden="false" customHeight="false" outlineLevel="0" collapsed="false">
      <c r="D340" s="15" t="n">
        <f aca="false">335/12</f>
        <v>27.9166666666667</v>
      </c>
      <c r="E340" s="9" t="n">
        <f aca="false">$B$5/(1+$B$7*$B$6*D340)^(1/$B$7)</f>
        <v>118.057992486697</v>
      </c>
      <c r="F340" s="9" t="n">
        <f aca="false">IF(D340&lt;=$B$11,$B$5/(1+$B$7*$B$6*D340)^(1/$B$7),$B$5/(1+$B$7*$B$6*$B$11)^(1/$B$7)*EXP(-$B$8*(D340-$B$11)))</f>
        <v>77.0605189011245</v>
      </c>
    </row>
    <row r="341" customFormat="false" ht="15" hidden="false" customHeight="false" outlineLevel="0" collapsed="false">
      <c r="D341" s="15" t="n">
        <f aca="false">336/12</f>
        <v>28</v>
      </c>
      <c r="E341" s="9" t="n">
        <f aca="false">$B$5/(1+$B$7*$B$6*D341)^(1/$B$7)</f>
        <v>117.830848594337</v>
      </c>
      <c r="F341" s="9" t="n">
        <f aca="false">IF(D341&lt;=$B$11,$B$5/(1+$B$7*$B$6*D341)^(1/$B$7),$B$5/(1+$B$7*$B$6*$B$11)^(1/$B$7)*EXP(-$B$8*(D341-$B$11)))</f>
        <v>76.6761779596824</v>
      </c>
    </row>
    <row r="342" customFormat="false" ht="15" hidden="false" customHeight="false" outlineLevel="0" collapsed="false">
      <c r="D342" s="15" t="n">
        <f aca="false">337/12</f>
        <v>28.0833333333333</v>
      </c>
      <c r="E342" s="9" t="n">
        <f aca="false">$B$5/(1+$B$7*$B$6*D342)^(1/$B$7)</f>
        <v>117.604794121795</v>
      </c>
      <c r="F342" s="9" t="n">
        <f aca="false">IF(D342&lt;=$B$11,$B$5/(1+$B$7*$B$6*D342)^(1/$B$7),$B$5/(1+$B$7*$B$6*$B$11)^(1/$B$7)*EXP(-$B$8*(D342-$B$11)))</f>
        <v>76.2937539266829</v>
      </c>
    </row>
    <row r="343" customFormat="false" ht="15" hidden="false" customHeight="false" outlineLevel="0" collapsed="false">
      <c r="D343" s="15" t="n">
        <f aca="false">338/12</f>
        <v>28.1666666666667</v>
      </c>
      <c r="E343" s="9" t="n">
        <f aca="false">$B$5/(1+$B$7*$B$6*D343)^(1/$B$7)</f>
        <v>117.379820732996</v>
      </c>
      <c r="F343" s="9" t="n">
        <f aca="false">IF(D343&lt;=$B$11,$B$5/(1+$B$7*$B$6*D343)^(1/$B$7),$B$5/(1+$B$7*$B$6*$B$11)^(1/$B$7)*EXP(-$B$8*(D343-$B$11)))</f>
        <v>75.9132372415052</v>
      </c>
    </row>
    <row r="344" customFormat="false" ht="15" hidden="false" customHeight="false" outlineLevel="0" collapsed="false">
      <c r="D344" s="15" t="n">
        <f aca="false">339/12</f>
        <v>28.25</v>
      </c>
      <c r="E344" s="9" t="n">
        <f aca="false">$B$5/(1+$B$7*$B$6*D344)^(1/$B$7)</f>
        <v>117.155920179322</v>
      </c>
      <c r="F344" s="9" t="n">
        <f aca="false">IF(D344&lt;=$B$11,$B$5/(1+$B$7*$B$6*D344)^(1/$B$7),$B$5/(1+$B$7*$B$6*$B$11)^(1/$B$7)*EXP(-$B$8*(D344-$B$11)))</f>
        <v>75.5346183912124</v>
      </c>
    </row>
    <row r="345" customFormat="false" ht="15" hidden="false" customHeight="false" outlineLevel="0" collapsed="false">
      <c r="D345" s="15" t="n">
        <f aca="false">340/12</f>
        <v>28.3333333333333</v>
      </c>
      <c r="E345" s="9" t="n">
        <f aca="false">$B$5/(1+$B$7*$B$6*D345)^(1/$B$7)</f>
        <v>116.933084298444</v>
      </c>
      <c r="F345" s="9" t="n">
        <f aca="false">IF(D345&lt;=$B$11,$B$5/(1+$B$7*$B$6*D345)^(1/$B$7),$B$5/(1+$B$7*$B$6*$B$11)^(1/$B$7)*EXP(-$B$8*(D345-$B$11)))</f>
        <v>75.1578879103134</v>
      </c>
    </row>
    <row r="346" customFormat="false" ht="15" hidden="false" customHeight="false" outlineLevel="0" collapsed="false">
      <c r="D346" s="15" t="n">
        <f aca="false">341/12</f>
        <v>28.4166666666667</v>
      </c>
      <c r="E346" s="9" t="n">
        <f aca="false">$B$5/(1+$B$7*$B$6*D346)^(1/$B$7)</f>
        <v>116.711305013178</v>
      </c>
      <c r="F346" s="9" t="n">
        <f aca="false">IF(D346&lt;=$B$11,$B$5/(1+$B$7*$B$6*D346)^(1/$B$7),$B$5/(1+$B$7*$B$6*$B$11)^(1/$B$7)*EXP(-$B$8*(D346-$B$11)))</f>
        <v>74.7830363805266</v>
      </c>
    </row>
    <row r="347" customFormat="false" ht="15" hidden="false" customHeight="false" outlineLevel="0" collapsed="false">
      <c r="D347" s="15" t="n">
        <f aca="false">342/12</f>
        <v>28.5</v>
      </c>
      <c r="E347" s="9" t="n">
        <f aca="false">$B$5/(1+$B$7*$B$6*D347)^(1/$B$7)</f>
        <v>116.490574330361</v>
      </c>
      <c r="F347" s="9" t="n">
        <f aca="false">IF(D347&lt;=$B$11,$B$5/(1+$B$7*$B$6*D347)^(1/$B$7),$B$5/(1+$B$7*$B$6*$B$11)^(1/$B$7)*EXP(-$B$8*(D347-$B$11)))</f>
        <v>74.4100544305444</v>
      </c>
    </row>
    <row r="348" customFormat="false" ht="15" hidden="false" customHeight="false" outlineLevel="0" collapsed="false">
      <c r="D348" s="15" t="n">
        <f aca="false">343/12</f>
        <v>28.5833333333333</v>
      </c>
      <c r="E348" s="9" t="n">
        <f aca="false">$B$5/(1+$B$7*$B$6*D348)^(1/$B$7)</f>
        <v>116.270884339737</v>
      </c>
      <c r="F348" s="9" t="n">
        <f aca="false">IF(D348&lt;=$B$11,$B$5/(1+$B$7*$B$6*D348)^(1/$B$7),$B$5/(1+$B$7*$B$6*$B$11)^(1/$B$7)*EXP(-$B$8*(D348-$B$11)))</f>
        <v>74.0389327357984</v>
      </c>
    </row>
    <row r="349" customFormat="false" ht="15" hidden="false" customHeight="false" outlineLevel="0" collapsed="false">
      <c r="D349" s="15" t="n">
        <f aca="false">344/12</f>
        <v>28.6666666666667</v>
      </c>
      <c r="E349" s="9" t="n">
        <f aca="false">$B$5/(1+$B$7*$B$6*D349)^(1/$B$7)</f>
        <v>116.052227212865</v>
      </c>
      <c r="F349" s="9" t="n">
        <f aca="false">IF(D349&lt;=$B$11,$B$5/(1+$B$7*$B$6*D349)^(1/$B$7),$B$5/(1+$B$7*$B$6*$B$11)^(1/$B$7)*EXP(-$B$8*(D349-$B$11)))</f>
        <v>73.669662018227</v>
      </c>
    </row>
    <row r="350" customFormat="false" ht="15" hidden="false" customHeight="false" outlineLevel="0" collapsed="false">
      <c r="D350" s="15" t="n">
        <f aca="false">345/12</f>
        <v>28.75</v>
      </c>
      <c r="E350" s="9" t="n">
        <f aca="false">$B$5/(1+$B$7*$B$6*D350)^(1/$B$7)</f>
        <v>115.834595202053</v>
      </c>
      <c r="F350" s="9" t="n">
        <f aca="false">IF(D350&lt;=$B$11,$B$5/(1+$B$7*$B$6*D350)^(1/$B$7),$B$5/(1+$B$7*$B$6*$B$11)^(1/$B$7)*EXP(-$B$8*(D350-$B$11)))</f>
        <v>73.302233046043</v>
      </c>
    </row>
    <row r="351" customFormat="false" ht="15" hidden="false" customHeight="false" outlineLevel="0" collapsed="false">
      <c r="D351" s="15" t="n">
        <f aca="false">346/12</f>
        <v>28.8333333333333</v>
      </c>
      <c r="E351" s="9" t="n">
        <f aca="false">$B$5/(1+$B$7*$B$6*D351)^(1/$B$7)</f>
        <v>115.617980639291</v>
      </c>
      <c r="F351" s="9" t="n">
        <f aca="false">IF(D351&lt;=$B$11,$B$5/(1+$B$7*$B$6*D351)^(1/$B$7),$B$5/(1+$B$7*$B$6*$B$11)^(1/$B$7)*EXP(-$B$8*(D351-$B$11)))</f>
        <v>72.936636633503</v>
      </c>
    </row>
    <row r="352" customFormat="false" ht="15" hidden="false" customHeight="false" outlineLevel="0" collapsed="false">
      <c r="D352" s="15" t="n">
        <f aca="false">347/12</f>
        <v>28.9166666666667</v>
      </c>
      <c r="E352" s="9" t="n">
        <f aca="false">$B$5/(1+$B$7*$B$6*D352)^(1/$B$7)</f>
        <v>115.402375935217</v>
      </c>
      <c r="F352" s="9" t="n">
        <f aca="false">IF(D352&lt;=$B$11,$B$5/(1+$B$7*$B$6*D352)^(1/$B$7),$B$5/(1+$B$7*$B$6*$B$11)^(1/$B$7)*EXP(-$B$8*(D352-$B$11)))</f>
        <v>72.5728636406777</v>
      </c>
    </row>
    <row r="353" customFormat="false" ht="15" hidden="false" customHeight="false" outlineLevel="0" collapsed="false">
      <c r="D353" s="15" t="n">
        <f aca="false">348/12</f>
        <v>29</v>
      </c>
      <c r="E353" s="9" t="n">
        <f aca="false">$B$5/(1+$B$7*$B$6*D353)^(1/$B$7)</f>
        <v>115.187773578092</v>
      </c>
      <c r="F353" s="9" t="n">
        <f aca="false">IF(D353&lt;=$B$11,$B$5/(1+$B$7*$B$6*D353)^(1/$B$7),$B$5/(1+$B$7*$B$6*$B$11)^(1/$B$7)*EXP(-$B$8*(D353-$B$11)))</f>
        <v>72.2109049732232</v>
      </c>
    </row>
    <row r="354" customFormat="false" ht="15" hidden="false" customHeight="false" outlineLevel="0" collapsed="false">
      <c r="D354" s="15" t="n">
        <f aca="false">349/12</f>
        <v>29.0833333333333</v>
      </c>
      <c r="E354" s="9" t="n">
        <f aca="false">$B$5/(1+$B$7*$B$6*D354)^(1/$B$7)</f>
        <v>114.97416613279</v>
      </c>
      <c r="F354" s="9" t="n">
        <f aca="false">IF(D354&lt;=$B$11,$B$5/(1+$B$7*$B$6*D354)^(1/$B$7),$B$5/(1+$B$7*$B$6*$B$11)^(1/$B$7)*EXP(-$B$8*(D354-$B$11)))</f>
        <v>71.850751582154</v>
      </c>
    </row>
    <row r="355" customFormat="false" ht="15" hidden="false" customHeight="false" outlineLevel="0" collapsed="false">
      <c r="D355" s="15" t="n">
        <f aca="false">350/12</f>
        <v>29.1666666666667</v>
      </c>
      <c r="E355" s="9" t="n">
        <f aca="false">$B$5/(1+$B$7*$B$6*D355)^(1/$B$7)</f>
        <v>114.761546239811</v>
      </c>
      <c r="F355" s="9" t="n">
        <f aca="false">IF(D355&lt;=$B$11,$B$5/(1+$B$7*$B$6*D355)^(1/$B$7),$B$5/(1+$B$7*$B$6*$B$11)^(1/$B$7)*EXP(-$B$8*(D355-$B$11)))</f>
        <v>71.4923944636166</v>
      </c>
    </row>
    <row r="356" customFormat="false" ht="15" hidden="false" customHeight="false" outlineLevel="0" collapsed="false">
      <c r="D356" s="15" t="n">
        <f aca="false">351/12</f>
        <v>29.25</v>
      </c>
      <c r="E356" s="9" t="n">
        <f aca="false">$B$5/(1+$B$7*$B$6*D356)^(1/$B$7)</f>
        <v>114.5499066143</v>
      </c>
      <c r="F356" s="9" t="n">
        <f aca="false">IF(D356&lt;=$B$11,$B$5/(1+$B$7*$B$6*D356)^(1/$B$7),$B$5/(1+$B$7*$B$6*$B$11)^(1/$B$7)*EXP(-$B$8*(D356-$B$11)))</f>
        <v>71.1358246586643</v>
      </c>
    </row>
    <row r="357" customFormat="false" ht="15" hidden="false" customHeight="false" outlineLevel="0" collapsed="false">
      <c r="D357" s="15" t="n">
        <f aca="false">352/12</f>
        <v>29.3333333333333</v>
      </c>
      <c r="E357" s="9" t="n">
        <f aca="false">$B$5/(1+$B$7*$B$6*D357)^(1/$B$7)</f>
        <v>114.339240045088</v>
      </c>
      <c r="F357" s="9" t="n">
        <f aca="false">IF(D357&lt;=$B$11,$B$5/(1+$B$7*$B$6*D357)^(1/$B$7),$B$5/(1+$B$7*$B$6*$B$11)^(1/$B$7)*EXP(-$B$8*(D357-$B$11)))</f>
        <v>70.7810332530335</v>
      </c>
    </row>
    <row r="358" customFormat="false" ht="15" hidden="false" customHeight="false" outlineLevel="0" collapsed="false">
      <c r="D358" s="15" t="n">
        <f aca="false">353/12</f>
        <v>29.4166666666667</v>
      </c>
      <c r="E358" s="9" t="n">
        <f aca="false">$B$5/(1+$B$7*$B$6*D358)^(1/$B$7)</f>
        <v>114.129539393746</v>
      </c>
      <c r="F358" s="9" t="n">
        <f aca="false">IF(D358&lt;=$B$11,$B$5/(1+$B$7*$B$6*D358)^(1/$B$7),$B$5/(1+$B$7*$B$6*$B$11)^(1/$B$7)*EXP(-$B$8*(D358-$B$11)))</f>
        <v>70.4280113769206</v>
      </c>
    </row>
    <row r="359" customFormat="false" ht="15" hidden="false" customHeight="false" outlineLevel="0" collapsed="false">
      <c r="D359" s="15" t="n">
        <f aca="false">354/12</f>
        <v>29.5</v>
      </c>
      <c r="E359" s="9" t="n">
        <f aca="false">$B$5/(1+$B$7*$B$6*D359)^(1/$B$7)</f>
        <v>113.920797593656</v>
      </c>
      <c r="F359" s="9" t="n">
        <f aca="false">IF(D359&lt;=$B$11,$B$5/(1+$B$7*$B$6*D359)^(1/$B$7),$B$5/(1+$B$7*$B$6*$B$11)^(1/$B$7)*EXP(-$B$8*(D359-$B$11)))</f>
        <v>70.0767502047602</v>
      </c>
    </row>
    <row r="360" customFormat="false" ht="15" hidden="false" customHeight="false" outlineLevel="0" collapsed="false">
      <c r="D360" s="15" t="n">
        <f aca="false">355/12</f>
        <v>29.5833333333333</v>
      </c>
      <c r="E360" s="9" t="n">
        <f aca="false">$B$5/(1+$B$7*$B$6*D360)^(1/$B$7)</f>
        <v>113.713007649087</v>
      </c>
      <c r="F360" s="9" t="n">
        <f aca="false">IF(D360&lt;=$B$11,$B$5/(1+$B$7*$B$6*D360)^(1/$B$7),$B$5/(1+$B$7*$B$6*$B$11)^(1/$B$7)*EXP(-$B$8*(D360-$B$11)))</f>
        <v>69.7272409550048</v>
      </c>
    </row>
    <row r="361" customFormat="false" ht="15" hidden="false" customHeight="false" outlineLevel="0" collapsed="false">
      <c r="D361" s="15" t="n">
        <f aca="false">356/12</f>
        <v>29.6666666666667</v>
      </c>
      <c r="E361" s="9" t="n">
        <f aca="false">$B$5/(1+$B$7*$B$6*D361)^(1/$B$7)</f>
        <v>113.506162634303</v>
      </c>
      <c r="F361" s="9" t="n">
        <f aca="false">IF(D361&lt;=$B$11,$B$5/(1+$B$7*$B$6*D361)^(1/$B$7),$B$5/(1+$B$7*$B$6*$B$11)^(1/$B$7)*EXP(-$B$8*(D361-$B$11)))</f>
        <v>69.3794748899048</v>
      </c>
    </row>
    <row r="362" customFormat="false" ht="15" hidden="false" customHeight="false" outlineLevel="0" collapsed="false">
      <c r="D362" s="15" t="n">
        <f aca="false">357/12</f>
        <v>29.75</v>
      </c>
      <c r="E362" s="9" t="n">
        <f aca="false">$B$5/(1+$B$7*$B$6*D362)^(1/$B$7)</f>
        <v>113.300255692663</v>
      </c>
      <c r="F362" s="9" t="n">
        <f aca="false">IF(D362&lt;=$B$11,$B$5/(1+$B$7*$B$6*D362)^(1/$B$7),$B$5/(1+$B$7*$B$6*$B$11)^(1/$B$7)*EXP(-$B$8*(D362-$B$11)))</f>
        <v>69.0334433152906</v>
      </c>
    </row>
    <row r="363" customFormat="false" ht="15" hidden="false" customHeight="false" outlineLevel="0" collapsed="false">
      <c r="D363" s="15" t="n">
        <f aca="false">358/12</f>
        <v>29.8333333333333</v>
      </c>
      <c r="E363" s="9" t="n">
        <f aca="false">$B$5/(1+$B$7*$B$6*D363)^(1/$B$7)</f>
        <v>113.095280035756</v>
      </c>
      <c r="F363" s="9" t="n">
        <f aca="false">IF(D363&lt;=$B$11,$B$5/(1+$B$7*$B$6*D363)^(1/$B$7),$B$5/(1+$B$7*$B$6*$B$11)^(1/$B$7)*EXP(-$B$8*(D363-$B$11)))</f>
        <v>68.6891375803548</v>
      </c>
    </row>
    <row r="364" customFormat="false" ht="15" hidden="false" customHeight="false" outlineLevel="0" collapsed="false">
      <c r="D364" s="15" t="n">
        <f aca="false">359/12</f>
        <v>29.9166666666667</v>
      </c>
      <c r="E364" s="9" t="n">
        <f aca="false">$B$5/(1+$B$7*$B$6*D364)^(1/$B$7)</f>
        <v>112.891228942531</v>
      </c>
      <c r="F364" s="9" t="n">
        <f aca="false">IF(D364&lt;=$B$11,$B$5/(1+$B$7*$B$6*D364)^(1/$B$7),$B$5/(1+$B$7*$B$6*$B$11)^(1/$B$7)*EXP(-$B$8*(D364-$B$11)))</f>
        <v>68.3465490774361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2026-10-31T14:17:37Z</dcterms:created>
  <dc:creator>openpyxl</dc:creator>
  <dc:description/>
  <dc:language>en-US</dc:language>
  <cp:lastModifiedBy/>
  <dcterms:modified xsi:type="dcterms:W3CDTF">2026-10-31T14:17:37Z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