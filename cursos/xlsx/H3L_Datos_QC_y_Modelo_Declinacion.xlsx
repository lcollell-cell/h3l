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rametros" sheetId="1" state="visible" r:id="rId3"/>
    <sheet name="Serie" sheetId="2" state="visible" r:id="rId4"/>
    <sheet name="Metricas" sheetId="3" state="visible" r:id="rId5"/>
    <sheet name="Ajust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<sst xmlns="http://schemas.openxmlformats.org/spreadsheetml/2006/main" count="49" uniqueCount="44">
  <si>
    <t xml:space="preserve">Control de calidad de una serie de producción y ajuste de declinación</t>
  </si>
  <si>
    <t xml:space="preserve">Datos de ejemplo (sintéticos) con fines didácticos. Celdas azules sobre fondo crema = entradas editables; el resto son fórmulas.</t>
  </si>
  <si>
    <t xml:space="preserve">Parámetro</t>
  </si>
  <si>
    <t xml:space="preserve">Valor</t>
  </si>
  <si>
    <t xml:space="preserve">Detalle</t>
  </si>
  <si>
    <t xml:space="preserve">Ventana de la mediana móvil (días, impar)</t>
  </si>
  <si>
    <t xml:space="preserve">Fija en 7 en las fórmulas de la hoja Serie</t>
  </si>
  <si>
    <t xml:space="preserve">Umbral en desvíos robustos (MAD)</t>
  </si>
  <si>
    <t xml:space="preserve">Días de entrenamiento del ajuste</t>
  </si>
  <si>
    <t xml:space="preserve">Serie sintética: declinación exponencial con ruido y siete datos erróneos insertados (cero, picos y un valor bajo). La columna "Error real" marca los datos modificados.</t>
  </si>
  <si>
    <t xml:space="preserve">Serie diaria y detección con mediana móvil y MAD</t>
  </si>
  <si>
    <t xml:space="preserve">Día</t>
  </si>
  <si>
    <t xml:space="preserve">Caudal (bbl/d)</t>
  </si>
  <si>
    <t xml:space="preserve">Mediana móvil 7 d</t>
  </si>
  <si>
    <t xml:space="preserve">Residuo</t>
  </si>
  <si>
    <t xml:space="preserve">|Residuo − mediana residuos|</t>
  </si>
  <si>
    <t xml:space="preserve">Puntaje (desvíos robustos)</t>
  </si>
  <si>
    <t xml:space="preserve">Marcado (1/0)</t>
  </si>
  <si>
    <t xml:space="preserve">Error real (1/0)</t>
  </si>
  <si>
    <t xml:space="preserve">Acierto</t>
  </si>
  <si>
    <t xml:space="preserve">Desempeño de la detección y del ajuste</t>
  </si>
  <si>
    <t xml:space="preserve">Indicador</t>
  </si>
  <si>
    <t xml:space="preserve">Verdaderos positivos</t>
  </si>
  <si>
    <t xml:space="preserve">Falsas alarmas</t>
  </si>
  <si>
    <t xml:space="preserve">No detectados</t>
  </si>
  <si>
    <t xml:space="preserve">Precisión</t>
  </si>
  <si>
    <t xml:space="preserve">Recall (sensibilidad)</t>
  </si>
  <si>
    <t xml:space="preserve">Ajuste exponencial de declinación: con y sin los datos marcados</t>
  </si>
  <si>
    <t xml:space="preserve">ln q (sin cero)</t>
  </si>
  <si>
    <t xml:space="preserve">Peso: todos</t>
  </si>
  <si>
    <t xml:space="preserve">Peso: sin marcados</t>
  </si>
  <si>
    <t xml:space="preserve">Entrena (1/0)</t>
  </si>
  <si>
    <t xml:space="preserve">q ajustado (todos)</t>
  </si>
  <si>
    <t xml:space="preserve">q ajustado (limpio)</t>
  </si>
  <si>
    <t xml:space="preserve">Real y no marcado (1/0)</t>
  </si>
  <si>
    <t xml:space="preserve">Regresión ponderada de ln q contra el día</t>
  </si>
  <si>
    <t xml:space="preserve">Con todos los datos</t>
  </si>
  <si>
    <t xml:space="preserve">Sin marcados</t>
  </si>
  <si>
    <t xml:space="preserve">Intercepto</t>
  </si>
  <si>
    <t xml:space="preserve">Pendiente (−Di por día)</t>
  </si>
  <si>
    <t xml:space="preserve">Error en datos de prueba (días posteriores al entrenamiento, no marcados)</t>
  </si>
  <si>
    <t xml:space="preserve">RMSE (bbl/d)</t>
  </si>
  <si>
    <t xml:space="preserve">Declinación anual equivalente</t>
  </si>
  <si>
    <t xml:space="preserve">Si el ajuste con todos los datos queda muy distinto del limpio, los errores están distorsionando la declinación.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</si>
</sst>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"/>
    <numFmt numFmtId="167" formatCode="0.00"/>
    <numFmt numFmtId="168" formatCode="0.0%"/>
    <numFmt numFmtId="169" formatCode="0.000"/>
    <numFmt numFmtId="170" formatCode="0.0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A30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A30"/>
        <bgColor rgb="FF000000"/>
      </patternFill>
    </fill>
    <fill>
      <patternFill patternType="solid">
        <fgColor rgb="FFFFF8DC"/>
        <bgColor rgb="FFFFFFFF"/>
      </patternFill>
    </fill>
    <fill>
      <patternFill patternType="solid">
        <fgColor rgb="FFE3F7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E3F7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B1A3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s">
        <v>5</v>
      </c>
      <c r="B5" s="2" t="n">
        <v>7</v>
      </c>
      <c r="C5" s="4" t="s">
        <v>6</v>
      </c>
    </row>
    <row r="6" customFormat="false" ht="15" hidden="false" customHeight="false" outlineLevel="0" collapsed="false">
      <c r="A6" s="0" t="s">
        <v>7</v>
      </c>
      <c r="B6" s="5" t="n">
        <v>3</v>
      </c>
    </row>
    <row r="7" customFormat="false" ht="15" hidden="false" customHeight="false" outlineLevel="0" collapsed="false">
      <c r="A7" s="0" t="s">
        <v>8</v>
      </c>
      <c r="B7" s="6" t="n">
        <v>70</v>
      </c>
    </row>
    <row r="9" customFormat="false" ht="15" hidden="false" customHeight="false" outlineLevel="0" collapsed="false">
      <c r="A9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6" min="5" style="0" width="26"/>
    <col collapsed="false" customWidth="true" hidden="false" outlineLevel="0" max="9" min="7" style="0" width="14"/>
  </cols>
  <sheetData>
    <row r="1" customFormat="false" ht="17.35" hidden="false" customHeight="false" outlineLevel="0" collapsed="false">
      <c r="A1" s="1" t="s">
        <v>10</v>
      </c>
    </row>
    <row r="2" customFormat="false" ht="15" hidden="false" customHeight="false" outlineLevel="0" collapsed="false">
      <c r="A2" s="2" t="s">
        <v>1</v>
      </c>
    </row>
    <row r="4" customFormat="false" ht="28.35" hidden="false" customHeight="false" outlineLevel="0" collapsed="false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customFormat="false" ht="15" hidden="false" customHeight="false" outlineLevel="0" collapsed="false">
      <c r="A5" s="0" t="n">
        <v>1</v>
      </c>
      <c r="B5" s="5" t="n">
        <v>832.9</v>
      </c>
      <c r="C5" s="7" t="n">
        <f aca="false">MEDIAN(INDEX($B$5:$B$94,MAX(1,A5-3)):INDEX($B$5:$B$94,MIN(90,A5+3)))</f>
        <v>838.35</v>
      </c>
      <c r="D5" s="7" t="n">
        <f aca="false">B5-C5</f>
        <v>-5.44999999999993</v>
      </c>
      <c r="E5" s="7" t="n">
        <f aca="false">ABS(D5-MEDIAN($D$5:$D$94))</f>
        <v>5.44999999999993</v>
      </c>
      <c r="F5" s="8" t="n">
        <f aca="false">E5/(1.4826*MEDIAN($E$5:$E$94))</f>
        <v>0.561217502159907</v>
      </c>
      <c r="G5" s="9" t="n">
        <f aca="false">IF(F5&gt;Parametros!$B$6,1,0)</f>
        <v>0</v>
      </c>
      <c r="H5" s="6" t="n">
        <v>0</v>
      </c>
      <c r="I5" s="10" t="str">
        <f aca="false">IF(AND(G5=1,H5=1),"VP",IF(G5=1,"Falsa alarma",IF(H5=1,"No detectado","")))</f>
        <v/>
      </c>
    </row>
    <row r="6" customFormat="false" ht="15" hidden="false" customHeight="false" outlineLevel="0" collapsed="false">
      <c r="A6" s="0" t="n">
        <v>2</v>
      </c>
      <c r="B6" s="5" t="n">
        <v>845.1</v>
      </c>
      <c r="C6" s="7" t="n">
        <f aca="false">MEDIAN(INDEX($B$5:$B$94,MAX(1,A6-3)):INDEX($B$5:$B$94,MIN(90,A6+3)))</f>
        <v>832.9</v>
      </c>
      <c r="D6" s="7" t="n">
        <f aca="false">B6-C6</f>
        <v>12.2</v>
      </c>
      <c r="E6" s="7" t="n">
        <f aca="false">ABS(D6-MEDIAN($D$5:$D$94))</f>
        <v>12.2</v>
      </c>
      <c r="F6" s="8" t="n">
        <f aca="false">E6/(1.4826*MEDIAN($E$5:$E$94))</f>
        <v>1.25630339933045</v>
      </c>
      <c r="G6" s="9" t="n">
        <f aca="false">IF(F6&gt;Parametros!$B$6,1,0)</f>
        <v>0</v>
      </c>
      <c r="H6" s="6" t="n">
        <v>0</v>
      </c>
      <c r="I6" s="10" t="str">
        <f aca="false">IF(AND(G6=1,H6=1),"VP",IF(G6=1,"Falsa alarma",IF(H6=1,"No detectado","")))</f>
        <v/>
      </c>
    </row>
    <row r="7" customFormat="false" ht="15" hidden="false" customHeight="false" outlineLevel="0" collapsed="false">
      <c r="A7" s="0" t="n">
        <v>3</v>
      </c>
      <c r="B7" s="5" t="n">
        <v>843.8</v>
      </c>
      <c r="C7" s="7" t="n">
        <f aca="false">MEDIAN(INDEX($B$5:$B$94,MAX(1,A7-3)):INDEX($B$5:$B$94,MIN(90,A7+3)))</f>
        <v>822.85</v>
      </c>
      <c r="D7" s="7" t="n">
        <f aca="false">B7-C7</f>
        <v>20.95</v>
      </c>
      <c r="E7" s="7" t="n">
        <f aca="false">ABS(D7-MEDIAN($D$5:$D$94))</f>
        <v>20.95</v>
      </c>
      <c r="F7" s="8" t="n">
        <f aca="false">E7/(1.4826*MEDIAN($E$5:$E$94))</f>
        <v>2.15734067344041</v>
      </c>
      <c r="G7" s="9" t="n">
        <f aca="false">IF(F7&gt;Parametros!$B$6,1,0)</f>
        <v>0</v>
      </c>
      <c r="H7" s="6" t="n">
        <v>0</v>
      </c>
      <c r="I7" s="10" t="str">
        <f aca="false">IF(AND(G7=1,H7=1),"VP",IF(G7=1,"Falsa alarma",IF(H7=1,"No detectado","")))</f>
        <v/>
      </c>
    </row>
    <row r="8" customFormat="false" ht="15" hidden="false" customHeight="false" outlineLevel="0" collapsed="false">
      <c r="A8" s="0" t="n">
        <v>4</v>
      </c>
      <c r="B8" s="5" t="n">
        <v>812.8</v>
      </c>
      <c r="C8" s="7" t="n">
        <f aca="false">MEDIAN(INDEX($B$5:$B$94,MAX(1,A8-3)):INDEX($B$5:$B$94,MIN(90,A8+3)))</f>
        <v>812.8</v>
      </c>
      <c r="D8" s="7" t="n">
        <f aca="false">B8-C8</f>
        <v>0</v>
      </c>
      <c r="E8" s="7" t="n">
        <f aca="false">ABS(D8-MEDIAN($D$5:$D$94))</f>
        <v>0</v>
      </c>
      <c r="F8" s="8" t="n">
        <f aca="false">E8/(1.4826*MEDIAN($E$5:$E$94))</f>
        <v>0</v>
      </c>
      <c r="G8" s="9" t="n">
        <f aca="false">IF(F8&gt;Parametros!$B$6,1,0)</f>
        <v>0</v>
      </c>
      <c r="H8" s="6" t="n">
        <v>0</v>
      </c>
      <c r="I8" s="10" t="str">
        <f aca="false">IF(AND(G8=1,H8=1),"VP",IF(G8=1,"Falsa alarma",IF(H8=1,"No detectado","")))</f>
        <v/>
      </c>
    </row>
    <row r="9" customFormat="false" ht="15" hidden="false" customHeight="false" outlineLevel="0" collapsed="false">
      <c r="A9" s="0" t="n">
        <v>5</v>
      </c>
      <c r="B9" s="5" t="n">
        <v>791.6</v>
      </c>
      <c r="C9" s="7" t="n">
        <f aca="false">MEDIAN(INDEX($B$5:$B$94,MAX(1,A9-3)):INDEX($B$5:$B$94,MIN(90,A9+3)))</f>
        <v>799.6</v>
      </c>
      <c r="D9" s="7" t="n">
        <f aca="false">B9-C9</f>
        <v>-8</v>
      </c>
      <c r="E9" s="7" t="n">
        <f aca="false">ABS(D9-MEDIAN($D$5:$D$94))</f>
        <v>8</v>
      </c>
      <c r="F9" s="8" t="n">
        <f aca="false">E9/(1.4826*MEDIAN($E$5:$E$94))</f>
        <v>0.823805507757672</v>
      </c>
      <c r="G9" s="9" t="n">
        <f aca="false">IF(F9&gt;Parametros!$B$6,1,0)</f>
        <v>0</v>
      </c>
      <c r="H9" s="6" t="n">
        <v>0</v>
      </c>
      <c r="I9" s="10" t="str">
        <f aca="false">IF(AND(G9=1,H9=1),"VP",IF(G9=1,"Falsa alarma",IF(H9=1,"No detectado","")))</f>
        <v/>
      </c>
    </row>
    <row r="10" customFormat="false" ht="15" hidden="false" customHeight="false" outlineLevel="0" collapsed="false">
      <c r="A10" s="0" t="n">
        <v>6</v>
      </c>
      <c r="B10" s="5" t="n">
        <v>799.6</v>
      </c>
      <c r="C10" s="7" t="n">
        <f aca="false">MEDIAN(INDEX($B$5:$B$94,MAX(1,A10-3)):INDEX($B$5:$B$94,MIN(90,A10+3)))</f>
        <v>797.6</v>
      </c>
      <c r="D10" s="7" t="n">
        <f aca="false">B10-C10</f>
        <v>2</v>
      </c>
      <c r="E10" s="7" t="n">
        <f aca="false">ABS(D10-MEDIAN($D$5:$D$94))</f>
        <v>2</v>
      </c>
      <c r="F10" s="8" t="n">
        <f aca="false">E10/(1.4826*MEDIAN($E$5:$E$94))</f>
        <v>0.205951376939418</v>
      </c>
      <c r="G10" s="9" t="n">
        <f aca="false">IF(F10&gt;Parametros!$B$6,1,0)</f>
        <v>0</v>
      </c>
      <c r="H10" s="6" t="n">
        <v>0</v>
      </c>
      <c r="I10" s="10" t="str">
        <f aca="false">IF(AND(G10=1,H10=1),"VP",IF(G10=1,"Falsa alarma",IF(H10=1,"No detectado","")))</f>
        <v/>
      </c>
    </row>
    <row r="11" customFormat="false" ht="15" hidden="false" customHeight="false" outlineLevel="0" collapsed="false">
      <c r="A11" s="0" t="n">
        <v>7</v>
      </c>
      <c r="B11" s="5" t="n">
        <v>797.6</v>
      </c>
      <c r="C11" s="7" t="n">
        <f aca="false">MEDIAN(INDEX($B$5:$B$94,MAX(1,A11-3)):INDEX($B$5:$B$94,MIN(90,A11+3)))</f>
        <v>796.9</v>
      </c>
      <c r="D11" s="7" t="n">
        <f aca="false">B11-C11</f>
        <v>0.700000000000046</v>
      </c>
      <c r="E11" s="7" t="n">
        <f aca="false">ABS(D11-MEDIAN($D$5:$D$94))</f>
        <v>0.700000000000046</v>
      </c>
      <c r="F11" s="8" t="n">
        <f aca="false">E11/(1.4826*MEDIAN($E$5:$E$94))</f>
        <v>0.072082981928801</v>
      </c>
      <c r="G11" s="9" t="n">
        <f aca="false">IF(F11&gt;Parametros!$B$6,1,0)</f>
        <v>0</v>
      </c>
      <c r="H11" s="6" t="n">
        <v>0</v>
      </c>
      <c r="I11" s="10" t="str">
        <f aca="false">IF(AND(G11=1,H11=1),"VP",IF(G11=1,"Falsa alarma",IF(H11=1,"No detectado","")))</f>
        <v/>
      </c>
    </row>
    <row r="12" customFormat="false" ht="15" hidden="false" customHeight="false" outlineLevel="0" collapsed="false">
      <c r="A12" s="0" t="n">
        <v>8</v>
      </c>
      <c r="B12" s="5" t="n">
        <v>796.9</v>
      </c>
      <c r="C12" s="7" t="n">
        <f aca="false">MEDIAN(INDEX($B$5:$B$94,MAX(1,A12-3)):INDEX($B$5:$B$94,MIN(90,A12+3)))</f>
        <v>791.6</v>
      </c>
      <c r="D12" s="7" t="n">
        <f aca="false">B12-C12</f>
        <v>5.29999999999995</v>
      </c>
      <c r="E12" s="7" t="n">
        <f aca="false">ABS(D12-MEDIAN($D$5:$D$94))</f>
        <v>5.29999999999995</v>
      </c>
      <c r="F12" s="8" t="n">
        <f aca="false">E12/(1.4826*MEDIAN($E$5:$E$94))</f>
        <v>0.545771148889453</v>
      </c>
      <c r="G12" s="9" t="n">
        <f aca="false">IF(F12&gt;Parametros!$B$6,1,0)</f>
        <v>0</v>
      </c>
      <c r="H12" s="6" t="n">
        <v>0</v>
      </c>
      <c r="I12" s="10" t="str">
        <f aca="false">IF(AND(G12=1,H12=1),"VP",IF(G12=1,"Falsa alarma",IF(H12=1,"No detectado","")))</f>
        <v/>
      </c>
    </row>
    <row r="13" customFormat="false" ht="15" hidden="false" customHeight="false" outlineLevel="0" collapsed="false">
      <c r="A13" s="0" t="n">
        <v>9</v>
      </c>
      <c r="B13" s="5" t="n">
        <v>755.2</v>
      </c>
      <c r="C13" s="7" t="n">
        <f aca="false">MEDIAN(INDEX($B$5:$B$94,MAX(1,A13-3)):INDEX($B$5:$B$94,MIN(90,A13+3)))</f>
        <v>763.8</v>
      </c>
      <c r="D13" s="7" t="n">
        <f aca="false">B13-C13</f>
        <v>-8.59999999999991</v>
      </c>
      <c r="E13" s="7" t="n">
        <f aca="false">ABS(D13-MEDIAN($D$5:$D$94))</f>
        <v>8.59999999999991</v>
      </c>
      <c r="F13" s="8" t="n">
        <f aca="false">E13/(1.4826*MEDIAN($E$5:$E$94))</f>
        <v>0.885590920839488</v>
      </c>
      <c r="G13" s="9" t="n">
        <f aca="false">IF(F13&gt;Parametros!$B$6,1,0)</f>
        <v>0</v>
      </c>
      <c r="H13" s="6" t="n">
        <v>0</v>
      </c>
      <c r="I13" s="10" t="str">
        <f aca="false">IF(AND(G13=1,H13=1),"VP",IF(G13=1,"Falsa alarma",IF(H13=1,"No detectado","")))</f>
        <v/>
      </c>
    </row>
    <row r="14" customFormat="false" ht="15" hidden="false" customHeight="false" outlineLevel="0" collapsed="false">
      <c r="A14" s="0" t="n">
        <v>10</v>
      </c>
      <c r="B14" s="5" t="n">
        <v>744.9</v>
      </c>
      <c r="C14" s="7" t="n">
        <f aca="false">MEDIAN(INDEX($B$5:$B$94,MAX(1,A14-3)):INDEX($B$5:$B$94,MIN(90,A14+3)))</f>
        <v>755.2</v>
      </c>
      <c r="D14" s="7" t="n">
        <f aca="false">B14-C14</f>
        <v>-10.3000000000001</v>
      </c>
      <c r="E14" s="7" t="n">
        <f aca="false">ABS(D14-MEDIAN($D$5:$D$94))</f>
        <v>10.3000000000001</v>
      </c>
      <c r="F14" s="8" t="n">
        <f aca="false">E14/(1.4826*MEDIAN($E$5:$E$94))</f>
        <v>1.06064959123801</v>
      </c>
      <c r="G14" s="9" t="n">
        <f aca="false">IF(F14&gt;Parametros!$B$6,1,0)</f>
        <v>0</v>
      </c>
      <c r="H14" s="6" t="n">
        <v>0</v>
      </c>
      <c r="I14" s="10" t="str">
        <f aca="false">IF(AND(G14=1,H14=1),"VP",IF(G14=1,"Falsa alarma",IF(H14=1,"No detectado","")))</f>
        <v/>
      </c>
    </row>
    <row r="15" customFormat="false" ht="15" hidden="false" customHeight="false" outlineLevel="0" collapsed="false">
      <c r="A15" s="0" t="n">
        <v>11</v>
      </c>
      <c r="B15" s="5" t="n">
        <v>763.8</v>
      </c>
      <c r="C15" s="7" t="n">
        <f aca="false">MEDIAN(INDEX($B$5:$B$94,MAX(1,A15-3)):INDEX($B$5:$B$94,MIN(90,A15+3)))</f>
        <v>751.5</v>
      </c>
      <c r="D15" s="7" t="n">
        <f aca="false">B15-C15</f>
        <v>12.3</v>
      </c>
      <c r="E15" s="7" t="n">
        <f aca="false">ABS(D15-MEDIAN($D$5:$D$94))</f>
        <v>12.3</v>
      </c>
      <c r="F15" s="8" t="n">
        <f aca="false">E15/(1.4826*MEDIAN($E$5:$E$94))</f>
        <v>1.26660096817742</v>
      </c>
      <c r="G15" s="9" t="n">
        <f aca="false">IF(F15&gt;Parametros!$B$6,1,0)</f>
        <v>0</v>
      </c>
      <c r="H15" s="6" t="n">
        <v>0</v>
      </c>
      <c r="I15" s="10" t="str">
        <f aca="false">IF(AND(G15=1,H15=1),"VP",IF(G15=1,"Falsa alarma",IF(H15=1,"No detectado","")))</f>
        <v/>
      </c>
    </row>
    <row r="16" customFormat="false" ht="15" hidden="false" customHeight="false" outlineLevel="0" collapsed="false">
      <c r="A16" s="0" t="n">
        <v>12</v>
      </c>
      <c r="B16" s="5" t="n">
        <v>751.5</v>
      </c>
      <c r="C16" s="7" t="n">
        <f aca="false">MEDIAN(INDEX($B$5:$B$94,MAX(1,A16-3)):INDEX($B$5:$B$94,MIN(90,A16+3)))</f>
        <v>744.9</v>
      </c>
      <c r="D16" s="7" t="n">
        <f aca="false">B16-C16</f>
        <v>6.60000000000002</v>
      </c>
      <c r="E16" s="7" t="n">
        <f aca="false">ABS(D16-MEDIAN($D$5:$D$94))</f>
        <v>6.60000000000002</v>
      </c>
      <c r="F16" s="8" t="n">
        <f aca="false">E16/(1.4826*MEDIAN($E$5:$E$94))</f>
        <v>0.679639543900082</v>
      </c>
      <c r="G16" s="9" t="n">
        <f aca="false">IF(F16&gt;Parametros!$B$6,1,0)</f>
        <v>0</v>
      </c>
      <c r="H16" s="6" t="n">
        <v>0</v>
      </c>
      <c r="I16" s="10" t="str">
        <f aca="false">IF(AND(G16=1,H16=1),"VP",IF(G16=1,"Falsa alarma",IF(H16=1,"No detectado","")))</f>
        <v/>
      </c>
    </row>
    <row r="17" customFormat="false" ht="15" hidden="false" customHeight="false" outlineLevel="0" collapsed="false">
      <c r="A17" s="0" t="n">
        <v>13</v>
      </c>
      <c r="B17" s="5" t="n">
        <v>0</v>
      </c>
      <c r="C17" s="7" t="n">
        <f aca="false">MEDIAN(INDEX($B$5:$B$94,MAX(1,A17-3)):INDEX($B$5:$B$94,MIN(90,A17+3)))</f>
        <v>741</v>
      </c>
      <c r="D17" s="7" t="n">
        <f aca="false">B17-C17</f>
        <v>-741</v>
      </c>
      <c r="E17" s="7" t="n">
        <f aca="false">ABS(D17-MEDIAN($D$5:$D$94))</f>
        <v>741</v>
      </c>
      <c r="F17" s="8" t="n">
        <f aca="false">E17/(1.4826*MEDIAN($E$5:$E$94))</f>
        <v>76.3049851560544</v>
      </c>
      <c r="G17" s="9" t="n">
        <f aca="false">IF(F17&gt;Parametros!$B$6,1,0)</f>
        <v>1</v>
      </c>
      <c r="H17" s="6" t="n">
        <v>1</v>
      </c>
      <c r="I17" s="10" t="str">
        <f aca="false">IF(AND(G17=1,H17=1),"VP",IF(G17=1,"Falsa alarma",IF(H17=1,"No detectado","")))</f>
        <v>VP</v>
      </c>
    </row>
    <row r="18" customFormat="false" ht="15" hidden="false" customHeight="false" outlineLevel="0" collapsed="false">
      <c r="A18" s="0" t="n">
        <v>14</v>
      </c>
      <c r="B18" s="5" t="n">
        <v>741</v>
      </c>
      <c r="C18" s="7" t="n">
        <f aca="false">MEDIAN(INDEX($B$5:$B$94,MAX(1,A18-3)):INDEX($B$5:$B$94,MIN(90,A18+3)))</f>
        <v>737.5</v>
      </c>
      <c r="D18" s="7" t="n">
        <f aca="false">B18-C18</f>
        <v>3.5</v>
      </c>
      <c r="E18" s="7" t="n">
        <f aca="false">ABS(D18-MEDIAN($D$5:$D$94))</f>
        <v>3.5</v>
      </c>
      <c r="F18" s="8" t="n">
        <f aca="false">E18/(1.4826*MEDIAN($E$5:$E$94))</f>
        <v>0.360414909643982</v>
      </c>
      <c r="G18" s="9" t="n">
        <f aca="false">IF(F18&gt;Parametros!$B$6,1,0)</f>
        <v>0</v>
      </c>
      <c r="H18" s="6" t="n">
        <v>0</v>
      </c>
      <c r="I18" s="10" t="str">
        <f aca="false">IF(AND(G18=1,H18=1),"VP",IF(G18=1,"Falsa alarma",IF(H18=1,"No detectado","")))</f>
        <v/>
      </c>
    </row>
    <row r="19" customFormat="false" ht="15" hidden="false" customHeight="false" outlineLevel="0" collapsed="false">
      <c r="A19" s="0" t="n">
        <v>15</v>
      </c>
      <c r="B19" s="5" t="n">
        <v>717.1</v>
      </c>
      <c r="C19" s="7" t="n">
        <f aca="false">MEDIAN(INDEX($B$5:$B$94,MAX(1,A19-3)):INDEX($B$5:$B$94,MIN(90,A19+3)))</f>
        <v>717.1</v>
      </c>
      <c r="D19" s="7" t="n">
        <f aca="false">B19-C19</f>
        <v>0</v>
      </c>
      <c r="E19" s="7" t="n">
        <f aca="false">ABS(D19-MEDIAN($D$5:$D$94))</f>
        <v>0</v>
      </c>
      <c r="F19" s="8" t="n">
        <f aca="false">E19/(1.4826*MEDIAN($E$5:$E$94))</f>
        <v>0</v>
      </c>
      <c r="G19" s="9" t="n">
        <f aca="false">IF(F19&gt;Parametros!$B$6,1,0)</f>
        <v>0</v>
      </c>
      <c r="H19" s="6" t="n">
        <v>0</v>
      </c>
      <c r="I19" s="10" t="str">
        <f aca="false">IF(AND(G19=1,H19=1),"VP",IF(G19=1,"Falsa alarma",IF(H19=1,"No detectado","")))</f>
        <v/>
      </c>
    </row>
    <row r="20" customFormat="false" ht="15" hidden="false" customHeight="false" outlineLevel="0" collapsed="false">
      <c r="A20" s="0" t="n">
        <v>16</v>
      </c>
      <c r="B20" s="5" t="n">
        <v>706.1</v>
      </c>
      <c r="C20" s="7" t="n">
        <f aca="false">MEDIAN(INDEX($B$5:$B$94,MAX(1,A20-3)):INDEX($B$5:$B$94,MIN(90,A20+3)))</f>
        <v>706.1</v>
      </c>
      <c r="D20" s="7" t="n">
        <f aca="false">B20-C20</f>
        <v>0</v>
      </c>
      <c r="E20" s="7" t="n">
        <f aca="false">ABS(D20-MEDIAN($D$5:$D$94))</f>
        <v>0</v>
      </c>
      <c r="F20" s="8" t="n">
        <f aca="false">E20/(1.4826*MEDIAN($E$5:$E$94))</f>
        <v>0</v>
      </c>
      <c r="G20" s="9" t="n">
        <f aca="false">IF(F20&gt;Parametros!$B$6,1,0)</f>
        <v>0</v>
      </c>
      <c r="H20" s="6" t="n">
        <v>0</v>
      </c>
      <c r="I20" s="10" t="str">
        <f aca="false">IF(AND(G20=1,H20=1),"VP",IF(G20=1,"Falsa alarma",IF(H20=1,"No detectado","")))</f>
        <v/>
      </c>
    </row>
    <row r="21" customFormat="false" ht="15" hidden="false" customHeight="false" outlineLevel="0" collapsed="false">
      <c r="A21" s="0" t="n">
        <v>17</v>
      </c>
      <c r="B21" s="5" t="n">
        <v>737.5</v>
      </c>
      <c r="C21" s="7" t="n">
        <f aca="false">MEDIAN(INDEX($B$5:$B$94,MAX(1,A21-3)):INDEX($B$5:$B$94,MIN(90,A21+3)))</f>
        <v>706.1</v>
      </c>
      <c r="D21" s="7" t="n">
        <f aca="false">B21-C21</f>
        <v>31.4</v>
      </c>
      <c r="E21" s="7" t="n">
        <f aca="false">ABS(D21-MEDIAN($D$5:$D$94))</f>
        <v>31.4</v>
      </c>
      <c r="F21" s="8" t="n">
        <f aca="false">E21/(1.4826*MEDIAN($E$5:$E$94))</f>
        <v>3.23343661794886</v>
      </c>
      <c r="G21" s="9" t="n">
        <f aca="false">IF(F21&gt;Parametros!$B$6,1,0)</f>
        <v>1</v>
      </c>
      <c r="H21" s="6" t="n">
        <v>0</v>
      </c>
      <c r="I21" s="10" t="str">
        <f aca="false">IF(AND(G21=1,H21=1),"VP",IF(G21=1,"Falsa alarma",IF(H21=1,"No detectado","")))</f>
        <v>Falsa alarma</v>
      </c>
    </row>
    <row r="22" customFormat="false" ht="15" hidden="false" customHeight="false" outlineLevel="0" collapsed="false">
      <c r="A22" s="0" t="n">
        <v>18</v>
      </c>
      <c r="B22" s="5" t="n">
        <v>689.1</v>
      </c>
      <c r="C22" s="7" t="n">
        <f aca="false">MEDIAN(INDEX($B$5:$B$94,MAX(1,A22-3)):INDEX($B$5:$B$94,MIN(90,A22+3)))</f>
        <v>689.1</v>
      </c>
      <c r="D22" s="7" t="n">
        <f aca="false">B22-C22</f>
        <v>0</v>
      </c>
      <c r="E22" s="7" t="n">
        <f aca="false">ABS(D22-MEDIAN($D$5:$D$94))</f>
        <v>0</v>
      </c>
      <c r="F22" s="8" t="n">
        <f aca="false">E22/(1.4826*MEDIAN($E$5:$E$94))</f>
        <v>0</v>
      </c>
      <c r="G22" s="9" t="n">
        <f aca="false">IF(F22&gt;Parametros!$B$6,1,0)</f>
        <v>0</v>
      </c>
      <c r="H22" s="6" t="n">
        <v>0</v>
      </c>
      <c r="I22" s="10" t="str">
        <f aca="false">IF(AND(G22=1,H22=1),"VP",IF(G22=1,"Falsa alarma",IF(H22=1,"No detectado","")))</f>
        <v/>
      </c>
    </row>
    <row r="23" customFormat="false" ht="15" hidden="false" customHeight="false" outlineLevel="0" collapsed="false">
      <c r="A23" s="0" t="n">
        <v>19</v>
      </c>
      <c r="B23" s="5" t="n">
        <v>673.9</v>
      </c>
      <c r="C23" s="7" t="n">
        <f aca="false">MEDIAN(INDEX($B$5:$B$94,MAX(1,A23-3)):INDEX($B$5:$B$94,MIN(90,A23+3)))</f>
        <v>673.9</v>
      </c>
      <c r="D23" s="7" t="n">
        <f aca="false">B23-C23</f>
        <v>0</v>
      </c>
      <c r="E23" s="7" t="n">
        <f aca="false">ABS(D23-MEDIAN($D$5:$D$94))</f>
        <v>0</v>
      </c>
      <c r="F23" s="8" t="n">
        <f aca="false">E23/(1.4826*MEDIAN($E$5:$E$94))</f>
        <v>0</v>
      </c>
      <c r="G23" s="9" t="n">
        <f aca="false">IF(F23&gt;Parametros!$B$6,1,0)</f>
        <v>0</v>
      </c>
      <c r="H23" s="6" t="n">
        <v>0</v>
      </c>
      <c r="I23" s="10" t="str">
        <f aca="false">IF(AND(G23=1,H23=1),"VP",IF(G23=1,"Falsa alarma",IF(H23=1,"No detectado","")))</f>
        <v/>
      </c>
    </row>
    <row r="24" customFormat="false" ht="15" hidden="false" customHeight="false" outlineLevel="0" collapsed="false">
      <c r="A24" s="0" t="n">
        <v>20</v>
      </c>
      <c r="B24" s="5" t="n">
        <v>660.8</v>
      </c>
      <c r="C24" s="7" t="n">
        <f aca="false">MEDIAN(INDEX($B$5:$B$94,MAX(1,A24-3)):INDEX($B$5:$B$94,MIN(90,A24+3)))</f>
        <v>670</v>
      </c>
      <c r="D24" s="7" t="n">
        <f aca="false">B24-C24</f>
        <v>-9.20000000000005</v>
      </c>
      <c r="E24" s="7" t="n">
        <f aca="false">ABS(D24-MEDIAN($D$5:$D$94))</f>
        <v>9.20000000000005</v>
      </c>
      <c r="F24" s="8" t="n">
        <f aca="false">E24/(1.4826*MEDIAN($E$5:$E$94))</f>
        <v>0.947376333921328</v>
      </c>
      <c r="G24" s="9" t="n">
        <f aca="false">IF(F24&gt;Parametros!$B$6,1,0)</f>
        <v>0</v>
      </c>
      <c r="H24" s="6" t="n">
        <v>0</v>
      </c>
      <c r="I24" s="10" t="str">
        <f aca="false">IF(AND(G24=1,H24=1),"VP",IF(G24=1,"Falsa alarma",IF(H24=1,"No detectado","")))</f>
        <v/>
      </c>
    </row>
    <row r="25" customFormat="false" ht="15" hidden="false" customHeight="false" outlineLevel="0" collapsed="false">
      <c r="A25" s="0" t="n">
        <v>21</v>
      </c>
      <c r="B25" s="5" t="n">
        <v>670</v>
      </c>
      <c r="C25" s="7" t="n">
        <f aca="false">MEDIAN(INDEX($B$5:$B$94,MAX(1,A25-3)):INDEX($B$5:$B$94,MIN(90,A25+3)))</f>
        <v>662.7</v>
      </c>
      <c r="D25" s="7" t="n">
        <f aca="false">B25-C25</f>
        <v>7.29999999999995</v>
      </c>
      <c r="E25" s="7" t="n">
        <f aca="false">ABS(D25-MEDIAN($D$5:$D$94))</f>
        <v>7.29999999999995</v>
      </c>
      <c r="F25" s="8" t="n">
        <f aca="false">E25/(1.4826*MEDIAN($E$5:$E$94))</f>
        <v>0.751722525828871</v>
      </c>
      <c r="G25" s="9" t="n">
        <f aca="false">IF(F25&gt;Parametros!$B$6,1,0)</f>
        <v>0</v>
      </c>
      <c r="H25" s="6" t="n">
        <v>0</v>
      </c>
      <c r="I25" s="10" t="str">
        <f aca="false">IF(AND(G25=1,H25=1),"VP",IF(G25=1,"Falsa alarma",IF(H25=1,"No detectado","")))</f>
        <v/>
      </c>
    </row>
    <row r="26" customFormat="false" ht="15" hidden="false" customHeight="false" outlineLevel="0" collapsed="false">
      <c r="A26" s="0" t="n">
        <v>22</v>
      </c>
      <c r="B26" s="5" t="n">
        <v>662.7</v>
      </c>
      <c r="C26" s="7" t="n">
        <f aca="false">MEDIAN(INDEX($B$5:$B$94,MAX(1,A26-3)):INDEX($B$5:$B$94,MIN(90,A26+3)))</f>
        <v>660.8</v>
      </c>
      <c r="D26" s="7" t="n">
        <f aca="false">B26-C26</f>
        <v>1.90000000000009</v>
      </c>
      <c r="E26" s="7" t="n">
        <f aca="false">ABS(D26-MEDIAN($D$5:$D$94))</f>
        <v>1.90000000000009</v>
      </c>
      <c r="F26" s="8" t="n">
        <f aca="false">E26/(1.4826*MEDIAN($E$5:$E$94))</f>
        <v>0.195653808092456</v>
      </c>
      <c r="G26" s="9" t="n">
        <f aca="false">IF(F26&gt;Parametros!$B$6,1,0)</f>
        <v>0</v>
      </c>
      <c r="H26" s="6" t="n">
        <v>0</v>
      </c>
      <c r="I26" s="10" t="str">
        <f aca="false">IF(AND(G26=1,H26=1),"VP",IF(G26=1,"Falsa alarma",IF(H26=1,"No detectado","")))</f>
        <v/>
      </c>
    </row>
    <row r="27" customFormat="false" ht="15" hidden="false" customHeight="false" outlineLevel="0" collapsed="false">
      <c r="A27" s="0" t="n">
        <v>23</v>
      </c>
      <c r="B27" s="5" t="n">
        <v>647.9</v>
      </c>
      <c r="C27" s="7" t="n">
        <f aca="false">MEDIAN(INDEX($B$5:$B$94,MAX(1,A27-3)):INDEX($B$5:$B$94,MIN(90,A27+3)))</f>
        <v>647.9</v>
      </c>
      <c r="D27" s="7" t="n">
        <f aca="false">B27-C27</f>
        <v>0</v>
      </c>
      <c r="E27" s="7" t="n">
        <f aca="false">ABS(D27-MEDIAN($D$5:$D$94))</f>
        <v>0</v>
      </c>
      <c r="F27" s="8" t="n">
        <f aca="false">E27/(1.4826*MEDIAN($E$5:$E$94))</f>
        <v>0</v>
      </c>
      <c r="G27" s="9" t="n">
        <f aca="false">IF(F27&gt;Parametros!$B$6,1,0)</f>
        <v>0</v>
      </c>
      <c r="H27" s="6" t="n">
        <v>0</v>
      </c>
      <c r="I27" s="10" t="str">
        <f aca="false">IF(AND(G27=1,H27=1),"VP",IF(G27=1,"Falsa alarma",IF(H27=1,"No detectado","")))</f>
        <v/>
      </c>
    </row>
    <row r="28" customFormat="false" ht="15" hidden="false" customHeight="false" outlineLevel="0" collapsed="false">
      <c r="A28" s="0" t="n">
        <v>24</v>
      </c>
      <c r="B28" s="5" t="n">
        <v>644.1</v>
      </c>
      <c r="C28" s="7" t="n">
        <f aca="false">MEDIAN(INDEX($B$5:$B$94,MAX(1,A28-3)):INDEX($B$5:$B$94,MIN(90,A28+3)))</f>
        <v>644.1</v>
      </c>
      <c r="D28" s="7" t="n">
        <f aca="false">B28-C28</f>
        <v>0</v>
      </c>
      <c r="E28" s="7" t="n">
        <f aca="false">ABS(D28-MEDIAN($D$5:$D$94))</f>
        <v>0</v>
      </c>
      <c r="F28" s="8" t="n">
        <f aca="false">E28/(1.4826*MEDIAN($E$5:$E$94))</f>
        <v>0</v>
      </c>
      <c r="G28" s="9" t="n">
        <f aca="false">IF(F28&gt;Parametros!$B$6,1,0)</f>
        <v>0</v>
      </c>
      <c r="H28" s="6" t="n">
        <v>0</v>
      </c>
      <c r="I28" s="10" t="str">
        <f aca="false">IF(AND(G28=1,H28=1),"VP",IF(G28=1,"Falsa alarma",IF(H28=1,"No detectado","")))</f>
        <v/>
      </c>
    </row>
    <row r="29" customFormat="false" ht="15" hidden="false" customHeight="false" outlineLevel="0" collapsed="false">
      <c r="A29" s="0" t="n">
        <v>25</v>
      </c>
      <c r="B29" s="5" t="n">
        <v>641.1</v>
      </c>
      <c r="C29" s="7" t="n">
        <f aca="false">MEDIAN(INDEX($B$5:$B$94,MAX(1,A29-3)):INDEX($B$5:$B$94,MIN(90,A29+3)))</f>
        <v>644.1</v>
      </c>
      <c r="D29" s="7" t="n">
        <f aca="false">B29-C29</f>
        <v>-3</v>
      </c>
      <c r="E29" s="7" t="n">
        <f aca="false">ABS(D29-MEDIAN($D$5:$D$94))</f>
        <v>3</v>
      </c>
      <c r="F29" s="8" t="n">
        <f aca="false">E29/(1.4826*MEDIAN($E$5:$E$94))</f>
        <v>0.308927065409127</v>
      </c>
      <c r="G29" s="9" t="n">
        <f aca="false">IF(F29&gt;Parametros!$B$6,1,0)</f>
        <v>0</v>
      </c>
      <c r="H29" s="6" t="n">
        <v>0</v>
      </c>
      <c r="I29" s="10" t="str">
        <f aca="false">IF(AND(G29=1,H29=1),"VP",IF(G29=1,"Falsa alarma",IF(H29=1,"No detectado","")))</f>
        <v/>
      </c>
    </row>
    <row r="30" customFormat="false" ht="15" hidden="false" customHeight="false" outlineLevel="0" collapsed="false">
      <c r="A30" s="0" t="n">
        <v>26</v>
      </c>
      <c r="B30" s="5" t="n">
        <v>639.4</v>
      </c>
      <c r="C30" s="7" t="n">
        <f aca="false">MEDIAN(INDEX($B$5:$B$94,MAX(1,A30-3)):INDEX($B$5:$B$94,MIN(90,A30+3)))</f>
        <v>641.1</v>
      </c>
      <c r="D30" s="7" t="n">
        <f aca="false">B30-C30</f>
        <v>-1.70000000000005</v>
      </c>
      <c r="E30" s="7" t="n">
        <f aca="false">ABS(D30-MEDIAN($D$5:$D$94))</f>
        <v>1.70000000000005</v>
      </c>
      <c r="F30" s="8" t="n">
        <f aca="false">E30/(1.4826*MEDIAN($E$5:$E$94))</f>
        <v>0.17505867039851</v>
      </c>
      <c r="G30" s="9" t="n">
        <f aca="false">IF(F30&gt;Parametros!$B$6,1,0)</f>
        <v>0</v>
      </c>
      <c r="H30" s="6" t="n">
        <v>0</v>
      </c>
      <c r="I30" s="10" t="str">
        <f aca="false">IF(AND(G30=1,H30=1),"VP",IF(G30=1,"Falsa alarma",IF(H30=1,"No detectado","")))</f>
        <v/>
      </c>
    </row>
    <row r="31" customFormat="false" ht="15" hidden="false" customHeight="false" outlineLevel="0" collapsed="false">
      <c r="A31" s="0" t="n">
        <v>27</v>
      </c>
      <c r="B31" s="5" t="n">
        <v>637.5</v>
      </c>
      <c r="C31" s="7" t="n">
        <f aca="false">MEDIAN(INDEX($B$5:$B$94,MAX(1,A31-3)):INDEX($B$5:$B$94,MIN(90,A31+3)))</f>
        <v>639.4</v>
      </c>
      <c r="D31" s="7" t="n">
        <f aca="false">B31-C31</f>
        <v>-1.89999999999998</v>
      </c>
      <c r="E31" s="7" t="n">
        <f aca="false">ABS(D31-MEDIAN($D$5:$D$94))</f>
        <v>1.89999999999998</v>
      </c>
      <c r="F31" s="8" t="n">
        <f aca="false">E31/(1.4826*MEDIAN($E$5:$E$94))</f>
        <v>0.195653808092445</v>
      </c>
      <c r="G31" s="9" t="n">
        <f aca="false">IF(F31&gt;Parametros!$B$6,1,0)</f>
        <v>0</v>
      </c>
      <c r="H31" s="6" t="n">
        <v>0</v>
      </c>
      <c r="I31" s="10" t="str">
        <f aca="false">IF(AND(G31=1,H31=1),"VP",IF(G31=1,"Falsa alarma",IF(H31=1,"No detectado","")))</f>
        <v/>
      </c>
    </row>
    <row r="32" customFormat="false" ht="15" hidden="false" customHeight="false" outlineLevel="0" collapsed="false">
      <c r="A32" s="0" t="n">
        <v>28</v>
      </c>
      <c r="B32" s="5" t="n">
        <v>1650</v>
      </c>
      <c r="C32" s="7" t="n">
        <f aca="false">MEDIAN(INDEX($B$5:$B$94,MAX(1,A32-3)):INDEX($B$5:$B$94,MIN(90,A32+3)))</f>
        <v>637.5</v>
      </c>
      <c r="D32" s="7" t="n">
        <f aca="false">B32-C32</f>
        <v>1012.5</v>
      </c>
      <c r="E32" s="7" t="n">
        <f aca="false">ABS(D32-MEDIAN($D$5:$D$94))</f>
        <v>1012.5</v>
      </c>
      <c r="F32" s="8" t="n">
        <f aca="false">E32/(1.4826*MEDIAN($E$5:$E$94))</f>
        <v>104.26288457558</v>
      </c>
      <c r="G32" s="9" t="n">
        <f aca="false">IF(F32&gt;Parametros!$B$6,1,0)</f>
        <v>1</v>
      </c>
      <c r="H32" s="6" t="n">
        <v>1</v>
      </c>
      <c r="I32" s="10" t="str">
        <f aca="false">IF(AND(G32=1,H32=1),"VP",IF(G32=1,"Falsa alarma",IF(H32=1,"No detectado","")))</f>
        <v>VP</v>
      </c>
    </row>
    <row r="33" customFormat="false" ht="15" hidden="false" customHeight="false" outlineLevel="0" collapsed="false">
      <c r="A33" s="0" t="n">
        <v>29</v>
      </c>
      <c r="B33" s="5" t="n">
        <v>582.4</v>
      </c>
      <c r="C33" s="7" t="n">
        <f aca="false">MEDIAN(INDEX($B$5:$B$94,MAX(1,A33-3)):INDEX($B$5:$B$94,MIN(90,A33+3)))</f>
        <v>610</v>
      </c>
      <c r="D33" s="7" t="n">
        <f aca="false">B33-C33</f>
        <v>-27.6</v>
      </c>
      <c r="E33" s="7" t="n">
        <f aca="false">ABS(D33-MEDIAN($D$5:$D$94))</f>
        <v>27.6</v>
      </c>
      <c r="F33" s="8" t="n">
        <f aca="false">E33/(1.4826*MEDIAN($E$5:$E$94))</f>
        <v>2.84212900176397</v>
      </c>
      <c r="G33" s="9" t="n">
        <f aca="false">IF(F33&gt;Parametros!$B$6,1,0)</f>
        <v>0</v>
      </c>
      <c r="H33" s="6" t="n">
        <v>0</v>
      </c>
      <c r="I33" s="10" t="str">
        <f aca="false">IF(AND(G33=1,H33=1),"VP",IF(G33=1,"Falsa alarma",IF(H33=1,"No detectado","")))</f>
        <v/>
      </c>
    </row>
    <row r="34" customFormat="false" ht="15" hidden="false" customHeight="false" outlineLevel="0" collapsed="false">
      <c r="A34" s="0" t="n">
        <v>30</v>
      </c>
      <c r="B34" s="5" t="n">
        <v>610</v>
      </c>
      <c r="C34" s="7" t="n">
        <f aca="false">MEDIAN(INDEX($B$5:$B$94,MAX(1,A34-3)):INDEX($B$5:$B$94,MIN(90,A34+3)))</f>
        <v>583.6</v>
      </c>
      <c r="D34" s="7" t="n">
        <f aca="false">B34-C34</f>
        <v>26.4</v>
      </c>
      <c r="E34" s="7" t="n">
        <f aca="false">ABS(D34-MEDIAN($D$5:$D$94))</f>
        <v>26.4</v>
      </c>
      <c r="F34" s="8" t="n">
        <f aca="false">E34/(1.4826*MEDIAN($E$5:$E$94))</f>
        <v>2.71855817560032</v>
      </c>
      <c r="G34" s="9" t="n">
        <f aca="false">IF(F34&gt;Parametros!$B$6,1,0)</f>
        <v>0</v>
      </c>
      <c r="H34" s="6" t="n">
        <v>0</v>
      </c>
      <c r="I34" s="10" t="str">
        <f aca="false">IF(AND(G34=1,H34=1),"VP",IF(G34=1,"Falsa alarma",IF(H34=1,"No detectado","")))</f>
        <v/>
      </c>
    </row>
    <row r="35" customFormat="false" ht="15" hidden="false" customHeight="false" outlineLevel="0" collapsed="false">
      <c r="A35" s="0" t="n">
        <v>31</v>
      </c>
      <c r="B35" s="5" t="n">
        <v>573.1</v>
      </c>
      <c r="C35" s="7" t="n">
        <f aca="false">MEDIAN(INDEX($B$5:$B$94,MAX(1,A35-3)):INDEX($B$5:$B$94,MIN(90,A35+3)))</f>
        <v>582.4</v>
      </c>
      <c r="D35" s="7" t="n">
        <f aca="false">B35-C35</f>
        <v>-9.29999999999996</v>
      </c>
      <c r="E35" s="7" t="n">
        <f aca="false">ABS(D35-MEDIAN($D$5:$D$94))</f>
        <v>9.29999999999996</v>
      </c>
      <c r="F35" s="8" t="n">
        <f aca="false">E35/(1.4826*MEDIAN($E$5:$E$94))</f>
        <v>0.957673902768289</v>
      </c>
      <c r="G35" s="9" t="n">
        <f aca="false">IF(F35&gt;Parametros!$B$6,1,0)</f>
        <v>0</v>
      </c>
      <c r="H35" s="6" t="n">
        <v>0</v>
      </c>
      <c r="I35" s="10" t="str">
        <f aca="false">IF(AND(G35=1,H35=1),"VP",IF(G35=1,"Falsa alarma",IF(H35=1,"No detectado","")))</f>
        <v/>
      </c>
    </row>
    <row r="36" customFormat="false" ht="15" hidden="false" customHeight="false" outlineLevel="0" collapsed="false">
      <c r="A36" s="0" t="n">
        <v>32</v>
      </c>
      <c r="B36" s="5" t="n">
        <v>583.6</v>
      </c>
      <c r="C36" s="7" t="n">
        <f aca="false">MEDIAN(INDEX($B$5:$B$94,MAX(1,A36-3)):INDEX($B$5:$B$94,MIN(90,A36+3)))</f>
        <v>573.1</v>
      </c>
      <c r="D36" s="7" t="n">
        <f aca="false">B36-C36</f>
        <v>10.5</v>
      </c>
      <c r="E36" s="7" t="n">
        <f aca="false">ABS(D36-MEDIAN($D$5:$D$94))</f>
        <v>10.5</v>
      </c>
      <c r="F36" s="8" t="n">
        <f aca="false">E36/(1.4826*MEDIAN($E$5:$E$94))</f>
        <v>1.08124472893194</v>
      </c>
      <c r="G36" s="9" t="n">
        <f aca="false">IF(F36&gt;Parametros!$B$6,1,0)</f>
        <v>0</v>
      </c>
      <c r="H36" s="6" t="n">
        <v>0</v>
      </c>
      <c r="I36" s="10" t="str">
        <f aca="false">IF(AND(G36=1,H36=1),"VP",IF(G36=1,"Falsa alarma",IF(H36=1,"No detectado","")))</f>
        <v/>
      </c>
    </row>
    <row r="37" customFormat="false" ht="15" hidden="false" customHeight="false" outlineLevel="0" collapsed="false">
      <c r="A37" s="0" t="n">
        <v>33</v>
      </c>
      <c r="B37" s="5" t="n">
        <v>558.3</v>
      </c>
      <c r="C37" s="7" t="n">
        <f aca="false">MEDIAN(INDEX($B$5:$B$94,MAX(1,A37-3)):INDEX($B$5:$B$94,MIN(90,A37+3)))</f>
        <v>572.1</v>
      </c>
      <c r="D37" s="7" t="n">
        <f aca="false">B37-C37</f>
        <v>-13.8000000000001</v>
      </c>
      <c r="E37" s="7" t="n">
        <f aca="false">ABS(D37-MEDIAN($D$5:$D$94))</f>
        <v>13.8000000000001</v>
      </c>
      <c r="F37" s="8" t="n">
        <f aca="false">E37/(1.4826*MEDIAN($E$5:$E$94))</f>
        <v>1.42106450088199</v>
      </c>
      <c r="G37" s="9" t="n">
        <f aca="false">IF(F37&gt;Parametros!$B$6,1,0)</f>
        <v>0</v>
      </c>
      <c r="H37" s="6" t="n">
        <v>0</v>
      </c>
      <c r="I37" s="10" t="str">
        <f aca="false">IF(AND(G37=1,H37=1),"VP",IF(G37=1,"Falsa alarma",IF(H37=1,"No detectado","")))</f>
        <v/>
      </c>
    </row>
    <row r="38" customFormat="false" ht="15" hidden="false" customHeight="false" outlineLevel="0" collapsed="false">
      <c r="A38" s="0" t="n">
        <v>34</v>
      </c>
      <c r="B38" s="5" t="n">
        <v>572.1</v>
      </c>
      <c r="C38" s="7" t="n">
        <f aca="false">MEDIAN(INDEX($B$5:$B$94,MAX(1,A38-3)):INDEX($B$5:$B$94,MIN(90,A38+3)))</f>
        <v>572.1</v>
      </c>
      <c r="D38" s="7" t="n">
        <f aca="false">B38-C38</f>
        <v>0</v>
      </c>
      <c r="E38" s="7" t="n">
        <f aca="false">ABS(D38-MEDIAN($D$5:$D$94))</f>
        <v>0</v>
      </c>
      <c r="F38" s="8" t="n">
        <f aca="false">E38/(1.4826*MEDIAN($E$5:$E$94))</f>
        <v>0</v>
      </c>
      <c r="G38" s="9" t="n">
        <f aca="false">IF(F38&gt;Parametros!$B$6,1,0)</f>
        <v>0</v>
      </c>
      <c r="H38" s="6" t="n">
        <v>0</v>
      </c>
      <c r="I38" s="10" t="str">
        <f aca="false">IF(AND(G38=1,H38=1),"VP",IF(G38=1,"Falsa alarma",IF(H38=1,"No detectado","")))</f>
        <v/>
      </c>
    </row>
    <row r="39" customFormat="false" ht="15" hidden="false" customHeight="false" outlineLevel="0" collapsed="false">
      <c r="A39" s="0" t="n">
        <v>35</v>
      </c>
      <c r="B39" s="5" t="n">
        <v>554.3</v>
      </c>
      <c r="C39" s="7" t="n">
        <f aca="false">MEDIAN(INDEX($B$5:$B$94,MAX(1,A39-3)):INDEX($B$5:$B$94,MIN(90,A39+3)))</f>
        <v>561.5</v>
      </c>
      <c r="D39" s="7" t="n">
        <f aca="false">B39-C39</f>
        <v>-7.20000000000005</v>
      </c>
      <c r="E39" s="7" t="n">
        <f aca="false">ABS(D39-MEDIAN($D$5:$D$94))</f>
        <v>7.20000000000005</v>
      </c>
      <c r="F39" s="8" t="n">
        <f aca="false">E39/(1.4826*MEDIAN($E$5:$E$94))</f>
        <v>0.74142495698191</v>
      </c>
      <c r="G39" s="9" t="n">
        <f aca="false">IF(F39&gt;Parametros!$B$6,1,0)</f>
        <v>0</v>
      </c>
      <c r="H39" s="6" t="n">
        <v>0</v>
      </c>
      <c r="I39" s="10" t="str">
        <f aca="false">IF(AND(G39=1,H39=1),"VP",IF(G39=1,"Falsa alarma",IF(H39=1,"No detectado","")))</f>
        <v/>
      </c>
    </row>
    <row r="40" customFormat="false" ht="15" hidden="false" customHeight="false" outlineLevel="0" collapsed="false">
      <c r="A40" s="0" t="n">
        <v>36</v>
      </c>
      <c r="B40" s="5" t="n">
        <v>561.5</v>
      </c>
      <c r="C40" s="7" t="n">
        <f aca="false">MEDIAN(INDEX($B$5:$B$94,MAX(1,A40-3)):INDEX($B$5:$B$94,MIN(90,A40+3)))</f>
        <v>558.3</v>
      </c>
      <c r="D40" s="7" t="n">
        <f aca="false">B40-C40</f>
        <v>3.20000000000005</v>
      </c>
      <c r="E40" s="7" t="n">
        <f aca="false">ABS(D40-MEDIAN($D$5:$D$94))</f>
        <v>3.20000000000005</v>
      </c>
      <c r="F40" s="8" t="n">
        <f aca="false">E40/(1.4826*MEDIAN($E$5:$E$94))</f>
        <v>0.329522203103074</v>
      </c>
      <c r="G40" s="9" t="n">
        <f aca="false">IF(F40&gt;Parametros!$B$6,1,0)</f>
        <v>0</v>
      </c>
      <c r="H40" s="6" t="n">
        <v>0</v>
      </c>
      <c r="I40" s="10" t="str">
        <f aca="false">IF(AND(G40=1,H40=1),"VP",IF(G40=1,"Falsa alarma",IF(H40=1,"No detectado","")))</f>
        <v/>
      </c>
    </row>
    <row r="41" customFormat="false" ht="15" hidden="false" customHeight="false" outlineLevel="0" collapsed="false">
      <c r="A41" s="0" t="n">
        <v>37</v>
      </c>
      <c r="B41" s="5" t="n">
        <v>598</v>
      </c>
      <c r="C41" s="7" t="n">
        <f aca="false">MEDIAN(INDEX($B$5:$B$94,MAX(1,A41-3)):INDEX($B$5:$B$94,MIN(90,A41+3)))</f>
        <v>554.3</v>
      </c>
      <c r="D41" s="7" t="n">
        <f aca="false">B41-C41</f>
        <v>43.7</v>
      </c>
      <c r="E41" s="7" t="n">
        <f aca="false">ABS(D41-MEDIAN($D$5:$D$94))</f>
        <v>43.7</v>
      </c>
      <c r="F41" s="8" t="n">
        <f aca="false">E41/(1.4826*MEDIAN($E$5:$E$94))</f>
        <v>4.50003758612629</v>
      </c>
      <c r="G41" s="9" t="n">
        <f aca="false">IF(F41&gt;Parametros!$B$6,1,0)</f>
        <v>1</v>
      </c>
      <c r="H41" s="6" t="n">
        <v>0</v>
      </c>
      <c r="I41" s="10" t="str">
        <f aca="false">IF(AND(G41=1,H41=1),"VP",IF(G41=1,"Falsa alarma",IF(H41=1,"No detectado","")))</f>
        <v>Falsa alarma</v>
      </c>
    </row>
    <row r="42" customFormat="false" ht="15" hidden="false" customHeight="false" outlineLevel="0" collapsed="false">
      <c r="A42" s="0" t="n">
        <v>38</v>
      </c>
      <c r="B42" s="5" t="n">
        <v>544.6</v>
      </c>
      <c r="C42" s="7" t="n">
        <f aca="false">MEDIAN(INDEX($B$5:$B$94,MAX(1,A42-3)):INDEX($B$5:$B$94,MIN(90,A42+3)))</f>
        <v>550.5</v>
      </c>
      <c r="D42" s="7" t="n">
        <f aca="false">B42-C42</f>
        <v>-5.89999999999998</v>
      </c>
      <c r="E42" s="7" t="n">
        <f aca="false">ABS(D42-MEDIAN($D$5:$D$94))</f>
        <v>5.89999999999998</v>
      </c>
      <c r="F42" s="8" t="n">
        <f aca="false">E42/(1.4826*MEDIAN($E$5:$E$94))</f>
        <v>0.607556561971281</v>
      </c>
      <c r="G42" s="9" t="n">
        <f aca="false">IF(F42&gt;Parametros!$B$6,1,0)</f>
        <v>0</v>
      </c>
      <c r="H42" s="6" t="n">
        <v>0</v>
      </c>
      <c r="I42" s="10" t="str">
        <f aca="false">IF(AND(G42=1,H42=1),"VP",IF(G42=1,"Falsa alarma",IF(H42=1,"No detectado","")))</f>
        <v/>
      </c>
    </row>
    <row r="43" customFormat="false" ht="15" hidden="false" customHeight="false" outlineLevel="0" collapsed="false">
      <c r="A43" s="0" t="n">
        <v>39</v>
      </c>
      <c r="B43" s="5" t="n">
        <v>550.5</v>
      </c>
      <c r="C43" s="7" t="n">
        <f aca="false">MEDIAN(INDEX($B$5:$B$94,MAX(1,A43-3)):INDEX($B$5:$B$94,MIN(90,A43+3)))</f>
        <v>544.6</v>
      </c>
      <c r="D43" s="7" t="n">
        <f aca="false">B43-C43</f>
        <v>5.89999999999998</v>
      </c>
      <c r="E43" s="7" t="n">
        <f aca="false">ABS(D43-MEDIAN($D$5:$D$94))</f>
        <v>5.89999999999998</v>
      </c>
      <c r="F43" s="8" t="n">
        <f aca="false">E43/(1.4826*MEDIAN($E$5:$E$94))</f>
        <v>0.607556561971281</v>
      </c>
      <c r="G43" s="9" t="n">
        <f aca="false">IF(F43&gt;Parametros!$B$6,1,0)</f>
        <v>0</v>
      </c>
      <c r="H43" s="6" t="n">
        <v>0</v>
      </c>
      <c r="I43" s="10" t="str">
        <f aca="false">IF(AND(G43=1,H43=1),"VP",IF(G43=1,"Falsa alarma",IF(H43=1,"No detectado","")))</f>
        <v/>
      </c>
    </row>
    <row r="44" customFormat="false" ht="15" hidden="false" customHeight="false" outlineLevel="0" collapsed="false">
      <c r="A44" s="0" t="n">
        <v>40</v>
      </c>
      <c r="B44" s="5" t="n">
        <v>513.8</v>
      </c>
      <c r="C44" s="7" t="n">
        <f aca="false">MEDIAN(INDEX($B$5:$B$94,MAX(1,A44-3)):INDEX($B$5:$B$94,MIN(90,A44+3)))</f>
        <v>529</v>
      </c>
      <c r="D44" s="7" t="n">
        <f aca="false">B44-C44</f>
        <v>-15.2</v>
      </c>
      <c r="E44" s="7" t="n">
        <f aca="false">ABS(D44-MEDIAN($D$5:$D$94))</f>
        <v>15.2</v>
      </c>
      <c r="F44" s="8" t="n">
        <f aca="false">E44/(1.4826*MEDIAN($E$5:$E$94))</f>
        <v>1.56523046473958</v>
      </c>
      <c r="G44" s="9" t="n">
        <f aca="false">IF(F44&gt;Parametros!$B$6,1,0)</f>
        <v>0</v>
      </c>
      <c r="H44" s="6" t="n">
        <v>0</v>
      </c>
      <c r="I44" s="10" t="str">
        <f aca="false">IF(AND(G44=1,H44=1),"VP",IF(G44=1,"Falsa alarma",IF(H44=1,"No detectado","")))</f>
        <v/>
      </c>
    </row>
    <row r="45" customFormat="false" ht="15" hidden="false" customHeight="false" outlineLevel="0" collapsed="false">
      <c r="A45" s="0" t="n">
        <v>41</v>
      </c>
      <c r="B45" s="5" t="n">
        <v>0</v>
      </c>
      <c r="C45" s="7" t="n">
        <f aca="false">MEDIAN(INDEX($B$5:$B$94,MAX(1,A45-3)):INDEX($B$5:$B$94,MIN(90,A45+3)))</f>
        <v>513.8</v>
      </c>
      <c r="D45" s="7" t="n">
        <f aca="false">B45-C45</f>
        <v>-513.8</v>
      </c>
      <c r="E45" s="7" t="n">
        <f aca="false">ABS(D45-MEDIAN($D$5:$D$94))</f>
        <v>513.8</v>
      </c>
      <c r="F45" s="8" t="n">
        <f aca="false">E45/(1.4826*MEDIAN($E$5:$E$94))</f>
        <v>52.9089087357365</v>
      </c>
      <c r="G45" s="9" t="n">
        <f aca="false">IF(F45&gt;Parametros!$B$6,1,0)</f>
        <v>1</v>
      </c>
      <c r="H45" s="6" t="n">
        <v>1</v>
      </c>
      <c r="I45" s="10" t="str">
        <f aca="false">IF(AND(G45=1,H45=1),"VP",IF(G45=1,"Falsa alarma",IF(H45=1,"No detectado","")))</f>
        <v>VP</v>
      </c>
    </row>
    <row r="46" customFormat="false" ht="15" hidden="false" customHeight="false" outlineLevel="0" collapsed="false">
      <c r="A46" s="0" t="n">
        <v>42</v>
      </c>
      <c r="B46" s="5" t="n">
        <v>529</v>
      </c>
      <c r="C46" s="7" t="n">
        <f aca="false">MEDIAN(INDEX($B$5:$B$94,MAX(1,A46-3)):INDEX($B$5:$B$94,MIN(90,A46+3)))</f>
        <v>512.6</v>
      </c>
      <c r="D46" s="7" t="n">
        <f aca="false">B46-C46</f>
        <v>16.4</v>
      </c>
      <c r="E46" s="7" t="n">
        <f aca="false">ABS(D46-MEDIAN($D$5:$D$94))</f>
        <v>16.4</v>
      </c>
      <c r="F46" s="8" t="n">
        <f aca="false">E46/(1.4826*MEDIAN($E$5:$E$94))</f>
        <v>1.68880129090323</v>
      </c>
      <c r="G46" s="9" t="n">
        <f aca="false">IF(F46&gt;Parametros!$B$6,1,0)</f>
        <v>0</v>
      </c>
      <c r="H46" s="6" t="n">
        <v>0</v>
      </c>
      <c r="I46" s="10" t="str">
        <f aca="false">IF(AND(G46=1,H46=1),"VP",IF(G46=1,"Falsa alarma",IF(H46=1,"No detectado","")))</f>
        <v/>
      </c>
    </row>
    <row r="47" customFormat="false" ht="15" hidden="false" customHeight="false" outlineLevel="0" collapsed="false">
      <c r="A47" s="0" t="n">
        <v>43</v>
      </c>
      <c r="B47" s="5" t="n">
        <v>512.2</v>
      </c>
      <c r="C47" s="7" t="n">
        <f aca="false">MEDIAN(INDEX($B$5:$B$94,MAX(1,A47-3)):INDEX($B$5:$B$94,MIN(90,A47+3)))</f>
        <v>512.2</v>
      </c>
      <c r="D47" s="7" t="n">
        <f aca="false">B47-C47</f>
        <v>0</v>
      </c>
      <c r="E47" s="7" t="n">
        <f aca="false">ABS(D47-MEDIAN($D$5:$D$94))</f>
        <v>0</v>
      </c>
      <c r="F47" s="8" t="n">
        <f aca="false">E47/(1.4826*MEDIAN($E$5:$E$94))</f>
        <v>0</v>
      </c>
      <c r="G47" s="9" t="n">
        <f aca="false">IF(F47&gt;Parametros!$B$6,1,0)</f>
        <v>0</v>
      </c>
      <c r="H47" s="6" t="n">
        <v>0</v>
      </c>
      <c r="I47" s="10" t="str">
        <f aca="false">IF(AND(G47=1,H47=1),"VP",IF(G47=1,"Falsa alarma",IF(H47=1,"No detectado","")))</f>
        <v/>
      </c>
    </row>
    <row r="48" customFormat="false" ht="15" hidden="false" customHeight="false" outlineLevel="0" collapsed="false">
      <c r="A48" s="0" t="n">
        <v>44</v>
      </c>
      <c r="B48" s="5" t="n">
        <v>512.6</v>
      </c>
      <c r="C48" s="7" t="n">
        <f aca="false">MEDIAN(INDEX($B$5:$B$94,MAX(1,A48-3)):INDEX($B$5:$B$94,MIN(90,A48+3)))</f>
        <v>502.8</v>
      </c>
      <c r="D48" s="7" t="n">
        <f aca="false">B48-C48</f>
        <v>9.80000000000001</v>
      </c>
      <c r="E48" s="7" t="n">
        <f aca="false">ABS(D48-MEDIAN($D$5:$D$94))</f>
        <v>9.80000000000001</v>
      </c>
      <c r="F48" s="8" t="n">
        <f aca="false">E48/(1.4826*MEDIAN($E$5:$E$94))</f>
        <v>1.00916174700315</v>
      </c>
      <c r="G48" s="9" t="n">
        <f aca="false">IF(F48&gt;Parametros!$B$6,1,0)</f>
        <v>0</v>
      </c>
      <c r="H48" s="6" t="n">
        <v>0</v>
      </c>
      <c r="I48" s="10" t="str">
        <f aca="false">IF(AND(G48=1,H48=1),"VP",IF(G48=1,"Falsa alarma",IF(H48=1,"No detectado","")))</f>
        <v/>
      </c>
    </row>
    <row r="49" customFormat="false" ht="15" hidden="false" customHeight="false" outlineLevel="0" collapsed="false">
      <c r="A49" s="0" t="n">
        <v>45</v>
      </c>
      <c r="B49" s="5" t="n">
        <v>502.8</v>
      </c>
      <c r="C49" s="7" t="n">
        <f aca="false">MEDIAN(INDEX($B$5:$B$94,MAX(1,A49-3)):INDEX($B$5:$B$94,MIN(90,A49+3)))</f>
        <v>502.8</v>
      </c>
      <c r="D49" s="7" t="n">
        <f aca="false">B49-C49</f>
        <v>0</v>
      </c>
      <c r="E49" s="7" t="n">
        <f aca="false">ABS(D49-MEDIAN($D$5:$D$94))</f>
        <v>0</v>
      </c>
      <c r="F49" s="8" t="n">
        <f aca="false">E49/(1.4826*MEDIAN($E$5:$E$94))</f>
        <v>0</v>
      </c>
      <c r="G49" s="9" t="n">
        <f aca="false">IF(F49&gt;Parametros!$B$6,1,0)</f>
        <v>0</v>
      </c>
      <c r="H49" s="6" t="n">
        <v>0</v>
      </c>
      <c r="I49" s="10" t="str">
        <f aca="false">IF(AND(G49=1,H49=1),"VP",IF(G49=1,"Falsa alarma",IF(H49=1,"No detectado","")))</f>
        <v/>
      </c>
    </row>
    <row r="50" customFormat="false" ht="15" hidden="false" customHeight="false" outlineLevel="0" collapsed="false">
      <c r="A50" s="0" t="n">
        <v>46</v>
      </c>
      <c r="B50" s="5" t="n">
        <v>481.3</v>
      </c>
      <c r="C50" s="7" t="n">
        <f aca="false">MEDIAN(INDEX($B$5:$B$94,MAX(1,A50-3)):INDEX($B$5:$B$94,MIN(90,A50+3)))</f>
        <v>502.8</v>
      </c>
      <c r="D50" s="7" t="n">
        <f aca="false">B50-C50</f>
        <v>-21.5</v>
      </c>
      <c r="E50" s="7" t="n">
        <f aca="false">ABS(D50-MEDIAN($D$5:$D$94))</f>
        <v>21.5</v>
      </c>
      <c r="F50" s="8" t="n">
        <f aca="false">E50/(1.4826*MEDIAN($E$5:$E$94))</f>
        <v>2.21397730209874</v>
      </c>
      <c r="G50" s="9" t="n">
        <f aca="false">IF(F50&gt;Parametros!$B$6,1,0)</f>
        <v>0</v>
      </c>
      <c r="H50" s="6" t="n">
        <v>0</v>
      </c>
      <c r="I50" s="10" t="str">
        <f aca="false">IF(AND(G50=1,H50=1),"VP",IF(G50=1,"Falsa alarma",IF(H50=1,"No detectado","")))</f>
        <v/>
      </c>
    </row>
    <row r="51" customFormat="false" ht="15" hidden="false" customHeight="false" outlineLevel="0" collapsed="false">
      <c r="A51" s="0" t="n">
        <v>47</v>
      </c>
      <c r="B51" s="5" t="n">
        <v>497.3</v>
      </c>
      <c r="C51" s="7" t="n">
        <f aca="false">MEDIAN(INDEX($B$5:$B$94,MAX(1,A51-3)):INDEX($B$5:$B$94,MIN(90,A51+3)))</f>
        <v>497.3</v>
      </c>
      <c r="D51" s="7" t="n">
        <f aca="false">B51-C51</f>
        <v>0</v>
      </c>
      <c r="E51" s="7" t="n">
        <f aca="false">ABS(D51-MEDIAN($D$5:$D$94))</f>
        <v>0</v>
      </c>
      <c r="F51" s="8" t="n">
        <f aca="false">E51/(1.4826*MEDIAN($E$5:$E$94))</f>
        <v>0</v>
      </c>
      <c r="G51" s="9" t="n">
        <f aca="false">IF(F51&gt;Parametros!$B$6,1,0)</f>
        <v>0</v>
      </c>
      <c r="H51" s="6" t="n">
        <v>0</v>
      </c>
      <c r="I51" s="10" t="str">
        <f aca="false">IF(AND(G51=1,H51=1),"VP",IF(G51=1,"Falsa alarma",IF(H51=1,"No detectado","")))</f>
        <v/>
      </c>
    </row>
    <row r="52" customFormat="false" ht="15" hidden="false" customHeight="false" outlineLevel="0" collapsed="false">
      <c r="A52" s="0" t="n">
        <v>48</v>
      </c>
      <c r="B52" s="5" t="n">
        <v>472.2</v>
      </c>
      <c r="C52" s="7" t="n">
        <f aca="false">MEDIAN(INDEX($B$5:$B$94,MAX(1,A52-3)):INDEX($B$5:$B$94,MIN(90,A52+3)))</f>
        <v>481.3</v>
      </c>
      <c r="D52" s="7" t="n">
        <f aca="false">B52-C52</f>
        <v>-9.10000000000002</v>
      </c>
      <c r="E52" s="7" t="n">
        <f aca="false">ABS(D52-MEDIAN($D$5:$D$94))</f>
        <v>9.10000000000002</v>
      </c>
      <c r="F52" s="8" t="n">
        <f aca="false">E52/(1.4826*MEDIAN($E$5:$E$94))</f>
        <v>0.937078765074354</v>
      </c>
      <c r="G52" s="9" t="n">
        <f aca="false">IF(F52&gt;Parametros!$B$6,1,0)</f>
        <v>0</v>
      </c>
      <c r="H52" s="6" t="n">
        <v>0</v>
      </c>
      <c r="I52" s="10" t="str">
        <f aca="false">IF(AND(G52=1,H52=1),"VP",IF(G52=1,"Falsa alarma",IF(H52=1,"No detectado","")))</f>
        <v/>
      </c>
    </row>
    <row r="53" customFormat="false" ht="15" hidden="false" customHeight="false" outlineLevel="0" collapsed="false">
      <c r="A53" s="0" t="n">
        <v>49</v>
      </c>
      <c r="B53" s="5" t="n">
        <v>504</v>
      </c>
      <c r="C53" s="7" t="n">
        <f aca="false">MEDIAN(INDEX($B$5:$B$94,MAX(1,A53-3)):INDEX($B$5:$B$94,MIN(90,A53+3)))</f>
        <v>476.1</v>
      </c>
      <c r="D53" s="7" t="n">
        <f aca="false">B53-C53</f>
        <v>27.9</v>
      </c>
      <c r="E53" s="7" t="n">
        <f aca="false">ABS(D53-MEDIAN($D$5:$D$94))</f>
        <v>27.9</v>
      </c>
      <c r="F53" s="8" t="n">
        <f aca="false">E53/(1.4826*MEDIAN($E$5:$E$94))</f>
        <v>2.87302170830488</v>
      </c>
      <c r="G53" s="9" t="n">
        <f aca="false">IF(F53&gt;Parametros!$B$6,1,0)</f>
        <v>0</v>
      </c>
      <c r="H53" s="6" t="n">
        <v>0</v>
      </c>
      <c r="I53" s="10" t="str">
        <f aca="false">IF(AND(G53=1,H53=1),"VP",IF(G53=1,"Falsa alarma",IF(H53=1,"No detectado","")))</f>
        <v/>
      </c>
    </row>
    <row r="54" customFormat="false" ht="15" hidden="false" customHeight="false" outlineLevel="0" collapsed="false">
      <c r="A54" s="0" t="n">
        <v>50</v>
      </c>
      <c r="B54" s="5" t="n">
        <v>465</v>
      </c>
      <c r="C54" s="7" t="n">
        <f aca="false">MEDIAN(INDEX($B$5:$B$94,MAX(1,A54-3)):INDEX($B$5:$B$94,MIN(90,A54+3)))</f>
        <v>472.2</v>
      </c>
      <c r="D54" s="7" t="n">
        <f aca="false">B54-C54</f>
        <v>-7.19999999999999</v>
      </c>
      <c r="E54" s="7" t="n">
        <f aca="false">ABS(D54-MEDIAN($D$5:$D$94))</f>
        <v>7.19999999999999</v>
      </c>
      <c r="F54" s="8" t="n">
        <f aca="false">E54/(1.4826*MEDIAN($E$5:$E$94))</f>
        <v>0.741424956981904</v>
      </c>
      <c r="G54" s="9" t="n">
        <f aca="false">IF(F54&gt;Parametros!$B$6,1,0)</f>
        <v>0</v>
      </c>
      <c r="H54" s="6" t="n">
        <v>0</v>
      </c>
      <c r="I54" s="10" t="str">
        <f aca="false">IF(AND(G54=1,H54=1),"VP",IF(G54=1,"Falsa alarma",IF(H54=1,"No detectado","")))</f>
        <v/>
      </c>
    </row>
    <row r="55" customFormat="false" ht="15" hidden="false" customHeight="false" outlineLevel="0" collapsed="false">
      <c r="A55" s="0" t="n">
        <v>51</v>
      </c>
      <c r="B55" s="5" t="n">
        <v>476.1</v>
      </c>
      <c r="C55" s="7" t="n">
        <f aca="false">MEDIAN(INDEX($B$5:$B$94,MAX(1,A55-3)):INDEX($B$5:$B$94,MIN(90,A55+3)))</f>
        <v>468.8</v>
      </c>
      <c r="D55" s="7" t="n">
        <f aca="false">B55-C55</f>
        <v>7.30000000000001</v>
      </c>
      <c r="E55" s="7" t="n">
        <f aca="false">ABS(D55-MEDIAN($D$5:$D$94))</f>
        <v>7.30000000000001</v>
      </c>
      <c r="F55" s="8" t="n">
        <f aca="false">E55/(1.4826*MEDIAN($E$5:$E$94))</f>
        <v>0.751722525828877</v>
      </c>
      <c r="G55" s="9" t="n">
        <f aca="false">IF(F55&gt;Parametros!$B$6,1,0)</f>
        <v>0</v>
      </c>
      <c r="H55" s="6" t="n">
        <v>0</v>
      </c>
      <c r="I55" s="10" t="str">
        <f aca="false">IF(AND(G55=1,H55=1),"VP",IF(G55=1,"Falsa alarma",IF(H55=1,"No detectado","")))</f>
        <v/>
      </c>
    </row>
    <row r="56" customFormat="false" ht="15" hidden="false" customHeight="false" outlineLevel="0" collapsed="false">
      <c r="A56" s="0" t="n">
        <v>52</v>
      </c>
      <c r="B56" s="5" t="n">
        <v>461</v>
      </c>
      <c r="C56" s="7" t="n">
        <f aca="false">MEDIAN(INDEX($B$5:$B$94,MAX(1,A56-3)):INDEX($B$5:$B$94,MIN(90,A56+3)))</f>
        <v>465</v>
      </c>
      <c r="D56" s="7" t="n">
        <f aca="false">B56-C56</f>
        <v>-4</v>
      </c>
      <c r="E56" s="7" t="n">
        <f aca="false">ABS(D56-MEDIAN($D$5:$D$94))</f>
        <v>4</v>
      </c>
      <c r="F56" s="8" t="n">
        <f aca="false">E56/(1.4826*MEDIAN($E$5:$E$94))</f>
        <v>0.411902753878836</v>
      </c>
      <c r="G56" s="9" t="n">
        <f aca="false">IF(F56&gt;Parametros!$B$6,1,0)</f>
        <v>0</v>
      </c>
      <c r="H56" s="6" t="n">
        <v>0</v>
      </c>
      <c r="I56" s="10" t="str">
        <f aca="false">IF(AND(G56=1,H56=1),"VP",IF(G56=1,"Falsa alarma",IF(H56=1,"No detectado","")))</f>
        <v/>
      </c>
    </row>
    <row r="57" customFormat="false" ht="15" hidden="false" customHeight="false" outlineLevel="0" collapsed="false">
      <c r="A57" s="0" t="n">
        <v>53</v>
      </c>
      <c r="B57" s="5" t="n">
        <v>468.8</v>
      </c>
      <c r="C57" s="7" t="n">
        <f aca="false">MEDIAN(INDEX($B$5:$B$94,MAX(1,A57-3)):INDEX($B$5:$B$94,MIN(90,A57+3)))</f>
        <v>465</v>
      </c>
      <c r="D57" s="7" t="n">
        <f aca="false">B57-C57</f>
        <v>3.80000000000001</v>
      </c>
      <c r="E57" s="7" t="n">
        <f aca="false">ABS(D57-MEDIAN($D$5:$D$94))</f>
        <v>3.80000000000001</v>
      </c>
      <c r="F57" s="8" t="n">
        <f aca="false">E57/(1.4826*MEDIAN($E$5:$E$94))</f>
        <v>0.391307616184895</v>
      </c>
      <c r="G57" s="9" t="n">
        <f aca="false">IF(F57&gt;Parametros!$B$6,1,0)</f>
        <v>0</v>
      </c>
      <c r="H57" s="6" t="n">
        <v>0</v>
      </c>
      <c r="I57" s="10" t="str">
        <f aca="false">IF(AND(G57=1,H57=1),"VP",IF(G57=1,"Falsa alarma",IF(H57=1,"No detectado","")))</f>
        <v/>
      </c>
    </row>
    <row r="58" customFormat="false" ht="15" hidden="false" customHeight="false" outlineLevel="0" collapsed="false">
      <c r="A58" s="0" t="n">
        <v>54</v>
      </c>
      <c r="B58" s="5" t="n">
        <v>441.6</v>
      </c>
      <c r="C58" s="7" t="n">
        <f aca="false">MEDIAN(INDEX($B$5:$B$94,MAX(1,A58-3)):INDEX($B$5:$B$94,MIN(90,A58+3)))</f>
        <v>461</v>
      </c>
      <c r="D58" s="7" t="n">
        <f aca="false">B58-C58</f>
        <v>-19.4</v>
      </c>
      <c r="E58" s="7" t="n">
        <f aca="false">ABS(D58-MEDIAN($D$5:$D$94))</f>
        <v>19.4</v>
      </c>
      <c r="F58" s="8" t="n">
        <f aca="false">E58/(1.4826*MEDIAN($E$5:$E$94))</f>
        <v>1.99772835631235</v>
      </c>
      <c r="G58" s="9" t="n">
        <f aca="false">IF(F58&gt;Parametros!$B$6,1,0)</f>
        <v>0</v>
      </c>
      <c r="H58" s="6" t="n">
        <v>0</v>
      </c>
      <c r="I58" s="10" t="str">
        <f aca="false">IF(AND(G58=1,H58=1),"VP",IF(G58=1,"Falsa alarma",IF(H58=1,"No detectado","")))</f>
        <v/>
      </c>
    </row>
    <row r="59" customFormat="false" ht="15" hidden="false" customHeight="false" outlineLevel="0" collapsed="false">
      <c r="A59" s="0" t="n">
        <v>55</v>
      </c>
      <c r="B59" s="5" t="n">
        <v>458.6</v>
      </c>
      <c r="C59" s="7" t="n">
        <f aca="false">MEDIAN(INDEX($B$5:$B$94,MAX(1,A59-3)):INDEX($B$5:$B$94,MIN(90,A59+3)))</f>
        <v>458.6</v>
      </c>
      <c r="D59" s="7" t="n">
        <f aca="false">B59-C59</f>
        <v>0</v>
      </c>
      <c r="E59" s="7" t="n">
        <f aca="false">ABS(D59-MEDIAN($D$5:$D$94))</f>
        <v>0</v>
      </c>
      <c r="F59" s="8" t="n">
        <f aca="false">E59/(1.4826*MEDIAN($E$5:$E$94))</f>
        <v>0</v>
      </c>
      <c r="G59" s="9" t="n">
        <f aca="false">IF(F59&gt;Parametros!$B$6,1,0)</f>
        <v>0</v>
      </c>
      <c r="H59" s="6" t="n">
        <v>0</v>
      </c>
      <c r="I59" s="10" t="str">
        <f aca="false">IF(AND(G59=1,H59=1),"VP",IF(G59=1,"Falsa alarma",IF(H59=1,"No detectado","")))</f>
        <v/>
      </c>
    </row>
    <row r="60" customFormat="false" ht="15" hidden="false" customHeight="false" outlineLevel="0" collapsed="false">
      <c r="A60" s="0" t="n">
        <v>56</v>
      </c>
      <c r="B60" s="5" t="n">
        <v>1700</v>
      </c>
      <c r="C60" s="7" t="n">
        <f aca="false">MEDIAN(INDEX($B$5:$B$94,MAX(1,A60-3)):INDEX($B$5:$B$94,MIN(90,A60+3)))</f>
        <v>451.8</v>
      </c>
      <c r="D60" s="7" t="n">
        <f aca="false">B60-C60</f>
        <v>1248.2</v>
      </c>
      <c r="E60" s="7" t="n">
        <f aca="false">ABS(D60-MEDIAN($D$5:$D$94))</f>
        <v>1248.2</v>
      </c>
      <c r="F60" s="8" t="n">
        <f aca="false">E60/(1.4826*MEDIAN($E$5:$E$94))</f>
        <v>128.534254347891</v>
      </c>
      <c r="G60" s="9" t="n">
        <f aca="false">IF(F60&gt;Parametros!$B$6,1,0)</f>
        <v>1</v>
      </c>
      <c r="H60" s="6" t="n">
        <v>1</v>
      </c>
      <c r="I60" s="10" t="str">
        <f aca="false">IF(AND(G60=1,H60=1),"VP",IF(G60=1,"Falsa alarma",IF(H60=1,"No detectado","")))</f>
        <v>VP</v>
      </c>
    </row>
    <row r="61" customFormat="false" ht="15" hidden="false" customHeight="false" outlineLevel="0" collapsed="false">
      <c r="A61" s="0" t="n">
        <v>57</v>
      </c>
      <c r="B61" s="5" t="n">
        <v>451.8</v>
      </c>
      <c r="C61" s="7" t="n">
        <f aca="false">MEDIAN(INDEX($B$5:$B$94,MAX(1,A61-3)):INDEX($B$5:$B$94,MIN(90,A61+3)))</f>
        <v>441.6</v>
      </c>
      <c r="D61" s="7" t="n">
        <f aca="false">B61-C61</f>
        <v>10.2</v>
      </c>
      <c r="E61" s="7" t="n">
        <f aca="false">ABS(D61-MEDIAN($D$5:$D$94))</f>
        <v>10.2</v>
      </c>
      <c r="F61" s="8" t="n">
        <f aca="false">E61/(1.4826*MEDIAN($E$5:$E$94))</f>
        <v>1.05035202239103</v>
      </c>
      <c r="G61" s="9" t="n">
        <f aca="false">IF(F61&gt;Parametros!$B$6,1,0)</f>
        <v>0</v>
      </c>
      <c r="H61" s="6" t="n">
        <v>0</v>
      </c>
      <c r="I61" s="10" t="str">
        <f aca="false">IF(AND(G61=1,H61=1),"VP",IF(G61=1,"Falsa alarma",IF(H61=1,"No detectado","")))</f>
        <v/>
      </c>
    </row>
    <row r="62" customFormat="false" ht="15" hidden="false" customHeight="false" outlineLevel="0" collapsed="false">
      <c r="A62" s="0" t="n">
        <v>58</v>
      </c>
      <c r="B62" s="5" t="n">
        <v>437.6</v>
      </c>
      <c r="C62" s="7" t="n">
        <f aca="false">MEDIAN(INDEX($B$5:$B$94,MAX(1,A62-3)):INDEX($B$5:$B$94,MIN(90,A62+3)))</f>
        <v>437.6</v>
      </c>
      <c r="D62" s="7" t="n">
        <f aca="false">B62-C62</f>
        <v>0</v>
      </c>
      <c r="E62" s="7" t="n">
        <f aca="false">ABS(D62-MEDIAN($D$5:$D$94))</f>
        <v>0</v>
      </c>
      <c r="F62" s="8" t="n">
        <f aca="false">E62/(1.4826*MEDIAN($E$5:$E$94))</f>
        <v>0</v>
      </c>
      <c r="G62" s="9" t="n">
        <f aca="false">IF(F62&gt;Parametros!$B$6,1,0)</f>
        <v>0</v>
      </c>
      <c r="H62" s="6" t="n">
        <v>0</v>
      </c>
      <c r="I62" s="10" t="str">
        <f aca="false">IF(AND(G62=1,H62=1),"VP",IF(G62=1,"Falsa alarma",IF(H62=1,"No detectado","")))</f>
        <v/>
      </c>
    </row>
    <row r="63" customFormat="false" ht="15" hidden="false" customHeight="false" outlineLevel="0" collapsed="false">
      <c r="A63" s="0" t="n">
        <v>59</v>
      </c>
      <c r="B63" s="5" t="n">
        <v>425.8</v>
      </c>
      <c r="C63" s="7" t="n">
        <f aca="false">MEDIAN(INDEX($B$5:$B$94,MAX(1,A63-3)):INDEX($B$5:$B$94,MIN(90,A63+3)))</f>
        <v>425.8</v>
      </c>
      <c r="D63" s="7" t="n">
        <f aca="false">B63-C63</f>
        <v>0</v>
      </c>
      <c r="E63" s="7" t="n">
        <f aca="false">ABS(D63-MEDIAN($D$5:$D$94))</f>
        <v>0</v>
      </c>
      <c r="F63" s="8" t="n">
        <f aca="false">E63/(1.4826*MEDIAN($E$5:$E$94))</f>
        <v>0</v>
      </c>
      <c r="G63" s="9" t="n">
        <f aca="false">IF(F63&gt;Parametros!$B$6,1,0)</f>
        <v>0</v>
      </c>
      <c r="H63" s="6" t="n">
        <v>0</v>
      </c>
      <c r="I63" s="10" t="str">
        <f aca="false">IF(AND(G63=1,H63=1),"VP",IF(G63=1,"Falsa alarma",IF(H63=1,"No detectado","")))</f>
        <v/>
      </c>
    </row>
    <row r="64" customFormat="false" ht="15" hidden="false" customHeight="false" outlineLevel="0" collapsed="false">
      <c r="A64" s="0" t="n">
        <v>60</v>
      </c>
      <c r="B64" s="5" t="n">
        <v>407.8</v>
      </c>
      <c r="C64" s="7" t="n">
        <f aca="false">MEDIAN(INDEX($B$5:$B$94,MAX(1,A64-3)):INDEX($B$5:$B$94,MIN(90,A64+3)))</f>
        <v>425.8</v>
      </c>
      <c r="D64" s="7" t="n">
        <f aca="false">B64-C64</f>
        <v>-18</v>
      </c>
      <c r="E64" s="7" t="n">
        <f aca="false">ABS(D64-MEDIAN($D$5:$D$94))</f>
        <v>18</v>
      </c>
      <c r="F64" s="8" t="n">
        <f aca="false">E64/(1.4826*MEDIAN($E$5:$E$94))</f>
        <v>1.85356239245476</v>
      </c>
      <c r="G64" s="9" t="n">
        <f aca="false">IF(F64&gt;Parametros!$B$6,1,0)</f>
        <v>0</v>
      </c>
      <c r="H64" s="6" t="n">
        <v>0</v>
      </c>
      <c r="I64" s="10" t="str">
        <f aca="false">IF(AND(G64=1,H64=1),"VP",IF(G64=1,"Falsa alarma",IF(H64=1,"No detectado","")))</f>
        <v/>
      </c>
    </row>
    <row r="65" customFormat="false" ht="15" hidden="false" customHeight="false" outlineLevel="0" collapsed="false">
      <c r="A65" s="0" t="n">
        <v>61</v>
      </c>
      <c r="B65" s="5" t="n">
        <v>424.5</v>
      </c>
      <c r="C65" s="7" t="n">
        <f aca="false">MEDIAN(INDEX($B$5:$B$94,MAX(1,A65-3)):INDEX($B$5:$B$94,MIN(90,A65+3)))</f>
        <v>424.5</v>
      </c>
      <c r="D65" s="7" t="n">
        <f aca="false">B65-C65</f>
        <v>0</v>
      </c>
      <c r="E65" s="7" t="n">
        <f aca="false">ABS(D65-MEDIAN($D$5:$D$94))</f>
        <v>0</v>
      </c>
      <c r="F65" s="8" t="n">
        <f aca="false">E65/(1.4826*MEDIAN($E$5:$E$94))</f>
        <v>0</v>
      </c>
      <c r="G65" s="9" t="n">
        <f aca="false">IF(F65&gt;Parametros!$B$6,1,0)</f>
        <v>0</v>
      </c>
      <c r="H65" s="6" t="n">
        <v>0</v>
      </c>
      <c r="I65" s="10" t="str">
        <f aca="false">IF(AND(G65=1,H65=1),"VP",IF(G65=1,"Falsa alarma",IF(H65=1,"No detectado","")))</f>
        <v/>
      </c>
    </row>
    <row r="66" customFormat="false" ht="15" hidden="false" customHeight="false" outlineLevel="0" collapsed="false">
      <c r="A66" s="0" t="n">
        <v>62</v>
      </c>
      <c r="B66" s="5" t="n">
        <v>210</v>
      </c>
      <c r="C66" s="7" t="n">
        <f aca="false">MEDIAN(INDEX($B$5:$B$94,MAX(1,A66-3)):INDEX($B$5:$B$94,MIN(90,A66+3)))</f>
        <v>407.8</v>
      </c>
      <c r="D66" s="7" t="n">
        <f aca="false">B66-C66</f>
        <v>-197.8</v>
      </c>
      <c r="E66" s="7" t="n">
        <f aca="false">ABS(D66-MEDIAN($D$5:$D$94))</f>
        <v>197.8</v>
      </c>
      <c r="F66" s="8" t="n">
        <f aca="false">E66/(1.4826*MEDIAN($E$5:$E$94))</f>
        <v>20.3685911793084</v>
      </c>
      <c r="G66" s="9" t="n">
        <f aca="false">IF(F66&gt;Parametros!$B$6,1,0)</f>
        <v>1</v>
      </c>
      <c r="H66" s="6" t="n">
        <v>1</v>
      </c>
      <c r="I66" s="10" t="str">
        <f aca="false">IF(AND(G66=1,H66=1),"VP",IF(G66=1,"Falsa alarma",IF(H66=1,"No detectado","")))</f>
        <v>VP</v>
      </c>
    </row>
    <row r="67" customFormat="false" ht="15" hidden="false" customHeight="false" outlineLevel="0" collapsed="false">
      <c r="A67" s="0" t="n">
        <v>63</v>
      </c>
      <c r="B67" s="5" t="n">
        <v>426.9</v>
      </c>
      <c r="C67" s="7" t="n">
        <f aca="false">MEDIAN(INDEX($B$5:$B$94,MAX(1,A67-3)):INDEX($B$5:$B$94,MIN(90,A67+3)))</f>
        <v>402.1</v>
      </c>
      <c r="D67" s="7" t="n">
        <f aca="false">B67-C67</f>
        <v>24.8</v>
      </c>
      <c r="E67" s="7" t="n">
        <f aca="false">ABS(D67-MEDIAN($D$5:$D$94))</f>
        <v>24.8</v>
      </c>
      <c r="F67" s="8" t="n">
        <f aca="false">E67/(1.4826*MEDIAN($E$5:$E$94))</f>
        <v>2.55379707404878</v>
      </c>
      <c r="G67" s="9" t="n">
        <f aca="false">IF(F67&gt;Parametros!$B$6,1,0)</f>
        <v>0</v>
      </c>
      <c r="H67" s="6" t="n">
        <v>0</v>
      </c>
      <c r="I67" s="10" t="str">
        <f aca="false">IF(AND(G67=1,H67=1),"VP",IF(G67=1,"Falsa alarma",IF(H67=1,"No detectado","")))</f>
        <v/>
      </c>
    </row>
    <row r="68" customFormat="false" ht="15" hidden="false" customHeight="false" outlineLevel="0" collapsed="false">
      <c r="A68" s="0" t="n">
        <v>64</v>
      </c>
      <c r="B68" s="5" t="n">
        <v>393.8</v>
      </c>
      <c r="C68" s="7" t="n">
        <f aca="false">MEDIAN(INDEX($B$5:$B$94,MAX(1,A68-3)):INDEX($B$5:$B$94,MIN(90,A68+3)))</f>
        <v>396.8</v>
      </c>
      <c r="D68" s="7" t="n">
        <f aca="false">B68-C68</f>
        <v>-3</v>
      </c>
      <c r="E68" s="7" t="n">
        <f aca="false">ABS(D68-MEDIAN($D$5:$D$94))</f>
        <v>3</v>
      </c>
      <c r="F68" s="8" t="n">
        <f aca="false">E68/(1.4826*MEDIAN($E$5:$E$94))</f>
        <v>0.308927065409127</v>
      </c>
      <c r="G68" s="9" t="n">
        <f aca="false">IF(F68&gt;Parametros!$B$6,1,0)</f>
        <v>0</v>
      </c>
      <c r="H68" s="6" t="n">
        <v>0</v>
      </c>
      <c r="I68" s="10" t="str">
        <f aca="false">IF(AND(G68=1,H68=1),"VP",IF(G68=1,"Falsa alarma",IF(H68=1,"No detectado","")))</f>
        <v/>
      </c>
    </row>
    <row r="69" customFormat="false" ht="15" hidden="false" customHeight="false" outlineLevel="0" collapsed="false">
      <c r="A69" s="0" t="n">
        <v>65</v>
      </c>
      <c r="B69" s="5" t="n">
        <v>402.1</v>
      </c>
      <c r="C69" s="7" t="n">
        <f aca="false">MEDIAN(INDEX($B$5:$B$94,MAX(1,A69-3)):INDEX($B$5:$B$94,MIN(90,A69+3)))</f>
        <v>393.8</v>
      </c>
      <c r="D69" s="7" t="n">
        <f aca="false">B69-C69</f>
        <v>8.30000000000001</v>
      </c>
      <c r="E69" s="7" t="n">
        <f aca="false">ABS(D69-MEDIAN($D$5:$D$94))</f>
        <v>8.30000000000001</v>
      </c>
      <c r="F69" s="8" t="n">
        <f aca="false">E69/(1.4826*MEDIAN($E$5:$E$94))</f>
        <v>0.854698214298586</v>
      </c>
      <c r="G69" s="9" t="n">
        <f aca="false">IF(F69&gt;Parametros!$B$6,1,0)</f>
        <v>0</v>
      </c>
      <c r="H69" s="6" t="n">
        <v>0</v>
      </c>
      <c r="I69" s="10" t="str">
        <f aca="false">IF(AND(G69=1,H69=1),"VP",IF(G69=1,"Falsa alarma",IF(H69=1,"No detectado","")))</f>
        <v/>
      </c>
    </row>
    <row r="70" customFormat="false" ht="15" hidden="false" customHeight="false" outlineLevel="0" collapsed="false">
      <c r="A70" s="0" t="n">
        <v>66</v>
      </c>
      <c r="B70" s="5" t="n">
        <v>396.8</v>
      </c>
      <c r="C70" s="7" t="n">
        <f aca="false">MEDIAN(INDEX($B$5:$B$94,MAX(1,A70-3)):INDEX($B$5:$B$94,MIN(90,A70+3)))</f>
        <v>393.8</v>
      </c>
      <c r="D70" s="7" t="n">
        <f aca="false">B70-C70</f>
        <v>3</v>
      </c>
      <c r="E70" s="7" t="n">
        <f aca="false">ABS(D70-MEDIAN($D$5:$D$94))</f>
        <v>3</v>
      </c>
      <c r="F70" s="8" t="n">
        <f aca="false">E70/(1.4826*MEDIAN($E$5:$E$94))</f>
        <v>0.308927065409127</v>
      </c>
      <c r="G70" s="9" t="n">
        <f aca="false">IF(F70&gt;Parametros!$B$6,1,0)</f>
        <v>0</v>
      </c>
      <c r="H70" s="6" t="n">
        <v>0</v>
      </c>
      <c r="I70" s="10" t="str">
        <f aca="false">IF(AND(G70=1,H70=1),"VP",IF(G70=1,"Falsa alarma",IF(H70=1,"No detectado","")))</f>
        <v/>
      </c>
    </row>
    <row r="71" customFormat="false" ht="15" hidden="false" customHeight="false" outlineLevel="0" collapsed="false">
      <c r="A71" s="0" t="n">
        <v>67</v>
      </c>
      <c r="B71" s="5" t="n">
        <v>389</v>
      </c>
      <c r="C71" s="7" t="n">
        <f aca="false">MEDIAN(INDEX($B$5:$B$94,MAX(1,A71-3)):INDEX($B$5:$B$94,MIN(90,A71+3)))</f>
        <v>389</v>
      </c>
      <c r="D71" s="7" t="n">
        <f aca="false">B71-C71</f>
        <v>0</v>
      </c>
      <c r="E71" s="7" t="n">
        <f aca="false">ABS(D71-MEDIAN($D$5:$D$94))</f>
        <v>0</v>
      </c>
      <c r="F71" s="8" t="n">
        <f aca="false">E71/(1.4826*MEDIAN($E$5:$E$94))</f>
        <v>0</v>
      </c>
      <c r="G71" s="9" t="n">
        <f aca="false">IF(F71&gt;Parametros!$B$6,1,0)</f>
        <v>0</v>
      </c>
      <c r="H71" s="6" t="n">
        <v>0</v>
      </c>
      <c r="I71" s="10" t="str">
        <f aca="false">IF(AND(G71=1,H71=1),"VP",IF(G71=1,"Falsa alarma",IF(H71=1,"No detectado","")))</f>
        <v/>
      </c>
    </row>
    <row r="72" customFormat="false" ht="15" hidden="false" customHeight="false" outlineLevel="0" collapsed="false">
      <c r="A72" s="0" t="n">
        <v>68</v>
      </c>
      <c r="B72" s="5" t="n">
        <v>383.3</v>
      </c>
      <c r="C72" s="7" t="n">
        <f aca="false">MEDIAN(INDEX($B$5:$B$94,MAX(1,A72-3)):INDEX($B$5:$B$94,MIN(90,A72+3)))</f>
        <v>389</v>
      </c>
      <c r="D72" s="7" t="n">
        <f aca="false">B72-C72</f>
        <v>-5.69999999999999</v>
      </c>
      <c r="E72" s="7" t="n">
        <f aca="false">ABS(D72-MEDIAN($D$5:$D$94))</f>
        <v>5.69999999999999</v>
      </c>
      <c r="F72" s="8" t="n">
        <f aca="false">E72/(1.4826*MEDIAN($E$5:$E$94))</f>
        <v>0.58696142427734</v>
      </c>
      <c r="G72" s="9" t="n">
        <f aca="false">IF(F72&gt;Parametros!$B$6,1,0)</f>
        <v>0</v>
      </c>
      <c r="H72" s="6" t="n">
        <v>0</v>
      </c>
      <c r="I72" s="10" t="str">
        <f aca="false">IF(AND(G72=1,H72=1),"VP",IF(G72=1,"Falsa alarma",IF(H72=1,"No detectado","")))</f>
        <v/>
      </c>
    </row>
    <row r="73" customFormat="false" ht="15" hidden="false" customHeight="false" outlineLevel="0" collapsed="false">
      <c r="A73" s="0" t="n">
        <v>69</v>
      </c>
      <c r="B73" s="5" t="n">
        <v>378.4</v>
      </c>
      <c r="C73" s="7" t="n">
        <f aca="false">MEDIAN(INDEX($B$5:$B$94,MAX(1,A73-3)):INDEX($B$5:$B$94,MIN(90,A73+3)))</f>
        <v>383.3</v>
      </c>
      <c r="D73" s="7" t="n">
        <f aca="false">B73-C73</f>
        <v>-4.90000000000003</v>
      </c>
      <c r="E73" s="7" t="n">
        <f aca="false">ABS(D73-MEDIAN($D$5:$D$94))</f>
        <v>4.90000000000003</v>
      </c>
      <c r="F73" s="8" t="n">
        <f aca="false">E73/(1.4826*MEDIAN($E$5:$E$94))</f>
        <v>0.504580873501578</v>
      </c>
      <c r="G73" s="9" t="n">
        <f aca="false">IF(F73&gt;Parametros!$B$6,1,0)</f>
        <v>0</v>
      </c>
      <c r="H73" s="6" t="n">
        <v>0</v>
      </c>
      <c r="I73" s="10" t="str">
        <f aca="false">IF(AND(G73=1,H73=1),"VP",IF(G73=1,"Falsa alarma",IF(H73=1,"No detectado","")))</f>
        <v/>
      </c>
    </row>
    <row r="74" customFormat="false" ht="15" hidden="false" customHeight="false" outlineLevel="0" collapsed="false">
      <c r="A74" s="0" t="n">
        <v>70</v>
      </c>
      <c r="B74" s="5" t="n">
        <v>363</v>
      </c>
      <c r="C74" s="7" t="n">
        <f aca="false">MEDIAN(INDEX($B$5:$B$94,MAX(1,A74-3)):INDEX($B$5:$B$94,MIN(90,A74+3)))</f>
        <v>378.4</v>
      </c>
      <c r="D74" s="7" t="n">
        <f aca="false">B74-C74</f>
        <v>-15.4</v>
      </c>
      <c r="E74" s="7" t="n">
        <f aca="false">ABS(D74-MEDIAN($D$5:$D$94))</f>
        <v>15.4</v>
      </c>
      <c r="F74" s="8" t="n">
        <f aca="false">E74/(1.4826*MEDIAN($E$5:$E$94))</f>
        <v>1.58582560243352</v>
      </c>
      <c r="G74" s="9" t="n">
        <f aca="false">IF(F74&gt;Parametros!$B$6,1,0)</f>
        <v>0</v>
      </c>
      <c r="H74" s="6" t="n">
        <v>0</v>
      </c>
      <c r="I74" s="10" t="str">
        <f aca="false">IF(AND(G74=1,H74=1),"VP",IF(G74=1,"Falsa alarma",IF(H74=1,"No detectado","")))</f>
        <v/>
      </c>
    </row>
    <row r="75" customFormat="false" ht="15" hidden="false" customHeight="false" outlineLevel="0" collapsed="false">
      <c r="A75" s="0" t="n">
        <v>71</v>
      </c>
      <c r="B75" s="5" t="n">
        <v>1500</v>
      </c>
      <c r="C75" s="7" t="n">
        <f aca="false">MEDIAN(INDEX($B$5:$B$94,MAX(1,A75-3)):INDEX($B$5:$B$94,MIN(90,A75+3)))</f>
        <v>375.1</v>
      </c>
      <c r="D75" s="7" t="n">
        <f aca="false">B75-C75</f>
        <v>1124.9</v>
      </c>
      <c r="E75" s="7" t="n">
        <f aca="false">ABS(D75-MEDIAN($D$5:$D$94))</f>
        <v>1124.9</v>
      </c>
      <c r="F75" s="8" t="n">
        <f aca="false">E75/(1.4826*MEDIAN($E$5:$E$94))</f>
        <v>115.837351959576</v>
      </c>
      <c r="G75" s="9" t="n">
        <f aca="false">IF(F75&gt;Parametros!$B$6,1,0)</f>
        <v>1</v>
      </c>
      <c r="H75" s="6" t="n">
        <v>1</v>
      </c>
      <c r="I75" s="10" t="str">
        <f aca="false">IF(AND(G75=1,H75=1),"VP",IF(G75=1,"Falsa alarma",IF(H75=1,"No detectado","")))</f>
        <v>VP</v>
      </c>
    </row>
    <row r="76" customFormat="false" ht="15" hidden="false" customHeight="false" outlineLevel="0" collapsed="false">
      <c r="A76" s="0" t="n">
        <v>72</v>
      </c>
      <c r="B76" s="5" t="n">
        <v>357</v>
      </c>
      <c r="C76" s="7" t="n">
        <f aca="false">MEDIAN(INDEX($B$5:$B$94,MAX(1,A76-3)):INDEX($B$5:$B$94,MIN(90,A76+3)))</f>
        <v>366.5</v>
      </c>
      <c r="D76" s="7" t="n">
        <f aca="false">B76-C76</f>
        <v>-9.5</v>
      </c>
      <c r="E76" s="7" t="n">
        <f aca="false">ABS(D76-MEDIAN($D$5:$D$94))</f>
        <v>9.5</v>
      </c>
      <c r="F76" s="8" t="n">
        <f aca="false">E76/(1.4826*MEDIAN($E$5:$E$94))</f>
        <v>0.978269040462236</v>
      </c>
      <c r="G76" s="9" t="n">
        <f aca="false">IF(F76&gt;Parametros!$B$6,1,0)</f>
        <v>0</v>
      </c>
      <c r="H76" s="6" t="n">
        <v>0</v>
      </c>
      <c r="I76" s="10" t="str">
        <f aca="false">IF(AND(G76=1,H76=1),"VP",IF(G76=1,"Falsa alarma",IF(H76=1,"No detectado","")))</f>
        <v/>
      </c>
    </row>
    <row r="77" customFormat="false" ht="15" hidden="false" customHeight="false" outlineLevel="0" collapsed="false">
      <c r="A77" s="0" t="n">
        <v>73</v>
      </c>
      <c r="B77" s="5" t="n">
        <v>366.5</v>
      </c>
      <c r="C77" s="7" t="n">
        <f aca="false">MEDIAN(INDEX($B$5:$B$94,MAX(1,A77-3)):INDEX($B$5:$B$94,MIN(90,A77+3)))</f>
        <v>363.4</v>
      </c>
      <c r="D77" s="7" t="n">
        <f aca="false">B77-C77</f>
        <v>3.10000000000002</v>
      </c>
      <c r="E77" s="7" t="n">
        <f aca="false">ABS(D77-MEDIAN($D$5:$D$94))</f>
        <v>3.10000000000002</v>
      </c>
      <c r="F77" s="8" t="n">
        <f aca="false">E77/(1.4826*MEDIAN($E$5:$E$94))</f>
        <v>0.3192246342561</v>
      </c>
      <c r="G77" s="9" t="n">
        <f aca="false">IF(F77&gt;Parametros!$B$6,1,0)</f>
        <v>0</v>
      </c>
      <c r="H77" s="6" t="n">
        <v>0</v>
      </c>
      <c r="I77" s="10" t="str">
        <f aca="false">IF(AND(G77=1,H77=1),"VP",IF(G77=1,"Falsa alarma",IF(H77=1,"No detectado","")))</f>
        <v/>
      </c>
    </row>
    <row r="78" customFormat="false" ht="15" hidden="false" customHeight="false" outlineLevel="0" collapsed="false">
      <c r="A78" s="0" t="n">
        <v>74</v>
      </c>
      <c r="B78" s="5" t="n">
        <v>375.1</v>
      </c>
      <c r="C78" s="7" t="n">
        <f aca="false">MEDIAN(INDEX($B$5:$B$94,MAX(1,A78-3)):INDEX($B$5:$B$94,MIN(90,A78+3)))</f>
        <v>363.4</v>
      </c>
      <c r="D78" s="7" t="n">
        <f aca="false">B78-C78</f>
        <v>11.7</v>
      </c>
      <c r="E78" s="7" t="n">
        <f aca="false">ABS(D78-MEDIAN($D$5:$D$94))</f>
        <v>11.7</v>
      </c>
      <c r="F78" s="8" t="n">
        <f aca="false">E78/(1.4826*MEDIAN($E$5:$E$94))</f>
        <v>1.2048155550956</v>
      </c>
      <c r="G78" s="9" t="n">
        <f aca="false">IF(F78&gt;Parametros!$B$6,1,0)</f>
        <v>0</v>
      </c>
      <c r="H78" s="6" t="n">
        <v>0</v>
      </c>
      <c r="I78" s="10" t="str">
        <f aca="false">IF(AND(G78=1,H78=1),"VP",IF(G78=1,"Falsa alarma",IF(H78=1,"No detectado","")))</f>
        <v/>
      </c>
    </row>
    <row r="79" customFormat="false" ht="15" hidden="false" customHeight="false" outlineLevel="0" collapsed="false">
      <c r="A79" s="0" t="n">
        <v>75</v>
      </c>
      <c r="B79" s="5" t="n">
        <v>363.4</v>
      </c>
      <c r="C79" s="7" t="n">
        <f aca="false">MEDIAN(INDEX($B$5:$B$94,MAX(1,A79-3)):INDEX($B$5:$B$94,MIN(90,A79+3)))</f>
        <v>360.3</v>
      </c>
      <c r="D79" s="7" t="n">
        <f aca="false">B79-C79</f>
        <v>3.09999999999997</v>
      </c>
      <c r="E79" s="7" t="n">
        <f aca="false">ABS(D79-MEDIAN($D$5:$D$94))</f>
        <v>3.09999999999997</v>
      </c>
      <c r="F79" s="8" t="n">
        <f aca="false">E79/(1.4826*MEDIAN($E$5:$E$94))</f>
        <v>0.319224634256094</v>
      </c>
      <c r="G79" s="9" t="n">
        <f aca="false">IF(F79&gt;Parametros!$B$6,1,0)</f>
        <v>0</v>
      </c>
      <c r="H79" s="6" t="n">
        <v>0</v>
      </c>
      <c r="I79" s="10" t="str">
        <f aca="false">IF(AND(G79=1,H79=1),"VP",IF(G79=1,"Falsa alarma",IF(H79=1,"No detectado","")))</f>
        <v/>
      </c>
    </row>
    <row r="80" customFormat="false" ht="15" hidden="false" customHeight="false" outlineLevel="0" collapsed="false">
      <c r="A80" s="0" t="n">
        <v>76</v>
      </c>
      <c r="B80" s="5" t="n">
        <v>360.3</v>
      </c>
      <c r="C80" s="7" t="n">
        <f aca="false">MEDIAN(INDEX($B$5:$B$94,MAX(1,A80-3)):INDEX($B$5:$B$94,MIN(90,A80+3)))</f>
        <v>360.3</v>
      </c>
      <c r="D80" s="7" t="n">
        <f aca="false">B80-C80</f>
        <v>0</v>
      </c>
      <c r="E80" s="7" t="n">
        <f aca="false">ABS(D80-MEDIAN($D$5:$D$94))</f>
        <v>0</v>
      </c>
      <c r="F80" s="8" t="n">
        <f aca="false">E80/(1.4826*MEDIAN($E$5:$E$94))</f>
        <v>0</v>
      </c>
      <c r="G80" s="9" t="n">
        <f aca="false">IF(F80&gt;Parametros!$B$6,1,0)</f>
        <v>0</v>
      </c>
      <c r="H80" s="6" t="n">
        <v>0</v>
      </c>
      <c r="I80" s="10" t="str">
        <f aca="false">IF(AND(G80=1,H80=1),"VP",IF(G80=1,"Falsa alarma",IF(H80=1,"No detectado","")))</f>
        <v/>
      </c>
    </row>
    <row r="81" customFormat="false" ht="15" hidden="false" customHeight="false" outlineLevel="0" collapsed="false">
      <c r="A81" s="0" t="n">
        <v>77</v>
      </c>
      <c r="B81" s="5" t="n">
        <v>352.3</v>
      </c>
      <c r="C81" s="7" t="n">
        <f aca="false">MEDIAN(INDEX($B$5:$B$94,MAX(1,A81-3)):INDEX($B$5:$B$94,MIN(90,A81+3)))</f>
        <v>352.3</v>
      </c>
      <c r="D81" s="7" t="n">
        <f aca="false">B81-C81</f>
        <v>0</v>
      </c>
      <c r="E81" s="7" t="n">
        <f aca="false">ABS(D81-MEDIAN($D$5:$D$94))</f>
        <v>0</v>
      </c>
      <c r="F81" s="8" t="n">
        <f aca="false">E81/(1.4826*MEDIAN($E$5:$E$94))</f>
        <v>0</v>
      </c>
      <c r="G81" s="9" t="n">
        <f aca="false">IF(F81&gt;Parametros!$B$6,1,0)</f>
        <v>0</v>
      </c>
      <c r="H81" s="6" t="n">
        <v>0</v>
      </c>
      <c r="I81" s="10" t="str">
        <f aca="false">IF(AND(G81=1,H81=1),"VP",IF(G81=1,"Falsa alarma",IF(H81=1,"No detectado","")))</f>
        <v/>
      </c>
    </row>
    <row r="82" customFormat="false" ht="15" hidden="false" customHeight="false" outlineLevel="0" collapsed="false">
      <c r="A82" s="0" t="n">
        <v>78</v>
      </c>
      <c r="B82" s="5" t="n">
        <v>347.2</v>
      </c>
      <c r="C82" s="7" t="n">
        <f aca="false">MEDIAN(INDEX($B$5:$B$94,MAX(1,A82-3)):INDEX($B$5:$B$94,MIN(90,A82+3)))</f>
        <v>350.3</v>
      </c>
      <c r="D82" s="7" t="n">
        <f aca="false">B82-C82</f>
        <v>-3.10000000000002</v>
      </c>
      <c r="E82" s="7" t="n">
        <f aca="false">ABS(D82-MEDIAN($D$5:$D$94))</f>
        <v>3.10000000000002</v>
      </c>
      <c r="F82" s="8" t="n">
        <f aca="false">E82/(1.4826*MEDIAN($E$5:$E$94))</f>
        <v>0.3192246342561</v>
      </c>
      <c r="G82" s="9" t="n">
        <f aca="false">IF(F82&gt;Parametros!$B$6,1,0)</f>
        <v>0</v>
      </c>
      <c r="H82" s="6" t="n">
        <v>0</v>
      </c>
      <c r="I82" s="10" t="str">
        <f aca="false">IF(AND(G82=1,H82=1),"VP",IF(G82=1,"Falsa alarma",IF(H82=1,"No detectado","")))</f>
        <v/>
      </c>
    </row>
    <row r="83" customFormat="false" ht="15" hidden="false" customHeight="false" outlineLevel="0" collapsed="false">
      <c r="A83" s="0" t="n">
        <v>79</v>
      </c>
      <c r="B83" s="5" t="n">
        <v>335.9</v>
      </c>
      <c r="C83" s="7" t="n">
        <f aca="false">MEDIAN(INDEX($B$5:$B$94,MAX(1,A83-3)):INDEX($B$5:$B$94,MIN(90,A83+3)))</f>
        <v>347.2</v>
      </c>
      <c r="D83" s="7" t="n">
        <f aca="false">B83-C83</f>
        <v>-11.3</v>
      </c>
      <c r="E83" s="7" t="n">
        <f aca="false">ABS(D83-MEDIAN($D$5:$D$94))</f>
        <v>11.3</v>
      </c>
      <c r="F83" s="8" t="n">
        <f aca="false">E83/(1.4826*MEDIAN($E$5:$E$94))</f>
        <v>1.16362527970771</v>
      </c>
      <c r="G83" s="9" t="n">
        <f aca="false">IF(F83&gt;Parametros!$B$6,1,0)</f>
        <v>0</v>
      </c>
      <c r="H83" s="6" t="n">
        <v>0</v>
      </c>
      <c r="I83" s="10" t="str">
        <f aca="false">IF(AND(G83=1,H83=1),"VP",IF(G83=1,"Falsa alarma",IF(H83=1,"No detectado","")))</f>
        <v/>
      </c>
    </row>
    <row r="84" customFormat="false" ht="15" hidden="false" customHeight="false" outlineLevel="0" collapsed="false">
      <c r="A84" s="0" t="n">
        <v>80</v>
      </c>
      <c r="B84" s="5" t="n">
        <v>340.2</v>
      </c>
      <c r="C84" s="7" t="n">
        <f aca="false">MEDIAN(INDEX($B$5:$B$94,MAX(1,A84-3)):INDEX($B$5:$B$94,MIN(90,A84+3)))</f>
        <v>340.2</v>
      </c>
      <c r="D84" s="7" t="n">
        <f aca="false">B84-C84</f>
        <v>0</v>
      </c>
      <c r="E84" s="7" t="n">
        <f aca="false">ABS(D84-MEDIAN($D$5:$D$94))</f>
        <v>0</v>
      </c>
      <c r="F84" s="8" t="n">
        <f aca="false">E84/(1.4826*MEDIAN($E$5:$E$94))</f>
        <v>0</v>
      </c>
      <c r="G84" s="9" t="n">
        <f aca="false">IF(F84&gt;Parametros!$B$6,1,0)</f>
        <v>0</v>
      </c>
      <c r="H84" s="6" t="n">
        <v>0</v>
      </c>
      <c r="I84" s="10" t="str">
        <f aca="false">IF(AND(G84=1,H84=1),"VP",IF(G84=1,"Falsa alarma",IF(H84=1,"No detectado","")))</f>
        <v/>
      </c>
    </row>
    <row r="85" customFormat="false" ht="15" hidden="false" customHeight="false" outlineLevel="0" collapsed="false">
      <c r="A85" s="0" t="n">
        <v>81</v>
      </c>
      <c r="B85" s="5" t="n">
        <v>350.3</v>
      </c>
      <c r="C85" s="7" t="n">
        <f aca="false">MEDIAN(INDEX($B$5:$B$94,MAX(1,A85-3)):INDEX($B$5:$B$94,MIN(90,A85+3)))</f>
        <v>335.9</v>
      </c>
      <c r="D85" s="7" t="n">
        <f aca="false">B85-C85</f>
        <v>14.4</v>
      </c>
      <c r="E85" s="7" t="n">
        <f aca="false">ABS(D85-MEDIAN($D$5:$D$94))</f>
        <v>14.4</v>
      </c>
      <c r="F85" s="8" t="n">
        <f aca="false">E85/(1.4826*MEDIAN($E$5:$E$94))</f>
        <v>1.48284991396381</v>
      </c>
      <c r="G85" s="9" t="n">
        <f aca="false">IF(F85&gt;Parametros!$B$6,1,0)</f>
        <v>0</v>
      </c>
      <c r="H85" s="6" t="n">
        <v>0</v>
      </c>
      <c r="I85" s="10" t="str">
        <f aca="false">IF(AND(G85=1,H85=1),"VP",IF(G85=1,"Falsa alarma",IF(H85=1,"No detectado","")))</f>
        <v/>
      </c>
    </row>
    <row r="86" customFormat="false" ht="15" hidden="false" customHeight="false" outlineLevel="0" collapsed="false">
      <c r="A86" s="0" t="n">
        <v>82</v>
      </c>
      <c r="B86" s="5" t="n">
        <v>317</v>
      </c>
      <c r="C86" s="7" t="n">
        <f aca="false">MEDIAN(INDEX($B$5:$B$94,MAX(1,A86-3)):INDEX($B$5:$B$94,MIN(90,A86+3)))</f>
        <v>317</v>
      </c>
      <c r="D86" s="7" t="n">
        <f aca="false">B86-C86</f>
        <v>0</v>
      </c>
      <c r="E86" s="7" t="n">
        <f aca="false">ABS(D86-MEDIAN($D$5:$D$94))</f>
        <v>0</v>
      </c>
      <c r="F86" s="8" t="n">
        <f aca="false">E86/(1.4826*MEDIAN($E$5:$E$94))</f>
        <v>0</v>
      </c>
      <c r="G86" s="9" t="n">
        <f aca="false">IF(F86&gt;Parametros!$B$6,1,0)</f>
        <v>0</v>
      </c>
      <c r="H86" s="6" t="n">
        <v>0</v>
      </c>
      <c r="I86" s="10" t="str">
        <f aca="false">IF(AND(G86=1,H86=1),"VP",IF(G86=1,"Falsa alarma",IF(H86=1,"No detectado","")))</f>
        <v/>
      </c>
    </row>
    <row r="87" customFormat="false" ht="15" hidden="false" customHeight="false" outlineLevel="0" collapsed="false">
      <c r="A87" s="0" t="n">
        <v>83</v>
      </c>
      <c r="B87" s="5" t="n">
        <v>308</v>
      </c>
      <c r="C87" s="7" t="n">
        <f aca="false">MEDIAN(INDEX($B$5:$B$94,MAX(1,A87-3)):INDEX($B$5:$B$94,MIN(90,A87+3)))</f>
        <v>317</v>
      </c>
      <c r="D87" s="7" t="n">
        <f aca="false">B87-C87</f>
        <v>-9</v>
      </c>
      <c r="E87" s="7" t="n">
        <f aca="false">ABS(D87-MEDIAN($D$5:$D$94))</f>
        <v>9</v>
      </c>
      <c r="F87" s="8" t="n">
        <f aca="false">E87/(1.4826*MEDIAN($E$5:$E$94))</f>
        <v>0.926781196227381</v>
      </c>
      <c r="G87" s="9" t="n">
        <f aca="false">IF(F87&gt;Parametros!$B$6,1,0)</f>
        <v>0</v>
      </c>
      <c r="H87" s="6" t="n">
        <v>0</v>
      </c>
      <c r="I87" s="10" t="str">
        <f aca="false">IF(AND(G87=1,H87=1),"VP",IF(G87=1,"Falsa alarma",IF(H87=1,"No detectado","")))</f>
        <v/>
      </c>
    </row>
    <row r="88" customFormat="false" ht="15" hidden="false" customHeight="false" outlineLevel="0" collapsed="false">
      <c r="A88" s="0" t="n">
        <v>84</v>
      </c>
      <c r="B88" s="5" t="n">
        <v>0</v>
      </c>
      <c r="C88" s="7" t="n">
        <f aca="false">MEDIAN(INDEX($B$5:$B$94,MAX(1,A88-3)):INDEX($B$5:$B$94,MIN(90,A88+3)))</f>
        <v>315.1</v>
      </c>
      <c r="D88" s="7" t="n">
        <f aca="false">B88-C88</f>
        <v>-315.1</v>
      </c>
      <c r="E88" s="7" t="n">
        <f aca="false">ABS(D88-MEDIAN($D$5:$D$94))</f>
        <v>315.1</v>
      </c>
      <c r="F88" s="8" t="n">
        <f aca="false">E88/(1.4826*MEDIAN($E$5:$E$94))</f>
        <v>32.4476394368053</v>
      </c>
      <c r="G88" s="9" t="n">
        <f aca="false">IF(F88&gt;Parametros!$B$6,1,0)</f>
        <v>1</v>
      </c>
      <c r="H88" s="6" t="n">
        <v>1</v>
      </c>
      <c r="I88" s="10" t="str">
        <f aca="false">IF(AND(G88=1,H88=1),"VP",IF(G88=1,"Falsa alarma",IF(H88=1,"No detectado","")))</f>
        <v>VP</v>
      </c>
    </row>
    <row r="89" customFormat="false" ht="15" hidden="false" customHeight="false" outlineLevel="0" collapsed="false">
      <c r="A89" s="0" t="n">
        <v>85</v>
      </c>
      <c r="B89" s="5" t="n">
        <v>313.6</v>
      </c>
      <c r="C89" s="7" t="n">
        <f aca="false">MEDIAN(INDEX($B$5:$B$94,MAX(1,A89-3)):INDEX($B$5:$B$94,MIN(90,A89+3)))</f>
        <v>313.6</v>
      </c>
      <c r="D89" s="7" t="n">
        <f aca="false">B89-C89</f>
        <v>0</v>
      </c>
      <c r="E89" s="7" t="n">
        <f aca="false">ABS(D89-MEDIAN($D$5:$D$94))</f>
        <v>0</v>
      </c>
      <c r="F89" s="8" t="n">
        <f aca="false">E89/(1.4826*MEDIAN($E$5:$E$94))</f>
        <v>0</v>
      </c>
      <c r="G89" s="9" t="n">
        <f aca="false">IF(F89&gt;Parametros!$B$6,1,0)</f>
        <v>0</v>
      </c>
      <c r="H89" s="6" t="n">
        <v>0</v>
      </c>
      <c r="I89" s="10" t="str">
        <f aca="false">IF(AND(G89=1,H89=1),"VP",IF(G89=1,"Falsa alarma",IF(H89=1,"No detectado","")))</f>
        <v/>
      </c>
    </row>
    <row r="90" customFormat="false" ht="15" hidden="false" customHeight="false" outlineLevel="0" collapsed="false">
      <c r="A90" s="0" t="n">
        <v>86</v>
      </c>
      <c r="B90" s="5" t="n">
        <v>320.1</v>
      </c>
      <c r="C90" s="7" t="n">
        <f aca="false">MEDIAN(INDEX($B$5:$B$94,MAX(1,A90-3)):INDEX($B$5:$B$94,MIN(90,A90+3)))</f>
        <v>313.6</v>
      </c>
      <c r="D90" s="7" t="n">
        <f aca="false">B90-C90</f>
        <v>6.5</v>
      </c>
      <c r="E90" s="7" t="n">
        <f aca="false">ABS(D90-MEDIAN($D$5:$D$94))</f>
        <v>6.5</v>
      </c>
      <c r="F90" s="8" t="n">
        <f aca="false">E90/(1.4826*MEDIAN($E$5:$E$94))</f>
        <v>0.669341975053109</v>
      </c>
      <c r="G90" s="9" t="n">
        <f aca="false">IF(F90&gt;Parametros!$B$6,1,0)</f>
        <v>0</v>
      </c>
      <c r="H90" s="6" t="n">
        <v>0</v>
      </c>
      <c r="I90" s="10" t="str">
        <f aca="false">IF(AND(G90=1,H90=1),"VP",IF(G90=1,"Falsa alarma",IF(H90=1,"No detectado","")))</f>
        <v/>
      </c>
    </row>
    <row r="91" customFormat="false" ht="15" hidden="false" customHeight="false" outlineLevel="0" collapsed="false">
      <c r="A91" s="0" t="n">
        <v>87</v>
      </c>
      <c r="B91" s="5" t="n">
        <v>315.1</v>
      </c>
      <c r="C91" s="7" t="n">
        <f aca="false">MEDIAN(INDEX($B$5:$B$94,MAX(1,A91-3)):INDEX($B$5:$B$94,MIN(90,A91+3)))</f>
        <v>315.1</v>
      </c>
      <c r="D91" s="7" t="n">
        <f aca="false">B91-C91</f>
        <v>0</v>
      </c>
      <c r="E91" s="7" t="n">
        <f aca="false">ABS(D91-MEDIAN($D$5:$D$94))</f>
        <v>0</v>
      </c>
      <c r="F91" s="8" t="n">
        <f aca="false">E91/(1.4826*MEDIAN($E$5:$E$94))</f>
        <v>0</v>
      </c>
      <c r="G91" s="9" t="n">
        <f aca="false">IF(F91&gt;Parametros!$B$6,1,0)</f>
        <v>0</v>
      </c>
      <c r="H91" s="6" t="n">
        <v>0</v>
      </c>
      <c r="I91" s="10" t="str">
        <f aca="false">IF(AND(G91=1,H91=1),"VP",IF(G91=1,"Falsa alarma",IF(H91=1,"No detectado","")))</f>
        <v/>
      </c>
    </row>
    <row r="92" customFormat="false" ht="15" hidden="false" customHeight="false" outlineLevel="0" collapsed="false">
      <c r="A92" s="0" t="n">
        <v>88</v>
      </c>
      <c r="B92" s="5" t="n">
        <v>283.3</v>
      </c>
      <c r="C92" s="7" t="n">
        <f aca="false">MEDIAN(INDEX($B$5:$B$94,MAX(1,A92-3)):INDEX($B$5:$B$94,MIN(90,A92+3)))</f>
        <v>316.05</v>
      </c>
      <c r="D92" s="7" t="n">
        <f aca="false">B92-C92</f>
        <v>-32.75</v>
      </c>
      <c r="E92" s="7" t="n">
        <f aca="false">ABS(D92-MEDIAN($D$5:$D$94))</f>
        <v>32.75</v>
      </c>
      <c r="F92" s="8" t="n">
        <f aca="false">E92/(1.4826*MEDIAN($E$5:$E$94))</f>
        <v>3.37245379738297</v>
      </c>
      <c r="G92" s="9" t="n">
        <f aca="false">IF(F92&gt;Parametros!$B$6,1,0)</f>
        <v>1</v>
      </c>
      <c r="H92" s="6" t="n">
        <v>0</v>
      </c>
      <c r="I92" s="10" t="str">
        <f aca="false">IF(AND(G92=1,H92=1),"VP",IF(G92=1,"Falsa alarma",IF(H92=1,"No detectado","")))</f>
        <v>Falsa alarma</v>
      </c>
    </row>
    <row r="93" customFormat="false" ht="15" hidden="false" customHeight="false" outlineLevel="0" collapsed="false">
      <c r="A93" s="0" t="n">
        <v>89</v>
      </c>
      <c r="B93" s="5" t="n">
        <v>329.7</v>
      </c>
      <c r="C93" s="7" t="n">
        <f aca="false">MEDIAN(INDEX($B$5:$B$94,MAX(1,A93-3)):INDEX($B$5:$B$94,MIN(90,A93+3)))</f>
        <v>317</v>
      </c>
      <c r="D93" s="7" t="n">
        <f aca="false">B93-C93</f>
        <v>12.7</v>
      </c>
      <c r="E93" s="7" t="n">
        <f aca="false">ABS(D93-MEDIAN($D$5:$D$94))</f>
        <v>12.7</v>
      </c>
      <c r="F93" s="8" t="n">
        <f aca="false">E93/(1.4826*MEDIAN($E$5:$E$94))</f>
        <v>1.3077912435653</v>
      </c>
      <c r="G93" s="9" t="n">
        <f aca="false">IF(F93&gt;Parametros!$B$6,1,0)</f>
        <v>0</v>
      </c>
      <c r="H93" s="6" t="n">
        <v>0</v>
      </c>
      <c r="I93" s="10" t="str">
        <f aca="false">IF(AND(G93=1,H93=1),"VP",IF(G93=1,"Falsa alarma",IF(H93=1,"No detectado","")))</f>
        <v/>
      </c>
    </row>
    <row r="94" customFormat="false" ht="15" hidden="false" customHeight="false" outlineLevel="0" collapsed="false">
      <c r="A94" s="0" t="n">
        <v>90</v>
      </c>
      <c r="B94" s="5" t="n">
        <v>317</v>
      </c>
      <c r="C94" s="7" t="n">
        <f aca="false">MEDIAN(INDEX($B$5:$B$94,MAX(1,A94-3)):INDEX($B$5:$B$94,MIN(90,A94+3)))</f>
        <v>316.05</v>
      </c>
      <c r="D94" s="7" t="n">
        <f aca="false">B94-C94</f>
        <v>0.949999999999989</v>
      </c>
      <c r="E94" s="7" t="n">
        <f aca="false">ABS(D94-MEDIAN($D$5:$D$94))</f>
        <v>0.949999999999989</v>
      </c>
      <c r="F94" s="8" t="n">
        <f aca="false">E94/(1.4826*MEDIAN($E$5:$E$94))</f>
        <v>0.0978269040462224</v>
      </c>
      <c r="G94" s="9" t="n">
        <f aca="false">IF(F94&gt;Parametros!$B$6,1,0)</f>
        <v>0</v>
      </c>
      <c r="H94" s="6" t="n">
        <v>0</v>
      </c>
      <c r="I94" s="10" t="str">
        <f aca="false">IF(AND(G94=1,H94=1),"VP",IF(G94=1,"Falsa alarma",IF(H94=1,"No detectado","")))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21</v>
      </c>
      <c r="B4" s="3" t="s">
        <v>3</v>
      </c>
    </row>
    <row r="5" customFormat="false" ht="15" hidden="false" customHeight="false" outlineLevel="0" collapsed="false">
      <c r="A5" s="0" t="s">
        <v>22</v>
      </c>
      <c r="B5" s="11" t="n">
        <f aca="false">COUNTIF(Serie!I5:I94,"VP")</f>
        <v>7</v>
      </c>
    </row>
    <row r="6" customFormat="false" ht="15" hidden="false" customHeight="false" outlineLevel="0" collapsed="false">
      <c r="A6" s="0" t="s">
        <v>23</v>
      </c>
      <c r="B6" s="11" t="n">
        <f aca="false">COUNTIF(Serie!I5:I94,"Falsa alarma")</f>
        <v>3</v>
      </c>
    </row>
    <row r="7" customFormat="false" ht="15" hidden="false" customHeight="false" outlineLevel="0" collapsed="false">
      <c r="A7" s="0" t="s">
        <v>24</v>
      </c>
      <c r="B7" s="11" t="n">
        <f aca="false">COUNTIF(Serie!I5:I94,"No detectado")</f>
        <v>0</v>
      </c>
    </row>
    <row r="8" customFormat="false" ht="15" hidden="false" customHeight="false" outlineLevel="0" collapsed="false">
      <c r="A8" s="0" t="s">
        <v>25</v>
      </c>
      <c r="B8" s="12" t="n">
        <f aca="false">IF(B5+B6=0,0,B5/(B5+B6))</f>
        <v>0.7</v>
      </c>
    </row>
    <row r="9" customFormat="false" ht="15" hidden="false" customHeight="false" outlineLevel="0" collapsed="false">
      <c r="A9" s="0" t="s">
        <v>26</v>
      </c>
      <c r="B9" s="12" t="n">
        <f aca="false">IF(B5+B7=0,0,B5/(B5+B7))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18"/>
    <col collapsed="false" customWidth="true" hidden="false" outlineLevel="0" max="8" min="8" style="0" width="22"/>
    <col collapsed="false" customWidth="true" hidden="false" outlineLevel="0" max="9" min="9" style="0" width="3"/>
    <col collapsed="false" customWidth="true" hidden="false" outlineLevel="0" max="10" min="10" style="0" width="44"/>
    <col collapsed="false" customWidth="true" hidden="false" outlineLevel="0" max="12" min="11" style="0" width="22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1</v>
      </c>
    </row>
    <row r="4" customFormat="false" ht="28.35" hidden="false" customHeight="false" outlineLevel="0" collapsed="false">
      <c r="A4" s="3" t="s">
        <v>11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</row>
    <row r="5" customFormat="false" ht="15" hidden="false" customHeight="false" outlineLevel="0" collapsed="false">
      <c r="A5" s="9" t="n">
        <f aca="false">Serie!A5</f>
        <v>1</v>
      </c>
      <c r="B5" s="13" t="n">
        <f aca="false">LN(MAX(Serie!B5,1))</f>
        <v>6.7249135869413</v>
      </c>
      <c r="C5" s="9" t="n">
        <f aca="false">IF(A5&lt;=Parametros!$B$7,1,0)</f>
        <v>1</v>
      </c>
      <c r="D5" s="9" t="n">
        <f aca="false">IF(A5&lt;=Parametros!$B$7,1-Serie!G5,0)</f>
        <v>1</v>
      </c>
      <c r="E5" s="9" t="n">
        <f aca="false">C5</f>
        <v>1</v>
      </c>
      <c r="F5" s="7" t="n">
        <f aca="false">EXP($K$7+$K$8*A5)</f>
        <v>626.867914777783</v>
      </c>
      <c r="G5" s="7" t="n">
        <f aca="false">EXP($L$7+$L$8*A5)</f>
        <v>844.111762111157</v>
      </c>
      <c r="H5" s="9" t="n">
        <f aca="false">IF(AND(A5&gt;Parametros!$B$7,Serie!G5=0),1,0)</f>
        <v>0</v>
      </c>
      <c r="J5" s="14" t="s">
        <v>35</v>
      </c>
    </row>
    <row r="6" customFormat="false" ht="15" hidden="false" customHeight="false" outlineLevel="0" collapsed="false">
      <c r="A6" s="9" t="n">
        <f aca="false">Serie!A6</f>
        <v>2</v>
      </c>
      <c r="B6" s="13" t="n">
        <f aca="false">LN(MAX(Serie!B6,1))</f>
        <v>6.73945496355044</v>
      </c>
      <c r="C6" s="9" t="n">
        <f aca="false">IF(A6&lt;=Parametros!$B$7,1,0)</f>
        <v>1</v>
      </c>
      <c r="D6" s="9" t="n">
        <f aca="false">IF(A6&lt;=Parametros!$B$7,1-Serie!G6,0)</f>
        <v>1</v>
      </c>
      <c r="E6" s="9" t="n">
        <f aca="false">C6</f>
        <v>1</v>
      </c>
      <c r="F6" s="7" t="n">
        <f aca="false">EXP($K$7+$K$8*A6)</f>
        <v>622.048387901655</v>
      </c>
      <c r="G6" s="7" t="n">
        <f aca="false">EXP($L$7+$L$8*A6)</f>
        <v>834.245249581462</v>
      </c>
      <c r="H6" s="9" t="n">
        <f aca="false">IF(AND(A6&gt;Parametros!$B$7,Serie!G6=0),1,0)</f>
        <v>0</v>
      </c>
      <c r="K6" s="15" t="s">
        <v>36</v>
      </c>
      <c r="L6" s="15" t="s">
        <v>37</v>
      </c>
    </row>
    <row r="7" customFormat="false" ht="15" hidden="false" customHeight="false" outlineLevel="0" collapsed="false">
      <c r="A7" s="9" t="n">
        <f aca="false">Serie!A7</f>
        <v>3</v>
      </c>
      <c r="B7" s="13" t="n">
        <f aca="false">LN(MAX(Serie!B7,1))</f>
        <v>6.73791549969024</v>
      </c>
      <c r="C7" s="9" t="n">
        <f aca="false">IF(A7&lt;=Parametros!$B$7,1,0)</f>
        <v>1</v>
      </c>
      <c r="D7" s="9" t="n">
        <f aca="false">IF(A7&lt;=Parametros!$B$7,1-Serie!G7,0)</f>
        <v>1</v>
      </c>
      <c r="E7" s="9" t="n">
        <f aca="false">C7</f>
        <v>1</v>
      </c>
      <c r="F7" s="7" t="n">
        <f aca="false">EXP($K$7+$K$8*A7)</f>
        <v>617.265914827073</v>
      </c>
      <c r="G7" s="7" t="n">
        <f aca="false">EXP($L$7+$L$8*A7)</f>
        <v>824.494063094914</v>
      </c>
      <c r="H7" s="9" t="n">
        <f aca="false">IF(AND(A7&gt;Parametros!$B$7,Serie!G7=0),1,0)</f>
        <v>0</v>
      </c>
      <c r="J7" s="4" t="s">
        <v>38</v>
      </c>
      <c r="K7" s="13" t="n">
        <f aca="false">(SUMPRODUCT(C5:C94,B5:B94)-K8*SUMPRODUCT(C5:C94,A5:A94))/SUM(C5:C94)</f>
        <v>6.44845382864076</v>
      </c>
      <c r="L7" s="13" t="n">
        <f aca="false">(SUMPRODUCT(D5:D94,B5:B94)-L8*SUMPRODUCT(D5:D94,A5:A94))/SUM(D5:D94)</f>
        <v>6.7500423874078</v>
      </c>
    </row>
    <row r="8" customFormat="false" ht="15" hidden="false" customHeight="false" outlineLevel="0" collapsed="false">
      <c r="A8" s="9" t="n">
        <f aca="false">Serie!A8</f>
        <v>4</v>
      </c>
      <c r="B8" s="13" t="n">
        <f aca="false">LN(MAX(Serie!B8,1))</f>
        <v>6.70048507682422</v>
      </c>
      <c r="C8" s="9" t="n">
        <f aca="false">IF(A8&lt;=Parametros!$B$7,1,0)</f>
        <v>1</v>
      </c>
      <c r="D8" s="9" t="n">
        <f aca="false">IF(A8&lt;=Parametros!$B$7,1-Serie!G8,0)</f>
        <v>1</v>
      </c>
      <c r="E8" s="9" t="n">
        <f aca="false">C8</f>
        <v>1</v>
      </c>
      <c r="F8" s="7" t="n">
        <f aca="false">EXP($K$7+$K$8*A8)</f>
        <v>612.520210674577</v>
      </c>
      <c r="G8" s="7" t="n">
        <f aca="false">EXP($L$7+$L$8*A8)</f>
        <v>814.85685464773</v>
      </c>
      <c r="H8" s="9" t="n">
        <f aca="false">IF(AND(A8&gt;Parametros!$B$7,Serie!G8=0),1,0)</f>
        <v>0</v>
      </c>
      <c r="J8" s="4" t="s">
        <v>39</v>
      </c>
      <c r="K8" s="16" t="n">
        <f aca="false">(SUM(C5:C94)*SUMPRODUCT(C5:C94,A5:A94,B5:B94)-SUMPRODUCT(C5:C94,A5:A94)*SUMPRODUCT(C5:C94,B5:B94))/(SUM(C5:C94)*SUMPRODUCT(C5:C94,A5:A94,A5:A94)-SUMPRODUCT(C5:C94,A5:A94)^2)</f>
        <v>-0.00771797243663775</v>
      </c>
      <c r="L8" s="16" t="n">
        <f aca="false">(SUM(D5:D94)*SUMPRODUCT(D5:D94,A5:A94,B5:B94)-SUMPRODUCT(D5:D94,A5:A94)*SUMPRODUCT(D5:D94,B5:B94))/(SUM(D5:D94)*SUMPRODUCT(D5:D94,A5:A94,A5:A94)-SUMPRODUCT(D5:D94,A5:A94)^2)</f>
        <v>-0.0117574820155552</v>
      </c>
    </row>
    <row r="9" customFormat="false" ht="15" hidden="false" customHeight="false" outlineLevel="0" collapsed="false">
      <c r="A9" s="9" t="n">
        <f aca="false">Serie!A9</f>
        <v>5</v>
      </c>
      <c r="B9" s="13" t="n">
        <f aca="false">LN(MAX(Serie!B9,1))</f>
        <v>6.67405621372841</v>
      </c>
      <c r="C9" s="9" t="n">
        <f aca="false">IF(A9&lt;=Parametros!$B$7,1,0)</f>
        <v>1</v>
      </c>
      <c r="D9" s="9" t="n">
        <f aca="false">IF(A9&lt;=Parametros!$B$7,1-Serie!G9,0)</f>
        <v>1</v>
      </c>
      <c r="E9" s="9" t="n">
        <f aca="false">C9</f>
        <v>1</v>
      </c>
      <c r="F9" s="7" t="n">
        <f aca="false">EXP($K$7+$K$8*A9)</f>
        <v>607.810992754939</v>
      </c>
      <c r="G9" s="7" t="n">
        <f aca="false">EXP($L$7+$L$8*A9)</f>
        <v>805.332291992446</v>
      </c>
      <c r="H9" s="9" t="n">
        <f aca="false">IF(AND(A9&gt;Parametros!$B$7,Serie!G9=0),1,0)</f>
        <v>0</v>
      </c>
    </row>
    <row r="10" customFormat="false" ht="15" hidden="false" customHeight="false" outlineLevel="0" collapsed="false">
      <c r="A10" s="9" t="n">
        <f aca="false">Serie!A10</f>
        <v>6</v>
      </c>
      <c r="B10" s="13" t="n">
        <f aca="false">LN(MAX(Serie!B10,1))</f>
        <v>6.68411160262625</v>
      </c>
      <c r="C10" s="9" t="n">
        <f aca="false">IF(A10&lt;=Parametros!$B$7,1,0)</f>
        <v>1</v>
      </c>
      <c r="D10" s="9" t="n">
        <f aca="false">IF(A10&lt;=Parametros!$B$7,1-Serie!G10,0)</f>
        <v>1</v>
      </c>
      <c r="E10" s="9" t="n">
        <f aca="false">C10</f>
        <v>1</v>
      </c>
      <c r="F10" s="7" t="n">
        <f aca="false">EXP($K$7+$K$8*A10)</f>
        <v>603.137980552318</v>
      </c>
      <c r="G10" s="7" t="n">
        <f aca="false">EXP($L$7+$L$8*A10)</f>
        <v>795.919058453751</v>
      </c>
      <c r="H10" s="9" t="n">
        <f aca="false">IF(AND(A10&gt;Parametros!$B$7,Serie!G10=0),1,0)</f>
        <v>0</v>
      </c>
      <c r="J10" s="14" t="s">
        <v>40</v>
      </c>
    </row>
    <row r="11" customFormat="false" ht="15" hidden="false" customHeight="false" outlineLevel="0" collapsed="false">
      <c r="A11" s="9" t="n">
        <f aca="false">Serie!A11</f>
        <v>7</v>
      </c>
      <c r="B11" s="13" t="n">
        <f aca="false">LN(MAX(Serie!B11,1))</f>
        <v>6.68160721864763</v>
      </c>
      <c r="C11" s="9" t="n">
        <f aca="false">IF(A11&lt;=Parametros!$B$7,1,0)</f>
        <v>1</v>
      </c>
      <c r="D11" s="9" t="n">
        <f aca="false">IF(A11&lt;=Parametros!$B$7,1-Serie!G11,0)</f>
        <v>1</v>
      </c>
      <c r="E11" s="9" t="n">
        <f aca="false">C11</f>
        <v>1</v>
      </c>
      <c r="F11" s="7" t="n">
        <f aca="false">EXP($K$7+$K$8*A11)</f>
        <v>598.500895707553</v>
      </c>
      <c r="G11" s="7" t="n">
        <f aca="false">EXP($L$7+$L$8*A11)</f>
        <v>786.615852746468</v>
      </c>
      <c r="H11" s="9" t="n">
        <f aca="false">IF(AND(A11&gt;Parametros!$B$7,Serie!G11=0),1,0)</f>
        <v>0</v>
      </c>
      <c r="J11" s="4" t="s">
        <v>41</v>
      </c>
      <c r="K11" s="17" t="n">
        <f aca="false">SQRT(SUMPRODUCT(H5:H94,(Serie!B5:B94-F5:F94)^2)/SUM(H5:H94))</f>
        <v>11.3441697422403</v>
      </c>
      <c r="L11" s="17" t="n">
        <f aca="false">SQRT(SUMPRODUCT(H5:H94,(Serie!B5:B94-G5:G94)^2)/SUM(H5:H94))</f>
        <v>13.0767554442223</v>
      </c>
    </row>
    <row r="12" customFormat="false" ht="15" hidden="false" customHeight="false" outlineLevel="0" collapsed="false">
      <c r="A12" s="9" t="n">
        <f aca="false">Serie!A12</f>
        <v>8</v>
      </c>
      <c r="B12" s="13" t="n">
        <f aca="false">LN(MAX(Serie!B12,1))</f>
        <v>6.6807292004037</v>
      </c>
      <c r="C12" s="9" t="n">
        <f aca="false">IF(A12&lt;=Parametros!$B$7,1,0)</f>
        <v>1</v>
      </c>
      <c r="D12" s="9" t="n">
        <f aca="false">IF(A12&lt;=Parametros!$B$7,1-Serie!G12,0)</f>
        <v>1</v>
      </c>
      <c r="E12" s="9" t="n">
        <f aca="false">C12</f>
        <v>1</v>
      </c>
      <c r="F12" s="7" t="n">
        <f aca="false">EXP($K$7+$K$8*A12)</f>
        <v>593.899462001583</v>
      </c>
      <c r="G12" s="7" t="n">
        <f aca="false">EXP($L$7+$L$8*A12)</f>
        <v>777.421388795664</v>
      </c>
      <c r="H12" s="9" t="n">
        <f aca="false">IF(AND(A12&gt;Parametros!$B$7,Serie!G12=0),1,0)</f>
        <v>0</v>
      </c>
      <c r="J12" s="4" t="s">
        <v>42</v>
      </c>
      <c r="K12" s="12" t="n">
        <f aca="false">1-EXP(365*K8)</f>
        <v>0.940218554337512</v>
      </c>
      <c r="L12" s="12" t="n">
        <f aca="false">1-EXP(365*L8)</f>
        <v>0.986315355794265</v>
      </c>
    </row>
    <row r="13" customFormat="false" ht="15" hidden="false" customHeight="false" outlineLevel="0" collapsed="false">
      <c r="A13" s="9" t="n">
        <f aca="false">Serie!A13</f>
        <v>9</v>
      </c>
      <c r="B13" s="13" t="n">
        <f aca="false">LN(MAX(Serie!B13,1))</f>
        <v>6.62698261483129</v>
      </c>
      <c r="C13" s="9" t="n">
        <f aca="false">IF(A13&lt;=Parametros!$B$7,1,0)</f>
        <v>1</v>
      </c>
      <c r="D13" s="9" t="n">
        <f aca="false">IF(A13&lt;=Parametros!$B$7,1-Serie!G13,0)</f>
        <v>1</v>
      </c>
      <c r="E13" s="9" t="n">
        <f aca="false">C13</f>
        <v>1</v>
      </c>
      <c r="F13" s="7" t="n">
        <f aca="false">EXP($K$7+$K$8*A13)</f>
        <v>589.333405338994</v>
      </c>
      <c r="G13" s="7" t="n">
        <f aca="false">EXP($L$7+$L$8*A13)</f>
        <v>768.334395558867</v>
      </c>
      <c r="H13" s="9" t="n">
        <f aca="false">IF(AND(A13&gt;Parametros!$B$7,Serie!G13=0),1,0)</f>
        <v>0</v>
      </c>
    </row>
    <row r="14" customFormat="false" ht="15" hidden="false" customHeight="false" outlineLevel="0" collapsed="false">
      <c r="A14" s="9" t="n">
        <f aca="false">Serie!A14</f>
        <v>10</v>
      </c>
      <c r="B14" s="13" t="n">
        <f aca="false">LN(MAX(Serie!B14,1))</f>
        <v>6.61324998118223</v>
      </c>
      <c r="C14" s="9" t="n">
        <f aca="false">IF(A14&lt;=Parametros!$B$7,1,0)</f>
        <v>1</v>
      </c>
      <c r="D14" s="9" t="n">
        <f aca="false">IF(A14&lt;=Parametros!$B$7,1-Serie!G14,0)</f>
        <v>1</v>
      </c>
      <c r="E14" s="9" t="n">
        <f aca="false">C14</f>
        <v>1</v>
      </c>
      <c r="F14" s="7" t="n">
        <f aca="false">EXP($K$7+$K$8*A14)</f>
        <v>584.802453731687</v>
      </c>
      <c r="G14" s="7" t="n">
        <f aca="false">EXP($L$7+$L$8*A14)</f>
        <v>759.353616850349</v>
      </c>
      <c r="H14" s="9" t="n">
        <f aca="false">IF(AND(A14&gt;Parametros!$B$7,Serie!G14=0),1,0)</f>
        <v>0</v>
      </c>
      <c r="J14" s="2" t="s">
        <v>43</v>
      </c>
    </row>
    <row r="15" customFormat="false" ht="15" hidden="false" customHeight="false" outlineLevel="0" collapsed="false">
      <c r="A15" s="9" t="n">
        <f aca="false">Serie!A15</f>
        <v>11</v>
      </c>
      <c r="B15" s="13" t="n">
        <f aca="false">LN(MAX(Serie!B15,1))</f>
        <v>6.63830597479142</v>
      </c>
      <c r="C15" s="9" t="n">
        <f aca="false">IF(A15&lt;=Parametros!$B$7,1,0)</f>
        <v>1</v>
      </c>
      <c r="D15" s="9" t="n">
        <f aca="false">IF(A15&lt;=Parametros!$B$7,1-Serie!G15,0)</f>
        <v>1</v>
      </c>
      <c r="E15" s="9" t="n">
        <f aca="false">C15</f>
        <v>1</v>
      </c>
      <c r="F15" s="7" t="n">
        <f aca="false">EXP($K$7+$K$8*A15)</f>
        <v>580.306337282683</v>
      </c>
      <c r="G15" s="7" t="n">
        <f aca="false">EXP($L$7+$L$8*A15)</f>
        <v>750.477811167479</v>
      </c>
      <c r="H15" s="9" t="n">
        <f aca="false">IF(AND(A15&gt;Parametros!$B$7,Serie!G15=0),1,0)</f>
        <v>0</v>
      </c>
    </row>
    <row r="16" customFormat="false" ht="15" hidden="false" customHeight="false" outlineLevel="0" collapsed="false">
      <c r="A16" s="9" t="n">
        <f aca="false">Serie!A16</f>
        <v>12</v>
      </c>
      <c r="B16" s="13" t="n">
        <f aca="false">LN(MAX(Serie!B16,1))</f>
        <v>6.62207120919303</v>
      </c>
      <c r="C16" s="9" t="n">
        <f aca="false">IF(A16&lt;=Parametros!$B$7,1,0)</f>
        <v>1</v>
      </c>
      <c r="D16" s="9" t="n">
        <f aca="false">IF(A16&lt;=Parametros!$B$7,1-Serie!G16,0)</f>
        <v>1</v>
      </c>
      <c r="E16" s="9" t="n">
        <f aca="false">C16</f>
        <v>1</v>
      </c>
      <c r="F16" s="7" t="n">
        <f aca="false">EXP($K$7+$K$8*A16)</f>
        <v>575.844788170039</v>
      </c>
      <c r="G16" s="7" t="n">
        <f aca="false">EXP($L$7+$L$8*A16)</f>
        <v>741.705751519095</v>
      </c>
      <c r="H16" s="9" t="n">
        <f aca="false">IF(AND(A16&gt;Parametros!$B$7,Serie!G16=0),1,0)</f>
        <v>0</v>
      </c>
    </row>
    <row r="17" customFormat="false" ht="15" hidden="false" customHeight="false" outlineLevel="0" collapsed="false">
      <c r="A17" s="9" t="n">
        <f aca="false">Serie!A17</f>
        <v>13</v>
      </c>
      <c r="B17" s="13" t="n">
        <f aca="false">LN(MAX(Serie!B17,1))</f>
        <v>0</v>
      </c>
      <c r="C17" s="9" t="n">
        <f aca="false">IF(A17&lt;=Parametros!$B$7,1,0)</f>
        <v>1</v>
      </c>
      <c r="D17" s="9" t="n">
        <f aca="false">IF(A17&lt;=Parametros!$B$7,1-Serie!G17,0)</f>
        <v>0</v>
      </c>
      <c r="E17" s="9" t="n">
        <f aca="false">C17</f>
        <v>1</v>
      </c>
      <c r="F17" s="7" t="n">
        <f aca="false">EXP($K$7+$K$8*A17)</f>
        <v>571.417540630903</v>
      </c>
      <c r="G17" s="7" t="n">
        <f aca="false">EXP($L$7+$L$8*A17)</f>
        <v>733.036225255881</v>
      </c>
      <c r="H17" s="9" t="n">
        <f aca="false">IF(AND(A17&gt;Parametros!$B$7,Serie!G17=0),1,0)</f>
        <v>0</v>
      </c>
    </row>
    <row r="18" customFormat="false" ht="15" hidden="false" customHeight="false" outlineLevel="0" collapsed="false">
      <c r="A18" s="9" t="n">
        <f aca="false">Serie!A18</f>
        <v>14</v>
      </c>
      <c r="B18" s="13" t="n">
        <f aca="false">LN(MAX(Serie!B18,1))</f>
        <v>6.60800062529609</v>
      </c>
      <c r="C18" s="9" t="n">
        <f aca="false">IF(A18&lt;=Parametros!$B$7,1,0)</f>
        <v>1</v>
      </c>
      <c r="D18" s="9" t="n">
        <f aca="false">IF(A18&lt;=Parametros!$B$7,1-Serie!G18,0)</f>
        <v>1</v>
      </c>
      <c r="E18" s="9" t="n">
        <f aca="false">C18</f>
        <v>1</v>
      </c>
      <c r="F18" s="7" t="n">
        <f aca="false">EXP($K$7+$K$8*A18)</f>
        <v>567.024330945673</v>
      </c>
      <c r="G18" s="7" t="n">
        <f aca="false">EXP($L$7+$L$8*A18)</f>
        <v>724.468033902738</v>
      </c>
      <c r="H18" s="9" t="n">
        <f aca="false">IF(AND(A18&gt;Parametros!$B$7,Serie!G18=0),1,0)</f>
        <v>0</v>
      </c>
    </row>
    <row r="19" customFormat="false" ht="15" hidden="false" customHeight="false" outlineLevel="0" collapsed="false">
      <c r="A19" s="9" t="n">
        <f aca="false">Serie!A19</f>
        <v>15</v>
      </c>
      <c r="B19" s="13" t="n">
        <f aca="false">LN(MAX(Serie!B19,1))</f>
        <v>6.57521530088853</v>
      </c>
      <c r="C19" s="9" t="n">
        <f aca="false">IF(A19&lt;=Parametros!$B$7,1,0)</f>
        <v>1</v>
      </c>
      <c r="D19" s="9" t="n">
        <f aca="false">IF(A19&lt;=Parametros!$B$7,1-Serie!G19,0)</f>
        <v>1</v>
      </c>
      <c r="E19" s="9" t="n">
        <f aca="false">C19</f>
        <v>1</v>
      </c>
      <c r="F19" s="7" t="n">
        <f aca="false">EXP($K$7+$K$8*A19)</f>
        <v>562.664897422296</v>
      </c>
      <c r="G19" s="7" t="n">
        <f aca="false">EXP($L$7+$L$8*A19)</f>
        <v>715.999992993098</v>
      </c>
      <c r="H19" s="9" t="n">
        <f aca="false">IF(AND(A19&gt;Parametros!$B$7,Serie!G19=0),1,0)</f>
        <v>0</v>
      </c>
    </row>
    <row r="20" customFormat="false" ht="15" hidden="false" customHeight="false" outlineLevel="0" collapsed="false">
      <c r="A20" s="9" t="n">
        <f aca="false">Serie!A20</f>
        <v>16</v>
      </c>
      <c r="B20" s="13" t="n">
        <f aca="false">LN(MAX(Serie!B20,1))</f>
        <v>6.5597568705223</v>
      </c>
      <c r="C20" s="9" t="n">
        <f aca="false">IF(A20&lt;=Parametros!$B$7,1,0)</f>
        <v>1</v>
      </c>
      <c r="D20" s="9" t="n">
        <f aca="false">IF(A20&lt;=Parametros!$B$7,1-Serie!G20,0)</f>
        <v>1</v>
      </c>
      <c r="E20" s="9" t="n">
        <f aca="false">C20</f>
        <v>1</v>
      </c>
      <c r="F20" s="7" t="n">
        <f aca="false">EXP($K$7+$K$8*A20)</f>
        <v>558.338980380679</v>
      </c>
      <c r="G20" s="7" t="n">
        <f aca="false">EXP($L$7+$L$8*A20)</f>
        <v>707.630931905192</v>
      </c>
      <c r="H20" s="9" t="n">
        <f aca="false">IF(AND(A20&gt;Parametros!$B$7,Serie!G20=0),1,0)</f>
        <v>0</v>
      </c>
    </row>
    <row r="21" customFormat="false" ht="15" hidden="false" customHeight="false" outlineLevel="0" collapsed="false">
      <c r="A21" s="9" t="n">
        <f aca="false">Serie!A21</f>
        <v>17</v>
      </c>
      <c r="B21" s="13" t="n">
        <f aca="false">LN(MAX(Serie!B21,1))</f>
        <v>6.60326608821398</v>
      </c>
      <c r="C21" s="9" t="n">
        <f aca="false">IF(A21&lt;=Parametros!$B$7,1,0)</f>
        <v>1</v>
      </c>
      <c r="D21" s="9" t="n">
        <f aca="false">IF(A21&lt;=Parametros!$B$7,1-Serie!G21,0)</f>
        <v>0</v>
      </c>
      <c r="E21" s="9" t="n">
        <f aca="false">C21</f>
        <v>1</v>
      </c>
      <c r="F21" s="7" t="n">
        <f aca="false">EXP($K$7+$K$8*A21)</f>
        <v>554.046322137214</v>
      </c>
      <c r="G21" s="7" t="n">
        <f aca="false">EXP($L$7+$L$8*A21)</f>
        <v>699.359693700217</v>
      </c>
      <c r="H21" s="9" t="n">
        <f aca="false">IF(AND(A21&gt;Parametros!$B$7,Serie!G21=0),1,0)</f>
        <v>0</v>
      </c>
    </row>
    <row r="22" customFormat="false" ht="15" hidden="false" customHeight="false" outlineLevel="0" collapsed="false">
      <c r="A22" s="9" t="n">
        <f aca="false">Serie!A22</f>
        <v>18</v>
      </c>
      <c r="B22" s="13" t="n">
        <f aca="false">LN(MAX(Serie!B22,1))</f>
        <v>6.53538639836316</v>
      </c>
      <c r="C22" s="9" t="n">
        <f aca="false">IF(A22&lt;=Parametros!$B$7,1,0)</f>
        <v>1</v>
      </c>
      <c r="D22" s="9" t="n">
        <f aca="false">IF(A22&lt;=Parametros!$B$7,1-Serie!G22,0)</f>
        <v>1</v>
      </c>
      <c r="E22" s="9" t="n">
        <f aca="false">C22</f>
        <v>1</v>
      </c>
      <c r="F22" s="7" t="n">
        <f aca="false">EXP($K$7+$K$8*A22)</f>
        <v>549.786666989435</v>
      </c>
      <c r="G22" s="7" t="n">
        <f aca="false">EXP($L$7+$L$8*A22)</f>
        <v>691.185134962404</v>
      </c>
      <c r="H22" s="9" t="n">
        <f aca="false">IF(AND(A22&gt;Parametros!$B$7,Serie!G22=0),1,0)</f>
        <v>0</v>
      </c>
    </row>
    <row r="23" customFormat="false" ht="15" hidden="false" customHeight="false" outlineLevel="0" collapsed="false">
      <c r="A23" s="9" t="n">
        <f aca="false">Serie!A23</f>
        <v>19</v>
      </c>
      <c r="B23" s="13" t="n">
        <f aca="false">LN(MAX(Serie!B23,1))</f>
        <v>6.51308173195217</v>
      </c>
      <c r="C23" s="9" t="n">
        <f aca="false">IF(A23&lt;=Parametros!$B$7,1,0)</f>
        <v>1</v>
      </c>
      <c r="D23" s="9" t="n">
        <f aca="false">IF(A23&lt;=Parametros!$B$7,1-Serie!G23,0)</f>
        <v>1</v>
      </c>
      <c r="E23" s="9" t="n">
        <f aca="false">C23</f>
        <v>1</v>
      </c>
      <c r="F23" s="7" t="n">
        <f aca="false">EXP($K$7+$K$8*A23)</f>
        <v>545.559761200786</v>
      </c>
      <c r="G23" s="7" t="n">
        <f aca="false">EXP($L$7+$L$8*A23)</f>
        <v>683.106125640949</v>
      </c>
      <c r="H23" s="9" t="n">
        <f aca="false">IF(AND(A23&gt;Parametros!$B$7,Serie!G23=0),1,0)</f>
        <v>0</v>
      </c>
    </row>
    <row r="24" customFormat="false" ht="15" hidden="false" customHeight="false" outlineLevel="0" collapsed="false">
      <c r="A24" s="9" t="n">
        <f aca="false">Serie!A24</f>
        <v>20</v>
      </c>
      <c r="B24" s="13" t="n">
        <f aca="false">LN(MAX(Serie!B24,1))</f>
        <v>6.49345122220677</v>
      </c>
      <c r="C24" s="9" t="n">
        <f aca="false">IF(A24&lt;=Parametros!$B$7,1,0)</f>
        <v>1</v>
      </c>
      <c r="D24" s="9" t="n">
        <f aca="false">IF(A24&lt;=Parametros!$B$7,1-Serie!G24,0)</f>
        <v>1</v>
      </c>
      <c r="E24" s="9" t="n">
        <f aca="false">C24</f>
        <v>1</v>
      </c>
      <c r="F24" s="7" t="n">
        <f aca="false">EXP($K$7+$K$8*A24)</f>
        <v>541.365352985503</v>
      </c>
      <c r="G24" s="7" t="n">
        <f aca="false">EXP($L$7+$L$8*A24)</f>
        <v>675.1215488938</v>
      </c>
      <c r="H24" s="9" t="n">
        <f aca="false">IF(AND(A24&gt;Parametros!$B$7,Serie!G24=0),1,0)</f>
        <v>0</v>
      </c>
    </row>
    <row r="25" customFormat="false" ht="15" hidden="false" customHeight="false" outlineLevel="0" collapsed="false">
      <c r="A25" s="9" t="n">
        <f aca="false">Serie!A25</f>
        <v>21</v>
      </c>
      <c r="B25" s="13" t="n">
        <f aca="false">LN(MAX(Serie!B25,1))</f>
        <v>6.50727771238501</v>
      </c>
      <c r="C25" s="9" t="n">
        <f aca="false">IF(A25&lt;=Parametros!$B$7,1,0)</f>
        <v>1</v>
      </c>
      <c r="D25" s="9" t="n">
        <f aca="false">IF(A25&lt;=Parametros!$B$7,1-Serie!G25,0)</f>
        <v>1</v>
      </c>
      <c r="E25" s="9" t="n">
        <f aca="false">C25</f>
        <v>1</v>
      </c>
      <c r="F25" s="7" t="n">
        <f aca="false">EXP($K$7+$K$8*A25)</f>
        <v>537.203192493619</v>
      </c>
      <c r="G25" s="7" t="n">
        <f aca="false">EXP($L$7+$L$8*A25)</f>
        <v>667.230300933259</v>
      </c>
      <c r="H25" s="9" t="n">
        <f aca="false">IF(AND(A25&gt;Parametros!$B$7,Serie!G25=0),1,0)</f>
        <v>0</v>
      </c>
    </row>
    <row r="26" customFormat="false" ht="15" hidden="false" customHeight="false" outlineLevel="0" collapsed="false">
      <c r="A26" s="9" t="n">
        <f aca="false">Serie!A26</f>
        <v>22</v>
      </c>
      <c r="B26" s="13" t="n">
        <f aca="false">LN(MAX(Serie!B26,1))</f>
        <v>6.49632239909418</v>
      </c>
      <c r="C26" s="9" t="n">
        <f aca="false">IF(A26&lt;=Parametros!$B$7,1,0)</f>
        <v>1</v>
      </c>
      <c r="D26" s="9" t="n">
        <f aca="false">IF(A26&lt;=Parametros!$B$7,1-Serie!G26,0)</f>
        <v>1</v>
      </c>
      <c r="E26" s="9" t="n">
        <f aca="false">C26</f>
        <v>1</v>
      </c>
      <c r="F26" s="7" t="n">
        <f aca="false">EXP($K$7+$K$8*A26)</f>
        <v>533.073031796078</v>
      </c>
      <c r="G26" s="7" t="n">
        <f aca="false">EXP($L$7+$L$8*A26)</f>
        <v>659.4312908734</v>
      </c>
      <c r="H26" s="9" t="n">
        <f aca="false">IF(AND(A26&gt;Parametros!$B$7,Serie!G26=0),1,0)</f>
        <v>0</v>
      </c>
    </row>
    <row r="27" customFormat="false" ht="15" hidden="false" customHeight="false" outlineLevel="0" collapsed="false">
      <c r="A27" s="9" t="n">
        <f aca="false">Serie!A27</f>
        <v>23</v>
      </c>
      <c r="B27" s="13" t="n">
        <f aca="false">LN(MAX(Serie!B27,1))</f>
        <v>6.47373636345591</v>
      </c>
      <c r="C27" s="9" t="n">
        <f aca="false">IF(A27&lt;=Parametros!$B$7,1,0)</f>
        <v>1</v>
      </c>
      <c r="D27" s="9" t="n">
        <f aca="false">IF(A27&lt;=Parametros!$B$7,1-Serie!G27,0)</f>
        <v>1</v>
      </c>
      <c r="E27" s="9" t="n">
        <f aca="false">C27</f>
        <v>1</v>
      </c>
      <c r="F27" s="7" t="n">
        <f aca="false">EXP($K$7+$K$8*A27)</f>
        <v>528.974624869969</v>
      </c>
      <c r="G27" s="7" t="n">
        <f aca="false">EXP($L$7+$L$8*A27)</f>
        <v>651.72344057926</v>
      </c>
      <c r="H27" s="9" t="n">
        <f aca="false">IF(AND(A27&gt;Parametros!$B$7,Serie!G27=0),1,0)</f>
        <v>0</v>
      </c>
    </row>
    <row r="28" customFormat="false" ht="15" hidden="false" customHeight="false" outlineLevel="0" collapsed="false">
      <c r="A28" s="9" t="n">
        <f aca="false">Serie!A28</f>
        <v>24</v>
      </c>
      <c r="B28" s="13" t="n">
        <f aca="false">LN(MAX(Serie!B28,1))</f>
        <v>6.46785399355285</v>
      </c>
      <c r="C28" s="9" t="n">
        <f aca="false">IF(A28&lt;=Parametros!$B$7,1,0)</f>
        <v>1</v>
      </c>
      <c r="D28" s="9" t="n">
        <f aca="false">IF(A28&lt;=Parametros!$B$7,1-Serie!G28,0)</f>
        <v>1</v>
      </c>
      <c r="E28" s="9" t="n">
        <f aca="false">C28</f>
        <v>1</v>
      </c>
      <c r="F28" s="7" t="n">
        <f aca="false">EXP($K$7+$K$8*A28)</f>
        <v>524.907727583873</v>
      </c>
      <c r="G28" s="7" t="n">
        <f aca="false">EXP($L$7+$L$8*A28)</f>
        <v>644.105684517801</v>
      </c>
      <c r="H28" s="9" t="n">
        <f aca="false">IF(AND(A28&gt;Parametros!$B$7,Serie!G28=0),1,0)</f>
        <v>0</v>
      </c>
    </row>
    <row r="29" customFormat="false" ht="15" hidden="false" customHeight="false" outlineLevel="0" collapsed="false">
      <c r="A29" s="9" t="n">
        <f aca="false">Serie!A29</f>
        <v>25</v>
      </c>
      <c r="B29" s="13" t="n">
        <f aca="false">LN(MAX(Serie!B29,1))</f>
        <v>6.46318545099321</v>
      </c>
      <c r="C29" s="9" t="n">
        <f aca="false">IF(A29&lt;=Parametros!$B$7,1,0)</f>
        <v>1</v>
      </c>
      <c r="D29" s="9" t="n">
        <f aca="false">IF(A29&lt;=Parametros!$B$7,1-Serie!G29,0)</f>
        <v>1</v>
      </c>
      <c r="E29" s="9" t="n">
        <f aca="false">C29</f>
        <v>1</v>
      </c>
      <c r="F29" s="7" t="n">
        <f aca="false">EXP($K$7+$K$8*A29)</f>
        <v>520.872097683315</v>
      </c>
      <c r="G29" s="7" t="n">
        <f aca="false">EXP($L$7+$L$8*A29)</f>
        <v>636.576969610608</v>
      </c>
      <c r="H29" s="9" t="n">
        <f aca="false">IF(AND(A29&gt;Parametros!$B$7,Serie!G29=0),1,0)</f>
        <v>0</v>
      </c>
    </row>
    <row r="30" customFormat="false" ht="15" hidden="false" customHeight="false" outlineLevel="0" collapsed="false">
      <c r="A30" s="9" t="n">
        <f aca="false">Serie!A30</f>
        <v>26</v>
      </c>
      <c r="B30" s="13" t="n">
        <f aca="false">LN(MAX(Serie!B30,1))</f>
        <v>6.46053023662574</v>
      </c>
      <c r="C30" s="9" t="n">
        <f aca="false">IF(A30&lt;=Parametros!$B$7,1,0)</f>
        <v>1</v>
      </c>
      <c r="D30" s="9" t="n">
        <f aca="false">IF(A30&lt;=Parametros!$B$7,1-Serie!G30,0)</f>
        <v>1</v>
      </c>
      <c r="E30" s="9" t="n">
        <f aca="false">C30</f>
        <v>1</v>
      </c>
      <c r="F30" s="7" t="n">
        <f aca="false">EXP($K$7+$K$8*A30)</f>
        <v>516.867494776337</v>
      </c>
      <c r="G30" s="7" t="n">
        <f aca="false">EXP($L$7+$L$8*A30)</f>
        <v>629.136255088315</v>
      </c>
      <c r="H30" s="9" t="n">
        <f aca="false">IF(AND(A30&gt;Parametros!$B$7,Serie!G30=0),1,0)</f>
        <v>0</v>
      </c>
    </row>
    <row r="31" customFormat="false" ht="15" hidden="false" customHeight="false" outlineLevel="0" collapsed="false">
      <c r="A31" s="9" t="n">
        <f aca="false">Serie!A31</f>
        <v>27</v>
      </c>
      <c r="B31" s="13" t="n">
        <f aca="false">LN(MAX(Serie!B31,1))</f>
        <v>6.45755427703258</v>
      </c>
      <c r="C31" s="9" t="n">
        <f aca="false">IF(A31&lt;=Parametros!$B$7,1,0)</f>
        <v>1</v>
      </c>
      <c r="D31" s="9" t="n">
        <f aca="false">IF(A31&lt;=Parametros!$B$7,1-Serie!G31,0)</f>
        <v>1</v>
      </c>
      <c r="E31" s="9" t="n">
        <f aca="false">C31</f>
        <v>1</v>
      </c>
      <c r="F31" s="7" t="n">
        <f aca="false">EXP($K$7+$K$8*A31)</f>
        <v>512.893680319181</v>
      </c>
      <c r="G31" s="7" t="n">
        <f aca="false">EXP($L$7+$L$8*A31)</f>
        <v>621.782512346727</v>
      </c>
      <c r="H31" s="9" t="n">
        <f aca="false">IF(AND(A31&gt;Parametros!$B$7,Serie!G31=0),1,0)</f>
        <v>0</v>
      </c>
    </row>
    <row r="32" customFormat="false" ht="15" hidden="false" customHeight="false" outlineLevel="0" collapsed="false">
      <c r="A32" s="9" t="n">
        <f aca="false">Serie!A32</f>
        <v>28</v>
      </c>
      <c r="B32" s="13" t="n">
        <f aca="false">LN(MAX(Serie!B32,1))</f>
        <v>7.40853056689463</v>
      </c>
      <c r="C32" s="9" t="n">
        <f aca="false">IF(A32&lt;=Parametros!$B$7,1,0)</f>
        <v>1</v>
      </c>
      <c r="D32" s="9" t="n">
        <f aca="false">IF(A32&lt;=Parametros!$B$7,1-Serie!G32,0)</f>
        <v>0</v>
      </c>
      <c r="E32" s="9" t="n">
        <f aca="false">C32</f>
        <v>1</v>
      </c>
      <c r="F32" s="7" t="n">
        <f aca="false">EXP($K$7+$K$8*A32)</f>
        <v>508.950417602072</v>
      </c>
      <c r="G32" s="7" t="n">
        <f aca="false">EXP($L$7+$L$8*A32)</f>
        <v>614.514724804623</v>
      </c>
      <c r="H32" s="9" t="n">
        <f aca="false">IF(AND(A32&gt;Parametros!$B$7,Serie!G32=0),1,0)</f>
        <v>0</v>
      </c>
    </row>
    <row r="33" customFormat="false" ht="15" hidden="false" customHeight="false" outlineLevel="0" collapsed="false">
      <c r="A33" s="9" t="n">
        <f aca="false">Serie!A33</f>
        <v>29</v>
      </c>
      <c r="B33" s="13" t="n">
        <f aca="false">LN(MAX(Serie!B33,1))</f>
        <v>6.36715749688248</v>
      </c>
      <c r="C33" s="9" t="n">
        <f aca="false">IF(A33&lt;=Parametros!$B$7,1,0)</f>
        <v>1</v>
      </c>
      <c r="D33" s="9" t="n">
        <f aca="false">IF(A33&lt;=Parametros!$B$7,1-Serie!G33,0)</f>
        <v>1</v>
      </c>
      <c r="E33" s="9" t="n">
        <f aca="false">C33</f>
        <v>1</v>
      </c>
      <c r="F33" s="7" t="n">
        <f aca="false">EXP($K$7+$K$8*A33)</f>
        <v>505.037471735128</v>
      </c>
      <c r="G33" s="7" t="n">
        <f aca="false">EXP($L$7+$L$8*A33)</f>
        <v>607.331887763231</v>
      </c>
      <c r="H33" s="9" t="n">
        <f aca="false">IF(AND(A33&gt;Parametros!$B$7,Serie!G33=0),1,0)</f>
        <v>0</v>
      </c>
    </row>
    <row r="34" customFormat="false" ht="15" hidden="false" customHeight="false" outlineLevel="0" collapsed="false">
      <c r="A34" s="9" t="n">
        <f aca="false">Serie!A34</f>
        <v>30</v>
      </c>
      <c r="B34" s="13" t="n">
        <f aca="false">LN(MAX(Serie!B34,1))</f>
        <v>6.41345895716736</v>
      </c>
      <c r="C34" s="9" t="n">
        <f aca="false">IF(A34&lt;=Parametros!$B$7,1,0)</f>
        <v>1</v>
      </c>
      <c r="D34" s="9" t="n">
        <f aca="false">IF(A34&lt;=Parametros!$B$7,1-Serie!G34,0)</f>
        <v>1</v>
      </c>
      <c r="E34" s="9" t="n">
        <f aca="false">C34</f>
        <v>1</v>
      </c>
      <c r="F34" s="7" t="n">
        <f aca="false">EXP($K$7+$K$8*A34)</f>
        <v>501.154609634359</v>
      </c>
      <c r="G34" s="7" t="n">
        <f aca="false">EXP($L$7+$L$8*A34)</f>
        <v>600.23300826733</v>
      </c>
      <c r="H34" s="9" t="n">
        <f aca="false">IF(AND(A34&gt;Parametros!$B$7,Serie!G34=0),1,0)</f>
        <v>0</v>
      </c>
    </row>
    <row r="35" customFormat="false" ht="15" hidden="false" customHeight="false" outlineLevel="0" collapsed="false">
      <c r="A35" s="9" t="n">
        <f aca="false">Serie!A35</f>
        <v>31</v>
      </c>
      <c r="B35" s="13" t="n">
        <f aca="false">LN(MAX(Serie!B35,1))</f>
        <v>6.35106022155769</v>
      </c>
      <c r="C35" s="9" t="n">
        <f aca="false">IF(A35&lt;=Parametros!$B$7,1,0)</f>
        <v>1</v>
      </c>
      <c r="D35" s="9" t="n">
        <f aca="false">IF(A35&lt;=Parametros!$B$7,1-Serie!G35,0)</f>
        <v>1</v>
      </c>
      <c r="E35" s="9" t="n">
        <f aca="false">C35</f>
        <v>1</v>
      </c>
      <c r="F35" s="7" t="n">
        <f aca="false">EXP($K$7+$K$8*A35)</f>
        <v>497.301600007786</v>
      </c>
      <c r="G35" s="7" t="n">
        <f aca="false">EXP($L$7+$L$8*A35)</f>
        <v>593.217104967992</v>
      </c>
      <c r="H35" s="9" t="n">
        <f aca="false">IF(AND(A35&gt;Parametros!$B$7,Serie!G35=0),1,0)</f>
        <v>0</v>
      </c>
    </row>
    <row r="36" customFormat="false" ht="15" hidden="false" customHeight="false" outlineLevel="0" collapsed="false">
      <c r="A36" s="9" t="n">
        <f aca="false">Serie!A36</f>
        <v>32</v>
      </c>
      <c r="B36" s="13" t="n">
        <f aca="false">LN(MAX(Serie!B36,1))</f>
        <v>6.36921581664863</v>
      </c>
      <c r="C36" s="9" t="n">
        <f aca="false">IF(A36&lt;=Parametros!$B$7,1,0)</f>
        <v>1</v>
      </c>
      <c r="D36" s="9" t="n">
        <f aca="false">IF(A36&lt;=Parametros!$B$7,1-Serie!G36,0)</f>
        <v>1</v>
      </c>
      <c r="E36" s="9" t="n">
        <f aca="false">C36</f>
        <v>1</v>
      </c>
      <c r="F36" s="7" t="n">
        <f aca="false">EXP($K$7+$K$8*A36)</f>
        <v>493.478213341667</v>
      </c>
      <c r="G36" s="7" t="n">
        <f aca="false">EXP($L$7+$L$8*A36)</f>
        <v>586.283207986912</v>
      </c>
      <c r="H36" s="9" t="n">
        <f aca="false">IF(AND(A36&gt;Parametros!$B$7,Serie!G36=0),1,0)</f>
        <v>0</v>
      </c>
    </row>
    <row r="37" customFormat="false" ht="15" hidden="false" customHeight="false" outlineLevel="0" collapsed="false">
      <c r="A37" s="9" t="n">
        <f aca="false">Serie!A37</f>
        <v>33</v>
      </c>
      <c r="B37" s="13" t="n">
        <f aca="false">LN(MAX(Serie!B37,1))</f>
        <v>6.32489645231632</v>
      </c>
      <c r="C37" s="9" t="n">
        <f aca="false">IF(A37&lt;=Parametros!$B$7,1,0)</f>
        <v>1</v>
      </c>
      <c r="D37" s="9" t="n">
        <f aca="false">IF(A37&lt;=Parametros!$B$7,1-Serie!G37,0)</f>
        <v>1</v>
      </c>
      <c r="E37" s="9" t="n">
        <f aca="false">C37</f>
        <v>1</v>
      </c>
      <c r="F37" s="7" t="n">
        <f aca="false">EXP($K$7+$K$8*A37)</f>
        <v>489.684221886821</v>
      </c>
      <c r="G37" s="7" t="n">
        <f aca="false">EXP($L$7+$L$8*A37)</f>
        <v>579.430358782341</v>
      </c>
      <c r="H37" s="9" t="n">
        <f aca="false">IF(AND(A37&gt;Parametros!$B$7,Serie!G37=0),1,0)</f>
        <v>0</v>
      </c>
    </row>
    <row r="38" customFormat="false" ht="15" hidden="false" customHeight="false" outlineLevel="0" collapsed="false">
      <c r="A38" s="9" t="n">
        <f aca="false">Serie!A38</f>
        <v>34</v>
      </c>
      <c r="B38" s="13" t="n">
        <f aca="false">LN(MAX(Serie!B38,1))</f>
        <v>6.34931380127448</v>
      </c>
      <c r="C38" s="9" t="n">
        <f aca="false">IF(A38&lt;=Parametros!$B$7,1,0)</f>
        <v>1</v>
      </c>
      <c r="D38" s="9" t="n">
        <f aca="false">IF(A38&lt;=Parametros!$B$7,1-Serie!G38,0)</f>
        <v>1</v>
      </c>
      <c r="E38" s="9" t="n">
        <f aca="false">C38</f>
        <v>1</v>
      </c>
      <c r="F38" s="7" t="n">
        <f aca="false">EXP($K$7+$K$8*A38)</f>
        <v>485.919399645064</v>
      </c>
      <c r="G38" s="7" t="n">
        <f aca="false">EXP($L$7+$L$8*A38)</f>
        <v>572.65761001657</v>
      </c>
      <c r="H38" s="9" t="n">
        <f aca="false">IF(AND(A38&gt;Parametros!$B$7,Serie!G38=0),1,0)</f>
        <v>0</v>
      </c>
    </row>
    <row r="39" customFormat="false" ht="15" hidden="false" customHeight="false" outlineLevel="0" collapsed="false">
      <c r="A39" s="9" t="n">
        <f aca="false">Serie!A39</f>
        <v>35</v>
      </c>
      <c r="B39" s="13" t="n">
        <f aca="false">LN(MAX(Serie!B39,1))</f>
        <v>6.31770605642576</v>
      </c>
      <c r="C39" s="9" t="n">
        <f aca="false">IF(A39&lt;=Parametros!$B$7,1,0)</f>
        <v>1</v>
      </c>
      <c r="D39" s="9" t="n">
        <f aca="false">IF(A39&lt;=Parametros!$B$7,1-Serie!G39,0)</f>
        <v>1</v>
      </c>
      <c r="E39" s="9" t="n">
        <f aca="false">C39</f>
        <v>1</v>
      </c>
      <c r="F39" s="7" t="n">
        <f aca="false">EXP($K$7+$K$8*A39)</f>
        <v>482.183522355745</v>
      </c>
      <c r="G39" s="7" t="n">
        <f aca="false">EXP($L$7+$L$8*A39)</f>
        <v>565.964025424971</v>
      </c>
      <c r="H39" s="9" t="n">
        <f aca="false">IF(AND(A39&gt;Parametros!$B$7,Serie!G39=0),1,0)</f>
        <v>0</v>
      </c>
    </row>
    <row r="40" customFormat="false" ht="15" hidden="false" customHeight="false" outlineLevel="0" collapsed="false">
      <c r="A40" s="9" t="n">
        <f aca="false">Serie!A40</f>
        <v>36</v>
      </c>
      <c r="B40" s="13" t="n">
        <f aca="false">LN(MAX(Serie!B40,1))</f>
        <v>6.3306117741785</v>
      </c>
      <c r="C40" s="9" t="n">
        <f aca="false">IF(A40&lt;=Parametros!$B$7,1,0)</f>
        <v>1</v>
      </c>
      <c r="D40" s="9" t="n">
        <f aca="false">IF(A40&lt;=Parametros!$B$7,1-Serie!G40,0)</f>
        <v>1</v>
      </c>
      <c r="E40" s="9" t="n">
        <f aca="false">C40</f>
        <v>1</v>
      </c>
      <c r="F40" s="7" t="n">
        <f aca="false">EXP($K$7+$K$8*A40)</f>
        <v>478.476367482387</v>
      </c>
      <c r="G40" s="7" t="n">
        <f aca="false">EXP($L$7+$L$8*A40)</f>
        <v>559.348679686575</v>
      </c>
      <c r="H40" s="9" t="n">
        <f aca="false">IF(AND(A40&gt;Parametros!$B$7,Serie!G40=0),1,0)</f>
        <v>0</v>
      </c>
    </row>
    <row r="41" customFormat="false" ht="15" hidden="false" customHeight="false" outlineLevel="0" collapsed="false">
      <c r="A41" s="9" t="n">
        <f aca="false">Serie!A41</f>
        <v>37</v>
      </c>
      <c r="B41" s="13" t="n">
        <f aca="false">LN(MAX(Serie!B41,1))</f>
        <v>6.39359075395063</v>
      </c>
      <c r="C41" s="9" t="n">
        <f aca="false">IF(A41&lt;=Parametros!$B$7,1,0)</f>
        <v>1</v>
      </c>
      <c r="D41" s="9" t="n">
        <f aca="false">IF(A41&lt;=Parametros!$B$7,1-Serie!G41,0)</f>
        <v>0</v>
      </c>
      <c r="E41" s="9" t="n">
        <f aca="false">C41</f>
        <v>1</v>
      </c>
      <c r="F41" s="7" t="n">
        <f aca="false">EXP($K$7+$K$8*A41)</f>
        <v>474.797714199437</v>
      </c>
      <c r="G41" s="7" t="n">
        <f aca="false">EXP($L$7+$L$8*A41)</f>
        <v>552.810658296145</v>
      </c>
      <c r="H41" s="9" t="n">
        <f aca="false">IF(AND(A41&gt;Parametros!$B$7,Serie!G41=0),1,0)</f>
        <v>0</v>
      </c>
    </row>
    <row r="42" customFormat="false" ht="15" hidden="false" customHeight="false" outlineLevel="0" collapsed="false">
      <c r="A42" s="9" t="n">
        <f aca="false">Serie!A42</f>
        <v>38</v>
      </c>
      <c r="B42" s="13" t="n">
        <f aca="false">LN(MAX(Serie!B42,1))</f>
        <v>6.30005158023966</v>
      </c>
      <c r="C42" s="9" t="n">
        <f aca="false">IF(A42&lt;=Parametros!$B$7,1,0)</f>
        <v>1</v>
      </c>
      <c r="D42" s="9" t="n">
        <f aca="false">IF(A42&lt;=Parametros!$B$7,1-Serie!G42,0)</f>
        <v>1</v>
      </c>
      <c r="E42" s="9" t="n">
        <f aca="false">C42</f>
        <v>1</v>
      </c>
      <c r="F42" s="7" t="n">
        <f aca="false">EXP($K$7+$K$8*A42)</f>
        <v>471.147343379103</v>
      </c>
      <c r="G42" s="7" t="n">
        <f aca="false">EXP($L$7+$L$8*A42)</f>
        <v>546.349057437763</v>
      </c>
      <c r="H42" s="9" t="n">
        <f aca="false">IF(AND(A42&gt;Parametros!$B$7,Serie!G42=0),1,0)</f>
        <v>0</v>
      </c>
    </row>
    <row r="43" customFormat="false" ht="15" hidden="false" customHeight="false" outlineLevel="0" collapsed="false">
      <c r="A43" s="9" t="n">
        <f aca="false">Serie!A43</f>
        <v>39</v>
      </c>
      <c r="B43" s="13" t="n">
        <f aca="false">LN(MAX(Serie!B43,1))</f>
        <v>6.31082695616273</v>
      </c>
      <c r="C43" s="9" t="n">
        <f aca="false">IF(A43&lt;=Parametros!$B$7,1,0)</f>
        <v>1</v>
      </c>
      <c r="D43" s="9" t="n">
        <f aca="false">IF(A43&lt;=Parametros!$B$7,1-Serie!G43,0)</f>
        <v>1</v>
      </c>
      <c r="E43" s="9" t="n">
        <f aca="false">C43</f>
        <v>1</v>
      </c>
      <c r="F43" s="7" t="n">
        <f aca="false">EXP($K$7+$K$8*A43)</f>
        <v>467.525037578308</v>
      </c>
      <c r="G43" s="7" t="n">
        <f aca="false">EXP($L$7+$L$8*A43)</f>
        <v>539.962983859882</v>
      </c>
      <c r="H43" s="9" t="n">
        <f aca="false">IF(AND(A43&gt;Parametros!$B$7,Serie!G43=0),1,0)</f>
        <v>0</v>
      </c>
    </row>
    <row r="44" customFormat="false" ht="15" hidden="false" customHeight="false" outlineLevel="0" collapsed="false">
      <c r="A44" s="9" t="n">
        <f aca="false">Serie!A44</f>
        <v>40</v>
      </c>
      <c r="B44" s="13" t="n">
        <f aca="false">LN(MAX(Serie!B44,1))</f>
        <v>6.24183408467578</v>
      </c>
      <c r="C44" s="9" t="n">
        <f aca="false">IF(A44&lt;=Parametros!$B$7,1,0)</f>
        <v>1</v>
      </c>
      <c r="D44" s="9" t="n">
        <f aca="false">IF(A44&lt;=Parametros!$B$7,1-Serie!G44,0)</f>
        <v>1</v>
      </c>
      <c r="E44" s="9" t="n">
        <f aca="false">C44</f>
        <v>1</v>
      </c>
      <c r="F44" s="7" t="n">
        <f aca="false">EXP($K$7+$K$8*A44)</f>
        <v>463.930581025734</v>
      </c>
      <c r="G44" s="7" t="n">
        <f aca="false">EXP($L$7+$L$8*A44)</f>
        <v>533.651554751844</v>
      </c>
      <c r="H44" s="9" t="n">
        <f aca="false">IF(AND(A44&gt;Parametros!$B$7,Serie!G44=0),1,0)</f>
        <v>0</v>
      </c>
    </row>
    <row r="45" customFormat="false" ht="15" hidden="false" customHeight="false" outlineLevel="0" collapsed="false">
      <c r="A45" s="9" t="n">
        <f aca="false">Serie!A45</f>
        <v>41</v>
      </c>
      <c r="B45" s="13" t="n">
        <f aca="false">LN(MAX(Serie!B45,1))</f>
        <v>0</v>
      </c>
      <c r="C45" s="9" t="n">
        <f aca="false">IF(A45&lt;=Parametros!$B$7,1,0)</f>
        <v>1</v>
      </c>
      <c r="D45" s="9" t="n">
        <f aca="false">IF(A45&lt;=Parametros!$B$7,1-Serie!G45,0)</f>
        <v>0</v>
      </c>
      <c r="E45" s="9" t="n">
        <f aca="false">C45</f>
        <v>1</v>
      </c>
      <c r="F45" s="7" t="n">
        <f aca="false">EXP($K$7+$K$8*A45)</f>
        <v>460.36375960897</v>
      </c>
      <c r="G45" s="7" t="n">
        <f aca="false">EXP($L$7+$L$8*A45)</f>
        <v>527.413897621843</v>
      </c>
      <c r="H45" s="9" t="n">
        <f aca="false">IF(AND(A45&gt;Parametros!$B$7,Serie!G45=0),1,0)</f>
        <v>0</v>
      </c>
    </row>
    <row r="46" customFormat="false" ht="15" hidden="false" customHeight="false" outlineLevel="0" collapsed="false">
      <c r="A46" s="9" t="n">
        <f aca="false">Serie!A46</f>
        <v>42</v>
      </c>
      <c r="B46" s="13" t="n">
        <f aca="false">LN(MAX(Serie!B46,1))</f>
        <v>6.2709884318583</v>
      </c>
      <c r="C46" s="9" t="n">
        <f aca="false">IF(A46&lt;=Parametros!$B$7,1,0)</f>
        <v>1</v>
      </c>
      <c r="D46" s="9" t="n">
        <f aca="false">IF(A46&lt;=Parametros!$B$7,1-Serie!G46,0)</f>
        <v>1</v>
      </c>
      <c r="E46" s="9" t="n">
        <f aca="false">C46</f>
        <v>1</v>
      </c>
      <c r="F46" s="7" t="n">
        <f aca="false">EXP($K$7+$K$8*A46)</f>
        <v>456.82436086176</v>
      </c>
      <c r="G46" s="7" t="n">
        <f aca="false">EXP($L$7+$L$8*A46)</f>
        <v>521.249150176308</v>
      </c>
      <c r="H46" s="9" t="n">
        <f aca="false">IF(AND(A46&gt;Parametros!$B$7,Serie!G46=0),1,0)</f>
        <v>0</v>
      </c>
    </row>
    <row r="47" customFormat="false" ht="15" hidden="false" customHeight="false" outlineLevel="0" collapsed="false">
      <c r="A47" s="9" t="n">
        <f aca="false">Serie!A47</f>
        <v>43</v>
      </c>
      <c r="B47" s="13" t="n">
        <f aca="false">LN(MAX(Serie!B47,1))</f>
        <v>6.23871517376543</v>
      </c>
      <c r="C47" s="9" t="n">
        <f aca="false">IF(A47&lt;=Parametros!$B$7,1,0)</f>
        <v>1</v>
      </c>
      <c r="D47" s="9" t="n">
        <f aca="false">IF(A47&lt;=Parametros!$B$7,1-Serie!G47,0)</f>
        <v>1</v>
      </c>
      <c r="E47" s="9" t="n">
        <f aca="false">C47</f>
        <v>1</v>
      </c>
      <c r="F47" s="7" t="n">
        <f aca="false">EXP($K$7+$K$8*A47)</f>
        <v>453.312173951343</v>
      </c>
      <c r="G47" s="7" t="n">
        <f aca="false">EXP($L$7+$L$8*A47)</f>
        <v>515.156460200699</v>
      </c>
      <c r="H47" s="9" t="n">
        <f aca="false">IF(AND(A47&gt;Parametros!$B$7,Serie!G47=0),1,0)</f>
        <v>0</v>
      </c>
    </row>
    <row r="48" customFormat="false" ht="15" hidden="false" customHeight="false" outlineLevel="0" collapsed="false">
      <c r="A48" s="9" t="n">
        <f aca="false">Serie!A48</f>
        <v>44</v>
      </c>
      <c r="B48" s="13" t="n">
        <f aca="false">LN(MAX(Serie!B48,1))</f>
        <v>6.23949581392997</v>
      </c>
      <c r="C48" s="9" t="n">
        <f aca="false">IF(A48&lt;=Parametros!$B$7,1,0)</f>
        <v>1</v>
      </c>
      <c r="D48" s="9" t="n">
        <f aca="false">IF(A48&lt;=Parametros!$B$7,1-Serie!G48,0)</f>
        <v>1</v>
      </c>
      <c r="E48" s="9" t="n">
        <f aca="false">C48</f>
        <v>1</v>
      </c>
      <c r="F48" s="7" t="n">
        <f aca="false">EXP($K$7+$K$8*A48)</f>
        <v>449.826989665895</v>
      </c>
      <c r="G48" s="7" t="n">
        <f aca="false">EXP($L$7+$L$8*A48)</f>
        <v>509.134985441704</v>
      </c>
      <c r="H48" s="9" t="n">
        <f aca="false">IF(AND(A48&gt;Parametros!$B$7,Serie!G48=0),1,0)</f>
        <v>0</v>
      </c>
    </row>
    <row r="49" customFormat="false" ht="15" hidden="false" customHeight="false" outlineLevel="0" collapsed="false">
      <c r="A49" s="9" t="n">
        <f aca="false">Serie!A49</f>
        <v>45</v>
      </c>
      <c r="B49" s="13" t="n">
        <f aca="false">LN(MAX(Serie!B49,1))</f>
        <v>6.22019247671609</v>
      </c>
      <c r="C49" s="9" t="n">
        <f aca="false">IF(A49&lt;=Parametros!$B$7,1,0)</f>
        <v>1</v>
      </c>
      <c r="D49" s="9" t="n">
        <f aca="false">IF(A49&lt;=Parametros!$B$7,1-Serie!G49,0)</f>
        <v>1</v>
      </c>
      <c r="E49" s="9" t="n">
        <f aca="false">C49</f>
        <v>1</v>
      </c>
      <c r="F49" s="7" t="n">
        <f aca="false">EXP($K$7+$K$8*A49)</f>
        <v>446.368600402073</v>
      </c>
      <c r="G49" s="7" t="n">
        <f aca="false">EXP($L$7+$L$8*A49)</f>
        <v>503.183893490796</v>
      </c>
      <c r="H49" s="9" t="n">
        <f aca="false">IF(AND(A49&gt;Parametros!$B$7,Serie!G49=0),1,0)</f>
        <v>0</v>
      </c>
    </row>
    <row r="50" customFormat="false" ht="15" hidden="false" customHeight="false" outlineLevel="0" collapsed="false">
      <c r="A50" s="9" t="n">
        <f aca="false">Serie!A50</f>
        <v>46</v>
      </c>
      <c r="B50" s="13" t="n">
        <f aca="false">LN(MAX(Serie!B50,1))</f>
        <v>6.17649077630906</v>
      </c>
      <c r="C50" s="9" t="n">
        <f aca="false">IF(A50&lt;=Parametros!$B$7,1,0)</f>
        <v>1</v>
      </c>
      <c r="D50" s="9" t="n">
        <f aca="false">IF(A50&lt;=Parametros!$B$7,1-Serie!G50,0)</f>
        <v>1</v>
      </c>
      <c r="E50" s="9" t="n">
        <f aca="false">C50</f>
        <v>1</v>
      </c>
      <c r="F50" s="7" t="n">
        <f aca="false">EXP($K$7+$K$8*A50)</f>
        <v>442.936800152637</v>
      </c>
      <c r="G50" s="7" t="n">
        <f aca="false">EXP($L$7+$L$8*A50)</f>
        <v>497.302361669167</v>
      </c>
      <c r="H50" s="9" t="n">
        <f aca="false">IF(AND(A50&gt;Parametros!$B$7,Serie!G50=0),1,0)</f>
        <v>0</v>
      </c>
    </row>
    <row r="51" customFormat="false" ht="15" hidden="false" customHeight="false" outlineLevel="0" collapsed="false">
      <c r="A51" s="9" t="n">
        <f aca="false">Serie!A51</f>
        <v>47</v>
      </c>
      <c r="B51" s="13" t="n">
        <f aca="false">LN(MAX(Serie!B51,1))</f>
        <v>6.20919346572069</v>
      </c>
      <c r="C51" s="9" t="n">
        <f aca="false">IF(A51&lt;=Parametros!$B$7,1,0)</f>
        <v>1</v>
      </c>
      <c r="D51" s="9" t="n">
        <f aca="false">IF(A51&lt;=Parametros!$B$7,1-Serie!G51,0)</f>
        <v>1</v>
      </c>
      <c r="E51" s="9" t="n">
        <f aca="false">C51</f>
        <v>1</v>
      </c>
      <c r="F51" s="7" t="n">
        <f aca="false">EXP($K$7+$K$8*A51)</f>
        <v>439.531384494191</v>
      </c>
      <c r="G51" s="7" t="n">
        <f aca="false">EXP($L$7+$L$8*A51)</f>
        <v>491.489576914001</v>
      </c>
      <c r="H51" s="9" t="n">
        <f aca="false">IF(AND(A51&gt;Parametros!$B$7,Serie!G51=0),1,0)</f>
        <v>0</v>
      </c>
    </row>
    <row r="52" customFormat="false" ht="15" hidden="false" customHeight="false" outlineLevel="0" collapsed="false">
      <c r="A52" s="9" t="n">
        <f aca="false">Serie!A52</f>
        <v>48</v>
      </c>
      <c r="B52" s="13" t="n">
        <f aca="false">LN(MAX(Serie!B52,1))</f>
        <v>6.15740262465141</v>
      </c>
      <c r="C52" s="9" t="n">
        <f aca="false">IF(A52&lt;=Parametros!$B$7,1,0)</f>
        <v>1</v>
      </c>
      <c r="D52" s="9" t="n">
        <f aca="false">IF(A52&lt;=Parametros!$B$7,1-Serie!G52,0)</f>
        <v>1</v>
      </c>
      <c r="E52" s="9" t="n">
        <f aca="false">C52</f>
        <v>1</v>
      </c>
      <c r="F52" s="7" t="n">
        <f aca="false">EXP($K$7+$K$8*A52)</f>
        <v>436.152150574997</v>
      </c>
      <c r="G52" s="7" t="n">
        <f aca="false">EXP($L$7+$L$8*A52)</f>
        <v>485.744735666074</v>
      </c>
      <c r="H52" s="9" t="n">
        <f aca="false">IF(AND(A52&gt;Parametros!$B$7,Serie!G52=0),1,0)</f>
        <v>0</v>
      </c>
    </row>
    <row r="53" customFormat="false" ht="15" hidden="false" customHeight="false" outlineLevel="0" collapsed="false">
      <c r="A53" s="9" t="n">
        <f aca="false">Serie!A53</f>
        <v>49</v>
      </c>
      <c r="B53" s="13" t="n">
        <f aca="false">LN(MAX(Serie!B53,1))</f>
        <v>6.22257626807137</v>
      </c>
      <c r="C53" s="9" t="n">
        <f aca="false">IF(A53&lt;=Parametros!$B$7,1,0)</f>
        <v>1</v>
      </c>
      <c r="D53" s="9" t="n">
        <f aca="false">IF(A53&lt;=Parametros!$B$7,1-Serie!G53,0)</f>
        <v>1</v>
      </c>
      <c r="E53" s="9" t="n">
        <f aca="false">C53</f>
        <v>1</v>
      </c>
      <c r="F53" s="7" t="n">
        <f aca="false">EXP($K$7+$K$8*A53)</f>
        <v>432.798897102896</v>
      </c>
      <c r="G53" s="7" t="n">
        <f aca="false">EXP($L$7+$L$8*A53)</f>
        <v>480.06704375867</v>
      </c>
      <c r="H53" s="9" t="n">
        <f aca="false">IF(AND(A53&gt;Parametros!$B$7,Serie!G53=0),1,0)</f>
        <v>0</v>
      </c>
    </row>
    <row r="54" customFormat="false" ht="15" hidden="false" customHeight="false" outlineLevel="0" collapsed="false">
      <c r="A54" s="9" t="n">
        <f aca="false">Serie!A54</f>
        <v>50</v>
      </c>
      <c r="B54" s="13" t="n">
        <f aca="false">LN(MAX(Serie!B54,1))</f>
        <v>6.14203740558736</v>
      </c>
      <c r="C54" s="9" t="n">
        <f aca="false">IF(A54&lt;=Parametros!$B$7,1,0)</f>
        <v>1</v>
      </c>
      <c r="D54" s="9" t="n">
        <f aca="false">IF(A54&lt;=Parametros!$B$7,1-Serie!G54,0)</f>
        <v>1</v>
      </c>
      <c r="E54" s="9" t="n">
        <f aca="false">C54</f>
        <v>1</v>
      </c>
      <c r="F54" s="7" t="n">
        <f aca="false">EXP($K$7+$K$8*A54)</f>
        <v>429.471424333317</v>
      </c>
      <c r="G54" s="7" t="n">
        <f aca="false">EXP($L$7+$L$8*A54)</f>
        <v>474.455716307798</v>
      </c>
      <c r="H54" s="9" t="n">
        <f aca="false">IF(AND(A54&gt;Parametros!$B$7,Serie!G54=0),1,0)</f>
        <v>0</v>
      </c>
    </row>
    <row r="55" customFormat="false" ht="15" hidden="false" customHeight="false" outlineLevel="0" collapsed="false">
      <c r="A55" s="9" t="n">
        <f aca="false">Serie!A55</f>
        <v>51</v>
      </c>
      <c r="B55" s="13" t="n">
        <f aca="false">LN(MAX(Serie!B55,1))</f>
        <v>6.16562791620047</v>
      </c>
      <c r="C55" s="9" t="n">
        <f aca="false">IF(A55&lt;=Parametros!$B$7,1,0)</f>
        <v>1</v>
      </c>
      <c r="D55" s="9" t="n">
        <f aca="false">IF(A55&lt;=Parametros!$B$7,1-Serie!G55,0)</f>
        <v>1</v>
      </c>
      <c r="E55" s="9" t="n">
        <f aca="false">C55</f>
        <v>1</v>
      </c>
      <c r="F55" s="7" t="n">
        <f aca="false">EXP($K$7+$K$8*A55)</f>
        <v>426.169534057377</v>
      </c>
      <c r="G55" s="7" t="n">
        <f aca="false">EXP($L$7+$L$8*A55)</f>
        <v>468.909977603685</v>
      </c>
      <c r="H55" s="9" t="n">
        <f aca="false">IF(AND(A55&gt;Parametros!$B$7,Serie!G55=0),1,0)</f>
        <v>0</v>
      </c>
    </row>
    <row r="56" customFormat="false" ht="15" hidden="false" customHeight="false" outlineLevel="0" collapsed="false">
      <c r="A56" s="9" t="n">
        <f aca="false">Serie!A56</f>
        <v>52</v>
      </c>
      <c r="B56" s="13" t="n">
        <f aca="false">LN(MAX(Serie!B56,1))</f>
        <v>6.13339804299665</v>
      </c>
      <c r="C56" s="9" t="n">
        <f aca="false">IF(A56&lt;=Parametros!$B$7,1,0)</f>
        <v>1</v>
      </c>
      <c r="D56" s="9" t="n">
        <f aca="false">IF(A56&lt;=Parametros!$B$7,1-Serie!G56,0)</f>
        <v>1</v>
      </c>
      <c r="E56" s="9" t="n">
        <f aca="false">C56</f>
        <v>1</v>
      </c>
      <c r="F56" s="7" t="n">
        <f aca="false">EXP($K$7+$K$8*A56)</f>
        <v>422.893029590077</v>
      </c>
      <c r="G56" s="7" t="n">
        <f aca="false">EXP($L$7+$L$8*A56)</f>
        <v>463.429061003549</v>
      </c>
      <c r="H56" s="9" t="n">
        <f aca="false">IF(AND(A56&gt;Parametros!$B$7,Serie!G56=0),1,0)</f>
        <v>0</v>
      </c>
    </row>
    <row r="57" customFormat="false" ht="15" hidden="false" customHeight="false" outlineLevel="0" collapsed="false">
      <c r="A57" s="9" t="n">
        <f aca="false">Serie!A57</f>
        <v>53</v>
      </c>
      <c r="B57" s="13" t="n">
        <f aca="false">LN(MAX(Serie!B57,1))</f>
        <v>6.1501762382628</v>
      </c>
      <c r="C57" s="9" t="n">
        <f aca="false">IF(A57&lt;=Parametros!$B$7,1,0)</f>
        <v>1</v>
      </c>
      <c r="D57" s="9" t="n">
        <f aca="false">IF(A57&lt;=Parametros!$B$7,1-Serie!G57,0)</f>
        <v>1</v>
      </c>
      <c r="E57" s="9" t="n">
        <f aca="false">C57</f>
        <v>1</v>
      </c>
      <c r="F57" s="7" t="n">
        <f aca="false">EXP($K$7+$K$8*A57)</f>
        <v>419.641715758583</v>
      </c>
      <c r="G57" s="7" t="n">
        <f aca="false">EXP($L$7+$L$8*A57)</f>
        <v>458.012208825609</v>
      </c>
      <c r="H57" s="9" t="n">
        <f aca="false">IF(AND(A57&gt;Parametros!$B$7,Serie!G57=0),1,0)</f>
        <v>0</v>
      </c>
    </row>
    <row r="58" customFormat="false" ht="15" hidden="false" customHeight="false" outlineLevel="0" collapsed="false">
      <c r="A58" s="9" t="n">
        <f aca="false">Serie!A58</f>
        <v>54</v>
      </c>
      <c r="B58" s="13" t="n">
        <f aca="false">LN(MAX(Serie!B58,1))</f>
        <v>6.09040449496289</v>
      </c>
      <c r="C58" s="9" t="n">
        <f aca="false">IF(A58&lt;=Parametros!$B$7,1,0)</f>
        <v>1</v>
      </c>
      <c r="D58" s="9" t="n">
        <f aca="false">IF(A58&lt;=Parametros!$B$7,1-Serie!G58,0)</f>
        <v>1</v>
      </c>
      <c r="E58" s="9" t="n">
        <f aca="false">C58</f>
        <v>1</v>
      </c>
      <c r="F58" s="7" t="n">
        <f aca="false">EXP($K$7+$K$8*A58)</f>
        <v>416.415398890603</v>
      </c>
      <c r="G58" s="7" t="n">
        <f aca="false">EXP($L$7+$L$8*A58)</f>
        <v>452.658672244352</v>
      </c>
      <c r="H58" s="9" t="n">
        <f aca="false">IF(AND(A58&gt;Parametros!$B$7,Serie!G58=0),1,0)</f>
        <v>0</v>
      </c>
    </row>
    <row r="59" customFormat="false" ht="15" hidden="false" customHeight="false" outlineLevel="0" collapsed="false">
      <c r="A59" s="9" t="n">
        <f aca="false">Serie!A59</f>
        <v>55</v>
      </c>
      <c r="B59" s="13" t="n">
        <f aca="false">LN(MAX(Serie!B59,1))</f>
        <v>6.1281783704238</v>
      </c>
      <c r="C59" s="9" t="n">
        <f aca="false">IF(A59&lt;=Parametros!$B$7,1,0)</f>
        <v>1</v>
      </c>
      <c r="D59" s="9" t="n">
        <f aca="false">IF(A59&lt;=Parametros!$B$7,1-Serie!G59,0)</f>
        <v>1</v>
      </c>
      <c r="E59" s="9" t="n">
        <f aca="false">C59</f>
        <v>1</v>
      </c>
      <c r="F59" s="7" t="n">
        <f aca="false">EXP($K$7+$K$8*A59)</f>
        <v>413.213886802848</v>
      </c>
      <c r="G59" s="7" t="n">
        <f aca="false">EXP($L$7+$L$8*A59)</f>
        <v>447.36771118701</v>
      </c>
      <c r="H59" s="9" t="n">
        <f aca="false">IF(AND(A59&gt;Parametros!$B$7,Serie!G59=0),1,0)</f>
        <v>0</v>
      </c>
    </row>
    <row r="60" customFormat="false" ht="15" hidden="false" customHeight="false" outlineLevel="0" collapsed="false">
      <c r="A60" s="9" t="n">
        <f aca="false">Serie!A60</f>
        <v>56</v>
      </c>
      <c r="B60" s="13" t="n">
        <f aca="false">LN(MAX(Serie!B60,1))</f>
        <v>7.43838353004431</v>
      </c>
      <c r="C60" s="9" t="n">
        <f aca="false">IF(A60&lt;=Parametros!$B$7,1,0)</f>
        <v>1</v>
      </c>
      <c r="D60" s="9" t="n">
        <f aca="false">IF(A60&lt;=Parametros!$B$7,1-Serie!G60,0)</f>
        <v>0</v>
      </c>
      <c r="E60" s="9" t="n">
        <f aca="false">C60</f>
        <v>1</v>
      </c>
      <c r="F60" s="7" t="n">
        <f aca="false">EXP($K$7+$K$8*A60)</f>
        <v>410.036988789585</v>
      </c>
      <c r="G60" s="7" t="n">
        <f aca="false">EXP($L$7+$L$8*A60)</f>
        <v>442.138594231255</v>
      </c>
      <c r="H60" s="9" t="n">
        <f aca="false">IF(AND(A60&gt;Parametros!$B$7,Serie!G60=0),1,0)</f>
        <v>0</v>
      </c>
    </row>
    <row r="61" customFormat="false" ht="15" hidden="false" customHeight="false" outlineLevel="0" collapsed="false">
      <c r="A61" s="9" t="n">
        <f aca="false">Serie!A61</f>
        <v>57</v>
      </c>
      <c r="B61" s="13" t="n">
        <f aca="false">LN(MAX(Serie!B61,1))</f>
        <v>6.1132396040339</v>
      </c>
      <c r="C61" s="9" t="n">
        <f aca="false">IF(A61&lt;=Parametros!$B$7,1,0)</f>
        <v>1</v>
      </c>
      <c r="D61" s="9" t="n">
        <f aca="false">IF(A61&lt;=Parametros!$B$7,1-Serie!G61,0)</f>
        <v>1</v>
      </c>
      <c r="E61" s="9" t="n">
        <f aca="false">C61</f>
        <v>1</v>
      </c>
      <c r="F61" s="7" t="n">
        <f aca="false">EXP($K$7+$K$8*A61)</f>
        <v>406.884515611278</v>
      </c>
      <c r="G61" s="7" t="n">
        <f aca="false">EXP($L$7+$L$8*A61)</f>
        <v>436.970598504085</v>
      </c>
      <c r="H61" s="9" t="n">
        <f aca="false">IF(AND(A61&gt;Parametros!$B$7,Serie!G61=0),1,0)</f>
        <v>0</v>
      </c>
    </row>
    <row r="62" customFormat="false" ht="15" hidden="false" customHeight="false" outlineLevel="0" collapsed="false">
      <c r="A62" s="9" t="n">
        <f aca="false">Serie!A62</f>
        <v>58</v>
      </c>
      <c r="B62" s="13" t="n">
        <f aca="false">LN(MAX(Serie!B62,1))</f>
        <v>6.08130525110777</v>
      </c>
      <c r="C62" s="9" t="n">
        <f aca="false">IF(A62&lt;=Parametros!$B$7,1,0)</f>
        <v>1</v>
      </c>
      <c r="D62" s="9" t="n">
        <f aca="false">IF(A62&lt;=Parametros!$B$7,1-Serie!G62,0)</f>
        <v>1</v>
      </c>
      <c r="E62" s="9" t="n">
        <f aca="false">C62</f>
        <v>1</v>
      </c>
      <c r="F62" s="7" t="n">
        <f aca="false">EXP($K$7+$K$8*A62)</f>
        <v>403.756279483315</v>
      </c>
      <c r="G62" s="7" t="n">
        <f aca="false">EXP($L$7+$L$8*A62)</f>
        <v>431.863009581895</v>
      </c>
      <c r="H62" s="9" t="n">
        <f aca="false">IF(AND(A62&gt;Parametros!$B$7,Serie!G62=0),1,0)</f>
        <v>0</v>
      </c>
    </row>
    <row r="63" customFormat="false" ht="15" hidden="false" customHeight="false" outlineLevel="0" collapsed="false">
      <c r="A63" s="9" t="n">
        <f aca="false">Serie!A63</f>
        <v>59</v>
      </c>
      <c r="B63" s="13" t="n">
        <f aca="false">LN(MAX(Serie!B63,1))</f>
        <v>6.05396975245938</v>
      </c>
      <c r="C63" s="9" t="n">
        <f aca="false">IF(A63&lt;=Parametros!$B$7,1,0)</f>
        <v>1</v>
      </c>
      <c r="D63" s="9" t="n">
        <f aca="false">IF(A63&lt;=Parametros!$B$7,1-Serie!G63,0)</f>
        <v>1</v>
      </c>
      <c r="E63" s="9" t="n">
        <f aca="false">C63</f>
        <v>1</v>
      </c>
      <c r="F63" s="7" t="n">
        <f aca="false">EXP($K$7+$K$8*A63)</f>
        <v>400.652094064821</v>
      </c>
      <c r="G63" s="7" t="n">
        <f aca="false">EXP($L$7+$L$8*A63)</f>
        <v>426.815121391717</v>
      </c>
      <c r="H63" s="9" t="n">
        <f aca="false">IF(AND(A63&gt;Parametros!$B$7,Serie!G63=0),1,0)</f>
        <v>0</v>
      </c>
    </row>
    <row r="64" customFormat="false" ht="15" hidden="false" customHeight="false" outlineLevel="0" collapsed="false">
      <c r="A64" s="9" t="n">
        <f aca="false">Serie!A64</f>
        <v>60</v>
      </c>
      <c r="B64" s="13" t="n">
        <f aca="false">LN(MAX(Serie!B64,1))</f>
        <v>6.01077685814036</v>
      </c>
      <c r="C64" s="9" t="n">
        <f aca="false">IF(A64&lt;=Parametros!$B$7,1,0)</f>
        <v>1</v>
      </c>
      <c r="D64" s="9" t="n">
        <f aca="false">IF(A64&lt;=Parametros!$B$7,1-Serie!G64,0)</f>
        <v>1</v>
      </c>
      <c r="E64" s="9" t="n">
        <f aca="false">C64</f>
        <v>1</v>
      </c>
      <c r="F64" s="7" t="n">
        <f aca="false">EXP($K$7+$K$8*A64)</f>
        <v>397.571774447558</v>
      </c>
      <c r="G64" s="7" t="n">
        <f aca="false">EXP($L$7+$L$8*A64)</f>
        <v>421.826236113608</v>
      </c>
      <c r="H64" s="9" t="n">
        <f aca="false">IF(AND(A64&gt;Parametros!$B$7,Serie!G64=0),1,0)</f>
        <v>0</v>
      </c>
    </row>
    <row r="65" customFormat="false" ht="15" hidden="false" customHeight="false" outlineLevel="0" collapsed="false">
      <c r="A65" s="9" t="n">
        <f aca="false">Serie!A65</f>
        <v>61</v>
      </c>
      <c r="B65" s="13" t="n">
        <f aca="false">LN(MAX(Serie!B65,1))</f>
        <v>6.0509120057514</v>
      </c>
      <c r="C65" s="9" t="n">
        <f aca="false">IF(A65&lt;=Parametros!$B$7,1,0)</f>
        <v>1</v>
      </c>
      <c r="D65" s="9" t="n">
        <f aca="false">IF(A65&lt;=Parametros!$B$7,1-Serie!G65,0)</f>
        <v>1</v>
      </c>
      <c r="E65" s="9" t="n">
        <f aca="false">C65</f>
        <v>1</v>
      </c>
      <c r="F65" s="7" t="n">
        <f aca="false">EXP($K$7+$K$8*A65)</f>
        <v>394.515137144915</v>
      </c>
      <c r="G65" s="7" t="n">
        <f aca="false">EXP($L$7+$L$8*A65)</f>
        <v>416.895664084189</v>
      </c>
      <c r="H65" s="9" t="n">
        <f aca="false">IF(AND(A65&gt;Parametros!$B$7,Serie!G65=0),1,0)</f>
        <v>0</v>
      </c>
    </row>
    <row r="66" customFormat="false" ht="15" hidden="false" customHeight="false" outlineLevel="0" collapsed="false">
      <c r="A66" s="9" t="n">
        <f aca="false">Serie!A66</f>
        <v>62</v>
      </c>
      <c r="B66" s="13" t="n">
        <f aca="false">LN(MAX(Serie!B66,1))</f>
        <v>5.34710753071747</v>
      </c>
      <c r="C66" s="9" t="n">
        <f aca="false">IF(A66&lt;=Parametros!$B$7,1,0)</f>
        <v>1</v>
      </c>
      <c r="D66" s="9" t="n">
        <f aca="false">IF(A66&lt;=Parametros!$B$7,1-Serie!G66,0)</f>
        <v>0</v>
      </c>
      <c r="E66" s="9" t="n">
        <f aca="false">C66</f>
        <v>1</v>
      </c>
      <c r="F66" s="7" t="n">
        <f aca="false">EXP($K$7+$K$8*A66)</f>
        <v>391.482000080971</v>
      </c>
      <c r="G66" s="7" t="n">
        <f aca="false">EXP($L$7+$L$8*A66)</f>
        <v>412.022723701301</v>
      </c>
      <c r="H66" s="9" t="n">
        <f aca="false">IF(AND(A66&gt;Parametros!$B$7,Serie!G66=0),1,0)</f>
        <v>0</v>
      </c>
    </row>
    <row r="67" customFormat="false" ht="15" hidden="false" customHeight="false" outlineLevel="0" collapsed="false">
      <c r="A67" s="9" t="n">
        <f aca="false">Serie!A67</f>
        <v>63</v>
      </c>
      <c r="B67" s="13" t="n">
        <f aca="false">LN(MAX(Serie!B67,1))</f>
        <v>6.05654979376392</v>
      </c>
      <c r="C67" s="9" t="n">
        <f aca="false">IF(A67&lt;=Parametros!$B$7,1,0)</f>
        <v>1</v>
      </c>
      <c r="D67" s="9" t="n">
        <f aca="false">IF(A67&lt;=Parametros!$B$7,1-Serie!G67,0)</f>
        <v>1</v>
      </c>
      <c r="E67" s="9" t="n">
        <f aca="false">C67</f>
        <v>1</v>
      </c>
      <c r="F67" s="7" t="n">
        <f aca="false">EXP($K$7+$K$8*A67)</f>
        <v>388.472182579657</v>
      </c>
      <c r="G67" s="7" t="n">
        <f aca="false">EXP($L$7+$L$8*A67)</f>
        <v>407.206741329783</v>
      </c>
      <c r="H67" s="9" t="n">
        <f aca="false">IF(AND(A67&gt;Parametros!$B$7,Serie!G67=0),1,0)</f>
        <v>0</v>
      </c>
    </row>
    <row r="68" customFormat="false" ht="15" hidden="false" customHeight="false" outlineLevel="0" collapsed="false">
      <c r="A68" s="9" t="n">
        <f aca="false">Serie!A68</f>
        <v>64</v>
      </c>
      <c r="B68" s="13" t="n">
        <f aca="false">LN(MAX(Serie!B68,1))</f>
        <v>5.97584316620503</v>
      </c>
      <c r="C68" s="9" t="n">
        <f aca="false">IF(A68&lt;=Parametros!$B$7,1,0)</f>
        <v>1</v>
      </c>
      <c r="D68" s="9" t="n">
        <f aca="false">IF(A68&lt;=Parametros!$B$7,1-Serie!G68,0)</f>
        <v>1</v>
      </c>
      <c r="E68" s="9" t="n">
        <f aca="false">C68</f>
        <v>1</v>
      </c>
      <c r="F68" s="7" t="n">
        <f aca="false">EXP($K$7+$K$8*A68)</f>
        <v>385.485505353986</v>
      </c>
      <c r="G68" s="7" t="n">
        <f aca="false">EXP($L$7+$L$8*A68)</f>
        <v>402.447051208349</v>
      </c>
      <c r="H68" s="9" t="n">
        <f aca="false">IF(AND(A68&gt;Parametros!$B$7,Serie!G68=0),1,0)</f>
        <v>0</v>
      </c>
    </row>
    <row r="69" customFormat="false" ht="15" hidden="false" customHeight="false" outlineLevel="0" collapsed="false">
      <c r="A69" s="9" t="n">
        <f aca="false">Serie!A69</f>
        <v>65</v>
      </c>
      <c r="B69" s="13" t="n">
        <f aca="false">LN(MAX(Serie!B69,1))</f>
        <v>5.99670081390323</v>
      </c>
      <c r="C69" s="9" t="n">
        <f aca="false">IF(A69&lt;=Parametros!$B$7,1,0)</f>
        <v>1</v>
      </c>
      <c r="D69" s="9" t="n">
        <f aca="false">IF(A69&lt;=Parametros!$B$7,1-Serie!G69,0)</f>
        <v>1</v>
      </c>
      <c r="E69" s="9" t="n">
        <f aca="false">C69</f>
        <v>1</v>
      </c>
      <c r="F69" s="7" t="n">
        <f aca="false">EXP($K$7+$K$8*A69)</f>
        <v>382.521790495378</v>
      </c>
      <c r="G69" s="7" t="n">
        <f aca="false">EXP($L$7+$L$8*A69)</f>
        <v>397.742995357551</v>
      </c>
      <c r="H69" s="9" t="n">
        <f aca="false">IF(AND(A69&gt;Parametros!$B$7,Serie!G69=0),1,0)</f>
        <v>0</v>
      </c>
    </row>
    <row r="70" customFormat="false" ht="15" hidden="false" customHeight="false" outlineLevel="0" collapsed="false">
      <c r="A70" s="9" t="n">
        <f aca="false">Serie!A70</f>
        <v>66</v>
      </c>
      <c r="B70" s="13" t="n">
        <f aca="false">LN(MAX(Serie!B70,1))</f>
        <v>5.98343237541072</v>
      </c>
      <c r="C70" s="9" t="n">
        <f aca="false">IF(A70&lt;=Parametros!$B$7,1,0)</f>
        <v>1</v>
      </c>
      <c r="D70" s="9" t="n">
        <f aca="false">IF(A70&lt;=Parametros!$B$7,1-Serie!G70,0)</f>
        <v>1</v>
      </c>
      <c r="E70" s="9" t="n">
        <f aca="false">C70</f>
        <v>1</v>
      </c>
      <c r="F70" s="7" t="n">
        <f aca="false">EXP($K$7+$K$8*A70)</f>
        <v>379.580861463063</v>
      </c>
      <c r="G70" s="7" t="n">
        <f aca="false">EXP($L$7+$L$8*A70)</f>
        <v>393.093923488823</v>
      </c>
      <c r="H70" s="9" t="n">
        <f aca="false">IF(AND(A70&gt;Parametros!$B$7,Serie!G70=0),1,0)</f>
        <v>0</v>
      </c>
    </row>
    <row r="71" customFormat="false" ht="15" hidden="false" customHeight="false" outlineLevel="0" collapsed="false">
      <c r="A71" s="9" t="n">
        <f aca="false">Serie!A71</f>
        <v>67</v>
      </c>
      <c r="B71" s="13" t="n">
        <f aca="false">LN(MAX(Serie!B71,1))</f>
        <v>5.96357934361845</v>
      </c>
      <c r="C71" s="9" t="n">
        <f aca="false">IF(A71&lt;=Parametros!$B$7,1,0)</f>
        <v>1</v>
      </c>
      <c r="D71" s="9" t="n">
        <f aca="false">IF(A71&lt;=Parametros!$B$7,1-Serie!G71,0)</f>
        <v>1</v>
      </c>
      <c r="E71" s="9" t="n">
        <f aca="false">C71</f>
        <v>1</v>
      </c>
      <c r="F71" s="7" t="n">
        <f aca="false">EXP($K$7+$K$8*A71)</f>
        <v>376.66254307356</v>
      </c>
      <c r="G71" s="7" t="n">
        <f aca="false">EXP($L$7+$L$8*A71)</f>
        <v>388.499192914581</v>
      </c>
      <c r="H71" s="9" t="n">
        <f aca="false">IF(AND(A71&gt;Parametros!$B$7,Serie!G71=0),1,0)</f>
        <v>0</v>
      </c>
    </row>
    <row r="72" customFormat="false" ht="15" hidden="false" customHeight="false" outlineLevel="0" collapsed="false">
      <c r="A72" s="9" t="n">
        <f aca="false">Serie!A72</f>
        <v>68</v>
      </c>
      <c r="B72" s="13" t="n">
        <f aca="false">LN(MAX(Serie!B72,1))</f>
        <v>5.94881797238651</v>
      </c>
      <c r="C72" s="9" t="n">
        <f aca="false">IF(A72&lt;=Parametros!$B$7,1,0)</f>
        <v>1</v>
      </c>
      <c r="D72" s="9" t="n">
        <f aca="false">IF(A72&lt;=Parametros!$B$7,1-Serie!G72,0)</f>
        <v>1</v>
      </c>
      <c r="E72" s="9" t="n">
        <f aca="false">C72</f>
        <v>1</v>
      </c>
      <c r="F72" s="7" t="n">
        <f aca="false">EXP($K$7+$K$8*A72)</f>
        <v>373.766661490249</v>
      </c>
      <c r="G72" s="7" t="n">
        <f aca="false">EXP($L$7+$L$8*A72)</f>
        <v>383.958168459381</v>
      </c>
      <c r="H72" s="9" t="n">
        <f aca="false">IF(AND(A72&gt;Parametros!$B$7,Serie!G72=0),1,0)</f>
        <v>0</v>
      </c>
    </row>
    <row r="73" customFormat="false" ht="15" hidden="false" customHeight="false" outlineLevel="0" collapsed="false">
      <c r="A73" s="9" t="n">
        <f aca="false">Serie!A73</f>
        <v>69</v>
      </c>
      <c r="B73" s="13" t="n">
        <f aca="false">LN(MAX(Serie!B73,1))</f>
        <v>5.93595183717772</v>
      </c>
      <c r="C73" s="9" t="n">
        <f aca="false">IF(A73&lt;=Parametros!$B$7,1,0)</f>
        <v>1</v>
      </c>
      <c r="D73" s="9" t="n">
        <f aca="false">IF(A73&lt;=Parametros!$B$7,1-Serie!G73,0)</f>
        <v>1</v>
      </c>
      <c r="E73" s="9" t="n">
        <f aca="false">C73</f>
        <v>1</v>
      </c>
      <c r="F73" s="7" t="n">
        <f aca="false">EXP($K$7+$K$8*A73)</f>
        <v>370.893044213009</v>
      </c>
      <c r="G73" s="7" t="n">
        <f aca="false">EXP($L$7+$L$8*A73)</f>
        <v>379.470222372114</v>
      </c>
      <c r="H73" s="9" t="n">
        <f aca="false">IF(AND(A73&gt;Parametros!$B$7,Serie!G73=0),1,0)</f>
        <v>0</v>
      </c>
    </row>
    <row r="74" customFormat="false" ht="15" hidden="false" customHeight="false" outlineLevel="0" collapsed="false">
      <c r="A74" s="9" t="n">
        <f aca="false">Serie!A74</f>
        <v>70</v>
      </c>
      <c r="B74" s="13" t="n">
        <f aca="false">LN(MAX(Serie!B74,1))</f>
        <v>5.89440283426485</v>
      </c>
      <c r="C74" s="9" t="n">
        <f aca="false">IF(A74&lt;=Parametros!$B$7,1,0)</f>
        <v>1</v>
      </c>
      <c r="D74" s="9" t="n">
        <f aca="false">IF(A74&lt;=Parametros!$B$7,1-Serie!G74,0)</f>
        <v>1</v>
      </c>
      <c r="E74" s="9" t="n">
        <f aca="false">C74</f>
        <v>1</v>
      </c>
      <c r="F74" s="7" t="n">
        <f aca="false">EXP($K$7+$K$8*A74)</f>
        <v>368.041520067946</v>
      </c>
      <c r="G74" s="7" t="n">
        <f aca="false">EXP($L$7+$L$8*A74)</f>
        <v>375.034734239219</v>
      </c>
      <c r="H74" s="9" t="n">
        <f aca="false">IF(AND(A74&gt;Parametros!$B$7,Serie!G74=0),1,0)</f>
        <v>0</v>
      </c>
    </row>
    <row r="75" customFormat="false" ht="15" hidden="false" customHeight="false" outlineLevel="0" collapsed="false">
      <c r="A75" s="9" t="n">
        <f aca="false">Serie!A75</f>
        <v>71</v>
      </c>
      <c r="B75" s="13" t="n">
        <f aca="false">LN(MAX(Serie!B75,1))</f>
        <v>7.3132203870903</v>
      </c>
      <c r="C75" s="9" t="n">
        <f aca="false">IF(A75&lt;=Parametros!$B$7,1,0)</f>
        <v>0</v>
      </c>
      <c r="D75" s="9" t="n">
        <f aca="false">IF(A75&lt;=Parametros!$B$7,1-Serie!G75,0)</f>
        <v>0</v>
      </c>
      <c r="E75" s="9" t="n">
        <f aca="false">C75</f>
        <v>0</v>
      </c>
      <c r="F75" s="7" t="n">
        <f aca="false">EXP($K$7+$K$8*A75)</f>
        <v>365.2119191972</v>
      </c>
      <c r="G75" s="7" t="n">
        <f aca="false">EXP($L$7+$L$8*A75)</f>
        <v>370.651090898926</v>
      </c>
      <c r="H75" s="9" t="n">
        <f aca="false">IF(AND(A75&gt;Parametros!$B$7,Serie!G75=0),1,0)</f>
        <v>0</v>
      </c>
    </row>
    <row r="76" customFormat="false" ht="15" hidden="false" customHeight="false" outlineLevel="0" collapsed="false">
      <c r="A76" s="9" t="n">
        <f aca="false">Serie!A76</f>
        <v>72</v>
      </c>
      <c r="B76" s="13" t="n">
        <f aca="false">LN(MAX(Serie!B76,1))</f>
        <v>5.87773578177964</v>
      </c>
      <c r="C76" s="9" t="n">
        <f aca="false">IF(A76&lt;=Parametros!$B$7,1,0)</f>
        <v>0</v>
      </c>
      <c r="D76" s="9" t="n">
        <f aca="false">IF(A76&lt;=Parametros!$B$7,1-Serie!G76,0)</f>
        <v>0</v>
      </c>
      <c r="E76" s="9" t="n">
        <f aca="false">C76</f>
        <v>0</v>
      </c>
      <c r="F76" s="7" t="n">
        <f aca="false">EXP($K$7+$K$8*A76)</f>
        <v>362.404073048817</v>
      </c>
      <c r="G76" s="7" t="n">
        <f aca="false">EXP($L$7+$L$8*A76)</f>
        <v>366.318686356483</v>
      </c>
      <c r="H76" s="9" t="n">
        <f aca="false">IF(AND(A76&gt;Parametros!$B$7,Serie!G76=0),1,0)</f>
        <v>1</v>
      </c>
    </row>
    <row r="77" customFormat="false" ht="15" hidden="false" customHeight="false" outlineLevel="0" collapsed="false">
      <c r="A77" s="9" t="n">
        <f aca="false">Serie!A77</f>
        <v>73</v>
      </c>
      <c r="B77" s="13" t="n">
        <f aca="false">LN(MAX(Serie!B77,1))</f>
        <v>5.90399852132671</v>
      </c>
      <c r="C77" s="9" t="n">
        <f aca="false">IF(A77&lt;=Parametros!$B$7,1,0)</f>
        <v>0</v>
      </c>
      <c r="D77" s="9" t="n">
        <f aca="false">IF(A77&lt;=Parametros!$B$7,1-Serie!G77,0)</f>
        <v>0</v>
      </c>
      <c r="E77" s="9" t="n">
        <f aca="false">C77</f>
        <v>0</v>
      </c>
      <c r="F77" s="7" t="n">
        <f aca="false">EXP($K$7+$K$8*A77)</f>
        <v>359.617814366721</v>
      </c>
      <c r="G77" s="7" t="n">
        <f aca="false">EXP($L$7+$L$8*A77)</f>
        <v>362.036921700393</v>
      </c>
      <c r="H77" s="9" t="n">
        <f aca="false">IF(AND(A77&gt;Parametros!$B$7,Serie!G77=0),1,0)</f>
        <v>1</v>
      </c>
    </row>
    <row r="78" customFormat="false" ht="15" hidden="false" customHeight="false" outlineLevel="0" collapsed="false">
      <c r="A78" s="9" t="n">
        <f aca="false">Serie!A78</f>
        <v>74</v>
      </c>
      <c r="B78" s="13" t="n">
        <f aca="false">LN(MAX(Serie!B78,1))</f>
        <v>5.92719265708784</v>
      </c>
      <c r="C78" s="9" t="n">
        <f aca="false">IF(A78&lt;=Parametros!$B$7,1,0)</f>
        <v>0</v>
      </c>
      <c r="D78" s="9" t="n">
        <f aca="false">IF(A78&lt;=Parametros!$B$7,1-Serie!G78,0)</f>
        <v>0</v>
      </c>
      <c r="E78" s="9" t="n">
        <f aca="false">C78</f>
        <v>0</v>
      </c>
      <c r="F78" s="7" t="n">
        <f aca="false">EXP($K$7+$K$8*A78)</f>
        <v>356.852977180742</v>
      </c>
      <c r="G78" s="7" t="n">
        <f aca="false">EXP($L$7+$L$8*A78)</f>
        <v>357.805205019612</v>
      </c>
      <c r="H78" s="9" t="n">
        <f aca="false">IF(AND(A78&gt;Parametros!$B$7,Serie!G78=0),1,0)</f>
        <v>1</v>
      </c>
    </row>
    <row r="79" customFormat="false" ht="15" hidden="false" customHeight="false" outlineLevel="0" collapsed="false">
      <c r="A79" s="9" t="n">
        <f aca="false">Serie!A79</f>
        <v>75</v>
      </c>
      <c r="B79" s="13" t="n">
        <f aca="false">LN(MAX(Serie!B79,1))</f>
        <v>5.89550415596207</v>
      </c>
      <c r="C79" s="9" t="n">
        <f aca="false">IF(A79&lt;=Parametros!$B$7,1,0)</f>
        <v>0</v>
      </c>
      <c r="D79" s="9" t="n">
        <f aca="false">IF(A79&lt;=Parametros!$B$7,1-Serie!G79,0)</f>
        <v>0</v>
      </c>
      <c r="E79" s="9" t="n">
        <f aca="false">C79</f>
        <v>0</v>
      </c>
      <c r="F79" s="7" t="n">
        <f aca="false">EXP($K$7+$K$8*A79)</f>
        <v>354.109396796733</v>
      </c>
      <c r="G79" s="7" t="n">
        <f aca="false">EXP($L$7+$L$8*A79)</f>
        <v>353.622951321729</v>
      </c>
      <c r="H79" s="9" t="n">
        <f aca="false">IF(AND(A79&gt;Parametros!$B$7,Serie!G79=0),1,0)</f>
        <v>1</v>
      </c>
    </row>
    <row r="80" customFormat="false" ht="15" hidden="false" customHeight="false" outlineLevel="0" collapsed="false">
      <c r="A80" s="9" t="n">
        <f aca="false">Serie!A80</f>
        <v>76</v>
      </c>
      <c r="B80" s="13" t="n">
        <f aca="false">LN(MAX(Serie!B80,1))</f>
        <v>5.88693701775405</v>
      </c>
      <c r="C80" s="9" t="n">
        <f aca="false">IF(A80&lt;=Parametros!$B$7,1,0)</f>
        <v>0</v>
      </c>
      <c r="D80" s="9" t="n">
        <f aca="false">IF(A80&lt;=Parametros!$B$7,1-Serie!G80,0)</f>
        <v>0</v>
      </c>
      <c r="E80" s="9" t="n">
        <f aca="false">C80</f>
        <v>0</v>
      </c>
      <c r="F80" s="7" t="n">
        <f aca="false">EXP($K$7+$K$8*A80)</f>
        <v>351.38690978676</v>
      </c>
      <c r="G80" s="7" t="n">
        <f aca="false">EXP($L$7+$L$8*A80)</f>
        <v>349.489582452093</v>
      </c>
      <c r="H80" s="9" t="n">
        <f aca="false">IF(AND(A80&gt;Parametros!$B$7,Serie!G80=0),1,0)</f>
        <v>1</v>
      </c>
    </row>
    <row r="81" customFormat="false" ht="15" hidden="false" customHeight="false" outlineLevel="0" collapsed="false">
      <c r="A81" s="9" t="n">
        <f aca="false">Serie!A81</f>
        <v>77</v>
      </c>
      <c r="B81" s="13" t="n">
        <f aca="false">LN(MAX(Serie!B81,1))</f>
        <v>5.86448308534719</v>
      </c>
      <c r="C81" s="9" t="n">
        <f aca="false">IF(A81&lt;=Parametros!$B$7,1,0)</f>
        <v>0</v>
      </c>
      <c r="D81" s="9" t="n">
        <f aca="false">IF(A81&lt;=Parametros!$B$7,1-Serie!G81,0)</f>
        <v>0</v>
      </c>
      <c r="E81" s="9" t="n">
        <f aca="false">C81</f>
        <v>0</v>
      </c>
      <c r="F81" s="7" t="n">
        <f aca="false">EXP($K$7+$K$8*A81)</f>
        <v>348.685353979366</v>
      </c>
      <c r="G81" s="7" t="n">
        <f aca="false">EXP($L$7+$L$8*A81)</f>
        <v>345.404527013892</v>
      </c>
      <c r="H81" s="9" t="n">
        <f aca="false">IF(AND(A81&gt;Parametros!$B$7,Serie!G81=0),1,0)</f>
        <v>1</v>
      </c>
    </row>
    <row r="82" customFormat="false" ht="15" hidden="false" customHeight="false" outlineLevel="0" collapsed="false">
      <c r="A82" s="9" t="n">
        <f aca="false">Serie!A82</f>
        <v>78</v>
      </c>
      <c r="B82" s="13" t="n">
        <f aca="false">LN(MAX(Serie!B82,1))</f>
        <v>5.8499009827862</v>
      </c>
      <c r="C82" s="9" t="n">
        <f aca="false">IF(A82&lt;=Parametros!$B$7,1,0)</f>
        <v>0</v>
      </c>
      <c r="D82" s="9" t="n">
        <f aca="false">IF(A82&lt;=Parametros!$B$7,1-Serie!G82,0)</f>
        <v>0</v>
      </c>
      <c r="E82" s="9" t="n">
        <f aca="false">C82</f>
        <v>0</v>
      </c>
      <c r="F82" s="7" t="n">
        <f aca="false">EXP($K$7+$K$8*A82)</f>
        <v>346.004568449911</v>
      </c>
      <c r="G82" s="7" t="n">
        <f aca="false">EXP($L$7+$L$8*A82)</f>
        <v>341.367220289161</v>
      </c>
      <c r="H82" s="9" t="n">
        <f aca="false">IF(AND(A82&gt;Parametros!$B$7,Serie!G82=0),1,0)</f>
        <v>1</v>
      </c>
    </row>
    <row r="83" customFormat="false" ht="15" hidden="false" customHeight="false" outlineLevel="0" collapsed="false">
      <c r="A83" s="9" t="n">
        <f aca="false">Serie!A83</f>
        <v>79</v>
      </c>
      <c r="B83" s="13" t="n">
        <f aca="false">LN(MAX(Serie!B83,1))</f>
        <v>5.81681349661825</v>
      </c>
      <c r="C83" s="9" t="n">
        <f aca="false">IF(A83&lt;=Parametros!$B$7,1,0)</f>
        <v>0</v>
      </c>
      <c r="D83" s="9" t="n">
        <f aca="false">IF(A83&lt;=Parametros!$B$7,1-Serie!G83,0)</f>
        <v>0</v>
      </c>
      <c r="E83" s="9" t="n">
        <f aca="false">C83</f>
        <v>0</v>
      </c>
      <c r="F83" s="7" t="n">
        <f aca="false">EXP($K$7+$K$8*A83)</f>
        <v>343.344393510987</v>
      </c>
      <c r="G83" s="7" t="n">
        <f aca="false">EXP($L$7+$L$8*A83)</f>
        <v>337.377104160715</v>
      </c>
      <c r="H83" s="9" t="n">
        <f aca="false">IF(AND(A83&gt;Parametros!$B$7,Serie!G83=0),1,0)</f>
        <v>1</v>
      </c>
    </row>
    <row r="84" customFormat="false" ht="15" hidden="false" customHeight="false" outlineLevel="0" collapsed="false">
      <c r="A84" s="9" t="n">
        <f aca="false">Serie!A84</f>
        <v>80</v>
      </c>
      <c r="B84" s="13" t="n">
        <f aca="false">LN(MAX(Serie!B84,1))</f>
        <v>5.82953367996176</v>
      </c>
      <c r="C84" s="9" t="n">
        <f aca="false">IF(A84&lt;=Parametros!$B$7,1,0)</f>
        <v>0</v>
      </c>
      <c r="D84" s="9" t="n">
        <f aca="false">IF(A84&lt;=Parametros!$B$7,1-Serie!G84,0)</f>
        <v>0</v>
      </c>
      <c r="E84" s="9" t="n">
        <f aca="false">C84</f>
        <v>0</v>
      </c>
      <c r="F84" s="7" t="n">
        <f aca="false">EXP($K$7+$K$8*A84)</f>
        <v>340.704670702905</v>
      </c>
      <c r="G84" s="7" t="n">
        <f aca="false">EXP($L$7+$L$8*A84)</f>
        <v>333.433627034998</v>
      </c>
      <c r="H84" s="9" t="n">
        <f aca="false">IF(AND(A84&gt;Parametros!$B$7,Serie!G84=0),1,0)</f>
        <v>1</v>
      </c>
    </row>
    <row r="85" customFormat="false" ht="15" hidden="false" customHeight="false" outlineLevel="0" collapsed="false">
      <c r="A85" s="9" t="n">
        <f aca="false">Serie!A85</f>
        <v>81</v>
      </c>
      <c r="B85" s="13" t="n">
        <f aca="false">LN(MAX(Serie!B85,1))</f>
        <v>5.85878993020344</v>
      </c>
      <c r="C85" s="9" t="n">
        <f aca="false">IF(A85&lt;=Parametros!$B$7,1,0)</f>
        <v>0</v>
      </c>
      <c r="D85" s="9" t="n">
        <f aca="false">IF(A85&lt;=Parametros!$B$7,1-Serie!G85,0)</f>
        <v>0</v>
      </c>
      <c r="E85" s="9" t="n">
        <f aca="false">C85</f>
        <v>0</v>
      </c>
      <c r="F85" s="7" t="n">
        <f aca="false">EXP($K$7+$K$8*A85)</f>
        <v>338.085242784254</v>
      </c>
      <c r="G85" s="7" t="n">
        <f aca="false">EXP($L$7+$L$8*A85)</f>
        <v>329.536243765827</v>
      </c>
      <c r="H85" s="9" t="n">
        <f aca="false">IF(AND(A85&gt;Parametros!$B$7,Serie!G85=0),1,0)</f>
        <v>1</v>
      </c>
    </row>
    <row r="86" customFormat="false" ht="15" hidden="false" customHeight="false" outlineLevel="0" collapsed="false">
      <c r="A86" s="9" t="n">
        <f aca="false">Serie!A86</f>
        <v>82</v>
      </c>
      <c r="B86" s="13" t="n">
        <f aca="false">LN(MAX(Serie!B86,1))</f>
        <v>5.75890177387728</v>
      </c>
      <c r="C86" s="9" t="n">
        <f aca="false">IF(A86&lt;=Parametros!$B$7,1,0)</f>
        <v>0</v>
      </c>
      <c r="D86" s="9" t="n">
        <f aca="false">IF(A86&lt;=Parametros!$B$7,1-Serie!G86,0)</f>
        <v>0</v>
      </c>
      <c r="E86" s="9" t="n">
        <f aca="false">C86</f>
        <v>0</v>
      </c>
      <c r="F86" s="7" t="n">
        <f aca="false">EXP($K$7+$K$8*A86)</f>
        <v>335.485953722541</v>
      </c>
      <c r="G86" s="7" t="n">
        <f aca="false">EXP($L$7+$L$8*A86)</f>
        <v>325.684415579033</v>
      </c>
      <c r="H86" s="9" t="n">
        <f aca="false">IF(AND(A86&gt;Parametros!$B$7,Serie!G86=0),1,0)</f>
        <v>1</v>
      </c>
    </row>
    <row r="87" customFormat="false" ht="15" hidden="false" customHeight="false" outlineLevel="0" collapsed="false">
      <c r="A87" s="9" t="n">
        <f aca="false">Serie!A87</f>
        <v>83</v>
      </c>
      <c r="B87" s="13" t="n">
        <f aca="false">LN(MAX(Serie!B87,1))</f>
        <v>5.73009978297357</v>
      </c>
      <c r="C87" s="9" t="n">
        <f aca="false">IF(A87&lt;=Parametros!$B$7,1,0)</f>
        <v>0</v>
      </c>
      <c r="D87" s="9" t="n">
        <f aca="false">IF(A87&lt;=Parametros!$B$7,1-Serie!G87,0)</f>
        <v>0</v>
      </c>
      <c r="E87" s="9" t="n">
        <f aca="false">C87</f>
        <v>0</v>
      </c>
      <c r="F87" s="7" t="n">
        <f aca="false">EXP($K$7+$K$8*A87)</f>
        <v>332.906648684888</v>
      </c>
      <c r="G87" s="7" t="n">
        <f aca="false">EXP($L$7+$L$8*A87)</f>
        <v>321.87760999798</v>
      </c>
      <c r="H87" s="9" t="n">
        <f aca="false">IF(AND(A87&gt;Parametros!$B$7,Serie!G87=0),1,0)</f>
        <v>1</v>
      </c>
    </row>
    <row r="88" customFormat="false" ht="15" hidden="false" customHeight="false" outlineLevel="0" collapsed="false">
      <c r="A88" s="9" t="n">
        <f aca="false">Serie!A88</f>
        <v>84</v>
      </c>
      <c r="B88" s="13" t="n">
        <f aca="false">LN(MAX(Serie!B88,1))</f>
        <v>0</v>
      </c>
      <c r="C88" s="9" t="n">
        <f aca="false">IF(A88&lt;=Parametros!$B$7,1,0)</f>
        <v>0</v>
      </c>
      <c r="D88" s="9" t="n">
        <f aca="false">IF(A88&lt;=Parametros!$B$7,1-Serie!G88,0)</f>
        <v>0</v>
      </c>
      <c r="E88" s="9" t="n">
        <f aca="false">C88</f>
        <v>0</v>
      </c>
      <c r="F88" s="7" t="n">
        <f aca="false">EXP($K$7+$K$8*A88)</f>
        <v>330.347174028816</v>
      </c>
      <c r="G88" s="7" t="n">
        <f aca="false">EXP($L$7+$L$8*A88)</f>
        <v>318.115300769958</v>
      </c>
      <c r="H88" s="9" t="n">
        <f aca="false">IF(AND(A88&gt;Parametros!$B$7,Serie!G88=0),1,0)</f>
        <v>0</v>
      </c>
    </row>
    <row r="89" customFormat="false" ht="15" hidden="false" customHeight="false" outlineLevel="0" collapsed="false">
      <c r="A89" s="9" t="n">
        <f aca="false">Serie!A89</f>
        <v>85</v>
      </c>
      <c r="B89" s="13" t="n">
        <f aca="false">LN(MAX(Serie!B89,1))</f>
        <v>5.74811828847625</v>
      </c>
      <c r="C89" s="9" t="n">
        <f aca="false">IF(A89&lt;=Parametros!$B$7,1,0)</f>
        <v>0</v>
      </c>
      <c r="D89" s="9" t="n">
        <f aca="false">IF(A89&lt;=Parametros!$B$7,1-Serie!G89,0)</f>
        <v>0</v>
      </c>
      <c r="E89" s="9" t="n">
        <f aca="false">C89</f>
        <v>0</v>
      </c>
      <c r="F89" s="7" t="n">
        <f aca="false">EXP($K$7+$K$8*A89)</f>
        <v>327.807377293089</v>
      </c>
      <c r="G89" s="7" t="n">
        <f aca="false">EXP($L$7+$L$8*A89)</f>
        <v>314.396967793428</v>
      </c>
      <c r="H89" s="9" t="n">
        <f aca="false">IF(AND(A89&gt;Parametros!$B$7,Serie!G89=0),1,0)</f>
        <v>1</v>
      </c>
    </row>
    <row r="90" customFormat="false" ht="15" hidden="false" customHeight="false" outlineLevel="0" collapsed="false">
      <c r="A90" s="9" t="n">
        <f aca="false">Serie!A90</f>
        <v>86</v>
      </c>
      <c r="B90" s="13" t="n">
        <f aca="false">LN(MAX(Serie!B90,1))</f>
        <v>5.76863344697582</v>
      </c>
      <c r="C90" s="9" t="n">
        <f aca="false">IF(A90&lt;=Parametros!$B$7,1,0)</f>
        <v>0</v>
      </c>
      <c r="D90" s="9" t="n">
        <f aca="false">IF(A90&lt;=Parametros!$B$7,1-Serie!G90,0)</f>
        <v>0</v>
      </c>
      <c r="E90" s="9" t="n">
        <f aca="false">C90</f>
        <v>0</v>
      </c>
      <c r="F90" s="7" t="n">
        <f aca="false">EXP($K$7+$K$8*A90)</f>
        <v>325.287107188632</v>
      </c>
      <c r="G90" s="7" t="n">
        <f aca="false">EXP($L$7+$L$8*A90)</f>
        <v>310.72209704613</v>
      </c>
      <c r="H90" s="9" t="n">
        <f aca="false">IF(AND(A90&gt;Parametros!$B$7,Serie!G90=0),1,0)</f>
        <v>1</v>
      </c>
    </row>
    <row r="91" customFormat="false" ht="15" hidden="false" customHeight="false" outlineLevel="0" collapsed="false">
      <c r="A91" s="9" t="n">
        <f aca="false">Serie!A91</f>
        <v>87</v>
      </c>
      <c r="B91" s="13" t="n">
        <f aca="false">LN(MAX(Serie!B91,1))</f>
        <v>5.75289004876323</v>
      </c>
      <c r="C91" s="9" t="n">
        <f aca="false">IF(A91&lt;=Parametros!$B$7,1,0)</f>
        <v>0</v>
      </c>
      <c r="D91" s="9" t="n">
        <f aca="false">IF(A91&lt;=Parametros!$B$7,1-Serie!G91,0)</f>
        <v>0</v>
      </c>
      <c r="E91" s="9" t="n">
        <f aca="false">C91</f>
        <v>0</v>
      </c>
      <c r="F91" s="7" t="n">
        <f aca="false">EXP($K$7+$K$8*A91)</f>
        <v>322.786213589525</v>
      </c>
      <c r="G91" s="7" t="n">
        <f aca="false">EXP($L$7+$L$8*A91)</f>
        <v>307.090180514022</v>
      </c>
      <c r="H91" s="9" t="n">
        <f aca="false">IF(AND(A91&gt;Parametros!$B$7,Serie!G91=0),1,0)</f>
        <v>1</v>
      </c>
    </row>
    <row r="92" customFormat="false" ht="15" hidden="false" customHeight="false" outlineLevel="0" collapsed="false">
      <c r="A92" s="9" t="n">
        <f aca="false">Serie!A92</f>
        <v>88</v>
      </c>
      <c r="B92" s="13" t="n">
        <f aca="false">LN(MAX(Serie!B92,1))</f>
        <v>5.64650640683647</v>
      </c>
      <c r="C92" s="9" t="n">
        <f aca="false">IF(A92&lt;=Parametros!$B$7,1,0)</f>
        <v>0</v>
      </c>
      <c r="D92" s="9" t="n">
        <f aca="false">IF(A92&lt;=Parametros!$B$7,1-Serie!G92,0)</f>
        <v>0</v>
      </c>
      <c r="E92" s="9" t="n">
        <f aca="false">C92</f>
        <v>0</v>
      </c>
      <c r="F92" s="7" t="n">
        <f aca="false">EXP($K$7+$K$8*A92)</f>
        <v>320.304547524051</v>
      </c>
      <c r="G92" s="7" t="n">
        <f aca="false">EXP($L$7+$L$8*A92)</f>
        <v>303.500716121048</v>
      </c>
      <c r="H92" s="9" t="n">
        <f aca="false">IF(AND(A92&gt;Parametros!$B$7,Serie!G92=0),1,0)</f>
        <v>0</v>
      </c>
    </row>
    <row r="93" customFormat="false" ht="15" hidden="false" customHeight="false" outlineLevel="0" collapsed="false">
      <c r="A93" s="9" t="n">
        <f aca="false">Serie!A93</f>
        <v>89</v>
      </c>
      <c r="B93" s="13" t="n">
        <f aca="false">LN(MAX(Serie!B93,1))</f>
        <v>5.79818315007769</v>
      </c>
      <c r="C93" s="9" t="n">
        <f aca="false">IF(A93&lt;=Parametros!$B$7,1,0)</f>
        <v>0</v>
      </c>
      <c r="D93" s="9" t="n">
        <f aca="false">IF(A93&lt;=Parametros!$B$7,1-Serie!G93,0)</f>
        <v>0</v>
      </c>
      <c r="E93" s="9" t="n">
        <f aca="false">C93</f>
        <v>0</v>
      </c>
      <c r="F93" s="7" t="n">
        <f aca="false">EXP($K$7+$K$8*A93)</f>
        <v>317.84196116583</v>
      </c>
      <c r="G93" s="7" t="n">
        <f aca="false">EXP($L$7+$L$8*A93)</f>
        <v>299.953207659739</v>
      </c>
      <c r="H93" s="9" t="n">
        <f aca="false">IF(AND(A93&gt;Parametros!$B$7,Serie!G93=0),1,0)</f>
        <v>1</v>
      </c>
    </row>
    <row r="94" customFormat="false" ht="15" hidden="false" customHeight="false" outlineLevel="0" collapsed="false">
      <c r="A94" s="9" t="n">
        <f aca="false">Serie!A94</f>
        <v>90</v>
      </c>
      <c r="B94" s="13" t="n">
        <f aca="false">LN(MAX(Serie!B94,1))</f>
        <v>5.75890177387728</v>
      </c>
      <c r="C94" s="9" t="n">
        <f aca="false">IF(A94&lt;=Parametros!$B$7,1,0)</f>
        <v>0</v>
      </c>
      <c r="D94" s="9" t="n">
        <f aca="false">IF(A94&lt;=Parametros!$B$7,1-Serie!G94,0)</f>
        <v>0</v>
      </c>
      <c r="E94" s="9" t="n">
        <f aca="false">C94</f>
        <v>0</v>
      </c>
      <c r="F94" s="7" t="n">
        <f aca="false">EXP($K$7+$K$8*A94)</f>
        <v>315.39830782501</v>
      </c>
      <c r="G94" s="7" t="n">
        <f aca="false">EXP($L$7+$L$8*A94)</f>
        <v>296.447164722611</v>
      </c>
      <c r="H94" s="9" t="n">
        <f aca="false">IF(AND(A94&gt;Parametros!$B$7,Serie!G94=0),1,0)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2026-10-31T08:03:48Z</dcterms:created>
  <dc:creator>openpyxl</dc:creator>
  <dc:description/>
  <dc:language>en-US</dc:language>
  <cp:lastModifiedBy/>
  <dcterms:modified xsi:type="dcterms:W3CDTF">2026-10-31T08:03:48Z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