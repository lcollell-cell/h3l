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iempos" sheetId="1" state="visible" r:id="rId3"/>
    <sheet name="NPT" sheetId="2" state="visible" r:id="rId4"/>
    <sheet name="KPIs" sheetId="3" state="visible" r:id="rId5"/>
    <sheet name="Ventana de lod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<sst xmlns="http://schemas.openxmlformats.org/spreadsheetml/2006/main" count="67" uniqueCount="60">
  <si>
    <t xml:space="preserve">Desglose de tiempos: real vs. mejor demostrado (límite técnico)</t>
  </si>
  <si>
    <t xml:space="preserve">Datos de ejemplo (sintéticos) con fines didácticos. Celdas azules sobre fondo crema = entradas editables; el resto son fórmulas.</t>
  </si>
  <si>
    <t xml:space="preserve">Operación</t>
  </si>
  <si>
    <t xml:space="preserve">Pozo A (d)</t>
  </si>
  <si>
    <t xml:space="preserve">Pozo B (d)</t>
  </si>
  <si>
    <t xml:space="preserve">Pozo C (d)</t>
  </si>
  <si>
    <t xml:space="preserve">Mejor demostrado (d)</t>
  </si>
  <si>
    <t xml:space="preserve">Mudanza y armado</t>
  </si>
  <si>
    <t xml:space="preserve">Perforación rotando</t>
  </si>
  <si>
    <t xml:space="preserve">Conexiones</t>
  </si>
  <si>
    <t xml:space="preserve">Viajes de herramienta</t>
  </si>
  <si>
    <t xml:space="preserve">Entubación y cementación</t>
  </si>
  <si>
    <t xml:space="preserve">Registros y pruebas</t>
  </si>
  <si>
    <t xml:space="preserve">Terminación del pozo</t>
  </si>
  <si>
    <t xml:space="preserve">NPT (de la hoja NPT)</t>
  </si>
  <si>
    <t xml:space="preserve">Tiempo total (d)</t>
  </si>
  <si>
    <t xml:space="preserve">Tiempo productivo (d)</t>
  </si>
  <si>
    <t xml:space="preserve">Tiempo invisible (d) = productivo − límite técnico</t>
  </si>
  <si>
    <t xml:space="preserve">NPT (% del total)</t>
  </si>
  <si>
    <t xml:space="preserve">Tiempo invisible (% del total)</t>
  </si>
  <si>
    <t xml:space="preserve">NPT por causa y Pareto</t>
  </si>
  <si>
    <t xml:space="preserve">Causa</t>
  </si>
  <si>
    <t xml:space="preserve">Total (d)</t>
  </si>
  <si>
    <t xml:space="preserve">Clave orden</t>
  </si>
  <si>
    <t xml:space="preserve">Pérdida de circulación</t>
  </si>
  <si>
    <t xml:space="preserve">Pega de herramienta</t>
  </si>
  <si>
    <t xml:space="preserve">Falla de equipo de superficie</t>
  </si>
  <si>
    <t xml:space="preserve">Espera por clima / logística</t>
  </si>
  <si>
    <t xml:space="preserve">Problemas direccionales / BHA</t>
  </si>
  <si>
    <t xml:space="preserve">Espera por decisión / aprobaciones</t>
  </si>
  <si>
    <t xml:space="preserve">Falla de herramienta de fondo</t>
  </si>
  <si>
    <t xml:space="preserve">TOTAL</t>
  </si>
  <si>
    <t xml:space="preserve">Pareto (ordenado)</t>
  </si>
  <si>
    <t xml:space="preserve">Días</t>
  </si>
  <si>
    <t xml:space="preserve">% del total</t>
  </si>
  <si>
    <t xml:space="preserve">% acumulado</t>
  </si>
  <si>
    <t xml:space="preserve">KPIs por pozo</t>
  </si>
  <si>
    <t xml:space="preserve">Indicador</t>
  </si>
  <si>
    <t xml:space="preserve">Pozo A</t>
  </si>
  <si>
    <t xml:space="preserve">Pozo B</t>
  </si>
  <si>
    <t xml:space="preserve">Pozo C</t>
  </si>
  <si>
    <t xml:space="preserve">Profundidad final (m)</t>
  </si>
  <si>
    <t xml:space="preserve">Costo diario del equipo (USD/d)</t>
  </si>
  <si>
    <t xml:space="preserve">Días totales</t>
  </si>
  <si>
    <t xml:space="preserve">ROP global (m/d)</t>
  </si>
  <si>
    <t xml:space="preserve">Costo de equipo (MUSD)</t>
  </si>
  <si>
    <t xml:space="preserve">Costo por metro (USD/m)</t>
  </si>
  <si>
    <t xml:space="preserve">Costo del NPT (MUSD)</t>
  </si>
  <si>
    <t xml:space="preserve">Costo del tiempo invisible (MUSD)</t>
  </si>
  <si>
    <t xml:space="preserve">Ahorro potencial total (MUSD)</t>
  </si>
  <si>
    <t xml:space="preserve">Ventana de lodo por profundidad (ejemplo)</t>
  </si>
  <si>
    <t xml:space="preserve">Margen mínimo de seguridad (ppg)</t>
  </si>
  <si>
    <t xml:space="preserve">Profundidad (m)</t>
  </si>
  <si>
    <t xml:space="preserve">Presión de poro (ppg)</t>
  </si>
  <si>
    <t xml:space="preserve">Gradiente de fractura (ppg)</t>
  </si>
  <si>
    <t xml:space="preserve">Peso de lodo (ppg)</t>
  </si>
  <si>
    <t xml:space="preserve">Margen sobre poro</t>
  </si>
  <si>
    <t xml:space="preserve">Margen bajo fractura</t>
  </si>
  <si>
    <t xml:space="preserve">¿Dentro de ventana?</t>
  </si>
  <si>
    <t xml:space="preserve">Un pozo seguro mantiene el peso de lodo por encima de la presión de poro y por debajo del gradiente de fractura, con margen. Si el margen es chico, hace falta otra cañería.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</si>
</sst>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%"/>
    <numFmt numFmtId="167" formatCode="0.000000"/>
    <numFmt numFmtId="168" formatCode="#,##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A30"/>
        <bgColor rgb="FF000000"/>
      </patternFill>
    </fill>
    <fill>
      <patternFill patternType="solid">
        <fgColor rgb="FFFFF8DC"/>
        <bgColor rgb="FFFFFFFF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2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0" t="s">
        <v>7</v>
      </c>
      <c r="B5" s="4" t="n">
        <v>3</v>
      </c>
      <c r="C5" s="4" t="n">
        <v>3.5</v>
      </c>
      <c r="D5" s="4" t="n">
        <v>2.8</v>
      </c>
      <c r="E5" s="4" t="n">
        <v>2.5</v>
      </c>
    </row>
    <row r="6" customFormat="false" ht="15" hidden="false" customHeight="false" outlineLevel="0" collapsed="false">
      <c r="A6" s="0" t="s">
        <v>8</v>
      </c>
      <c r="B6" s="4" t="n">
        <v>14</v>
      </c>
      <c r="C6" s="4" t="n">
        <v>12.5</v>
      </c>
      <c r="D6" s="4" t="n">
        <v>15.5</v>
      </c>
      <c r="E6" s="4" t="n">
        <v>9</v>
      </c>
    </row>
    <row r="7" customFormat="false" ht="15" hidden="false" customHeight="false" outlineLevel="0" collapsed="false">
      <c r="A7" s="0" t="s">
        <v>9</v>
      </c>
      <c r="B7" s="4" t="n">
        <v>3</v>
      </c>
      <c r="C7" s="4" t="n">
        <v>2.6</v>
      </c>
      <c r="D7" s="4" t="n">
        <v>3.4</v>
      </c>
      <c r="E7" s="4" t="n">
        <v>1.8</v>
      </c>
    </row>
    <row r="8" customFormat="false" ht="15" hidden="false" customHeight="false" outlineLevel="0" collapsed="false">
      <c r="A8" s="0" t="s">
        <v>10</v>
      </c>
      <c r="B8" s="4" t="n">
        <v>6</v>
      </c>
      <c r="C8" s="4" t="n">
        <v>5.2</v>
      </c>
      <c r="D8" s="4" t="n">
        <v>6.8</v>
      </c>
      <c r="E8" s="4" t="n">
        <v>3.5</v>
      </c>
    </row>
    <row r="9" customFormat="false" ht="15" hidden="false" customHeight="false" outlineLevel="0" collapsed="false">
      <c r="A9" s="0" t="s">
        <v>11</v>
      </c>
      <c r="B9" s="4" t="n">
        <v>7</v>
      </c>
      <c r="C9" s="4" t="n">
        <v>6</v>
      </c>
      <c r="D9" s="4" t="n">
        <v>8</v>
      </c>
      <c r="E9" s="4" t="n">
        <v>5</v>
      </c>
    </row>
    <row r="10" customFormat="false" ht="15" hidden="false" customHeight="false" outlineLevel="0" collapsed="false">
      <c r="A10" s="0" t="s">
        <v>12</v>
      </c>
      <c r="B10" s="4" t="n">
        <v>3.5</v>
      </c>
      <c r="C10" s="4" t="n">
        <v>3</v>
      </c>
      <c r="D10" s="4" t="n">
        <v>3.2</v>
      </c>
      <c r="E10" s="4" t="n">
        <v>2.5</v>
      </c>
    </row>
    <row r="11" customFormat="false" ht="15" hidden="false" customHeight="false" outlineLevel="0" collapsed="false">
      <c r="A11" s="0" t="s">
        <v>13</v>
      </c>
      <c r="B11" s="4" t="n">
        <v>5</v>
      </c>
      <c r="C11" s="4" t="n">
        <v>4.5</v>
      </c>
      <c r="D11" s="4" t="n">
        <v>5.5</v>
      </c>
      <c r="E11" s="4" t="n">
        <v>4</v>
      </c>
    </row>
    <row r="12" customFormat="false" ht="15" hidden="false" customHeight="false" outlineLevel="0" collapsed="false">
      <c r="A12" s="0" t="s">
        <v>14</v>
      </c>
      <c r="B12" s="5" t="n">
        <f aca="false">NPT!B12</f>
        <v>7.2</v>
      </c>
      <c r="C12" s="5" t="n">
        <f aca="false">NPT!C12</f>
        <v>4.8</v>
      </c>
      <c r="D12" s="5" t="n">
        <f aca="false">NPT!D12</f>
        <v>8.9</v>
      </c>
    </row>
    <row r="13" customFormat="false" ht="15" hidden="false" customHeight="false" outlineLevel="0" collapsed="false">
      <c r="A13" s="0" t="s">
        <v>15</v>
      </c>
      <c r="B13" s="6" t="n">
        <f aca="false">SUM(B5:B12)</f>
        <v>48.7</v>
      </c>
      <c r="C13" s="6" t="n">
        <f aca="false">SUM(C5:C12)</f>
        <v>42.1</v>
      </c>
      <c r="D13" s="6" t="n">
        <f aca="false">SUM(D5:D12)</f>
        <v>54.1</v>
      </c>
      <c r="E13" s="6" t="n">
        <f aca="false">SUM(E5:E11)</f>
        <v>28.3</v>
      </c>
    </row>
    <row r="14" customFormat="false" ht="15" hidden="false" customHeight="false" outlineLevel="0" collapsed="false">
      <c r="A14" s="0" t="s">
        <v>16</v>
      </c>
      <c r="B14" s="5" t="n">
        <f aca="false">B13-B12</f>
        <v>41.5</v>
      </c>
      <c r="C14" s="5" t="n">
        <f aca="false">C13-C12</f>
        <v>37.3</v>
      </c>
      <c r="D14" s="5" t="n">
        <f aca="false">D13-D12</f>
        <v>45.2</v>
      </c>
    </row>
    <row r="15" customFormat="false" ht="15" hidden="false" customHeight="false" outlineLevel="0" collapsed="false">
      <c r="A15" s="0" t="s">
        <v>17</v>
      </c>
      <c r="B15" s="6" t="n">
        <f aca="false">B14-$E$13</f>
        <v>13.2</v>
      </c>
      <c r="C15" s="6" t="n">
        <f aca="false">C14-$E$13</f>
        <v>9</v>
      </c>
      <c r="D15" s="6" t="n">
        <f aca="false">D14-$E$13</f>
        <v>16.9</v>
      </c>
    </row>
    <row r="16" customFormat="false" ht="15" hidden="false" customHeight="false" outlineLevel="0" collapsed="false">
      <c r="A16" s="0" t="s">
        <v>18</v>
      </c>
      <c r="B16" s="7" t="n">
        <f aca="false">B12/B13</f>
        <v>0.147843942505133</v>
      </c>
      <c r="C16" s="7" t="n">
        <f aca="false">C12/C13</f>
        <v>0.114014251781473</v>
      </c>
      <c r="D16" s="7" t="n">
        <f aca="false">D12/D13</f>
        <v>0.164510166358595</v>
      </c>
    </row>
    <row r="17" customFormat="false" ht="15" hidden="false" customHeight="false" outlineLevel="0" collapsed="false">
      <c r="A17" s="0" t="s">
        <v>19</v>
      </c>
      <c r="B17" s="7" t="n">
        <f aca="false">B15/B13</f>
        <v>0.271047227926078</v>
      </c>
      <c r="C17" s="7" t="n">
        <f aca="false">C15/C13</f>
        <v>0.213776722090261</v>
      </c>
      <c r="D17" s="7" t="n">
        <f aca="false">D15/D13</f>
        <v>0.312384473197782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21</v>
      </c>
      <c r="B4" s="3" t="s">
        <v>3</v>
      </c>
      <c r="C4" s="3" t="s">
        <v>4</v>
      </c>
      <c r="D4" s="3" t="s">
        <v>5</v>
      </c>
      <c r="E4" s="3" t="s">
        <v>22</v>
      </c>
      <c r="F4" s="3" t="s">
        <v>23</v>
      </c>
    </row>
    <row r="5" customFormat="false" ht="15" hidden="false" customHeight="false" outlineLevel="0" collapsed="false">
      <c r="A5" s="0" t="s">
        <v>24</v>
      </c>
      <c r="B5" s="4" t="n">
        <v>2.5</v>
      </c>
      <c r="C5" s="4" t="n">
        <v>1.5</v>
      </c>
      <c r="D5" s="4" t="n">
        <v>3</v>
      </c>
      <c r="E5" s="5" t="n">
        <f aca="false">SUM(B5:D5)</f>
        <v>7</v>
      </c>
      <c r="F5" s="8" t="n">
        <f aca="false">E5+ROW()/1000000</f>
        <v>7.000005</v>
      </c>
    </row>
    <row r="6" customFormat="false" ht="15" hidden="false" customHeight="false" outlineLevel="0" collapsed="false">
      <c r="A6" s="0" t="s">
        <v>25</v>
      </c>
      <c r="B6" s="4" t="n">
        <v>1</v>
      </c>
      <c r="C6" s="4" t="n">
        <v>0</v>
      </c>
      <c r="D6" s="4" t="n">
        <v>2.2</v>
      </c>
      <c r="E6" s="5" t="n">
        <f aca="false">SUM(B6:D6)</f>
        <v>3.2</v>
      </c>
      <c r="F6" s="8" t="n">
        <f aca="false">E6+ROW()/1000000</f>
        <v>3.200006</v>
      </c>
    </row>
    <row r="7" customFormat="false" ht="15" hidden="false" customHeight="false" outlineLevel="0" collapsed="false">
      <c r="A7" s="0" t="s">
        <v>26</v>
      </c>
      <c r="B7" s="4" t="n">
        <v>1.2</v>
      </c>
      <c r="C7" s="4" t="n">
        <v>0.8</v>
      </c>
      <c r="D7" s="4" t="n">
        <v>0.9</v>
      </c>
      <c r="E7" s="5" t="n">
        <f aca="false">SUM(B7:D7)</f>
        <v>2.9</v>
      </c>
      <c r="F7" s="8" t="n">
        <f aca="false">E7+ROW()/1000000</f>
        <v>2.900007</v>
      </c>
    </row>
    <row r="8" customFormat="false" ht="15" hidden="false" customHeight="false" outlineLevel="0" collapsed="false">
      <c r="A8" s="0" t="s">
        <v>27</v>
      </c>
      <c r="B8" s="4" t="n">
        <v>0.8</v>
      </c>
      <c r="C8" s="4" t="n">
        <v>1</v>
      </c>
      <c r="D8" s="4" t="n">
        <v>0.7</v>
      </c>
      <c r="E8" s="5" t="n">
        <f aca="false">SUM(B8:D8)</f>
        <v>2.5</v>
      </c>
      <c r="F8" s="8" t="n">
        <f aca="false">E8+ROW()/1000000</f>
        <v>2.500008</v>
      </c>
    </row>
    <row r="9" customFormat="false" ht="15" hidden="false" customHeight="false" outlineLevel="0" collapsed="false">
      <c r="A9" s="0" t="s">
        <v>28</v>
      </c>
      <c r="B9" s="4" t="n">
        <v>0.9</v>
      </c>
      <c r="C9" s="4" t="n">
        <v>0.4</v>
      </c>
      <c r="D9" s="4" t="n">
        <v>1.1</v>
      </c>
      <c r="E9" s="5" t="n">
        <f aca="false">SUM(B9:D9)</f>
        <v>2.4</v>
      </c>
      <c r="F9" s="8" t="n">
        <f aca="false">E9+ROW()/1000000</f>
        <v>2.400009</v>
      </c>
    </row>
    <row r="10" customFormat="false" ht="15" hidden="false" customHeight="false" outlineLevel="0" collapsed="false">
      <c r="A10" s="0" t="s">
        <v>29</v>
      </c>
      <c r="B10" s="4" t="n">
        <v>0.5</v>
      </c>
      <c r="C10" s="4" t="n">
        <v>0.6</v>
      </c>
      <c r="D10" s="4" t="n">
        <v>0.4</v>
      </c>
      <c r="E10" s="5" t="n">
        <f aca="false">SUM(B10:D10)</f>
        <v>1.5</v>
      </c>
      <c r="F10" s="8" t="n">
        <f aca="false">E10+ROW()/1000000</f>
        <v>1.50001</v>
      </c>
    </row>
    <row r="11" customFormat="false" ht="15" hidden="false" customHeight="false" outlineLevel="0" collapsed="false">
      <c r="A11" s="0" t="s">
        <v>30</v>
      </c>
      <c r="B11" s="4" t="n">
        <v>0.3</v>
      </c>
      <c r="C11" s="4" t="n">
        <v>0.5</v>
      </c>
      <c r="D11" s="4" t="n">
        <v>0.6</v>
      </c>
      <c r="E11" s="5" t="n">
        <f aca="false">SUM(B11:D11)</f>
        <v>1.4</v>
      </c>
      <c r="F11" s="8" t="n">
        <f aca="false">E11+ROW()/1000000</f>
        <v>1.400011</v>
      </c>
    </row>
    <row r="12" customFormat="false" ht="15" hidden="false" customHeight="false" outlineLevel="0" collapsed="false">
      <c r="A12" s="9" t="s">
        <v>31</v>
      </c>
      <c r="B12" s="6" t="n">
        <f aca="false">SUM(B5:B11)</f>
        <v>7.2</v>
      </c>
      <c r="C12" s="6" t="n">
        <f aca="false">SUM(C5:C11)</f>
        <v>4.8</v>
      </c>
      <c r="D12" s="6" t="n">
        <f aca="false">SUM(D5:D11)</f>
        <v>8.9</v>
      </c>
      <c r="E12" s="6" t="n">
        <f aca="false">SUM(E5:E11)</f>
        <v>20.9</v>
      </c>
    </row>
    <row r="14" customFormat="false" ht="15" hidden="false" customHeight="false" outlineLevel="0" collapsed="false">
      <c r="A14" s="9" t="s">
        <v>32</v>
      </c>
    </row>
    <row r="15" customFormat="false" ht="28.35" hidden="false" customHeight="false" outlineLevel="0" collapsed="false">
      <c r="A15" s="3" t="s">
        <v>21</v>
      </c>
      <c r="B15" s="3" t="s">
        <v>33</v>
      </c>
      <c r="C15" s="3" t="s">
        <v>34</v>
      </c>
      <c r="D15" s="3" t="s">
        <v>35</v>
      </c>
    </row>
    <row r="16" customFormat="false" ht="15" hidden="false" customHeight="false" outlineLevel="0" collapsed="false">
      <c r="A16" s="10" t="str">
        <f aca="false">INDEX($A$5:$A$11,MATCH(LARGE($F$5:$F$11,1),$F$5:$F$11,0))</f>
        <v>Pérdida de circulación</v>
      </c>
      <c r="B16" s="5" t="n">
        <f aca="false">INDEX($E$5:$E$11,MATCH(LARGE($F$5:$F$11,1),$F$5:$F$11,0))</f>
        <v>7</v>
      </c>
      <c r="C16" s="7" t="n">
        <f aca="false">B16/$E$12</f>
        <v>0.334928229665072</v>
      </c>
      <c r="D16" s="7" t="n">
        <f aca="false">SUM($C$16:C16)</f>
        <v>0.334928229665072</v>
      </c>
    </row>
    <row r="17" customFormat="false" ht="15" hidden="false" customHeight="false" outlineLevel="0" collapsed="false">
      <c r="A17" s="10" t="str">
        <f aca="false">INDEX($A$5:$A$11,MATCH(LARGE($F$5:$F$11,2),$F$5:$F$11,0))</f>
        <v>Pega de herramienta</v>
      </c>
      <c r="B17" s="5" t="n">
        <f aca="false">INDEX($E$5:$E$11,MATCH(LARGE($F$5:$F$11,2),$F$5:$F$11,0))</f>
        <v>3.2</v>
      </c>
      <c r="C17" s="7" t="n">
        <f aca="false">B17/$E$12</f>
        <v>0.15311004784689</v>
      </c>
      <c r="D17" s="7" t="n">
        <f aca="false">SUM($C$16:C17)</f>
        <v>0.488038277511962</v>
      </c>
    </row>
    <row r="18" customFormat="false" ht="15" hidden="false" customHeight="false" outlineLevel="0" collapsed="false">
      <c r="A18" s="10" t="str">
        <f aca="false">INDEX($A$5:$A$11,MATCH(LARGE($F$5:$F$11,3),$F$5:$F$11,0))</f>
        <v>Falla de equipo de superficie</v>
      </c>
      <c r="B18" s="5" t="n">
        <f aca="false">INDEX($E$5:$E$11,MATCH(LARGE($F$5:$F$11,3),$F$5:$F$11,0))</f>
        <v>2.9</v>
      </c>
      <c r="C18" s="7" t="n">
        <f aca="false">B18/$E$12</f>
        <v>0.138755980861244</v>
      </c>
      <c r="D18" s="7" t="n">
        <f aca="false">SUM($C$16:C18)</f>
        <v>0.626794258373206</v>
      </c>
    </row>
    <row r="19" customFormat="false" ht="15" hidden="false" customHeight="false" outlineLevel="0" collapsed="false">
      <c r="A19" s="10" t="str">
        <f aca="false">INDEX($A$5:$A$11,MATCH(LARGE($F$5:$F$11,4),$F$5:$F$11,0))</f>
        <v>Espera por clima / logística</v>
      </c>
      <c r="B19" s="5" t="n">
        <f aca="false">INDEX($E$5:$E$11,MATCH(LARGE($F$5:$F$11,4),$F$5:$F$11,0))</f>
        <v>2.5</v>
      </c>
      <c r="C19" s="7" t="n">
        <f aca="false">B19/$E$12</f>
        <v>0.119617224880383</v>
      </c>
      <c r="D19" s="7" t="n">
        <f aca="false">SUM($C$16:C19)</f>
        <v>0.746411483253589</v>
      </c>
    </row>
    <row r="20" customFormat="false" ht="15" hidden="false" customHeight="false" outlineLevel="0" collapsed="false">
      <c r="A20" s="10" t="str">
        <f aca="false">INDEX($A$5:$A$11,MATCH(LARGE($F$5:$F$11,5),$F$5:$F$11,0))</f>
        <v>Problemas direccionales / BHA</v>
      </c>
      <c r="B20" s="5" t="n">
        <f aca="false">INDEX($E$5:$E$11,MATCH(LARGE($F$5:$F$11,5),$F$5:$F$11,0))</f>
        <v>2.4</v>
      </c>
      <c r="C20" s="7" t="n">
        <f aca="false">B20/$E$12</f>
        <v>0.114832535885168</v>
      </c>
      <c r="D20" s="7" t="n">
        <f aca="false">SUM($C$16:C20)</f>
        <v>0.861244019138756</v>
      </c>
    </row>
    <row r="21" customFormat="false" ht="15" hidden="false" customHeight="false" outlineLevel="0" collapsed="false">
      <c r="A21" s="10" t="str">
        <f aca="false">INDEX($A$5:$A$11,MATCH(LARGE($F$5:$F$11,6),$F$5:$F$11,0))</f>
        <v>Espera por decisión / aprobaciones</v>
      </c>
      <c r="B21" s="5" t="n">
        <f aca="false">INDEX($E$5:$E$11,MATCH(LARGE($F$5:$F$11,6),$F$5:$F$11,0))</f>
        <v>1.5</v>
      </c>
      <c r="C21" s="7" t="n">
        <f aca="false">B21/$E$12</f>
        <v>0.0717703349282297</v>
      </c>
      <c r="D21" s="7" t="n">
        <f aca="false">SUM($C$16:C21)</f>
        <v>0.933014354066986</v>
      </c>
    </row>
    <row r="22" customFormat="false" ht="15" hidden="false" customHeight="false" outlineLevel="0" collapsed="false">
      <c r="A22" s="10" t="str">
        <f aca="false">INDEX($A$5:$A$11,MATCH(LARGE($F$5:$F$11,7),$F$5:$F$11,0))</f>
        <v>Falla de herramienta de fondo</v>
      </c>
      <c r="B22" s="5" t="n">
        <f aca="false">INDEX($E$5:$E$11,MATCH(LARGE($F$5:$F$11,7),$F$5:$F$11,0))</f>
        <v>1.4</v>
      </c>
      <c r="C22" s="7" t="n">
        <f aca="false">B22/$E$12</f>
        <v>0.0669856459330144</v>
      </c>
      <c r="D22" s="7" t="n">
        <f aca="false">SUM($C$16:C22)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37</v>
      </c>
      <c r="B4" s="3" t="s">
        <v>38</v>
      </c>
      <c r="C4" s="3" t="s">
        <v>39</v>
      </c>
      <c r="D4" s="3" t="s">
        <v>40</v>
      </c>
    </row>
    <row r="5" customFormat="false" ht="15" hidden="false" customHeight="false" outlineLevel="0" collapsed="false">
      <c r="A5" s="0" t="s">
        <v>41</v>
      </c>
      <c r="B5" s="11" t="n">
        <v>3500</v>
      </c>
      <c r="C5" s="11" t="n">
        <v>3480</v>
      </c>
      <c r="D5" s="11" t="n">
        <v>3520</v>
      </c>
    </row>
    <row r="6" customFormat="false" ht="15" hidden="false" customHeight="false" outlineLevel="0" collapsed="false">
      <c r="A6" s="0" t="s">
        <v>42</v>
      </c>
      <c r="B6" s="11" t="n">
        <v>180000</v>
      </c>
      <c r="C6" s="11" t="n">
        <v>180000</v>
      </c>
      <c r="D6" s="11" t="n">
        <v>180000</v>
      </c>
    </row>
    <row r="7" customFormat="false" ht="15" hidden="false" customHeight="false" outlineLevel="0" collapsed="false">
      <c r="A7" s="0" t="s">
        <v>43</v>
      </c>
      <c r="B7" s="5" t="n">
        <f aca="false">Tiempos!B13</f>
        <v>48.7</v>
      </c>
      <c r="C7" s="5" t="n">
        <f aca="false">Tiempos!C13</f>
        <v>42.1</v>
      </c>
      <c r="D7" s="5" t="n">
        <f aca="false">Tiempos!D13</f>
        <v>54.1</v>
      </c>
    </row>
    <row r="8" customFormat="false" ht="15" hidden="false" customHeight="false" outlineLevel="0" collapsed="false">
      <c r="A8" s="0" t="s">
        <v>44</v>
      </c>
      <c r="B8" s="5" t="n">
        <f aca="false">B5/B7</f>
        <v>71.8685831622177</v>
      </c>
      <c r="C8" s="5" t="n">
        <f aca="false">C5/C7</f>
        <v>82.6603325415677</v>
      </c>
      <c r="D8" s="5" t="n">
        <f aca="false">D5/D7</f>
        <v>65.0646950092421</v>
      </c>
    </row>
    <row r="9" customFormat="false" ht="15" hidden="false" customHeight="false" outlineLevel="0" collapsed="false">
      <c r="A9" s="0" t="s">
        <v>45</v>
      </c>
      <c r="B9" s="12" t="n">
        <f aca="false">B7*B6/1000000</f>
        <v>8.766</v>
      </c>
      <c r="C9" s="12" t="n">
        <f aca="false">C7*C6/1000000</f>
        <v>7.578</v>
      </c>
      <c r="D9" s="12" t="n">
        <f aca="false">D7*D6/1000000</f>
        <v>9.738</v>
      </c>
    </row>
    <row r="10" customFormat="false" ht="15" hidden="false" customHeight="false" outlineLevel="0" collapsed="false">
      <c r="A10" s="0" t="s">
        <v>46</v>
      </c>
      <c r="B10" s="13" t="n">
        <f aca="false">B7*B6/B5</f>
        <v>2504.57142857143</v>
      </c>
      <c r="C10" s="13" t="n">
        <f aca="false">C7*C6/C5</f>
        <v>2177.58620689655</v>
      </c>
      <c r="D10" s="13" t="n">
        <f aca="false">D7*D6/D5</f>
        <v>2766.47727272727</v>
      </c>
    </row>
    <row r="11" customFormat="false" ht="15" hidden="false" customHeight="false" outlineLevel="0" collapsed="false">
      <c r="A11" s="0" t="s">
        <v>47</v>
      </c>
      <c r="B11" s="12" t="n">
        <f aca="false">Tiempos!B12*B6/1000000</f>
        <v>1.296</v>
      </c>
      <c r="C11" s="12" t="n">
        <f aca="false">Tiempos!C12*C6/1000000</f>
        <v>0.864</v>
      </c>
      <c r="D11" s="12" t="n">
        <f aca="false">Tiempos!D12*D6/1000000</f>
        <v>1.602</v>
      </c>
    </row>
    <row r="12" customFormat="false" ht="15" hidden="false" customHeight="false" outlineLevel="0" collapsed="false">
      <c r="A12" s="0" t="s">
        <v>48</v>
      </c>
      <c r="B12" s="12" t="n">
        <f aca="false">Tiempos!B15*B6/1000000</f>
        <v>2.376</v>
      </c>
      <c r="C12" s="12" t="n">
        <f aca="false">Tiempos!C15*C6/1000000</f>
        <v>1.62</v>
      </c>
      <c r="D12" s="12" t="n">
        <f aca="false">Tiempos!D15*D6/1000000</f>
        <v>3.042</v>
      </c>
    </row>
    <row r="13" customFormat="false" ht="15" hidden="false" customHeight="false" outlineLevel="0" collapsed="false">
      <c r="A13" s="0" t="s">
        <v>49</v>
      </c>
      <c r="B13" s="14" t="n">
        <f aca="false">B11+B12</f>
        <v>3.672</v>
      </c>
      <c r="C13" s="14" t="n">
        <f aca="false">C11+C12</f>
        <v>2.484</v>
      </c>
      <c r="D13" s="14" t="n">
        <f aca="false">D11+D12</f>
        <v>4.644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51</v>
      </c>
      <c r="B3" s="4" t="n">
        <v>0.3</v>
      </c>
    </row>
    <row r="5" customFormat="false" ht="28.35" hidden="false" customHeight="false" outlineLevel="0" collapsed="false">
      <c r="A5" s="3" t="s">
        <v>52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</row>
    <row r="6" customFormat="false" ht="15" hidden="false" customHeight="false" outlineLevel="0" collapsed="false">
      <c r="A6" s="11" t="n">
        <v>500</v>
      </c>
      <c r="B6" s="4" t="n">
        <v>8.9</v>
      </c>
      <c r="C6" s="4" t="n">
        <v>11.5</v>
      </c>
      <c r="D6" s="4" t="n">
        <v>9.6</v>
      </c>
      <c r="E6" s="5" t="n">
        <f aca="false">D6-B6</f>
        <v>0.699999999999999</v>
      </c>
      <c r="F6" s="5" t="n">
        <f aca="false">C6-D6</f>
        <v>1.9</v>
      </c>
      <c r="G6" s="10" t="str">
        <f aca="false">IF(AND(E6&gt;=$B$3,F6&gt;=$B$3),"OK","REVISAR")</f>
        <v>OK</v>
      </c>
    </row>
    <row r="7" customFormat="false" ht="15" hidden="false" customHeight="false" outlineLevel="0" collapsed="false">
      <c r="A7" s="11" t="n">
        <v>1000</v>
      </c>
      <c r="B7" s="4" t="n">
        <v>9</v>
      </c>
      <c r="C7" s="4" t="n">
        <v>12.4</v>
      </c>
      <c r="D7" s="4" t="n">
        <v>9.8</v>
      </c>
      <c r="E7" s="5" t="n">
        <f aca="false">D7-B7</f>
        <v>0.800000000000001</v>
      </c>
      <c r="F7" s="5" t="n">
        <f aca="false">C7-D7</f>
        <v>2.6</v>
      </c>
      <c r="G7" s="10" t="str">
        <f aca="false">IF(AND(E7&gt;=$B$3,F7&gt;=$B$3),"OK","REVISAR")</f>
        <v>OK</v>
      </c>
    </row>
    <row r="8" customFormat="false" ht="15" hidden="false" customHeight="false" outlineLevel="0" collapsed="false">
      <c r="A8" s="11" t="n">
        <v>1500</v>
      </c>
      <c r="B8" s="4" t="n">
        <v>9.2</v>
      </c>
      <c r="C8" s="4" t="n">
        <v>13</v>
      </c>
      <c r="D8" s="4" t="n">
        <v>10.2</v>
      </c>
      <c r="E8" s="5" t="n">
        <f aca="false">D8-B8</f>
        <v>1</v>
      </c>
      <c r="F8" s="5" t="n">
        <f aca="false">C8-D8</f>
        <v>2.8</v>
      </c>
      <c r="G8" s="10" t="str">
        <f aca="false">IF(AND(E8&gt;=$B$3,F8&gt;=$B$3),"OK","REVISAR")</f>
        <v>OK</v>
      </c>
    </row>
    <row r="9" customFormat="false" ht="15" hidden="false" customHeight="false" outlineLevel="0" collapsed="false">
      <c r="A9" s="11" t="n">
        <v>2000</v>
      </c>
      <c r="B9" s="4" t="n">
        <v>9.8</v>
      </c>
      <c r="C9" s="4" t="n">
        <v>13.4</v>
      </c>
      <c r="D9" s="4" t="n">
        <v>10.8</v>
      </c>
      <c r="E9" s="5" t="n">
        <f aca="false">D9-B9</f>
        <v>1</v>
      </c>
      <c r="F9" s="5" t="n">
        <f aca="false">C9-D9</f>
        <v>2.6</v>
      </c>
      <c r="G9" s="10" t="str">
        <f aca="false">IF(AND(E9&gt;=$B$3,F9&gt;=$B$3),"OK","REVISAR")</f>
        <v>OK</v>
      </c>
    </row>
    <row r="10" customFormat="false" ht="15" hidden="false" customHeight="false" outlineLevel="0" collapsed="false">
      <c r="A10" s="11" t="n">
        <v>2500</v>
      </c>
      <c r="B10" s="4" t="n">
        <v>11.2</v>
      </c>
      <c r="C10" s="4" t="n">
        <v>14</v>
      </c>
      <c r="D10" s="4" t="n">
        <v>12</v>
      </c>
      <c r="E10" s="5" t="n">
        <f aca="false">D10-B10</f>
        <v>0.800000000000001</v>
      </c>
      <c r="F10" s="5" t="n">
        <f aca="false">C10-D10</f>
        <v>2</v>
      </c>
      <c r="G10" s="10" t="str">
        <f aca="false">IF(AND(E10&gt;=$B$3,F10&gt;=$B$3),"OK","REVISAR")</f>
        <v>OK</v>
      </c>
    </row>
    <row r="11" customFormat="false" ht="15" hidden="false" customHeight="false" outlineLevel="0" collapsed="false">
      <c r="A11" s="11" t="n">
        <v>3000</v>
      </c>
      <c r="B11" s="4" t="n">
        <v>12.6</v>
      </c>
      <c r="C11" s="4" t="n">
        <v>14.6</v>
      </c>
      <c r="D11" s="4" t="n">
        <v>13.6</v>
      </c>
      <c r="E11" s="5" t="n">
        <f aca="false">D11-B11</f>
        <v>1</v>
      </c>
      <c r="F11" s="5" t="n">
        <f aca="false">C11-D11</f>
        <v>1</v>
      </c>
      <c r="G11" s="10" t="str">
        <f aca="false">IF(AND(E11&gt;=$B$3,F11&gt;=$B$3),"OK","REVISAR")</f>
        <v>OK</v>
      </c>
    </row>
    <row r="12" customFormat="false" ht="15" hidden="false" customHeight="false" outlineLevel="0" collapsed="false">
      <c r="A12" s="11" t="n">
        <v>3500</v>
      </c>
      <c r="B12" s="4" t="n">
        <v>13.2</v>
      </c>
      <c r="C12" s="4" t="n">
        <v>15</v>
      </c>
      <c r="D12" s="4" t="n">
        <v>14.1</v>
      </c>
      <c r="E12" s="5" t="n">
        <f aca="false">D12-B12</f>
        <v>0.9</v>
      </c>
      <c r="F12" s="5" t="n">
        <f aca="false">C12-D12</f>
        <v>0.9</v>
      </c>
      <c r="G12" s="10" t="str">
        <f aca="false">IF(AND(E12&gt;=$B$3,F12&gt;=$B$3),"OK","REVISAR")</f>
        <v>OK</v>
      </c>
    </row>
    <row r="14" customFormat="false" ht="15" hidden="false" customHeight="false" outlineLevel="0" collapsed="false">
      <c r="A14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2026-10-31T04:45:51Z</dcterms:created>
  <dc:creator>openpyxl</dc:creator>
  <dc:description/>
  <dc:language>en-US</dc:language>
  <cp:lastModifiedBy/>
  <dcterms:modified xsi:type="dcterms:W3CDTF">2026-10-31T04:45:51Z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