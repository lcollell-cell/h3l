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arametros" sheetId="1" state="visible" r:id="rId3"/>
    <sheet name="Datos" sheetId="2" state="visible" r:id="rId4"/>
    <sheet name="Resultad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<sst xmlns="http://schemas.openxmlformats.org/spreadsheetml/2006/main" count="58" uniqueCount="49">
  <si>
    <t xml:space="preserve">Prueba de restauración de presión: Horner y derivada</t>
  </si>
  <si>
    <t xml:space="preserve">Datos de ejemplo (sintéticos) con fines didácticos. Celdas azules sobre fondo crema = entradas editables; el resto son fórmulas.</t>
  </si>
  <si>
    <t xml:space="preserve">Parámetro</t>
  </si>
  <si>
    <t xml:space="preserve">Valor</t>
  </si>
  <si>
    <t xml:space="preserve">Unidad</t>
  </si>
  <si>
    <t xml:space="preserve">Caudal antes del cierre q</t>
  </si>
  <si>
    <t xml:space="preserve">stb/d</t>
  </si>
  <si>
    <t xml:space="preserve">Factor volumétrico B</t>
  </si>
  <si>
    <t xml:space="preserve">rb/stb</t>
  </si>
  <si>
    <t xml:space="preserve">Viscosidad μ</t>
  </si>
  <si>
    <t xml:space="preserve">cP</t>
  </si>
  <si>
    <t xml:space="preserve">Espesor h</t>
  </si>
  <si>
    <t xml:space="preserve">pies</t>
  </si>
  <si>
    <t xml:space="preserve">Porosidad φ</t>
  </si>
  <si>
    <t xml:space="preserve">fracción</t>
  </si>
  <si>
    <t xml:space="preserve">Compresibilidad total ct</t>
  </si>
  <si>
    <t xml:space="preserve">1/psi</t>
  </si>
  <si>
    <t xml:space="preserve">Radio del pozo rw</t>
  </si>
  <si>
    <t xml:space="preserve">Tiempo de producción tp</t>
  </si>
  <si>
    <t xml:space="preserve">h</t>
  </si>
  <si>
    <t xml:space="preserve">Fila inicial de la recta de Horner (1 a 70)</t>
  </si>
  <si>
    <t xml:space="preserve">Fila final de la recta de Horner (1 a 70)</t>
  </si>
  <si>
    <t xml:space="preserve">Los datos de presión se generaron con la solución analítica (k = 20 md, S = 3, C = 0,02 bbl/psi). Tu resultado debería acercarse a esos valores si la ventana está bien elegida.</t>
  </si>
  <si>
    <t xml:space="preserve">Probá moviendo la ventana a las primeras filas (almacenamiento): la permeabilidad se aleja del valor real.</t>
  </si>
  <si>
    <t xml:space="preserve">Datos de cierre (sintéticos) y derivada de Bourdet</t>
  </si>
  <si>
    <t xml:space="preserve">N.º</t>
  </si>
  <si>
    <t xml:space="preserve">Δt (h)</t>
  </si>
  <si>
    <t xml:space="preserve">pws (psi)</t>
  </si>
  <si>
    <t xml:space="preserve">tp+Δt</t>
  </si>
  <si>
    <t xml:space="preserve">Horner (tp+Δt)/Δt</t>
  </si>
  <si>
    <t xml:space="preserve">log10 Horner</t>
  </si>
  <si>
    <t xml:space="preserve">Δp (psi)</t>
  </si>
  <si>
    <t xml:space="preserve">Δt equivalente (h)</t>
  </si>
  <si>
    <t xml:space="preserve">ln Δte</t>
  </si>
  <si>
    <t xml:space="preserve">Derivada dΔp/dlnΔte (psi)</t>
  </si>
  <si>
    <t xml:space="preserve">Resultados del análisis de Horner</t>
  </si>
  <si>
    <t xml:space="preserve">Indicador</t>
  </si>
  <si>
    <t xml:space="preserve">Pendiente m (psi por ciclo)</t>
  </si>
  <si>
    <t xml:space="preserve">psi/ciclo</t>
  </si>
  <si>
    <t xml:space="preserve">Permeabilidad k</t>
  </si>
  <si>
    <t xml:space="preserve">md</t>
  </si>
  <si>
    <t xml:space="preserve">Presión extrapolada p*</t>
  </si>
  <si>
    <t xml:space="preserve">psi</t>
  </si>
  <si>
    <t xml:space="preserve">Presión a 1 h (p1h, sobre la recta)</t>
  </si>
  <si>
    <t xml:space="preserve">Presión de fondo fluyente al cierre (pwf)</t>
  </si>
  <si>
    <t xml:space="preserve">Factor de daño S</t>
  </si>
  <si>
    <t xml:space="preserve">Caída por daño Δps = 0,87·m·S</t>
  </si>
  <si>
    <t xml:space="preserve">Eficiencia de flujo</t>
  </si>
  <si>
    <t xml:space="preserve">Valores de referencia del ejemplo: k = 20 md y S = 3. La derivada de la hoja Datos muestra la meseta de flujo radial: k = 70,6·q·B·μ/(h·meseta).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</si>
</sst>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0"/>
    <numFmt numFmtId="167" formatCode="0.0E+00"/>
    <numFmt numFmtId="168" formatCode="0.0000"/>
    <numFmt numFmtId="169" formatCode="0.000"/>
    <numFmt numFmtId="170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A30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1A30"/>
        <bgColor rgb="FF000000"/>
      </patternFill>
    </fill>
    <fill>
      <patternFill patternType="solid">
        <fgColor rgb="FFFFF8DC"/>
        <bgColor rgb="FFFFFFFF"/>
      </patternFill>
    </fill>
    <fill>
      <patternFill patternType="solid">
        <fgColor rgb="FFE3F7F0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DC"/>
      <rgbColor rgb="FFE3F7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B1A3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0" t="s">
        <v>5</v>
      </c>
      <c r="B5" s="4" t="n">
        <v>500</v>
      </c>
      <c r="C5" s="2" t="s">
        <v>6</v>
      </c>
    </row>
    <row r="6" customFormat="false" ht="15" hidden="false" customHeight="false" outlineLevel="0" collapsed="false">
      <c r="A6" s="0" t="s">
        <v>7</v>
      </c>
      <c r="B6" s="5" t="n">
        <v>1.2</v>
      </c>
      <c r="C6" s="2" t="s">
        <v>8</v>
      </c>
    </row>
    <row r="7" customFormat="false" ht="15" hidden="false" customHeight="false" outlineLevel="0" collapsed="false">
      <c r="A7" s="0" t="s">
        <v>9</v>
      </c>
      <c r="B7" s="5" t="n">
        <v>1</v>
      </c>
      <c r="C7" s="2" t="s">
        <v>10</v>
      </c>
    </row>
    <row r="8" customFormat="false" ht="15" hidden="false" customHeight="false" outlineLevel="0" collapsed="false">
      <c r="A8" s="0" t="s">
        <v>11</v>
      </c>
      <c r="B8" s="4" t="n">
        <v>50</v>
      </c>
      <c r="C8" s="2" t="s">
        <v>12</v>
      </c>
    </row>
    <row r="9" customFormat="false" ht="15" hidden="false" customHeight="false" outlineLevel="0" collapsed="false">
      <c r="A9" s="0" t="s">
        <v>13</v>
      </c>
      <c r="B9" s="5" t="n">
        <v>0.15</v>
      </c>
      <c r="C9" s="2" t="s">
        <v>14</v>
      </c>
    </row>
    <row r="10" customFormat="false" ht="15" hidden="false" customHeight="false" outlineLevel="0" collapsed="false">
      <c r="A10" s="0" t="s">
        <v>15</v>
      </c>
      <c r="B10" s="6" t="n">
        <v>1E-005</v>
      </c>
      <c r="C10" s="2" t="s">
        <v>16</v>
      </c>
    </row>
    <row r="11" customFormat="false" ht="15" hidden="false" customHeight="false" outlineLevel="0" collapsed="false">
      <c r="A11" s="0" t="s">
        <v>17</v>
      </c>
      <c r="B11" s="5" t="n">
        <v>0.3</v>
      </c>
      <c r="C11" s="2" t="s">
        <v>12</v>
      </c>
    </row>
    <row r="12" customFormat="false" ht="15" hidden="false" customHeight="false" outlineLevel="0" collapsed="false">
      <c r="A12" s="0" t="s">
        <v>18</v>
      </c>
      <c r="B12" s="4" t="n">
        <v>240</v>
      </c>
      <c r="C12" s="2" t="s">
        <v>19</v>
      </c>
    </row>
    <row r="13" customFormat="false" ht="15" hidden="false" customHeight="false" outlineLevel="0" collapsed="false">
      <c r="A13" s="0" t="s">
        <v>20</v>
      </c>
      <c r="B13" s="4" t="n">
        <v>50</v>
      </c>
      <c r="C13" s="2"/>
    </row>
    <row r="14" customFormat="false" ht="15" hidden="false" customHeight="false" outlineLevel="0" collapsed="false">
      <c r="A14" s="0" t="s">
        <v>21</v>
      </c>
      <c r="B14" s="4" t="n">
        <v>65</v>
      </c>
      <c r="C14" s="2"/>
    </row>
    <row r="16" customFormat="false" ht="15" hidden="false" customHeight="false" outlineLevel="0" collapsed="false">
      <c r="A16" s="2" t="s">
        <v>22</v>
      </c>
    </row>
    <row r="17" customFormat="false" ht="15" hidden="false" customHeight="false" outlineLevel="0" collapsed="false">
      <c r="A17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22"/>
  </cols>
  <sheetData>
    <row r="1" customFormat="false" ht="17.35" hidden="false" customHeight="false" outlineLevel="0" collapsed="false">
      <c r="A1" s="1" t="s">
        <v>24</v>
      </c>
    </row>
    <row r="2" customFormat="false" ht="15" hidden="false" customHeight="false" outlineLevel="0" collapsed="false">
      <c r="A2" s="2" t="s">
        <v>1</v>
      </c>
    </row>
    <row r="4" customFormat="false" ht="28.35" hidden="false" customHeight="false" outlineLevel="0" collapsed="false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</row>
    <row r="5" customFormat="false" ht="15" hidden="false" customHeight="false" outlineLevel="0" collapsed="false">
      <c r="A5" s="0" t="n">
        <v>1</v>
      </c>
      <c r="B5" s="7" t="n">
        <v>0.01</v>
      </c>
      <c r="C5" s="8" t="n">
        <v>3044.155</v>
      </c>
      <c r="D5" s="9" t="n">
        <f aca="false">Parametros!$B$12+B5</f>
        <v>240.01</v>
      </c>
      <c r="E5" s="10" t="n">
        <f aca="false">D5/B5</f>
        <v>24001</v>
      </c>
      <c r="F5" s="11" t="n">
        <f aca="false">LOG10(E5)</f>
        <v>4.38022933693804</v>
      </c>
      <c r="G5" s="10" t="n">
        <f aca="false">C5-$C$5</f>
        <v>0</v>
      </c>
      <c r="H5" s="11" t="n">
        <f aca="false">B5*Parametros!$B$12/D5</f>
        <v>0.00999958335069372</v>
      </c>
      <c r="I5" s="11" t="n">
        <f aca="false">LN(H5)</f>
        <v>-4.60521185178673</v>
      </c>
    </row>
    <row r="6" customFormat="false" ht="15" hidden="false" customHeight="false" outlineLevel="0" collapsed="false">
      <c r="A6" s="0" t="n">
        <v>2</v>
      </c>
      <c r="B6" s="7" t="n">
        <v>0.0115</v>
      </c>
      <c r="C6" s="8" t="n">
        <v>3045.986</v>
      </c>
      <c r="D6" s="9" t="n">
        <f aca="false">Parametros!$B$12+B6</f>
        <v>240.0115</v>
      </c>
      <c r="E6" s="10" t="n">
        <f aca="false">D6/B6</f>
        <v>20870.5652173913</v>
      </c>
      <c r="F6" s="11" t="n">
        <f aca="false">LOG10(E6)</f>
        <v>4.31953421080336</v>
      </c>
      <c r="G6" s="10" t="n">
        <f aca="false">C6-$C$5</f>
        <v>1.83099999999968</v>
      </c>
      <c r="H6" s="11" t="n">
        <f aca="false">B6*Parametros!$B$12/D6</f>
        <v>0.0114994489847361</v>
      </c>
      <c r="I6" s="11" t="n">
        <f aca="false">LN(H6)</f>
        <v>-4.46545615913163</v>
      </c>
      <c r="J6" s="10" t="n">
        <f aca="false">((G6-G5)/(I6-I5)*(I7-I6)+(G7-G6)/(I7-I6)*(I6-I5))/(I7-I5)</f>
        <v>13.9673784570613</v>
      </c>
    </row>
    <row r="7" customFormat="false" ht="15" hidden="false" customHeight="false" outlineLevel="0" collapsed="false">
      <c r="A7" s="0" t="n">
        <v>3</v>
      </c>
      <c r="B7" s="7" t="n">
        <v>0.0133</v>
      </c>
      <c r="C7" s="8" t="n">
        <v>3048.148</v>
      </c>
      <c r="D7" s="9" t="n">
        <f aca="false">Parametros!$B$12+B7</f>
        <v>240.0133</v>
      </c>
      <c r="E7" s="10" t="n">
        <f aca="false">D7/B7</f>
        <v>18046.1127819549</v>
      </c>
      <c r="F7" s="11" t="n">
        <f aca="false">LOG10(E7)</f>
        <v>4.25638366723022</v>
      </c>
      <c r="G7" s="10" t="n">
        <f aca="false">C7-$C$5</f>
        <v>3.99299999999994</v>
      </c>
      <c r="H7" s="11" t="n">
        <f aca="false">B7*Parametros!$B$12/D7</f>
        <v>0.0132992629991755</v>
      </c>
      <c r="I7" s="11" t="n">
        <f aca="false">LN(H7)</f>
        <v>-4.32004665888565</v>
      </c>
      <c r="J7" s="10" t="n">
        <f aca="false">((G7-G6)/(I7-I6)*(I8-I7)+(G8-G7)/(I8-I7)*(I7-I6))/(I8-I6)</f>
        <v>16.072147046613</v>
      </c>
    </row>
    <row r="8" customFormat="false" ht="15" hidden="false" customHeight="false" outlineLevel="0" collapsed="false">
      <c r="A8" s="0" t="n">
        <v>4</v>
      </c>
      <c r="B8" s="7" t="n">
        <v>0.0154</v>
      </c>
      <c r="C8" s="8" t="n">
        <v>3050.682</v>
      </c>
      <c r="D8" s="9" t="n">
        <f aca="false">Parametros!$B$12+B8</f>
        <v>240.0154</v>
      </c>
      <c r="E8" s="10" t="n">
        <f aca="false">D8/B8</f>
        <v>15585.4155844156</v>
      </c>
      <c r="F8" s="11" t="n">
        <f aca="false">LOG10(E8)</f>
        <v>4.19271838721036</v>
      </c>
      <c r="G8" s="10" t="n">
        <f aca="false">C8-$C$5</f>
        <v>6.52699999999959</v>
      </c>
      <c r="H8" s="11" t="n">
        <f aca="false">B8*Parametros!$B$12/D8</f>
        <v>0.0153990118967366</v>
      </c>
      <c r="I8" s="11" t="n">
        <f aca="false">LN(H8)</f>
        <v>-4.17345193417063</v>
      </c>
      <c r="J8" s="10" t="n">
        <f aca="false">((G8-G7)/(I8-I7)*(I9-I8)+(G9-G8)/(I9-I8)*(I8-I7))/(I9-I7)</f>
        <v>18.6496809734914</v>
      </c>
    </row>
    <row r="9" customFormat="false" ht="15" hidden="false" customHeight="false" outlineLevel="0" collapsed="false">
      <c r="A9" s="0" t="n">
        <v>5</v>
      </c>
      <c r="B9" s="7" t="n">
        <v>0.0178</v>
      </c>
      <c r="C9" s="8" t="n">
        <v>3053.578</v>
      </c>
      <c r="D9" s="9" t="n">
        <f aca="false">Parametros!$B$12+B9</f>
        <v>240.0178</v>
      </c>
      <c r="E9" s="10" t="n">
        <f aca="false">D9/B9</f>
        <v>13484.1460674157</v>
      </c>
      <c r="F9" s="11" t="n">
        <f aca="false">LOG10(E9)</f>
        <v>4.12982344838239</v>
      </c>
      <c r="G9" s="10" t="n">
        <f aca="false">C9-$C$5</f>
        <v>9.42299999999977</v>
      </c>
      <c r="H9" s="11" t="n">
        <f aca="false">B9*Parametros!$B$12/D9</f>
        <v>0.0177986799312384</v>
      </c>
      <c r="I9" s="11" t="n">
        <f aca="false">LN(H9)</f>
        <v>-4.02863098560055</v>
      </c>
      <c r="J9" s="10" t="n">
        <f aca="false">((G9-G8)/(I9-I8)*(I10-I9)+(G10-G9)/(I10-I9)*(I9-I8))/(I10-I8)</f>
        <v>21.4853951084858</v>
      </c>
    </row>
    <row r="10" customFormat="false" ht="15" hidden="false" customHeight="false" outlineLevel="0" collapsed="false">
      <c r="A10" s="0" t="n">
        <v>6</v>
      </c>
      <c r="B10" s="7" t="n">
        <v>0.0205</v>
      </c>
      <c r="C10" s="8" t="n">
        <v>3056.817</v>
      </c>
      <c r="D10" s="9" t="n">
        <f aca="false">Parametros!$B$12+B10</f>
        <v>240.0205</v>
      </c>
      <c r="E10" s="10" t="n">
        <f aca="false">D10/B10</f>
        <v>11708.3170731707</v>
      </c>
      <c r="F10" s="11" t="n">
        <f aca="false">LOG10(E10)</f>
        <v>4.06849447505863</v>
      </c>
      <c r="G10" s="10" t="n">
        <f aca="false">C10-$C$5</f>
        <v>12.6619999999998</v>
      </c>
      <c r="H10" s="11" t="n">
        <f aca="false">B10*Parametros!$B$12/D10</f>
        <v>0.0204982491078887</v>
      </c>
      <c r="I10" s="11" t="n">
        <f aca="false">LN(H10)</f>
        <v>-3.88741580585665</v>
      </c>
      <c r="J10" s="10" t="n">
        <f aca="false">((G10-G9)/(I10-I9)*(I11-I10)+(G11-G10)/(I11-I10)*(I10-I9))/(I11-I9)</f>
        <v>24.499029757389</v>
      </c>
    </row>
    <row r="11" customFormat="false" ht="15" hidden="false" customHeight="false" outlineLevel="0" collapsed="false">
      <c r="A11" s="0" t="n">
        <v>7</v>
      </c>
      <c r="B11" s="7" t="n">
        <v>0.0237</v>
      </c>
      <c r="C11" s="8" t="n">
        <v>3060.603</v>
      </c>
      <c r="D11" s="9" t="n">
        <f aca="false">Parametros!$B$12+B11</f>
        <v>240.0237</v>
      </c>
      <c r="E11" s="10" t="n">
        <f aca="false">D11/B11</f>
        <v>10127.582278481</v>
      </c>
      <c r="F11" s="11" t="n">
        <f aca="false">LOG10(E11)</f>
        <v>4.00550578016421</v>
      </c>
      <c r="G11" s="10" t="n">
        <f aca="false">C11-$C$5</f>
        <v>16.4479999999999</v>
      </c>
      <c r="H11" s="11" t="n">
        <f aca="false">B11*Parametros!$B$12/D11</f>
        <v>0.0236976598560892</v>
      </c>
      <c r="I11" s="11" t="n">
        <f aca="false">LN(H11)</f>
        <v>-3.74237897596559</v>
      </c>
      <c r="J11" s="10" t="n">
        <f aca="false">((G11-G10)/(I11-I10)*(I12-I11)+(G12-G11)/(I12-I11)*(I11-I10))/(I12-I10)</f>
        <v>28.0232583836028</v>
      </c>
    </row>
    <row r="12" customFormat="false" ht="15" hidden="false" customHeight="false" outlineLevel="0" collapsed="false">
      <c r="A12" s="0" t="n">
        <v>8</v>
      </c>
      <c r="B12" s="7" t="n">
        <v>0.0273</v>
      </c>
      <c r="C12" s="8" t="n">
        <v>3064.83</v>
      </c>
      <c r="D12" s="9" t="n">
        <f aca="false">Parametros!$B$12+B12</f>
        <v>240.0273</v>
      </c>
      <c r="E12" s="10" t="n">
        <f aca="false">D12/B12</f>
        <v>8792.20879120879</v>
      </c>
      <c r="F12" s="11" t="n">
        <f aca="false">LOG10(E12)</f>
        <v>3.9440979928587</v>
      </c>
      <c r="G12" s="10" t="n">
        <f aca="false">C12-$C$5</f>
        <v>20.6749999999997</v>
      </c>
      <c r="H12" s="11" t="n">
        <f aca="false">B12*Parametros!$B$12/D12</f>
        <v>0.0272968949781962</v>
      </c>
      <c r="I12" s="11" t="n">
        <f aca="false">LN(H12)</f>
        <v>-3.60098232032218</v>
      </c>
      <c r="J12" s="10" t="n">
        <f aca="false">((G12-G11)/(I12-I11)*(I13-I12)+(G13-G12)/(I13-I12)*(I12-I11))/(I13-I11)</f>
        <v>32.105933207475</v>
      </c>
    </row>
    <row r="13" customFormat="false" ht="15" hidden="false" customHeight="false" outlineLevel="0" collapsed="false">
      <c r="A13" s="0" t="n">
        <v>9</v>
      </c>
      <c r="B13" s="7" t="n">
        <v>0.0315</v>
      </c>
      <c r="C13" s="8" t="n">
        <v>3069.744</v>
      </c>
      <c r="D13" s="9" t="n">
        <f aca="false">Parametros!$B$12+B13</f>
        <v>240.0315</v>
      </c>
      <c r="E13" s="10" t="n">
        <f aca="false">D13/B13</f>
        <v>7620.04761904762</v>
      </c>
      <c r="F13" s="11" t="n">
        <f aca="false">LOG10(E13)</f>
        <v>3.88195768533238</v>
      </c>
      <c r="G13" s="10" t="n">
        <f aca="false">C13-$C$5</f>
        <v>25.5889999999999</v>
      </c>
      <c r="H13" s="11" t="n">
        <f aca="false">B13*Parametros!$B$12/D13</f>
        <v>0.0314958661675655</v>
      </c>
      <c r="I13" s="11" t="n">
        <f aca="false">LN(H13)</f>
        <v>-3.45789897453802</v>
      </c>
      <c r="J13" s="10" t="n">
        <f aca="false">((G13-G12)/(I13-I12)*(I14-I13)+(G14-G13)/(I14-I13)*(I13-I12))/(I14-I12)</f>
        <v>36.8048137808773</v>
      </c>
    </row>
    <row r="14" customFormat="false" ht="15" hidden="false" customHeight="false" outlineLevel="0" collapsed="false">
      <c r="A14" s="0" t="n">
        <v>10</v>
      </c>
      <c r="B14" s="7" t="n">
        <v>0.0364</v>
      </c>
      <c r="C14" s="8" t="n">
        <v>3075.424</v>
      </c>
      <c r="D14" s="9" t="n">
        <f aca="false">Parametros!$B$12+B14</f>
        <v>240.0364</v>
      </c>
      <c r="E14" s="10" t="n">
        <f aca="false">D14/B14</f>
        <v>6594.40659340659</v>
      </c>
      <c r="F14" s="11" t="n">
        <f aca="false">LOG10(E14)</f>
        <v>3.81917572106449</v>
      </c>
      <c r="G14" s="10" t="n">
        <f aca="false">C14-$C$5</f>
        <v>31.2689999999998</v>
      </c>
      <c r="H14" s="11" t="n">
        <f aca="false">B14*Parametros!$B$12/D14</f>
        <v>0.0363944801705075</v>
      </c>
      <c r="I14" s="11" t="n">
        <f aca="false">LN(H14)</f>
        <v>-3.31333815950588</v>
      </c>
      <c r="J14" s="10" t="n">
        <f aca="false">((G14-G13)/(I14-I13)*(I15-I14)+(G15-G14)/(I15-I14)*(I14-I13))/(I15-I13)</f>
        <v>42.1095386504543</v>
      </c>
    </row>
    <row r="15" customFormat="false" ht="15" hidden="false" customHeight="false" outlineLevel="0" collapsed="false">
      <c r="A15" s="0" t="n">
        <v>11</v>
      </c>
      <c r="B15" s="7" t="n">
        <v>0.042</v>
      </c>
      <c r="C15" s="8" t="n">
        <v>3081.848</v>
      </c>
      <c r="D15" s="9" t="n">
        <f aca="false">Parametros!$B$12+B15</f>
        <v>240.042</v>
      </c>
      <c r="E15" s="10" t="n">
        <f aca="false">D15/B15</f>
        <v>5715.28571428571</v>
      </c>
      <c r="F15" s="11" t="n">
        <f aca="false">LOG10(E15)</f>
        <v>3.75703794619868</v>
      </c>
      <c r="G15" s="10" t="n">
        <f aca="false">C15-$C$5</f>
        <v>37.6929999999998</v>
      </c>
      <c r="H15" s="11" t="n">
        <f aca="false">B15*Parametros!$B$12/D15</f>
        <v>0.0419926512860249</v>
      </c>
      <c r="I15" s="11" t="n">
        <f aca="false">LN(H15)</f>
        <v>-3.17026064538806</v>
      </c>
      <c r="J15" s="10" t="n">
        <f aca="false">((G15-G14)/(I15-I14)*(I16-I15)+(G16-G15)/(I16-I15)*(I15-I14))/(I16-I14)</f>
        <v>47.9644662323454</v>
      </c>
    </row>
    <row r="16" customFormat="false" ht="15" hidden="false" customHeight="false" outlineLevel="0" collapsed="false">
      <c r="A16" s="0" t="n">
        <v>12</v>
      </c>
      <c r="B16" s="7" t="n">
        <v>0.0485</v>
      </c>
      <c r="C16" s="8" t="n">
        <v>3089.192</v>
      </c>
      <c r="D16" s="9" t="n">
        <f aca="false">Parametros!$B$12+B16</f>
        <v>240.0485</v>
      </c>
      <c r="E16" s="10" t="n">
        <f aca="false">D16/B16</f>
        <v>4949.45360824742</v>
      </c>
      <c r="F16" s="11" t="n">
        <f aca="false">LOG10(E16)</f>
        <v>3.6945572579193</v>
      </c>
      <c r="G16" s="10" t="n">
        <f aca="false">C16-$C$5</f>
        <v>45.0369999999998</v>
      </c>
      <c r="H16" s="11" t="n">
        <f aca="false">B16*Parametros!$B$12/D16</f>
        <v>0.0484902009385603</v>
      </c>
      <c r="I16" s="11" t="n">
        <f aca="false">LN(H16)</f>
        <v>-3.02639354395595</v>
      </c>
      <c r="J16" s="10" t="n">
        <f aca="false">((G16-G15)/(I16-I15)*(I17-I16)+(G17-G16)/(I17-I16)*(I16-I15))/(I17-I15)</f>
        <v>54.6122745400562</v>
      </c>
    </row>
    <row r="17" customFormat="false" ht="15" hidden="false" customHeight="false" outlineLevel="0" collapsed="false">
      <c r="A17" s="0" t="n">
        <v>13</v>
      </c>
      <c r="B17" s="7" t="n">
        <v>0.056</v>
      </c>
      <c r="C17" s="8" t="n">
        <v>3097.555</v>
      </c>
      <c r="D17" s="9" t="n">
        <f aca="false">Parametros!$B$12+B17</f>
        <v>240.056</v>
      </c>
      <c r="E17" s="10" t="n">
        <f aca="false">D17/B17</f>
        <v>4286.71428571429</v>
      </c>
      <c r="F17" s="11" t="n">
        <f aca="false">LOG10(E17)</f>
        <v>3.63212453826389</v>
      </c>
      <c r="G17" s="10" t="n">
        <f aca="false">C17-$C$5</f>
        <v>53.3999999999996</v>
      </c>
      <c r="H17" s="11" t="n">
        <f aca="false">B17*Parametros!$B$12/D17</f>
        <v>0.055986936381511</v>
      </c>
      <c r="I17" s="11" t="n">
        <f aca="false">LN(H17)</f>
        <v>-2.88263689436233</v>
      </c>
      <c r="J17" s="10" t="n">
        <f aca="false">((G17-G16)/(I17-I16)*(I18-I17)+(G18-G17)/(I18-I17)*(I17-I16))/(I18-I16)</f>
        <v>62.1507054224128</v>
      </c>
    </row>
    <row r="18" customFormat="false" ht="15" hidden="false" customHeight="false" outlineLevel="0" collapsed="false">
      <c r="A18" s="0" t="n">
        <v>14</v>
      </c>
      <c r="B18" s="7" t="n">
        <v>0.0646</v>
      </c>
      <c r="C18" s="8" t="n">
        <v>3106.996</v>
      </c>
      <c r="D18" s="9" t="n">
        <f aca="false">Parametros!$B$12+B18</f>
        <v>240.0646</v>
      </c>
      <c r="E18" s="10" t="n">
        <f aca="false">D18/B18</f>
        <v>3716.17027863777</v>
      </c>
      <c r="F18" s="11" t="n">
        <f aca="false">LOG10(E18)</f>
        <v>3.57009560558492</v>
      </c>
      <c r="G18" s="10" t="n">
        <f aca="false">C18-$C$5</f>
        <v>62.8409999999999</v>
      </c>
      <c r="H18" s="11" t="n">
        <f aca="false">B18*Parametros!$B$12/D18</f>
        <v>0.0645826165123888</v>
      </c>
      <c r="I18" s="11" t="n">
        <f aca="false">LN(H18)</f>
        <v>-2.7398099986414</v>
      </c>
      <c r="J18" s="10" t="n">
        <f aca="false">((G18-G17)/(I18-I17)*(I19-I18)+(G19-G18)/(I19-I18)*(I18-I17))/(I19-I17)</f>
        <v>70.4948481039801</v>
      </c>
    </row>
    <row r="19" customFormat="false" ht="15" hidden="false" customHeight="false" outlineLevel="0" collapsed="false">
      <c r="A19" s="0" t="n">
        <v>15</v>
      </c>
      <c r="B19" s="7" t="n">
        <v>0.0746</v>
      </c>
      <c r="C19" s="8" t="n">
        <v>3117.776</v>
      </c>
      <c r="D19" s="9" t="n">
        <f aca="false">Parametros!$B$12+B19</f>
        <v>240.0746</v>
      </c>
      <c r="E19" s="10" t="n">
        <f aca="false">D19/B19</f>
        <v>3218.1581769437</v>
      </c>
      <c r="F19" s="11" t="n">
        <f aca="false">LOG10(E19)</f>
        <v>3.50760738646455</v>
      </c>
      <c r="G19" s="10" t="n">
        <f aca="false">C19-$C$5</f>
        <v>73.6209999999996</v>
      </c>
      <c r="H19" s="11" t="n">
        <f aca="false">B19*Parametros!$B$12/D19</f>
        <v>0.0745768190387488</v>
      </c>
      <c r="I19" s="11" t="n">
        <f aca="false">LN(H19)</f>
        <v>-2.59592555680708</v>
      </c>
      <c r="J19" s="10" t="n">
        <f aca="false">((G19-G18)/(I19-I18)*(I20-I19)+(G20-G19)/(I20-I19)*(I19-I18))/(I20-I18)</f>
        <v>79.7772527762744</v>
      </c>
    </row>
    <row r="20" customFormat="false" ht="15" hidden="false" customHeight="false" outlineLevel="0" collapsed="false">
      <c r="A20" s="0" t="n">
        <v>16</v>
      </c>
      <c r="B20" s="7" t="n">
        <v>0.0861</v>
      </c>
      <c r="C20" s="8" t="n">
        <v>3129.903</v>
      </c>
      <c r="D20" s="9" t="n">
        <f aca="false">Parametros!$B$12+B20</f>
        <v>240.0861</v>
      </c>
      <c r="E20" s="10" t="n">
        <f aca="false">D20/B20</f>
        <v>2788.45644599303</v>
      </c>
      <c r="F20" s="11" t="n">
        <f aca="false">LOG10(E20)</f>
        <v>3.44536386546283</v>
      </c>
      <c r="G20" s="10" t="n">
        <f aca="false">C20-$C$5</f>
        <v>85.7479999999996</v>
      </c>
      <c r="H20" s="11" t="n">
        <f aca="false">B20*Parametros!$B$12/D20</f>
        <v>0.0860691227022306</v>
      </c>
      <c r="I20" s="11" t="n">
        <f aca="false">LN(H20)</f>
        <v>-2.45260455321306</v>
      </c>
      <c r="J20" s="10" t="n">
        <f aca="false">((G20-G19)/(I20-I19)*(I21-I20)+(G21-G20)/(I21-I20)*(I20-I19))/(I21-I19)</f>
        <v>90.0413176351938</v>
      </c>
    </row>
    <row r="21" customFormat="false" ht="15" hidden="false" customHeight="false" outlineLevel="0" collapsed="false">
      <c r="A21" s="0" t="n">
        <v>17</v>
      </c>
      <c r="B21" s="7" t="n">
        <v>0.0993</v>
      </c>
      <c r="C21" s="8" t="n">
        <v>3143.511</v>
      </c>
      <c r="D21" s="9" t="n">
        <f aca="false">Parametros!$B$12+B21</f>
        <v>240.0993</v>
      </c>
      <c r="E21" s="10" t="n">
        <f aca="false">D21/B21</f>
        <v>2417.91842900302</v>
      </c>
      <c r="F21" s="11" t="n">
        <f aca="false">LOG10(E21)</f>
        <v>3.38344164539513</v>
      </c>
      <c r="G21" s="10" t="n">
        <f aca="false">C21-$C$5</f>
        <v>99.3559999999998</v>
      </c>
      <c r="H21" s="11" t="n">
        <f aca="false">B21*Parametros!$B$12/D21</f>
        <v>0.0992589316170435</v>
      </c>
      <c r="I21" s="11" t="n">
        <f aca="false">LN(H21)</f>
        <v>-2.31002337236008</v>
      </c>
      <c r="J21" s="10" t="n">
        <f aca="false">((G21-G20)/(I21-I20)*(I22-I21)+(G22-G21)/(I22-I21)*(I21-I20))/(I22-I20)</f>
        <v>101.265955442805</v>
      </c>
    </row>
    <row r="22" customFormat="false" ht="15" hidden="false" customHeight="false" outlineLevel="0" collapsed="false">
      <c r="A22" s="0" t="n">
        <v>18</v>
      </c>
      <c r="B22" s="7" t="n">
        <v>0.1147</v>
      </c>
      <c r="C22" s="8" t="n">
        <v>3158.953</v>
      </c>
      <c r="D22" s="9" t="n">
        <f aca="false">Parametros!$B$12+B22</f>
        <v>240.1147</v>
      </c>
      <c r="E22" s="10" t="n">
        <f aca="false">D22/B22</f>
        <v>2093.4149956408</v>
      </c>
      <c r="F22" s="11" t="n">
        <f aca="false">LOG10(E22)</f>
        <v>3.32085533079991</v>
      </c>
      <c r="G22" s="10" t="n">
        <f aca="false">C22-$C$5</f>
        <v>114.798</v>
      </c>
      <c r="H22" s="11" t="n">
        <f aca="false">B22*Parametros!$B$12/D22</f>
        <v>0.114645209143797</v>
      </c>
      <c r="I22" s="11" t="n">
        <f aca="false">LN(H22)</f>
        <v>-2.16591305734768</v>
      </c>
      <c r="J22" s="10" t="n">
        <f aca="false">((G22-G21)/(I22-I21)*(I23-I22)+(G23-G22)/(I23-I22)*(I22-I21))/(I23-I21)</f>
        <v>113.591879985341</v>
      </c>
    </row>
    <row r="23" customFormat="false" ht="15" hidden="false" customHeight="false" outlineLevel="0" collapsed="false">
      <c r="A23" s="0" t="n">
        <v>19</v>
      </c>
      <c r="B23" s="7" t="n">
        <v>0.1324</v>
      </c>
      <c r="C23" s="8" t="n">
        <v>3176.165</v>
      </c>
      <c r="D23" s="9" t="n">
        <f aca="false">Parametros!$B$12+B23</f>
        <v>240.1324</v>
      </c>
      <c r="E23" s="10" t="n">
        <f aca="false">D23/B23</f>
        <v>1813.68882175227</v>
      </c>
      <c r="F23" s="11" t="n">
        <f aca="false">LOG10(E23)</f>
        <v>3.25856277633566</v>
      </c>
      <c r="G23" s="10" t="n">
        <f aca="false">C23-$C$5</f>
        <v>132.01</v>
      </c>
      <c r="H23" s="11" t="n">
        <f aca="false">B23*Parametros!$B$12/D23</f>
        <v>0.132326999605218</v>
      </c>
      <c r="I23" s="11" t="n">
        <f aca="false">LN(H23)</f>
        <v>-2.02247915003378</v>
      </c>
      <c r="J23" s="10" t="n">
        <f aca="false">((G23-G22)/(I23-I22)*(I24-I23)+(G24-G23)/(I24-I23)*(I23-I22))/(I24-I22)</f>
        <v>126.735619215859</v>
      </c>
    </row>
    <row r="24" customFormat="false" ht="15" hidden="false" customHeight="false" outlineLevel="0" collapsed="false">
      <c r="A24" s="0" t="n">
        <v>20</v>
      </c>
      <c r="B24" s="7" t="n">
        <v>0.1528</v>
      </c>
      <c r="C24" s="8" t="n">
        <v>3195.279</v>
      </c>
      <c r="D24" s="9" t="n">
        <f aca="false">Parametros!$B$12+B24</f>
        <v>240.1528</v>
      </c>
      <c r="E24" s="10" t="n">
        <f aca="false">D24/B24</f>
        <v>1571.68062827225</v>
      </c>
      <c r="F24" s="11" t="n">
        <f aca="false">LOG10(E24)</f>
        <v>3.19636430030999</v>
      </c>
      <c r="G24" s="10" t="n">
        <f aca="false">C24-$C$5</f>
        <v>151.124</v>
      </c>
      <c r="H24" s="11" t="n">
        <f aca="false">B24*Parametros!$B$12/D24</f>
        <v>0.152702779230557</v>
      </c>
      <c r="I24" s="11" t="n">
        <f aca="false">LN(H24)</f>
        <v>-1.87926186633014</v>
      </c>
      <c r="J24" s="10" t="n">
        <f aca="false">((G24-G23)/(I24-I23)*(I25-I24)+(G25-G24)/(I25-I24)*(I24-I23))/(I25-I23)</f>
        <v>140.786113756569</v>
      </c>
    </row>
    <row r="25" customFormat="false" ht="15" hidden="false" customHeight="false" outlineLevel="0" collapsed="false">
      <c r="A25" s="0" t="n">
        <v>21</v>
      </c>
      <c r="B25" s="7" t="n">
        <v>0.1764</v>
      </c>
      <c r="C25" s="8" t="n">
        <v>3216.539</v>
      </c>
      <c r="D25" s="9" t="n">
        <f aca="false">Parametros!$B$12+B25</f>
        <v>240.1764</v>
      </c>
      <c r="E25" s="10" t="n">
        <f aca="false">D25/B25</f>
        <v>1361.54421768708</v>
      </c>
      <c r="F25" s="11" t="n">
        <f aca="false">LOG10(E25)</f>
        <v>3.13403175010909</v>
      </c>
      <c r="G25" s="10" t="n">
        <f aca="false">C25-$C$5</f>
        <v>172.384</v>
      </c>
      <c r="H25" s="11" t="n">
        <f aca="false">B25*Parametros!$B$12/D25</f>
        <v>0.176270441225699</v>
      </c>
      <c r="I25" s="11" t="n">
        <f aca="false">LN(H25)</f>
        <v>-1.73573586542923</v>
      </c>
      <c r="J25" s="10" t="n">
        <f aca="false">((G25-G24)/(I25-I24)*(I26-I25)+(G26-G25)/(I26-I25)*(I25-I24))/(I26-I24)</f>
        <v>155.599903510443</v>
      </c>
    </row>
    <row r="26" customFormat="false" ht="15" hidden="false" customHeight="false" outlineLevel="0" collapsed="false">
      <c r="A26" s="0" t="n">
        <v>22</v>
      </c>
      <c r="B26" s="7" t="n">
        <v>0.2036</v>
      </c>
      <c r="C26" s="8" t="n">
        <v>3239.904</v>
      </c>
      <c r="D26" s="9" t="n">
        <f aca="false">Parametros!$B$12+B26</f>
        <v>240.2036</v>
      </c>
      <c r="E26" s="10" t="n">
        <f aca="false">D26/B26</f>
        <v>1179.78192534381</v>
      </c>
      <c r="F26" s="11" t="n">
        <f aca="false">LOG10(E26)</f>
        <v>3.07180173834646</v>
      </c>
      <c r="G26" s="10" t="n">
        <f aca="false">C26-$C$5</f>
        <v>195.749</v>
      </c>
      <c r="H26" s="11" t="n">
        <f aca="false">B26*Parametros!$B$12/D26</f>
        <v>0.203427425733836</v>
      </c>
      <c r="I26" s="11" t="n">
        <f aca="false">LN(H26)</f>
        <v>-1.59244596800776</v>
      </c>
      <c r="J26" s="10" t="n">
        <f aca="false">((G26-G25)/(I26-I25)*(I27-I26)+(G27-G26)/(I27-I26)*(I26-I25))/(I27-I25)</f>
        <v>170.952657151439</v>
      </c>
    </row>
    <row r="27" customFormat="false" ht="15" hidden="false" customHeight="false" outlineLevel="0" collapsed="false">
      <c r="A27" s="0" t="n">
        <v>23</v>
      </c>
      <c r="B27" s="7" t="n">
        <v>0.235</v>
      </c>
      <c r="C27" s="8" t="n">
        <v>3265.532</v>
      </c>
      <c r="D27" s="9" t="n">
        <f aca="false">Parametros!$B$12+B27</f>
        <v>240.235</v>
      </c>
      <c r="E27" s="10" t="n">
        <f aca="false">D27/B27</f>
        <v>1022.27659574468</v>
      </c>
      <c r="F27" s="11" t="n">
        <f aca="false">LOG10(E27)</f>
        <v>3.00956841806218</v>
      </c>
      <c r="G27" s="10" t="n">
        <f aca="false">C27-$C$5</f>
        <v>221.377</v>
      </c>
      <c r="H27" s="11" t="n">
        <f aca="false">B27*Parametros!$B$12/D27</f>
        <v>0.234770120923263</v>
      </c>
      <c r="I27" s="11" t="n">
        <f aca="false">LN(H27)</f>
        <v>-1.44914845243367</v>
      </c>
      <c r="J27" s="10" t="n">
        <f aca="false">((G27-G26)/(I27-I26)*(I28-I27)+(G28-G27)/(I28-I27)*(I27-I26))/(I28-I26)</f>
        <v>186.544659194052</v>
      </c>
    </row>
    <row r="28" customFormat="false" ht="15" hidden="false" customHeight="false" outlineLevel="0" collapsed="false">
      <c r="A28" s="0" t="n">
        <v>24</v>
      </c>
      <c r="B28" s="7" t="n">
        <v>0.2712</v>
      </c>
      <c r="C28" s="8" t="n">
        <v>3293.331</v>
      </c>
      <c r="D28" s="9" t="n">
        <f aca="false">Parametros!$B$12+B28</f>
        <v>240.2712</v>
      </c>
      <c r="E28" s="10" t="n">
        <f aca="false">D28/B28</f>
        <v>885.955752212389</v>
      </c>
      <c r="F28" s="11" t="n">
        <f aca="false">LOG10(E28)</f>
        <v>2.94741203221452</v>
      </c>
      <c r="G28" s="10" t="n">
        <f aca="false">C28-$C$5</f>
        <v>249.176</v>
      </c>
      <c r="H28" s="11" t="n">
        <f aca="false">B28*Parametros!$B$12/D28</f>
        <v>0.270893889904408</v>
      </c>
      <c r="I28" s="11" t="n">
        <f aca="false">LN(H28)</f>
        <v>-1.30602808494646</v>
      </c>
      <c r="J28" s="10" t="n">
        <f aca="false">((G28-G27)/(I28-I27)*(I29-I28)+(G29-G28)/(I29-I28)*(I28-I27))/(I29-I27)</f>
        <v>201.821085550335</v>
      </c>
    </row>
    <row r="29" customFormat="false" ht="15" hidden="false" customHeight="false" outlineLevel="0" collapsed="false">
      <c r="A29" s="0" t="n">
        <v>25</v>
      </c>
      <c r="B29" s="7" t="n">
        <v>0.3131</v>
      </c>
      <c r="C29" s="8" t="n">
        <v>3323.382</v>
      </c>
      <c r="D29" s="9" t="n">
        <f aca="false">Parametros!$B$12+B29</f>
        <v>240.3131</v>
      </c>
      <c r="E29" s="10" t="n">
        <f aca="false">D29/B29</f>
        <v>767.528265729799</v>
      </c>
      <c r="F29" s="11" t="n">
        <f aca="false">LOG10(E29)</f>
        <v>2.88509437818758</v>
      </c>
      <c r="G29" s="10" t="n">
        <f aca="false">C29-$C$5</f>
        <v>279.227</v>
      </c>
      <c r="H29" s="11" t="n">
        <f aca="false">B29*Parametros!$B$12/D29</f>
        <v>0.312692067140743</v>
      </c>
      <c r="I29" s="11" t="n">
        <f aca="false">LN(H29)</f>
        <v>-1.16253638375366</v>
      </c>
      <c r="J29" s="10" t="n">
        <f aca="false">((G29-G28)/(I29-I28)*(I30-I29)+(G30-G29)/(I30-I29)*(I29-I28))/(I30-I28)</f>
        <v>216.622673834978</v>
      </c>
    </row>
    <row r="30" customFormat="false" ht="15" hidden="false" customHeight="false" outlineLevel="0" collapsed="false">
      <c r="A30" s="0" t="n">
        <v>26</v>
      </c>
      <c r="B30" s="7" t="n">
        <v>0.3614</v>
      </c>
      <c r="C30" s="8" t="n">
        <v>3355.445</v>
      </c>
      <c r="D30" s="9" t="n">
        <f aca="false">Parametros!$B$12+B30</f>
        <v>240.3614</v>
      </c>
      <c r="E30" s="10" t="n">
        <f aca="false">D30/B30</f>
        <v>665.084117321527</v>
      </c>
      <c r="F30" s="11" t="n">
        <f aca="false">LOG10(E30)</f>
        <v>2.82287657669901</v>
      </c>
      <c r="G30" s="10" t="n">
        <f aca="false">C30-$C$5</f>
        <v>311.29</v>
      </c>
      <c r="H30" s="11" t="n">
        <f aca="false">B30*Parametros!$B$12/D30</f>
        <v>0.360856610087976</v>
      </c>
      <c r="I30" s="11" t="n">
        <f aca="false">LN(H30)</f>
        <v>-1.01927460152722</v>
      </c>
      <c r="J30" s="10" t="n">
        <f aca="false">((G30-G29)/(I30-I29)*(I31-I30)+(G31-G30)/(I31-I30)*(I30-I29))/(I31-I29)</f>
        <v>230.194472831621</v>
      </c>
    </row>
    <row r="31" customFormat="false" ht="15" hidden="false" customHeight="false" outlineLevel="0" collapsed="false">
      <c r="A31" s="0" t="n">
        <v>27</v>
      </c>
      <c r="B31" s="7" t="n">
        <v>0.4171</v>
      </c>
      <c r="C31" s="8" t="n">
        <v>3389.301</v>
      </c>
      <c r="D31" s="9" t="n">
        <f aca="false">Parametros!$B$12+B31</f>
        <v>240.4171</v>
      </c>
      <c r="E31" s="10" t="n">
        <f aca="false">D31/B31</f>
        <v>576.401582354352</v>
      </c>
      <c r="F31" s="11" t="n">
        <f aca="false">LOG10(E31)</f>
        <v>2.7607251643814</v>
      </c>
      <c r="G31" s="10" t="n">
        <f aca="false">C31-$C$5</f>
        <v>345.146</v>
      </c>
      <c r="H31" s="11" t="n">
        <f aca="false">B31*Parametros!$B$12/D31</f>
        <v>0.416376372562517</v>
      </c>
      <c r="I31" s="11" t="n">
        <f aca="false">LN(H31)</f>
        <v>-0.876165686016165</v>
      </c>
      <c r="J31" s="10" t="n">
        <f aca="false">((G31-G30)/(I31-I30)*(I32-I31)+(G32-G31)/(I32-I31)*(I31-I30))/(I32-I30)</f>
        <v>241.765827973959</v>
      </c>
    </row>
    <row r="32" customFormat="false" ht="15" hidden="false" customHeight="false" outlineLevel="0" collapsed="false">
      <c r="A32" s="0" t="n">
        <v>28</v>
      </c>
      <c r="B32" s="7" t="n">
        <v>0.4815</v>
      </c>
      <c r="C32" s="8" t="n">
        <v>3424.694</v>
      </c>
      <c r="D32" s="9" t="n">
        <f aca="false">Parametros!$B$12+B32</f>
        <v>240.4815</v>
      </c>
      <c r="E32" s="10" t="n">
        <f aca="false">D32/B32</f>
        <v>499.442367601246</v>
      </c>
      <c r="F32" s="11" t="n">
        <f aca="false">LOG10(E32)</f>
        <v>2.6984853806965</v>
      </c>
      <c r="G32" s="10" t="n">
        <f aca="false">C32-$C$5</f>
        <v>380.539</v>
      </c>
      <c r="H32" s="11" t="n">
        <f aca="false">B32*Parametros!$B$12/D32</f>
        <v>0.480535924800868</v>
      </c>
      <c r="I32" s="11" t="n">
        <f aca="false">LN(H32)</f>
        <v>-0.732853287912127</v>
      </c>
      <c r="J32" s="10" t="n">
        <f aca="false">((G32-G31)/(I32-I31)*(I33-I32)+(G33-G32)/(I33-I32)*(I32-I31))/(I33-I31)</f>
        <v>250.853327992795</v>
      </c>
    </row>
    <row r="33" customFormat="false" ht="15" hidden="false" customHeight="false" outlineLevel="0" collapsed="false">
      <c r="A33" s="0" t="n">
        <v>29</v>
      </c>
      <c r="B33" s="7" t="n">
        <v>0.5558</v>
      </c>
      <c r="C33" s="8" t="n">
        <v>3461.171</v>
      </c>
      <c r="D33" s="9" t="n">
        <f aca="false">Parametros!$B$12+B33</f>
        <v>240.5558</v>
      </c>
      <c r="E33" s="10" t="n">
        <f aca="false">D33/B33</f>
        <v>432.810003598417</v>
      </c>
      <c r="F33" s="11" t="n">
        <f aca="false">LOG10(E33)</f>
        <v>2.63629729012389</v>
      </c>
      <c r="G33" s="10" t="n">
        <f aca="false">C33-$C$5</f>
        <v>417.016</v>
      </c>
      <c r="H33" s="11" t="n">
        <f aca="false">B33*Parametros!$B$12/D33</f>
        <v>0.554515833748345</v>
      </c>
      <c r="I33" s="11" t="n">
        <f aca="false">LN(H33)</f>
        <v>-0.589659917597879</v>
      </c>
      <c r="J33" s="10" t="n">
        <f aca="false">((G33-G32)/(I33-I32)*(I34-I33)+(G34-G33)/(I34-I33)*(I33-I32))/(I34-I32)</f>
        <v>256.695860397486</v>
      </c>
    </row>
    <row r="34" customFormat="false" ht="15" hidden="false" customHeight="false" outlineLevel="0" collapsed="false">
      <c r="A34" s="0" t="n">
        <v>30</v>
      </c>
      <c r="B34" s="7" t="n">
        <v>0.6416</v>
      </c>
      <c r="C34" s="8" t="n">
        <v>3498.21</v>
      </c>
      <c r="D34" s="9" t="n">
        <f aca="false">Parametros!$B$12+B34</f>
        <v>240.6416</v>
      </c>
      <c r="E34" s="10" t="n">
        <f aca="false">D34/B34</f>
        <v>375.064837905237</v>
      </c>
      <c r="F34" s="11" t="n">
        <f aca="false">LOG10(E34)</f>
        <v>2.57410635122213</v>
      </c>
      <c r="G34" s="10" t="n">
        <f aca="false">C34-$C$5</f>
        <v>454.055</v>
      </c>
      <c r="H34" s="11" t="n">
        <f aca="false">B34*Parametros!$B$12/D34</f>
        <v>0.63988936243775</v>
      </c>
      <c r="I34" s="11" t="n">
        <f aca="false">LN(H34)</f>
        <v>-0.446459988763382</v>
      </c>
      <c r="J34" s="10" t="n">
        <f aca="false">((G34-G33)/(I34-I33)*(I35-I34)+(G35-G34)/(I35-I34)*(I34-I33))/(I35-I33)</f>
        <v>258.522697085567</v>
      </c>
    </row>
    <row r="35" customFormat="false" ht="15" hidden="false" customHeight="false" outlineLevel="0" collapsed="false">
      <c r="A35" s="0" t="n">
        <v>31</v>
      </c>
      <c r="B35" s="7" t="n">
        <v>0.7406</v>
      </c>
      <c r="C35" s="8" t="n">
        <v>3535.182</v>
      </c>
      <c r="D35" s="9" t="n">
        <f aca="false">Parametros!$B$12+B35</f>
        <v>240.7406</v>
      </c>
      <c r="E35" s="10" t="n">
        <f aca="false">D35/B35</f>
        <v>325.061571698623</v>
      </c>
      <c r="F35" s="11" t="n">
        <f aca="false">LOG10(E35)</f>
        <v>2.51196563087514</v>
      </c>
      <c r="G35" s="10" t="n">
        <f aca="false">C35-$C$5</f>
        <v>491.027</v>
      </c>
      <c r="H35" s="11" t="n">
        <f aca="false">B35*Parametros!$B$12/D35</f>
        <v>0.738321662403433</v>
      </c>
      <c r="I35" s="11" t="n">
        <f aca="false">LN(H35)</f>
        <v>-0.303375692424477</v>
      </c>
      <c r="J35" s="10" t="n">
        <f aca="false">((G35-G34)/(I35-I34)*(I36-I35)+(G36-G35)/(I36-I35)*(I35-I34))/(I36-I34)</f>
        <v>255.97532277942</v>
      </c>
    </row>
    <row r="36" customFormat="false" ht="15" hidden="false" customHeight="false" outlineLevel="0" collapsed="false">
      <c r="A36" s="0" t="n">
        <v>32</v>
      </c>
      <c r="B36" s="7" t="n">
        <v>0.8548</v>
      </c>
      <c r="C36" s="8" t="n">
        <v>3571.424</v>
      </c>
      <c r="D36" s="9" t="n">
        <f aca="false">Parametros!$B$12+B36</f>
        <v>240.8548</v>
      </c>
      <c r="E36" s="10" t="n">
        <f aca="false">D36/B36</f>
        <v>281.767430978007</v>
      </c>
      <c r="F36" s="11" t="n">
        <f aca="false">LOG10(E36)</f>
        <v>2.44989079230785</v>
      </c>
      <c r="G36" s="10" t="n">
        <f aca="false">C36-$C$5</f>
        <v>527.269</v>
      </c>
      <c r="H36" s="11" t="n">
        <f aca="false">B36*Parametros!$B$12/D36</f>
        <v>0.851766292388609</v>
      </c>
      <c r="I36" s="11" t="n">
        <f aca="false">LN(H36)</f>
        <v>-0.160443094489444</v>
      </c>
      <c r="J36" s="10" t="n">
        <f aca="false">((G36-G35)/(I36-I35)*(I37-I36)+(G37-G36)/(I37-I36)*(I36-I35))/(I37-I35)</f>
        <v>248.692723852118</v>
      </c>
    </row>
    <row r="37" customFormat="false" ht="15" hidden="false" customHeight="false" outlineLevel="0" collapsed="false">
      <c r="A37" s="0" t="n">
        <v>33</v>
      </c>
      <c r="B37" s="7" t="n">
        <v>0.9867</v>
      </c>
      <c r="C37" s="8" t="n">
        <v>3606.279</v>
      </c>
      <c r="D37" s="9" t="n">
        <f aca="false">Parametros!$B$12+B37</f>
        <v>240.9867</v>
      </c>
      <c r="E37" s="10" t="n">
        <f aca="false">D37/B37</f>
        <v>244.235025843722</v>
      </c>
      <c r="F37" s="11" t="n">
        <f aca="false">LOG10(E37)</f>
        <v>2.38780794642235</v>
      </c>
      <c r="G37" s="10" t="n">
        <f aca="false">C37-$C$5</f>
        <v>562.124</v>
      </c>
      <c r="H37" s="11" t="n">
        <f aca="false">B37*Parametros!$B$12/D37</f>
        <v>0.982660038915011</v>
      </c>
      <c r="I37" s="11" t="n">
        <f aca="false">LN(H37)</f>
        <v>-0.017492059022845</v>
      </c>
      <c r="J37" s="10" t="n">
        <f aca="false">((G37-G36)/(I37-I36)*(I38-I37)+(G38-G37)/(I38-I37)*(I37-I36))/(I38-I36)</f>
        <v>236.992269636924</v>
      </c>
    </row>
    <row r="38" customFormat="false" ht="15" hidden="false" customHeight="false" outlineLevel="0" collapsed="false">
      <c r="A38" s="0" t="n">
        <v>34</v>
      </c>
      <c r="B38" s="7" t="n">
        <v>1.139</v>
      </c>
      <c r="C38" s="8" t="n">
        <v>3639.171</v>
      </c>
      <c r="D38" s="9" t="n">
        <f aca="false">Parametros!$B$12+B38</f>
        <v>241.139</v>
      </c>
      <c r="E38" s="10" t="n">
        <f aca="false">D38/B38</f>
        <v>211.711150131694</v>
      </c>
      <c r="F38" s="11" t="n">
        <f aca="false">LOG10(E38)</f>
        <v>2.32574373148728</v>
      </c>
      <c r="G38" s="10" t="n">
        <f aca="false">C38-$C$5</f>
        <v>595.016</v>
      </c>
      <c r="H38" s="11" t="n">
        <f aca="false">B38*Parametros!$B$12/D38</f>
        <v>1.13362002828244</v>
      </c>
      <c r="I38" s="11" t="n">
        <f aca="false">LN(H38)</f>
        <v>0.125416077095036</v>
      </c>
      <c r="J38" s="10" t="n">
        <f aca="false">((G38-G37)/(I38-I37)*(I39-I38)+(G39-G38)/(I39-I38)*(I38-I37))/(I39-I37)</f>
        <v>221.174634004372</v>
      </c>
    </row>
    <row r="39" customFormat="false" ht="15" hidden="false" customHeight="false" outlineLevel="0" collapsed="false">
      <c r="A39" s="0" t="n">
        <v>35</v>
      </c>
      <c r="B39" s="7" t="n">
        <v>1.3147</v>
      </c>
      <c r="C39" s="8" t="n">
        <v>3669.458</v>
      </c>
      <c r="D39" s="9" t="n">
        <f aca="false">Parametros!$B$12+B39</f>
        <v>241.3147</v>
      </c>
      <c r="E39" s="10" t="n">
        <f aca="false">D39/B39</f>
        <v>183.551152354149</v>
      </c>
      <c r="F39" s="11" t="n">
        <f aca="false">LOG10(E39)</f>
        <v>2.26375711539668</v>
      </c>
      <c r="G39" s="10" t="n">
        <f aca="false">C39-$C$5</f>
        <v>625.303</v>
      </c>
      <c r="H39" s="11" t="n">
        <f aca="false">B39*Parametros!$B$12/D39</f>
        <v>1.30753741898028</v>
      </c>
      <c r="I39" s="11" t="n">
        <f aca="false">LN(H39)</f>
        <v>0.268145535270399</v>
      </c>
      <c r="J39" s="10" t="n">
        <f aca="false">((G39-G38)/(I39-I38)*(I40-I39)+(G40-G39)/(I40-I39)*(I39-I38))/(I40-I38)</f>
        <v>202.014253111965</v>
      </c>
    </row>
    <row r="40" customFormat="false" ht="15" hidden="false" customHeight="false" outlineLevel="0" collapsed="false">
      <c r="A40" s="0" t="n">
        <v>36</v>
      </c>
      <c r="B40" s="7" t="n">
        <v>1.5176</v>
      </c>
      <c r="C40" s="8" t="n">
        <v>3696.829</v>
      </c>
      <c r="D40" s="9" t="n">
        <f aca="false">Parametros!$B$12+B40</f>
        <v>241.5176</v>
      </c>
      <c r="E40" s="10" t="n">
        <f aca="false">D40/B40</f>
        <v>159.144438587243</v>
      </c>
      <c r="F40" s="11" t="n">
        <f aca="false">LOG10(E40)</f>
        <v>2.20179146650039</v>
      </c>
      <c r="G40" s="10" t="n">
        <f aca="false">C40-$C$5</f>
        <v>652.674</v>
      </c>
      <c r="H40" s="11" t="n">
        <f aca="false">B40*Parametros!$B$12/D40</f>
        <v>1.50806400858571</v>
      </c>
      <c r="I40" s="11" t="n">
        <f aca="false">LN(H40)</f>
        <v>0.410826714696702</v>
      </c>
      <c r="J40" s="10" t="n">
        <f aca="false">((G40-G39)/(I40-I39)*(I41-I40)+(G41-G40)/(I41-I40)*(I40-I39))/(I41-I39)</f>
        <v>180.726966752119</v>
      </c>
    </row>
    <row r="41" customFormat="false" ht="15" hidden="false" customHeight="false" outlineLevel="0" collapsed="false">
      <c r="A41" s="0" t="n">
        <v>37</v>
      </c>
      <c r="B41" s="7" t="n">
        <v>1.7518</v>
      </c>
      <c r="C41" s="8" t="n">
        <v>3721.009</v>
      </c>
      <c r="D41" s="9" t="n">
        <f aca="false">Parametros!$B$12+B41</f>
        <v>241.7518</v>
      </c>
      <c r="E41" s="10" t="n">
        <f aca="false">D41/B41</f>
        <v>138.001940860829</v>
      </c>
      <c r="F41" s="11" t="n">
        <f aca="false">LOG10(E41)</f>
        <v>2.1398851943666</v>
      </c>
      <c r="G41" s="10" t="n">
        <f aca="false">C41-$C$5</f>
        <v>676.854</v>
      </c>
      <c r="H41" s="11" t="n">
        <f aca="false">B41*Parametros!$B$12/D41</f>
        <v>1.73910597563286</v>
      </c>
      <c r="I41" s="11" t="n">
        <f aca="false">LN(H41)</f>
        <v>0.553371174074782</v>
      </c>
      <c r="J41" s="10" t="n">
        <f aca="false">((G41-G40)/(I41-I40)*(I42-I41)+(G42-G41)/(I42-I41)*(I41-I40))/(I42-I40)</f>
        <v>158.614052113992</v>
      </c>
    </row>
    <row r="42" customFormat="false" ht="15" hidden="false" customHeight="false" outlineLevel="0" collapsed="false">
      <c r="A42" s="0" t="n">
        <v>38</v>
      </c>
      <c r="B42" s="7" t="n">
        <v>2.0221</v>
      </c>
      <c r="C42" s="8" t="n">
        <v>3742.025</v>
      </c>
      <c r="D42" s="9" t="n">
        <f aca="false">Parametros!$B$12+B42</f>
        <v>242.0221</v>
      </c>
      <c r="E42" s="10" t="n">
        <f aca="false">D42/B42</f>
        <v>119.688492161614</v>
      </c>
      <c r="F42" s="11" t="n">
        <f aca="false">LOG10(E42)</f>
        <v>2.07805239576175</v>
      </c>
      <c r="G42" s="10" t="n">
        <f aca="false">C42-$C$5</f>
        <v>697.87</v>
      </c>
      <c r="H42" s="11" t="n">
        <f aca="false">B42*Parametros!$B$12/D42</f>
        <v>2.00520530976303</v>
      </c>
      <c r="I42" s="11" t="n">
        <f aca="false">LN(H42)</f>
        <v>0.695746454400431</v>
      </c>
      <c r="J42" s="10" t="n">
        <f aca="false">((G42-G41)/(I42-I41)*(I43-I42)+(G43-G42)/(I43-I42)*(I42-I41))/(I43-I41)</f>
        <v>137.198066871846</v>
      </c>
    </row>
    <row r="43" customFormat="false" ht="15" hidden="false" customHeight="false" outlineLevel="0" collapsed="false">
      <c r="A43" s="0" t="n">
        <v>39</v>
      </c>
      <c r="B43" s="7" t="n">
        <v>2.3341</v>
      </c>
      <c r="C43" s="8" t="n">
        <v>3760.056</v>
      </c>
      <c r="D43" s="9" t="n">
        <f aca="false">Parametros!$B$12+B43</f>
        <v>242.3341</v>
      </c>
      <c r="E43" s="10" t="n">
        <f aca="false">D43/B43</f>
        <v>103.823358039501</v>
      </c>
      <c r="F43" s="11" t="n">
        <f aca="false">LOG10(E43)</f>
        <v>2.01629507149371</v>
      </c>
      <c r="G43" s="10" t="n">
        <f aca="false">C43-$C$5</f>
        <v>715.901</v>
      </c>
      <c r="H43" s="11" t="n">
        <f aca="false">B43*Parametros!$B$12/D43</f>
        <v>2.31161854646127</v>
      </c>
      <c r="I43" s="11" t="n">
        <f aca="false">LN(H43)</f>
        <v>0.837947948643208</v>
      </c>
      <c r="J43" s="10" t="n">
        <f aca="false">((G43-G42)/(I43-I42)*(I44-I43)+(G44-G43)/(I44-I43)*(I43-I42))/(I44-I42)</f>
        <v>117.49493125722</v>
      </c>
    </row>
    <row r="44" customFormat="false" ht="15" hidden="false" customHeight="false" outlineLevel="0" collapsed="false">
      <c r="A44" s="0" t="n">
        <v>40</v>
      </c>
      <c r="B44" s="7" t="n">
        <v>2.6942</v>
      </c>
      <c r="C44" s="8" t="n">
        <v>3775.42</v>
      </c>
      <c r="D44" s="9" t="n">
        <f aca="false">Parametros!$B$12+B44</f>
        <v>242.6942</v>
      </c>
      <c r="E44" s="10" t="n">
        <f aca="false">D44/B44</f>
        <v>90.0802464553485</v>
      </c>
      <c r="F44" s="11" t="n">
        <f aca="false">LOG10(E44)</f>
        <v>1.95462956571832</v>
      </c>
      <c r="G44" s="10" t="n">
        <f aca="false">C44-$C$5</f>
        <v>731.265</v>
      </c>
      <c r="H44" s="11" t="n">
        <f aca="false">B44*Parametros!$B$12/D44</f>
        <v>2.66429111202493</v>
      </c>
      <c r="I44" s="11" t="n">
        <f aca="false">LN(H44)</f>
        <v>0.979938022993558</v>
      </c>
      <c r="J44" s="10" t="n">
        <f aca="false">((G44-G43)/(I44-I43)*(I45-I44)+(G45-G44)/(I45-I44)*(I44-I43))/(I45-I43)</f>
        <v>100.487131494569</v>
      </c>
    </row>
    <row r="45" customFormat="false" ht="15" hidden="false" customHeight="false" outlineLevel="0" collapsed="false">
      <c r="A45" s="0" t="n">
        <v>41</v>
      </c>
      <c r="B45" s="7" t="n">
        <v>3.11</v>
      </c>
      <c r="C45" s="8" t="n">
        <v>3788.577</v>
      </c>
      <c r="D45" s="9" t="n">
        <f aca="false">Parametros!$B$12+B45</f>
        <v>243.11</v>
      </c>
      <c r="E45" s="10" t="n">
        <f aca="false">D45/B45</f>
        <v>78.1704180064309</v>
      </c>
      <c r="F45" s="11" t="n">
        <f aca="false">LOG10(E45)</f>
        <v>1.89304243429818</v>
      </c>
      <c r="G45" s="10" t="n">
        <f aca="false">C45-$C$5</f>
        <v>744.422</v>
      </c>
      <c r="H45" s="11" t="n">
        <f aca="false">B45*Parametros!$B$12/D45</f>
        <v>3.07021512895397</v>
      </c>
      <c r="I45" s="11" t="n">
        <f aca="false">LN(H45)</f>
        <v>1.12174763372184</v>
      </c>
      <c r="J45" s="10" t="n">
        <f aca="false">((G45-G44)/(I45-I44)*(I46-I45)+(G46-G45)/(I46-I45)*(I45-I44))/(I46-I44)</f>
        <v>86.5342345389846</v>
      </c>
    </row>
    <row r="46" customFormat="false" ht="15" hidden="false" customHeight="false" outlineLevel="0" collapsed="false">
      <c r="A46" s="0" t="n">
        <v>42</v>
      </c>
      <c r="B46" s="7" t="n">
        <v>3.5898</v>
      </c>
      <c r="C46" s="8" t="n">
        <v>3799.94</v>
      </c>
      <c r="D46" s="9" t="n">
        <f aca="false">Parametros!$B$12+B46</f>
        <v>243.5898</v>
      </c>
      <c r="E46" s="10" t="n">
        <f aca="false">D46/B46</f>
        <v>67.8560922614073</v>
      </c>
      <c r="F46" s="11" t="n">
        <f aca="false">LOG10(E46)</f>
        <v>1.83158884561011</v>
      </c>
      <c r="G46" s="10" t="n">
        <f aca="false">C46-$C$5</f>
        <v>755.785</v>
      </c>
      <c r="H46" s="11" t="n">
        <f aca="false">B46*Parametros!$B$12/D46</f>
        <v>3.53689686513967</v>
      </c>
      <c r="I46" s="11" t="n">
        <f aca="false">LN(H46)</f>
        <v>1.26324975094599</v>
      </c>
      <c r="J46" s="10" t="n">
        <f aca="false">((G46-G45)/(I46-I45)*(I47-I46)+(G47-G46)/(I47-I46)*(I46-I45))/(I47-I45)</f>
        <v>75.7328010389502</v>
      </c>
    </row>
    <row r="47" customFormat="false" ht="15" hidden="false" customHeight="false" outlineLevel="0" collapsed="false">
      <c r="A47" s="0" t="n">
        <v>43</v>
      </c>
      <c r="B47" s="7" t="n">
        <v>4.1437</v>
      </c>
      <c r="C47" s="8" t="n">
        <v>3809.991</v>
      </c>
      <c r="D47" s="9" t="n">
        <f aca="false">Parametros!$B$12+B47</f>
        <v>244.1437</v>
      </c>
      <c r="E47" s="10" t="n">
        <f aca="false">D47/B47</f>
        <v>58.9192509110216</v>
      </c>
      <c r="F47" s="11" t="n">
        <f aca="false">LOG10(E47)</f>
        <v>1.77025721666214</v>
      </c>
      <c r="G47" s="10" t="n">
        <f aca="false">C47-$C$5</f>
        <v>765.836</v>
      </c>
      <c r="H47" s="11" t="n">
        <f aca="false">B47*Parametros!$B$12/D47</f>
        <v>4.07337154307074</v>
      </c>
      <c r="I47" s="11" t="n">
        <f aca="false">LN(H47)</f>
        <v>1.40447104549061</v>
      </c>
      <c r="J47" s="10" t="n">
        <f aca="false">((G47-G46)/(I47-I46)*(I48-I47)+(G48-G47)/(I48-I47)*(I47-I46))/(I48-I46)</f>
        <v>67.5618415656588</v>
      </c>
    </row>
    <row r="48" customFormat="false" ht="15" hidden="false" customHeight="false" outlineLevel="0" collapsed="false">
      <c r="A48" s="0" t="n">
        <v>44</v>
      </c>
      <c r="B48" s="7" t="n">
        <v>4.7831</v>
      </c>
      <c r="C48" s="8" t="n">
        <v>3819.002</v>
      </c>
      <c r="D48" s="9" t="n">
        <f aca="false">Parametros!$B$12+B48</f>
        <v>244.7831</v>
      </c>
      <c r="E48" s="10" t="n">
        <f aca="false">D48/B48</f>
        <v>51.1766636700048</v>
      </c>
      <c r="F48" s="11" t="n">
        <f aca="false">LOG10(E48)</f>
        <v>1.70907196977047</v>
      </c>
      <c r="G48" s="10" t="n">
        <f aca="false">C48-$C$5</f>
        <v>774.847</v>
      </c>
      <c r="H48" s="11" t="n">
        <f aca="false">B48*Parametros!$B$12/D48</f>
        <v>4.68963747905799</v>
      </c>
      <c r="I48" s="11" t="n">
        <f aca="false">LN(H48)</f>
        <v>1.54535528289453</v>
      </c>
      <c r="J48" s="10" t="n">
        <f aca="false">((G48-G47)/(I48-I47)*(I49-I48)+(G49-G48)/(I49-I48)*(I48-I47))/(I49-I47)</f>
        <v>61.6291529961001</v>
      </c>
    </row>
    <row r="49" customFormat="false" ht="15" hidden="false" customHeight="false" outlineLevel="0" collapsed="false">
      <c r="A49" s="0" t="n">
        <v>45</v>
      </c>
      <c r="B49" s="7" t="n">
        <v>5.5211</v>
      </c>
      <c r="C49" s="8" t="n">
        <v>3827.333</v>
      </c>
      <c r="D49" s="9" t="n">
        <f aca="false">Parametros!$B$12+B49</f>
        <v>245.5211</v>
      </c>
      <c r="E49" s="10" t="n">
        <f aca="false">D49/B49</f>
        <v>44.4695984495843</v>
      </c>
      <c r="F49" s="11" t="n">
        <f aca="false">LOG10(E49)</f>
        <v>1.6480632078857</v>
      </c>
      <c r="G49" s="10" t="n">
        <f aca="false">C49-$C$5</f>
        <v>783.178</v>
      </c>
      <c r="H49" s="11" t="n">
        <f aca="false">B49*Parametros!$B$12/D49</f>
        <v>5.39694551710627</v>
      </c>
      <c r="I49" s="11" t="n">
        <f aca="false">LN(H49)</f>
        <v>1.68583314855243</v>
      </c>
      <c r="J49" s="10" t="n">
        <f aca="false">((G49-G48)/(I49-I48)*(I50-I49)+(G50-G49)/(I50-I49)*(I49-I48))/(I50-I48)</f>
        <v>57.5049698712874</v>
      </c>
    </row>
    <row r="50" customFormat="false" ht="15" hidden="false" customHeight="false" outlineLevel="0" collapsed="false">
      <c r="A50" s="0" t="n">
        <v>46</v>
      </c>
      <c r="B50" s="7" t="n">
        <v>6.3731</v>
      </c>
      <c r="C50" s="8" t="n">
        <v>3835.135</v>
      </c>
      <c r="D50" s="9" t="n">
        <f aca="false">Parametros!$B$12+B50</f>
        <v>246.3731</v>
      </c>
      <c r="E50" s="10" t="n">
        <f aca="false">D50/B50</f>
        <v>38.6582824685004</v>
      </c>
      <c r="F50" s="11" t="n">
        <f aca="false">LOG10(E50)</f>
        <v>1.58724255504632</v>
      </c>
      <c r="G50" s="10" t="n">
        <f aca="false">C50-$C$5</f>
        <v>790.98</v>
      </c>
      <c r="H50" s="11" t="n">
        <f aca="false">B50*Parametros!$B$12/D50</f>
        <v>6.20824270182094</v>
      </c>
      <c r="I50" s="11" t="n">
        <f aca="false">LN(H50)</f>
        <v>1.82587787712654</v>
      </c>
      <c r="J50" s="10" t="n">
        <f aca="false">((G50-G49)/(I50-I49)*(I51-I50)+(G51-G50)/(I51-I50)*(I50-I49))/(I51-I49)</f>
        <v>54.5481816061847</v>
      </c>
    </row>
    <row r="51" customFormat="false" ht="15" hidden="false" customHeight="false" outlineLevel="0" collapsed="false">
      <c r="A51" s="0" t="n">
        <v>47</v>
      </c>
      <c r="B51" s="7" t="n">
        <v>7.3564</v>
      </c>
      <c r="C51" s="8" t="n">
        <v>3842.583</v>
      </c>
      <c r="D51" s="9" t="n">
        <f aca="false">Parametros!$B$12+B51</f>
        <v>247.3564</v>
      </c>
      <c r="E51" s="10" t="n">
        <f aca="false">D51/B51</f>
        <v>33.624653363058</v>
      </c>
      <c r="F51" s="11" t="n">
        <f aca="false">LOG10(E51)</f>
        <v>1.52665781588668</v>
      </c>
      <c r="G51" s="10" t="n">
        <f aca="false">C51-$C$5</f>
        <v>798.428</v>
      </c>
      <c r="H51" s="11" t="n">
        <f aca="false">B51*Parametros!$B$12/D51</f>
        <v>7.13762004945091</v>
      </c>
      <c r="I51" s="11" t="n">
        <f aca="false">LN(H51)</f>
        <v>1.96537939437846</v>
      </c>
      <c r="J51" s="10" t="n">
        <f aca="false">((G51-G50)/(I51-I50)*(I52-I51)+(G52-G51)/(I52-I51)*(I51-I50))/(I52-I50)</f>
        <v>52.478402828897</v>
      </c>
    </row>
    <row r="52" customFormat="false" ht="15" hidden="false" customHeight="false" outlineLevel="0" collapsed="false">
      <c r="A52" s="0" t="n">
        <v>48</v>
      </c>
      <c r="B52" s="7" t="n">
        <v>8.4915</v>
      </c>
      <c r="C52" s="8" t="n">
        <v>3849.747</v>
      </c>
      <c r="D52" s="9" t="n">
        <f aca="false">Parametros!$B$12+B52</f>
        <v>248.4915</v>
      </c>
      <c r="E52" s="10" t="n">
        <f aca="false">D52/B52</f>
        <v>29.2635576753224</v>
      </c>
      <c r="F52" s="11" t="n">
        <f aca="false">LOG10(E52)</f>
        <v>1.46632712373176</v>
      </c>
      <c r="G52" s="10" t="n">
        <f aca="false">C52-$C$5</f>
        <v>805.592</v>
      </c>
      <c r="H52" s="11" t="n">
        <f aca="false">B52*Parametros!$B$12/D52</f>
        <v>8.20132680594709</v>
      </c>
      <c r="I52" s="11" t="n">
        <f aca="false">LN(H52)</f>
        <v>2.1042959467844</v>
      </c>
      <c r="J52" s="10" t="n">
        <f aca="false">((G52-G51)/(I52-I51)*(I53-I52)+(G53-G52)/(I53-I52)*(I52-I51))/(I53-I51)</f>
        <v>50.8919007926126</v>
      </c>
    </row>
    <row r="53" customFormat="false" ht="15" hidden="false" customHeight="false" outlineLevel="0" collapsed="false">
      <c r="A53" s="0" t="n">
        <v>49</v>
      </c>
      <c r="B53" s="7" t="n">
        <v>9.8018</v>
      </c>
      <c r="C53" s="8" t="n">
        <v>3856.689</v>
      </c>
      <c r="D53" s="9" t="n">
        <f aca="false">Parametros!$B$12+B53</f>
        <v>249.8018</v>
      </c>
      <c r="E53" s="10" t="n">
        <f aca="false">D53/B53</f>
        <v>25.4852986186211</v>
      </c>
      <c r="F53" s="11" t="n">
        <f aca="false">LOG10(E53)</f>
        <v>1.4062897267087</v>
      </c>
      <c r="G53" s="10" t="n">
        <f aca="false">C53-$C$5</f>
        <v>812.534</v>
      </c>
      <c r="H53" s="11" t="n">
        <f aca="false">B53*Parametros!$B$12/D53</f>
        <v>9.41719395136464</v>
      </c>
      <c r="I53" s="11" t="n">
        <f aca="false">LN(H53)</f>
        <v>2.24253716219187</v>
      </c>
      <c r="J53" s="10" t="n">
        <f aca="false">((G53-G52)/(I53-I52)*(I54-I53)+(G54-G53)/(I54-I53)*(I53-I52))/(I54-I52)</f>
        <v>49.572399864908</v>
      </c>
    </row>
    <row r="54" customFormat="false" ht="15" hidden="false" customHeight="false" outlineLevel="0" collapsed="false">
      <c r="A54" s="0" t="n">
        <v>50</v>
      </c>
      <c r="B54" s="7" t="n">
        <v>11.3142</v>
      </c>
      <c r="C54" s="8" t="n">
        <v>3863.415</v>
      </c>
      <c r="D54" s="9" t="n">
        <f aca="false">Parametros!$B$12+B54</f>
        <v>251.3142</v>
      </c>
      <c r="E54" s="10" t="n">
        <f aca="false">D54/B54</f>
        <v>22.2122819112266</v>
      </c>
      <c r="F54" s="11" t="n">
        <f aca="false">LOG10(E54)</f>
        <v>1.34659317676312</v>
      </c>
      <c r="G54" s="10" t="n">
        <f aca="false">C54-$C$5</f>
        <v>819.26</v>
      </c>
      <c r="H54" s="11" t="n">
        <f aca="false">B54*Parametros!$B$12/D54</f>
        <v>10.8048331530809</v>
      </c>
      <c r="I54" s="11" t="n">
        <f aca="false">LN(H54)</f>
        <v>2.37999354819973</v>
      </c>
      <c r="J54" s="10" t="n">
        <f aca="false">((G54-G53)/(I54-I53)*(I55-I54)+(G55-G54)/(I55-I54)*(I54-I53))/(I55-I53)</f>
        <v>48.4368993094929</v>
      </c>
    </row>
    <row r="55" customFormat="false" ht="15" hidden="false" customHeight="false" outlineLevel="0" collapsed="false">
      <c r="A55" s="0" t="n">
        <v>51</v>
      </c>
      <c r="B55" s="7" t="n">
        <v>13.06</v>
      </c>
      <c r="C55" s="8" t="n">
        <v>3869.963</v>
      </c>
      <c r="D55" s="9" t="n">
        <f aca="false">Parametros!$B$12+B55</f>
        <v>253.06</v>
      </c>
      <c r="E55" s="10" t="n">
        <f aca="false">D55/B55</f>
        <v>19.3767228177642</v>
      </c>
      <c r="F55" s="11" t="n">
        <f aca="false">LOG10(E55)</f>
        <v>1.28728032676467</v>
      </c>
      <c r="G55" s="10" t="n">
        <f aca="false">C55-$C$5</f>
        <v>825.808</v>
      </c>
      <c r="H55" s="11" t="n">
        <f aca="false">B55*Parametros!$B$12/D55</f>
        <v>12.3859954161069</v>
      </c>
      <c r="I55" s="11" t="n">
        <f aca="false">LN(H55)</f>
        <v>2.51656643242916</v>
      </c>
      <c r="J55" s="10" t="n">
        <f aca="false">((G55-G54)/(I55-I54)*(I56-I55)+(G56-G55)/(I56-I55)*(I55-I54))/(I56-I54)</f>
        <v>47.5216319752184</v>
      </c>
    </row>
    <row r="56" customFormat="false" ht="15" hidden="false" customHeight="false" outlineLevel="0" collapsed="false">
      <c r="A56" s="0" t="n">
        <v>52</v>
      </c>
      <c r="B56" s="7" t="n">
        <v>15.0751</v>
      </c>
      <c r="C56" s="8" t="n">
        <v>3876.348</v>
      </c>
      <c r="D56" s="9" t="n">
        <f aca="false">Parametros!$B$12+B56</f>
        <v>255.0751</v>
      </c>
      <c r="E56" s="10" t="n">
        <f aca="false">D56/B56</f>
        <v>16.9202924027038</v>
      </c>
      <c r="F56" s="11" t="n">
        <f aca="false">LOG10(E56)</f>
        <v>1.22840786389115</v>
      </c>
      <c r="G56" s="10" t="n">
        <f aca="false">C56-$C$5</f>
        <v>832.193</v>
      </c>
      <c r="H56" s="11" t="n">
        <f aca="false">B56*Parametros!$B$12/D56</f>
        <v>14.1841520399286</v>
      </c>
      <c r="I56" s="11" t="n">
        <f aca="false">LN(H56)</f>
        <v>2.65212528782956</v>
      </c>
      <c r="J56" s="10" t="n">
        <f aca="false">((G56-G55)/(I56-I55)*(I57-I56)+(G57-G56)/(I57-I56)*(I56-I55))/(I57-I55)</f>
        <v>46.8876043188571</v>
      </c>
    </row>
    <row r="57" customFormat="false" ht="15" hidden="false" customHeight="false" outlineLevel="0" collapsed="false">
      <c r="A57" s="0" t="n">
        <v>53</v>
      </c>
      <c r="B57" s="7" t="n">
        <v>17.4012</v>
      </c>
      <c r="C57" s="8" t="n">
        <v>3882.622</v>
      </c>
      <c r="D57" s="9" t="n">
        <f aca="false">Parametros!$B$12+B57</f>
        <v>257.4012</v>
      </c>
      <c r="E57" s="10" t="n">
        <f aca="false">D57/B57</f>
        <v>14.792152265361</v>
      </c>
      <c r="F57" s="11" t="n">
        <f aca="false">LOG10(E57)</f>
        <v>1.17003136865313</v>
      </c>
      <c r="G57" s="10" t="n">
        <f aca="false">C57-$C$5</f>
        <v>838.467</v>
      </c>
      <c r="H57" s="11" t="n">
        <f aca="false">B57*Parametros!$B$12/D57</f>
        <v>16.2248194647111</v>
      </c>
      <c r="I57" s="11" t="n">
        <f aca="false">LN(H57)</f>
        <v>2.78654213554588</v>
      </c>
      <c r="J57" s="10" t="n">
        <f aca="false">((G57-G56)/(I57-I56)*(I58-I57)+(G58-G57)/(I58-I57)*(I57-I56))/(I58-I56)</f>
        <v>46.1876193090076</v>
      </c>
    </row>
    <row r="58" customFormat="false" ht="15" hidden="false" customHeight="false" outlineLevel="0" collapsed="false">
      <c r="A58" s="0" t="n">
        <v>54</v>
      </c>
      <c r="B58" s="7" t="n">
        <v>20.0862</v>
      </c>
      <c r="C58" s="8" t="n">
        <v>3888.706</v>
      </c>
      <c r="D58" s="9" t="n">
        <f aca="false">Parametros!$B$12+B58</f>
        <v>260.0862</v>
      </c>
      <c r="E58" s="10" t="n">
        <f aca="false">D58/B58</f>
        <v>12.9485019565672</v>
      </c>
      <c r="F58" s="11" t="n">
        <f aca="false">LOG10(E58)</f>
        <v>1.11221952674705</v>
      </c>
      <c r="G58" s="10" t="n">
        <f aca="false">C58-$C$5</f>
        <v>844.551</v>
      </c>
      <c r="H58" s="11" t="n">
        <f aca="false">B58*Parametros!$B$12/D58</f>
        <v>18.5349626393096</v>
      </c>
      <c r="I58" s="11" t="n">
        <f aca="false">LN(H58)</f>
        <v>2.91965882091734</v>
      </c>
      <c r="J58" s="10" t="n">
        <f aca="false">((G58-G57)/(I58-I57)*(I59-I58)+(G59-G58)/(I59-I58)*(I58-I57))/(I59-I57)</f>
        <v>45.5786979580128</v>
      </c>
    </row>
    <row r="59" customFormat="false" ht="15" hidden="false" customHeight="false" outlineLevel="0" collapsed="false">
      <c r="A59" s="0" t="n">
        <v>55</v>
      </c>
      <c r="B59" s="7" t="n">
        <v>23.1855</v>
      </c>
      <c r="C59" s="8" t="n">
        <v>3894.69</v>
      </c>
      <c r="D59" s="9" t="n">
        <f aca="false">Parametros!$B$12+B59</f>
        <v>263.1855</v>
      </c>
      <c r="E59" s="10" t="n">
        <f aca="false">D59/B59</f>
        <v>11.3512971469237</v>
      </c>
      <c r="F59" s="11" t="n">
        <f aca="false">LOG10(E59)</f>
        <v>1.05504549250381</v>
      </c>
      <c r="G59" s="10" t="n">
        <f aca="false">C59-$C$5</f>
        <v>850.535</v>
      </c>
      <c r="H59" s="11" t="n">
        <f aca="false">B59*Parametros!$B$12/D59</f>
        <v>21.1429581036949</v>
      </c>
      <c r="I59" s="11" t="n">
        <f aca="false">LN(H59)</f>
        <v>3.05130689987216</v>
      </c>
      <c r="J59" s="10" t="n">
        <f aca="false">((G59-G58)/(I59-I58)*(I60-I59)+(G60-G59)/(I60-I59)*(I59-I58))/(I60-I58)</f>
        <v>45.2924773468762</v>
      </c>
    </row>
    <row r="60" customFormat="false" ht="15" hidden="false" customHeight="false" outlineLevel="0" collapsed="false">
      <c r="A60" s="0" t="n">
        <v>56</v>
      </c>
      <c r="B60" s="7" t="n">
        <v>26.7631</v>
      </c>
      <c r="C60" s="8" t="n">
        <v>3900.557</v>
      </c>
      <c r="D60" s="9" t="n">
        <f aca="false">Parametros!$B$12+B60</f>
        <v>266.7631</v>
      </c>
      <c r="E60" s="10" t="n">
        <f aca="false">D60/B60</f>
        <v>9.96757102129424</v>
      </c>
      <c r="F60" s="11" t="n">
        <f aca="false">LOG10(E60)</f>
        <v>0.998589338796063</v>
      </c>
      <c r="G60" s="10" t="n">
        <f aca="false">C60-$C$5</f>
        <v>856.402</v>
      </c>
      <c r="H60" s="11" t="n">
        <f aca="false">B60*Parametros!$B$12/D60</f>
        <v>24.0780827633207</v>
      </c>
      <c r="I60" s="11" t="n">
        <f aca="false">LN(H60)</f>
        <v>3.1813019978074</v>
      </c>
      <c r="J60" s="10" t="n">
        <f aca="false">((G60-G59)/(I60-I59)*(I61-I60)+(G61-G60)/(I61-I60)*(I60-I59))/(I61-I59)</f>
        <v>44.8538973725848</v>
      </c>
    </row>
    <row r="61" customFormat="false" ht="15" hidden="false" customHeight="false" outlineLevel="0" collapsed="false">
      <c r="A61" s="0" t="n">
        <v>57</v>
      </c>
      <c r="B61" s="7" t="n">
        <v>30.8926</v>
      </c>
      <c r="C61" s="8" t="n">
        <v>3906.269</v>
      </c>
      <c r="D61" s="9" t="n">
        <f aca="false">Parametros!$B$12+B61</f>
        <v>270.8926</v>
      </c>
      <c r="E61" s="10" t="n">
        <f aca="false">D61/B61</f>
        <v>8.76885079274648</v>
      </c>
      <c r="F61" s="11" t="n">
        <f aca="false">LOG10(E61)</f>
        <v>0.942942680358982</v>
      </c>
      <c r="G61" s="10" t="n">
        <f aca="false">C61-$C$5</f>
        <v>862.114</v>
      </c>
      <c r="H61" s="11" t="n">
        <f aca="false">B61*Parametros!$B$12/D61</f>
        <v>27.3696069955399</v>
      </c>
      <c r="I61" s="11" t="n">
        <f aca="false">LN(H61)</f>
        <v>3.30943316399955</v>
      </c>
      <c r="J61" s="10" t="n">
        <f aca="false">((G61-G60)/(I61-I60)*(I62-I61)+(G62-G61)/(I62-I61)*(I61-I60))/(I62-I60)</f>
        <v>44.5419889557862</v>
      </c>
    </row>
    <row r="62" customFormat="false" ht="15" hidden="false" customHeight="false" outlineLevel="0" collapsed="false">
      <c r="A62" s="0" t="n">
        <v>58</v>
      </c>
      <c r="B62" s="7" t="n">
        <v>35.6594</v>
      </c>
      <c r="C62" s="8" t="n">
        <v>3911.879</v>
      </c>
      <c r="D62" s="9" t="n">
        <f aca="false">Parametros!$B$12+B62</f>
        <v>275.6594</v>
      </c>
      <c r="E62" s="10" t="n">
        <f aca="false">D62/B62</f>
        <v>7.73034319141657</v>
      </c>
      <c r="F62" s="11" t="n">
        <f aca="false">LOG10(E62)</f>
        <v>0.888198775008872</v>
      </c>
      <c r="G62" s="10" t="n">
        <f aca="false">C62-$C$5</f>
        <v>867.724</v>
      </c>
      <c r="H62" s="11" t="n">
        <f aca="false">B62*Parametros!$B$12/D62</f>
        <v>31.046487077894</v>
      </c>
      <c r="I62" s="11" t="n">
        <f aca="false">LN(H62)</f>
        <v>3.43548566439099</v>
      </c>
      <c r="J62" s="10" t="n">
        <f aca="false">((G62-G61)/(I62-I61)*(I63-I62)+(G63-G62)/(I63-I62)*(I62-I61))/(I63-I61)</f>
        <v>44.3518591286429</v>
      </c>
    </row>
    <row r="63" customFormat="false" ht="15" hidden="false" customHeight="false" outlineLevel="0" collapsed="false">
      <c r="A63" s="0" t="n">
        <v>59</v>
      </c>
      <c r="B63" s="7" t="n">
        <v>41.1616</v>
      </c>
      <c r="C63" s="8" t="n">
        <v>3917.348</v>
      </c>
      <c r="D63" s="9" t="n">
        <f aca="false">Parametros!$B$12+B63</f>
        <v>281.1616</v>
      </c>
      <c r="E63" s="10" t="n">
        <f aca="false">D63/B63</f>
        <v>6.83067713597139</v>
      </c>
      <c r="F63" s="11" t="n">
        <f aca="false">LOG10(E63)</f>
        <v>0.834463758123591</v>
      </c>
      <c r="G63" s="10" t="n">
        <f aca="false">C63-$C$5</f>
        <v>873.193</v>
      </c>
      <c r="H63" s="11" t="n">
        <f aca="false">B63*Parametros!$B$12/D63</f>
        <v>35.1356088455892</v>
      </c>
      <c r="I63" s="11" t="n">
        <f aca="false">LN(H63)</f>
        <v>3.55921511324282</v>
      </c>
      <c r="J63" s="10" t="n">
        <f aca="false">((G63-G62)/(I63-I62)*(I64-I63)+(G64-G63)/(I64-I63)*(I63-I62))/(I64-I62)</f>
        <v>44.0290116092535</v>
      </c>
    </row>
    <row r="64" customFormat="false" ht="15" hidden="false" customHeight="false" outlineLevel="0" collapsed="false">
      <c r="A64" s="0" t="n">
        <v>60</v>
      </c>
      <c r="B64" s="7" t="n">
        <v>47.5129</v>
      </c>
      <c r="C64" s="8" t="n">
        <v>3922.662</v>
      </c>
      <c r="D64" s="9" t="n">
        <f aca="false">Parametros!$B$12+B64</f>
        <v>287.5129</v>
      </c>
      <c r="E64" s="10" t="n">
        <f aca="false">D64/B64</f>
        <v>6.05125976313801</v>
      </c>
      <c r="F64" s="11" t="n">
        <f aca="false">LOG10(E64)</f>
        <v>0.781845796342777</v>
      </c>
      <c r="G64" s="10" t="n">
        <f aca="false">C64-$C$5</f>
        <v>878.507</v>
      </c>
      <c r="H64" s="11" t="n">
        <f aca="false">B64*Parametros!$B$12/D64</f>
        <v>39.6611630295545</v>
      </c>
      <c r="I64" s="11" t="n">
        <f aca="false">LN(H64)</f>
        <v>3.68037244766306</v>
      </c>
      <c r="J64" s="10" t="n">
        <f aca="false">((G64-G63)/(I64-I63)*(I65-I64)+(G65-G64)/(I65-I64)*(I64-I63))/(I65-I63)</f>
        <v>43.8245298771295</v>
      </c>
    </row>
    <row r="65" customFormat="false" ht="15" hidden="false" customHeight="false" outlineLevel="0" collapsed="false">
      <c r="A65" s="0" t="n">
        <v>61</v>
      </c>
      <c r="B65" s="7" t="n">
        <v>54.8442</v>
      </c>
      <c r="C65" s="8" t="n">
        <v>3927.843</v>
      </c>
      <c r="D65" s="9" t="n">
        <f aca="false">Parametros!$B$12+B65</f>
        <v>294.8442</v>
      </c>
      <c r="E65" s="10" t="n">
        <f aca="false">D65/B65</f>
        <v>5.37603247016093</v>
      </c>
      <c r="F65" s="11" t="n">
        <f aca="false">LOG10(E65)</f>
        <v>0.730461883105503</v>
      </c>
      <c r="G65" s="10" t="n">
        <f aca="false">C65-$C$5</f>
        <v>883.688</v>
      </c>
      <c r="H65" s="11" t="n">
        <f aca="false">B65*Parametros!$B$12/D65</f>
        <v>44.6425875089284</v>
      </c>
      <c r="I65" s="11" t="n">
        <f aca="false">LN(H65)</f>
        <v>3.7986882803029</v>
      </c>
      <c r="J65" s="10" t="n">
        <f aca="false">((G65-G64)/(I65-I64)*(I66-I65)+(G66-G65)/(I66-I65)*(I65-I64))/(I66-I64)</f>
        <v>43.6735166220684</v>
      </c>
    </row>
    <row r="66" customFormat="false" ht="15" hidden="false" customHeight="false" outlineLevel="0" collapsed="false">
      <c r="A66" s="0" t="n">
        <v>62</v>
      </c>
      <c r="B66" s="7" t="n">
        <v>63.3066</v>
      </c>
      <c r="C66" s="8" t="n">
        <v>3932.861</v>
      </c>
      <c r="D66" s="9" t="n">
        <f aca="false">Parametros!$B$12+B66</f>
        <v>303.3066</v>
      </c>
      <c r="E66" s="10" t="n">
        <f aca="false">D66/B66</f>
        <v>4.79107391646369</v>
      </c>
      <c r="F66" s="11" t="n">
        <f aca="false">LOG10(E66)</f>
        <v>0.680432871184731</v>
      </c>
      <c r="G66" s="10" t="n">
        <f aca="false">C66-$C$5</f>
        <v>888.706</v>
      </c>
      <c r="H66" s="11" t="n">
        <f aca="false">B66*Parametros!$B$12/D66</f>
        <v>50.0931532647163</v>
      </c>
      <c r="I66" s="11" t="n">
        <f aca="false">LN(H66)</f>
        <v>3.91388433736889</v>
      </c>
      <c r="J66" s="10" t="n">
        <f aca="false">((G66-G65)/(I66-I65)*(I67-I66)+(G67-G66)/(I67-I66)*(I66-I65))/(I67-I65)</f>
        <v>43.4700114550152</v>
      </c>
    </row>
    <row r="67" customFormat="false" ht="15" hidden="false" customHeight="false" outlineLevel="0" collapsed="false">
      <c r="A67" s="0" t="n">
        <v>63</v>
      </c>
      <c r="B67" s="7" t="n">
        <v>73.0749</v>
      </c>
      <c r="C67" s="8" t="n">
        <v>3937.711</v>
      </c>
      <c r="D67" s="9" t="n">
        <f aca="false">Parametros!$B$12+B67</f>
        <v>313.0749</v>
      </c>
      <c r="E67" s="10" t="n">
        <f aca="false">D67/B67</f>
        <v>4.28430144960855</v>
      </c>
      <c r="F67" s="11" t="n">
        <f aca="false">LOG10(E67)</f>
        <v>0.631880020818939</v>
      </c>
      <c r="G67" s="10" t="n">
        <f aca="false">C67-$C$5</f>
        <v>893.556</v>
      </c>
      <c r="H67" s="11" t="n">
        <f aca="false">B67*Parametros!$B$12/D67</f>
        <v>56.0184671463602</v>
      </c>
      <c r="I67" s="11" t="n">
        <f aca="false">LN(H67)</f>
        <v>4.02568140684354</v>
      </c>
      <c r="J67" s="10" t="n">
        <f aca="false">((G67-G66)/(I67-I66)*(I68-I67)+(G68-G67)/(I68-I67)*(I67-I66))/(I68-I66)</f>
        <v>43.2403438674895</v>
      </c>
    </row>
    <row r="68" customFormat="false" ht="15" hidden="false" customHeight="false" outlineLevel="0" collapsed="false">
      <c r="A68" s="0" t="n">
        <v>64</v>
      </c>
      <c r="B68" s="7" t="n">
        <v>84.3504</v>
      </c>
      <c r="C68" s="8" t="n">
        <v>3942.371</v>
      </c>
      <c r="D68" s="9" t="n">
        <f aca="false">Parametros!$B$12+B68</f>
        <v>324.3504</v>
      </c>
      <c r="E68" s="10" t="n">
        <f aca="false">D68/B68</f>
        <v>3.84527399988619</v>
      </c>
      <c r="F68" s="11" t="n">
        <f aca="false">LOG10(E68)</f>
        <v>0.584927291445352</v>
      </c>
      <c r="G68" s="10" t="n">
        <f aca="false">C68-$C$5</f>
        <v>898.216</v>
      </c>
      <c r="H68" s="11" t="n">
        <f aca="false">B68*Parametros!$B$12/D68</f>
        <v>62.4142778920575</v>
      </c>
      <c r="I68" s="11" t="n">
        <f aca="false">LN(H68)</f>
        <v>4.13379406157454</v>
      </c>
      <c r="J68" s="10" t="n">
        <f aca="false">((G68-G67)/(I68-I67)*(I69-I68)+(G69-G68)/(I69-I68)*(I68-I67))/(I69-I67)</f>
        <v>43.2584292286409</v>
      </c>
    </row>
    <row r="69" customFormat="false" ht="15" hidden="false" customHeight="false" outlineLevel="0" collapsed="false">
      <c r="A69" s="0" t="n">
        <v>65</v>
      </c>
      <c r="B69" s="7" t="n">
        <v>97.3657</v>
      </c>
      <c r="C69" s="8" t="n">
        <v>3946.892</v>
      </c>
      <c r="D69" s="9" t="n">
        <f aca="false">Parametros!$B$12+B69</f>
        <v>337.3657</v>
      </c>
      <c r="E69" s="10" t="n">
        <f aca="false">D69/B69</f>
        <v>3.4649337497702</v>
      </c>
      <c r="F69" s="11" t="n">
        <f aca="false">LOG10(E69)</f>
        <v>0.539694935229415</v>
      </c>
      <c r="G69" s="10" t="n">
        <f aca="false">C69-$C$5</f>
        <v>902.737</v>
      </c>
      <c r="H69" s="11" t="n">
        <f aca="false">B69*Parametros!$B$12/D69</f>
        <v>69.2653936069968</v>
      </c>
      <c r="I69" s="11" t="n">
        <f aca="false">LN(H69)</f>
        <v>4.23794541071835</v>
      </c>
      <c r="J69" s="10" t="n">
        <f aca="false">((G69-G68)/(I69-I68)*(I70-I69)+(G70-G69)/(I70-I69)*(I69-I68))/(I70-I68)</f>
        <v>43.3234681807323</v>
      </c>
    </row>
    <row r="70" customFormat="false" ht="15" hidden="false" customHeight="false" outlineLevel="0" collapsed="false">
      <c r="A70" s="0" t="n">
        <v>66</v>
      </c>
      <c r="B70" s="7" t="n">
        <v>112.3892</v>
      </c>
      <c r="C70" s="8" t="n">
        <v>3951.213</v>
      </c>
      <c r="D70" s="9" t="n">
        <f aca="false">Parametros!$B$12+B70</f>
        <v>352.3892</v>
      </c>
      <c r="E70" s="10" t="n">
        <f aca="false">D70/B70</f>
        <v>3.13543650101611</v>
      </c>
      <c r="F70" s="11" t="n">
        <f aca="false">LOG10(E70)</f>
        <v>0.496298009851424</v>
      </c>
      <c r="G70" s="10" t="n">
        <f aca="false">C70-$C$5</f>
        <v>907.058</v>
      </c>
      <c r="H70" s="11" t="n">
        <f aca="false">B70*Parametros!$B$12/D70</f>
        <v>76.5443662859134</v>
      </c>
      <c r="I70" s="11" t="n">
        <f aca="false">LN(H70)</f>
        <v>4.33787052417549</v>
      </c>
      <c r="J70" s="10" t="n">
        <f aca="false">((G70-G69)/(I70-I69)*(I71-I70)+(G71-G70)/(I71-I70)*(I70-I69))/(I71-I69)</f>
        <v>43.0510368757878</v>
      </c>
    </row>
    <row r="71" customFormat="false" ht="15" hidden="false" customHeight="false" outlineLevel="0" collapsed="false">
      <c r="A71" s="0" t="n">
        <v>67</v>
      </c>
      <c r="B71" s="7" t="n">
        <v>129.7309</v>
      </c>
      <c r="C71" s="8" t="n">
        <v>3955.305</v>
      </c>
      <c r="D71" s="9" t="n">
        <f aca="false">Parametros!$B$12+B71</f>
        <v>369.7309</v>
      </c>
      <c r="E71" s="10" t="n">
        <f aca="false">D71/B71</f>
        <v>2.84998331160888</v>
      </c>
      <c r="F71" s="11" t="n">
        <f aca="false">LOG10(E71)</f>
        <v>0.454842316956792</v>
      </c>
      <c r="G71" s="10" t="n">
        <f aca="false">C71-$C$5</f>
        <v>911.15</v>
      </c>
      <c r="H71" s="11" t="n">
        <f aca="false">B71*Parametros!$B$12/D71</f>
        <v>84.2110194197996</v>
      </c>
      <c r="I71" s="11" t="n">
        <f aca="false">LN(H71)</f>
        <v>4.43332578465441</v>
      </c>
      <c r="J71" s="10" t="n">
        <f aca="false">((G71-G70)/(I71-I70)*(I72-I71)+(G72-G71)/(I72-I71)*(I71-I70))/(I72-I70)</f>
        <v>42.9807549484363</v>
      </c>
    </row>
    <row r="72" customFormat="false" ht="15" hidden="false" customHeight="false" outlineLevel="0" collapsed="false">
      <c r="A72" s="0" t="n">
        <v>68</v>
      </c>
      <c r="B72" s="7" t="n">
        <v>149.7484</v>
      </c>
      <c r="C72" s="8" t="n">
        <v>3959.216</v>
      </c>
      <c r="D72" s="9" t="n">
        <f aca="false">Parametros!$B$12+B72</f>
        <v>389.7484</v>
      </c>
      <c r="E72" s="10" t="n">
        <f aca="false">D72/B72</f>
        <v>2.60268824241194</v>
      </c>
      <c r="F72" s="11" t="n">
        <f aca="false">LOG10(E72)</f>
        <v>0.415422150165001</v>
      </c>
      <c r="G72" s="10" t="n">
        <f aca="false">C72-$C$5</f>
        <v>915.061</v>
      </c>
      <c r="H72" s="11" t="n">
        <f aca="false">B72*Parametros!$B$12/D72</f>
        <v>92.2123503265184</v>
      </c>
      <c r="I72" s="11" t="n">
        <f aca="false">LN(H72)</f>
        <v>4.52409407307253</v>
      </c>
      <c r="J72" s="10" t="n">
        <f aca="false">((G72-G71)/(I72-I71)*(I73-I72)+(G73-G72)/(I73-I72)*(I72-I71))/(I73-I71)</f>
        <v>43.0383456507346</v>
      </c>
    </row>
    <row r="73" customFormat="false" ht="15" hidden="false" customHeight="false" outlineLevel="0" collapsed="false">
      <c r="A73" s="0" t="n">
        <v>69</v>
      </c>
      <c r="B73" s="7" t="n">
        <v>172.8547</v>
      </c>
      <c r="C73" s="8" t="n">
        <v>3962.909</v>
      </c>
      <c r="D73" s="9" t="n">
        <f aca="false">Parametros!$B$12+B73</f>
        <v>412.8547</v>
      </c>
      <c r="E73" s="10" t="n">
        <f aca="false">D73/B73</f>
        <v>2.38844937395396</v>
      </c>
      <c r="F73" s="11" t="n">
        <f aca="false">LOG10(E73)</f>
        <v>0.378116040325067</v>
      </c>
      <c r="G73" s="10" t="n">
        <f aca="false">C73-$C$5</f>
        <v>918.754</v>
      </c>
      <c r="H73" s="11" t="n">
        <f aca="false">B73*Parametros!$B$12/D73</f>
        <v>100.483603553502</v>
      </c>
      <c r="I73" s="11" t="n">
        <f aca="false">LN(H73)</f>
        <v>4.60999456546756</v>
      </c>
      <c r="J73" s="10" t="n">
        <f aca="false">((G73-G72)/(I73-I72)*(I74-I73)+(G74-G73)/(I74-I73)*(I73-I72))/(I74-I72)</f>
        <v>42.9807683057108</v>
      </c>
    </row>
    <row r="74" customFormat="false" ht="15" hidden="false" customHeight="false" outlineLevel="0" collapsed="false">
      <c r="A74" s="0" t="n">
        <v>70</v>
      </c>
      <c r="B74" s="7" t="n">
        <v>199.5262</v>
      </c>
      <c r="C74" s="8" t="n">
        <v>3966.385</v>
      </c>
      <c r="D74" s="9" t="n">
        <f aca="false">Parametros!$B$12+B74</f>
        <v>439.5262</v>
      </c>
      <c r="E74" s="10" t="n">
        <f aca="false">D74/B74</f>
        <v>2.20284955058534</v>
      </c>
      <c r="F74" s="11" t="n">
        <f aca="false">LOG10(E74)</f>
        <v>0.342984836877593</v>
      </c>
      <c r="G74" s="10" t="n">
        <f aca="false">C74-$C$5</f>
        <v>922.23</v>
      </c>
      <c r="H74" s="11" t="n">
        <f aca="false">B74*Parametros!$B$12/D74</f>
        <v>108.949791844036</v>
      </c>
      <c r="I74" s="11" t="n">
        <f aca="false">LN(H74)</f>
        <v>4.69088715082465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" t="s">
        <v>35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36</v>
      </c>
      <c r="B4" s="3" t="s">
        <v>3</v>
      </c>
      <c r="C4" s="3" t="s">
        <v>4</v>
      </c>
    </row>
    <row r="5" customFormat="false" ht="15" hidden="false" customHeight="false" outlineLevel="0" collapsed="false">
      <c r="A5" s="0" t="s">
        <v>37</v>
      </c>
      <c r="B5" s="12" t="n">
        <f aca="false">-SLOPE(INDEX(Datos!$C$5:$C$74,Parametros!$B$13):INDEX(Datos!$C$5:$C$74,Parametros!$B$14),INDEX(Datos!$F$5:$F$74,Parametros!$B$13):INDEX(Datos!$F$5:$F$74,Parametros!$B$14))</f>
        <v>103.087263338209</v>
      </c>
      <c r="C5" s="2" t="s">
        <v>38</v>
      </c>
    </row>
    <row r="6" customFormat="false" ht="15" hidden="false" customHeight="false" outlineLevel="0" collapsed="false">
      <c r="A6" s="0" t="s">
        <v>39</v>
      </c>
      <c r="B6" s="13" t="n">
        <f aca="false">162.6*Parametros!B5*Parametros!B6*Parametros!B7/(B5*Parametros!B8)</f>
        <v>18.9276534929296</v>
      </c>
      <c r="C6" s="2" t="s">
        <v>40</v>
      </c>
    </row>
    <row r="7" customFormat="false" ht="15" hidden="false" customHeight="false" outlineLevel="0" collapsed="false">
      <c r="A7" s="0" t="s">
        <v>41</v>
      </c>
      <c r="B7" s="13" t="n">
        <f aca="false">INTERCEPT(INDEX(Datos!$C$5:$C$74,Parametros!$B$13):INDEX(Datos!$C$5:$C$74,Parametros!$B$14),INDEX(Datos!$F$5:$F$74,Parametros!$B$13):INDEX(Datos!$F$5:$F$74,Parametros!$B$14))</f>
        <v>4003.07313681487</v>
      </c>
      <c r="C7" s="2" t="s">
        <v>42</v>
      </c>
    </row>
    <row r="8" customFormat="false" ht="15" hidden="false" customHeight="false" outlineLevel="0" collapsed="false">
      <c r="A8" s="0" t="s">
        <v>43</v>
      </c>
      <c r="B8" s="13" t="n">
        <f aca="false">B7+(-B5)*LOG10(Parametros!B12+1)</f>
        <v>3757.51751867086</v>
      </c>
      <c r="C8" s="2" t="s">
        <v>42</v>
      </c>
    </row>
    <row r="9" customFormat="false" ht="15" hidden="false" customHeight="false" outlineLevel="0" collapsed="false">
      <c r="A9" s="0" t="s">
        <v>44</v>
      </c>
      <c r="B9" s="13" t="n">
        <f aca="false">Datos!C5</f>
        <v>3044.155</v>
      </c>
      <c r="C9" s="2" t="s">
        <v>42</v>
      </c>
    </row>
    <row r="10" customFormat="false" ht="15" hidden="false" customHeight="false" outlineLevel="0" collapsed="false">
      <c r="A10" s="0" t="s">
        <v>45</v>
      </c>
      <c r="B10" s="12" t="n">
        <f aca="false">1.151*((B8-B9)/B5-LOG10(B6*1/(Parametros!B9*Parametros!B7*Parametros!B10*Parametros!B11^2))+3.23)</f>
        <v>2.30571077546113</v>
      </c>
      <c r="C10" s="2"/>
    </row>
    <row r="11" customFormat="false" ht="15" hidden="false" customHeight="false" outlineLevel="0" collapsed="false">
      <c r="A11" s="0" t="s">
        <v>46</v>
      </c>
      <c r="B11" s="13" t="n">
        <f aca="false">0.87*B5*B10</f>
        <v>206.789790085784</v>
      </c>
      <c r="C11" s="2" t="s">
        <v>42</v>
      </c>
    </row>
    <row r="12" customFormat="false" ht="15" hidden="false" customHeight="false" outlineLevel="0" collapsed="false">
      <c r="A12" s="0" t="s">
        <v>47</v>
      </c>
      <c r="B12" s="12" t="n">
        <f aca="false">(B7-B9-B11)/(B7-B9)</f>
        <v>0.784350944938164</v>
      </c>
      <c r="C12" s="2" t="s">
        <v>14</v>
      </c>
    </row>
    <row r="15" customFormat="false" ht="15" hidden="false" customHeight="false" outlineLevel="0" collapsed="false">
      <c r="A15" s="2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2026-10-31T08:03:48Z</dcterms:created>
  <dc:creator>openpyxl</dc:creator>
  <dc:description/>
  <dc:language>en-US</dc:language>
  <cp:lastModifiedBy/>
  <dcterms:modified xsi:type="dcterms:W3CDTF">2026-10-31T08:03:48Z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