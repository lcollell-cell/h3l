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ac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<sst xmlns="http://schemas.openxmlformats.org/spreadsheetml/2006/main" count="39" uniqueCount="37">
  <si>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Capacidad volumétrica de almacenamiento de CO₂</t>
  </si>
  <si>
    <t xml:space="preserve">Valores de ejemplo. En un sitio real, cada dato sale de la caracterización del sitio y E de su evaluación.</t>
  </si>
  <si>
    <t xml:space="preserve">Parámetro</t>
  </si>
  <si>
    <t xml:space="preserve">Valor</t>
  </si>
  <si>
    <t xml:space="preserve">Unidad</t>
  </si>
  <si>
    <t xml:space="preserve">Área del acuífero A</t>
  </si>
  <si>
    <t xml:space="preserve">km²</t>
  </si>
  <si>
    <t xml:space="preserve">Espesor neto h</t>
  </si>
  <si>
    <t xml:space="preserve">m</t>
  </si>
  <si>
    <t xml:space="preserve">Porosidad φ</t>
  </si>
  <si>
    <t xml:space="preserve">fracción</t>
  </si>
  <si>
    <t xml:space="preserve">Densidad del CO₂ en reservorio ρ</t>
  </si>
  <si>
    <t xml:space="preserve">kg/m³</t>
  </si>
  <si>
    <t xml:space="preserve">Factor de eficiencia E</t>
  </si>
  <si>
    <t xml:space="preserve">Emisión a inyectar</t>
  </si>
  <si>
    <t xml:space="preserve">Mt/año</t>
  </si>
  <si>
    <t xml:space="preserve">Volumen poral</t>
  </si>
  <si>
    <t xml:space="preserve">m³</t>
  </si>
  <si>
    <t xml:space="preserve">CO₂ si se llenara todo el poro</t>
  </si>
  <si>
    <t xml:space="preserve">Mt</t>
  </si>
  <si>
    <t xml:space="preserve">Capacidad efectiva M = A·h·φ·ρ·E</t>
  </si>
  <si>
    <t xml:space="preserve">Años de inyección que alcanza</t>
  </si>
  <si>
    <t xml:space="preserve">años</t>
  </si>
  <si>
    <t xml:space="preserve">¿Cubre 30 años?</t>
  </si>
  <si>
    <t xml:space="preserve">Años de inyección según E y emisión anual</t>
  </si>
  <si>
    <t xml:space="preserve">E \ Mt/año</t>
  </si>
  <si>
    <t xml:space="preserve">Casos bajo, base y alto</t>
  </si>
  <si>
    <t xml:space="preserve">Caso</t>
  </si>
  <si>
    <t xml:space="preserve">Porosidad</t>
  </si>
  <si>
    <t xml:space="preserve">Densidad (kg/m³)</t>
  </si>
  <si>
    <t xml:space="preserve">E</t>
  </si>
  <si>
    <t xml:space="preserve">Capacidad (Mt)</t>
  </si>
  <si>
    <t xml:space="preserve">Años (a la emisión de B10)</t>
  </si>
  <si>
    <t xml:space="preserve">Bajo</t>
  </si>
  <si>
    <t xml:space="preserve">Base</t>
  </si>
  <si>
    <t xml:space="preserve">Alto</t>
  </si>
  <si>
    <t xml:space="preserve">Referencia de escala: la captura de Quest (Alberta) tiene una capacidad de 1 Mt de CO₂ por año.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</si>
</sst>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%"/>
    <numFmt numFmtId="168" formatCode="0.0"/>
    <numFmt numFmtId="169" formatCode="#,##0"/>
    <numFmt numFmtId="170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100</v>
      </c>
      <c r="C5" s="2" t="s">
        <v>6</v>
      </c>
    </row>
    <row r="6" customFormat="false" ht="15" hidden="false" customHeight="false" outlineLevel="0" collapsed="false">
      <c r="A6" s="0" t="s">
        <v>7</v>
      </c>
      <c r="B6" s="4" t="n">
        <v>50</v>
      </c>
      <c r="C6" s="2" t="s">
        <v>8</v>
      </c>
    </row>
    <row r="7" customFormat="false" ht="15" hidden="false" customHeight="false" outlineLevel="0" collapsed="false">
      <c r="A7" s="0" t="s">
        <v>9</v>
      </c>
      <c r="B7" s="5" t="n">
        <v>0.2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v>700</v>
      </c>
      <c r="C8" s="2" t="s">
        <v>12</v>
      </c>
    </row>
    <row r="9" customFormat="false" ht="15" hidden="false" customHeight="false" outlineLevel="0" collapsed="false">
      <c r="A9" s="0" t="s">
        <v>13</v>
      </c>
      <c r="B9" s="6" t="n">
        <v>0.02</v>
      </c>
      <c r="C9" s="2" t="s">
        <v>10</v>
      </c>
    </row>
    <row r="10" customFormat="false" ht="15" hidden="false" customHeight="false" outlineLevel="0" collapsed="false">
      <c r="A10" s="0" t="s">
        <v>14</v>
      </c>
      <c r="B10" s="7" t="n">
        <v>1</v>
      </c>
      <c r="C10" s="2" t="s">
        <v>15</v>
      </c>
    </row>
    <row r="12" customFormat="false" ht="15" hidden="false" customHeight="false" outlineLevel="0" collapsed="false">
      <c r="A12" s="0" t="s">
        <v>16</v>
      </c>
      <c r="B12" s="8" t="n">
        <f aca="false">B5*1000000*B6*B7</f>
        <v>1000000000</v>
      </c>
      <c r="C12" s="2" t="s">
        <v>17</v>
      </c>
    </row>
    <row r="13" customFormat="false" ht="15" hidden="false" customHeight="false" outlineLevel="0" collapsed="false">
      <c r="A13" s="0" t="s">
        <v>18</v>
      </c>
      <c r="B13" s="8" t="n">
        <f aca="false">B12*B8/1000000000</f>
        <v>700</v>
      </c>
      <c r="C13" s="2" t="s">
        <v>19</v>
      </c>
    </row>
    <row r="14" customFormat="false" ht="15" hidden="false" customHeight="false" outlineLevel="0" collapsed="false">
      <c r="A14" s="0" t="s">
        <v>20</v>
      </c>
      <c r="B14" s="9" t="n">
        <f aca="false">B13*B9</f>
        <v>14</v>
      </c>
      <c r="C14" s="2" t="s">
        <v>19</v>
      </c>
    </row>
    <row r="15" customFormat="false" ht="15" hidden="false" customHeight="false" outlineLevel="0" collapsed="false">
      <c r="A15" s="0" t="s">
        <v>21</v>
      </c>
      <c r="B15" s="10" t="n">
        <f aca="false">B14/B10</f>
        <v>14</v>
      </c>
      <c r="C15" s="11" t="s">
        <v>22</v>
      </c>
    </row>
    <row r="16" customFormat="false" ht="15" hidden="false" customHeight="false" outlineLevel="0" collapsed="false">
      <c r="A16" s="0" t="s">
        <v>23</v>
      </c>
      <c r="B16" s="12" t="str">
        <f aca="false">IF(B15&gt;=30,"Sí","No")</f>
        <v>No</v>
      </c>
    </row>
    <row r="18" customFormat="false" ht="15" hidden="false" customHeight="false" outlineLevel="0" collapsed="false">
      <c r="A18" s="13" t="s">
        <v>24</v>
      </c>
    </row>
    <row r="19" customFormat="false" ht="15" hidden="false" customHeight="false" outlineLevel="0" collapsed="false">
      <c r="A19" s="14" t="s">
        <v>25</v>
      </c>
      <c r="B19" s="14" t="n">
        <v>0.5</v>
      </c>
      <c r="C19" s="14" t="n">
        <v>1</v>
      </c>
      <c r="D19" s="14" t="n">
        <v>2</v>
      </c>
      <c r="E19" s="14" t="n">
        <v>5</v>
      </c>
      <c r="F19" s="14" t="n">
        <v>10</v>
      </c>
    </row>
    <row r="20" customFormat="false" ht="15" hidden="false" customHeight="false" outlineLevel="0" collapsed="false">
      <c r="A20" s="15" t="n">
        <v>0.005</v>
      </c>
      <c r="B20" s="16" t="n">
        <f aca="false">$B$13*$A20/B$19</f>
        <v>7</v>
      </c>
      <c r="C20" s="16" t="n">
        <f aca="false">$B$13*$A20/C$19</f>
        <v>3.5</v>
      </c>
      <c r="D20" s="16" t="n">
        <f aca="false">$B$13*$A20/D$19</f>
        <v>1.75</v>
      </c>
      <c r="E20" s="16" t="n">
        <f aca="false">$B$13*$A20/E$19</f>
        <v>0.7</v>
      </c>
      <c r="F20" s="16" t="n">
        <f aca="false">$B$13*$A20/F$19</f>
        <v>0.35</v>
      </c>
    </row>
    <row r="21" customFormat="false" ht="15" hidden="false" customHeight="false" outlineLevel="0" collapsed="false">
      <c r="A21" s="15" t="n">
        <v>0.01</v>
      </c>
      <c r="B21" s="16" t="n">
        <f aca="false">$B$13*$A21/B$19</f>
        <v>14</v>
      </c>
      <c r="C21" s="16" t="n">
        <f aca="false">$B$13*$A21/C$19</f>
        <v>7</v>
      </c>
      <c r="D21" s="16" t="n">
        <f aca="false">$B$13*$A21/D$19</f>
        <v>3.5</v>
      </c>
      <c r="E21" s="16" t="n">
        <f aca="false">$B$13*$A21/E$19</f>
        <v>1.4</v>
      </c>
      <c r="F21" s="16" t="n">
        <f aca="false">$B$13*$A21/F$19</f>
        <v>0.7</v>
      </c>
    </row>
    <row r="22" customFormat="false" ht="15" hidden="false" customHeight="false" outlineLevel="0" collapsed="false">
      <c r="A22" s="15" t="n">
        <v>0.02</v>
      </c>
      <c r="B22" s="16" t="n">
        <f aca="false">$B$13*$A22/B$19</f>
        <v>28</v>
      </c>
      <c r="C22" s="16" t="n">
        <f aca="false">$B$13*$A22/C$19</f>
        <v>14</v>
      </c>
      <c r="D22" s="16" t="n">
        <f aca="false">$B$13*$A22/D$19</f>
        <v>7</v>
      </c>
      <c r="E22" s="16" t="n">
        <f aca="false">$B$13*$A22/E$19</f>
        <v>2.8</v>
      </c>
      <c r="F22" s="16" t="n">
        <f aca="false">$B$13*$A22/F$19</f>
        <v>1.4</v>
      </c>
    </row>
    <row r="23" customFormat="false" ht="15" hidden="false" customHeight="false" outlineLevel="0" collapsed="false">
      <c r="A23" s="15" t="n">
        <v>0.03</v>
      </c>
      <c r="B23" s="16" t="n">
        <f aca="false">$B$13*$A23/B$19</f>
        <v>42</v>
      </c>
      <c r="C23" s="16" t="n">
        <f aca="false">$B$13*$A23/C$19</f>
        <v>21</v>
      </c>
      <c r="D23" s="16" t="n">
        <f aca="false">$B$13*$A23/D$19</f>
        <v>10.5</v>
      </c>
      <c r="E23" s="16" t="n">
        <f aca="false">$B$13*$A23/E$19</f>
        <v>4.2</v>
      </c>
      <c r="F23" s="16" t="n">
        <f aca="false">$B$13*$A23/F$19</f>
        <v>2.1</v>
      </c>
    </row>
    <row r="24" customFormat="false" ht="15" hidden="false" customHeight="false" outlineLevel="0" collapsed="false">
      <c r="A24" s="15" t="n">
        <v>0.04</v>
      </c>
      <c r="B24" s="16" t="n">
        <f aca="false">$B$13*$A24/B$19</f>
        <v>56</v>
      </c>
      <c r="C24" s="16" t="n">
        <f aca="false">$B$13*$A24/C$19</f>
        <v>28</v>
      </c>
      <c r="D24" s="16" t="n">
        <f aca="false">$B$13*$A24/D$19</f>
        <v>14</v>
      </c>
      <c r="E24" s="16" t="n">
        <f aca="false">$B$13*$A24/E$19</f>
        <v>5.6</v>
      </c>
      <c r="F24" s="16" t="n">
        <f aca="false">$B$13*$A24/F$19</f>
        <v>2.8</v>
      </c>
    </row>
    <row r="25" customFormat="false" ht="15" hidden="false" customHeight="false" outlineLevel="0" collapsed="false">
      <c r="A25" s="15" t="n">
        <v>0.06</v>
      </c>
      <c r="B25" s="16" t="n">
        <f aca="false">$B$13*$A25/B$19</f>
        <v>84</v>
      </c>
      <c r="C25" s="16" t="n">
        <f aca="false">$B$13*$A25/C$19</f>
        <v>42</v>
      </c>
      <c r="D25" s="16" t="n">
        <f aca="false">$B$13*$A25/D$19</f>
        <v>21</v>
      </c>
      <c r="E25" s="16" t="n">
        <f aca="false">$B$13*$A25/E$19</f>
        <v>8.4</v>
      </c>
      <c r="F25" s="16" t="n">
        <f aca="false">$B$13*$A25/F$19</f>
        <v>4.2</v>
      </c>
    </row>
    <row r="27" customFormat="false" ht="15" hidden="false" customHeight="false" outlineLevel="0" collapsed="false">
      <c r="A27" s="13" t="s">
        <v>26</v>
      </c>
    </row>
    <row r="28" customFormat="false" ht="28.35" hidden="false" customHeight="false" outlineLevel="0" collapsed="false">
      <c r="A28" s="3" t="s">
        <v>27</v>
      </c>
      <c r="B28" s="3" t="s">
        <v>28</v>
      </c>
      <c r="C28" s="3" t="s">
        <v>29</v>
      </c>
      <c r="D28" s="3" t="s">
        <v>30</v>
      </c>
      <c r="E28" s="3" t="s">
        <v>31</v>
      </c>
      <c r="F28" s="3" t="s">
        <v>32</v>
      </c>
    </row>
    <row r="29" customFormat="false" ht="15" hidden="false" customHeight="false" outlineLevel="0" collapsed="false">
      <c r="A29" s="0" t="s">
        <v>33</v>
      </c>
      <c r="B29" s="5" t="n">
        <v>0.15</v>
      </c>
      <c r="C29" s="4" t="n">
        <v>600</v>
      </c>
      <c r="D29" s="6" t="n">
        <v>0.01</v>
      </c>
      <c r="E29" s="17" t="n">
        <f aca="false">$B$5*1000000*$B$6*B29*C29*D29/1000000000</f>
        <v>4.5</v>
      </c>
      <c r="F29" s="16" t="n">
        <f aca="false">E29/$B$10</f>
        <v>4.5</v>
      </c>
    </row>
    <row r="30" customFormat="false" ht="15" hidden="false" customHeight="false" outlineLevel="0" collapsed="false">
      <c r="A30" s="0" t="s">
        <v>34</v>
      </c>
      <c r="B30" s="5" t="n">
        <v>0.2</v>
      </c>
      <c r="C30" s="4" t="n">
        <v>700</v>
      </c>
      <c r="D30" s="6" t="n">
        <v>0.02</v>
      </c>
      <c r="E30" s="17" t="n">
        <f aca="false">$B$5*1000000*$B$6*B30*C30*D30/1000000000</f>
        <v>14</v>
      </c>
      <c r="F30" s="16" t="n">
        <f aca="false">E30/$B$10</f>
        <v>14</v>
      </c>
    </row>
    <row r="31" customFormat="false" ht="15" hidden="false" customHeight="false" outlineLevel="0" collapsed="false">
      <c r="A31" s="0" t="s">
        <v>35</v>
      </c>
      <c r="B31" s="5" t="n">
        <v>0.25</v>
      </c>
      <c r="C31" s="4" t="n">
        <v>780</v>
      </c>
      <c r="D31" s="6" t="n">
        <v>0.04</v>
      </c>
      <c r="E31" s="17" t="n">
        <f aca="false">$B$5*1000000*$B$6*B31*C31*D31/1000000000</f>
        <v>39</v>
      </c>
      <c r="F31" s="16" t="n">
        <f aca="false">E31/$B$10</f>
        <v>39</v>
      </c>
    </row>
    <row r="33" customFormat="false" ht="15" hidden="false" customHeight="false" outlineLevel="0" collapsed="false">
      <c r="A33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2026-10-31T14:17:37Z</dcterms:created>
  <dc:creator>openpyxl</dc:creator>
  <dc:description/>
  <dc:language>en-US</dc:language>
  <cp:lastModifiedBy/>
  <dcterms:modified xsi:type="dcterms:W3CDTF">2026-10-31T14:17:37Z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