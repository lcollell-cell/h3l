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ros" sheetId="1" state="visible" r:id="rId3"/>
    <sheet name="Flujo" sheetId="2" state="visible" r:id="rId4"/>
    <sheet name="Indicadores" sheetId="3" state="visible" r:id="rId5"/>
    <sheet name="Tornado" sheetId="4" state="visible" r:id="rId6"/>
    <sheet name="Decis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<sst xmlns="http://schemas.openxmlformats.org/spreadsheetml/2006/main" count="89" uniqueCount="77">
  <si>
    <t xml:space="preserve">Pozo de ejemplo: flujo de caja mensual a 120 meses</t>
  </si>
  <si>
    <t xml:space="preserve">Datos de ejemplo (sintéticos) con fines didácticos. Celdas azules sobre fondo crema = entradas editables; el resto son fórmulas.</t>
  </si>
  <si>
    <t xml:space="preserve">Parámetro</t>
  </si>
  <si>
    <t xml:space="preserve">Valor</t>
  </si>
  <si>
    <t xml:space="preserve">Unidad</t>
  </si>
  <si>
    <t xml:space="preserve">Caudal inicial qi</t>
  </si>
  <si>
    <t xml:space="preserve">bbl/d</t>
  </si>
  <si>
    <t xml:space="preserve">Declinación Di (armónica, b = 1)</t>
  </si>
  <si>
    <t xml:space="preserve">1/año</t>
  </si>
  <si>
    <t xml:space="preserve">Precio del crudo</t>
  </si>
  <si>
    <t xml:space="preserve">USD/bbl</t>
  </si>
  <si>
    <t xml:space="preserve">Regalías</t>
  </si>
  <si>
    <t xml:space="preserve">fracción</t>
  </si>
  <si>
    <t xml:space="preserve">Opex variable</t>
  </si>
  <si>
    <t xml:space="preserve">Opex fijo</t>
  </si>
  <si>
    <t xml:space="preserve">USD/mes</t>
  </si>
  <si>
    <t xml:space="preserve">CAPEX</t>
  </si>
  <si>
    <t xml:space="preserve">USD</t>
  </si>
  <si>
    <t xml:space="preserve">Tasa de descuento</t>
  </si>
  <si>
    <t xml:space="preserve">anual</t>
  </si>
  <si>
    <t xml:space="preserve">Tasa de impuesto a las ganancias</t>
  </si>
  <si>
    <t xml:space="preserve">Meses de depreciación lineal</t>
  </si>
  <si>
    <t xml:space="preserve">meses</t>
  </si>
  <si>
    <t xml:space="preserve">Con impuesto en cero, el resultado coincide con el laboratorio del curso (antes de impuestos). Poné 0,35 para ver el efecto de un impuesto de ejemplo.</t>
  </si>
  <si>
    <t xml:space="preserve">Flujo de caja mensual</t>
  </si>
  <si>
    <t xml:space="preserve">Mes</t>
  </si>
  <si>
    <t xml:space="preserve">Tiempo (años)</t>
  </si>
  <si>
    <t xml:space="preserve">q (bbl/d)</t>
  </si>
  <si>
    <t xml:space="preserve">Volumen (bbl)</t>
  </si>
  <si>
    <t xml:space="preserve">Ingreso neto (USD)</t>
  </si>
  <si>
    <t xml:space="preserve">Opex (USD)</t>
  </si>
  <si>
    <t xml:space="preserve">Depreciación (USD)</t>
  </si>
  <si>
    <t xml:space="preserve">Impuesto (USD)</t>
  </si>
  <si>
    <t xml:space="preserve">Flujo de caja (USD)</t>
  </si>
  <si>
    <t xml:space="preserve">Flujo descontado (USD)</t>
  </si>
  <si>
    <t xml:space="preserve">Acumulado (USD)</t>
  </si>
  <si>
    <t xml:space="preserve">Indicadores del proyecto</t>
  </si>
  <si>
    <t xml:space="preserve">Indicador</t>
  </si>
  <si>
    <t xml:space="preserve">VPN</t>
  </si>
  <si>
    <t xml:space="preserve">MUSD</t>
  </si>
  <si>
    <t xml:space="preserve">TIR anual</t>
  </si>
  <si>
    <t xml:space="preserve">Payback (meses con acumulado negativo)</t>
  </si>
  <si>
    <t xml:space="preserve">Producción acumulada</t>
  </si>
  <si>
    <t xml:space="preserve">Mbbl</t>
  </si>
  <si>
    <t xml:space="preserve">VPN / inversión</t>
  </si>
  <si>
    <t xml:space="preserve">Costo de desarrollo (CAPEX / producción)</t>
  </si>
  <si>
    <t xml:space="preserve">Sensibilidad del VPN antes de impuestos (una variable por vez)</t>
  </si>
  <si>
    <t xml:space="preserve">Variación (±)</t>
  </si>
  <si>
    <t xml:space="preserve">Variable</t>
  </si>
  <si>
    <t xml:space="preserve">VPN con −variación (MUSD)</t>
  </si>
  <si>
    <t xml:space="preserve">VPN con +variación (MUSD)</t>
  </si>
  <si>
    <t xml:space="preserve">Mínimo</t>
  </si>
  <si>
    <t xml:space="preserve">Máximo</t>
  </si>
  <si>
    <t xml:space="preserve">Rango</t>
  </si>
  <si>
    <t xml:space="preserve">Precio</t>
  </si>
  <si>
    <t xml:space="preserve">Producción inicial (qi)</t>
  </si>
  <si>
    <t xml:space="preserve">Declinación (Di)</t>
  </si>
  <si>
    <t xml:space="preserve">Costos operativos</t>
  </si>
  <si>
    <t xml:space="preserve">VPN base (antes de impuestos)</t>
  </si>
  <si>
    <t xml:space="preserve">Variable con mayor rango</t>
  </si>
  <si>
    <t xml:space="preserve">Para ordenar el gráfico tipo tornado, ordená la tabla por la columna Rango (de mayor a menor).</t>
  </si>
  <si>
    <t xml:space="preserve">Decisión de perforar un pozo exploratorio y efecto del portafolio</t>
  </si>
  <si>
    <t xml:space="preserve">Probabilidad de éxito P</t>
  </si>
  <si>
    <t xml:space="preserve">VPN si hay éxito (MUSD)</t>
  </si>
  <si>
    <t xml:space="preserve">Costo si es seco (MUSD)</t>
  </si>
  <si>
    <t xml:space="preserve">Número de pozos independientes</t>
  </si>
  <si>
    <t xml:space="preserve">VME de un pozo (MUSD)</t>
  </si>
  <si>
    <t xml:space="preserve">Probabilidad de equilibrio P* = C/(V+C)</t>
  </si>
  <si>
    <t xml:space="preserve">VME del portafolio (MUSD)</t>
  </si>
  <si>
    <t xml:space="preserve">Probabilidad de pérdida del portafolio</t>
  </si>
  <si>
    <t xml:space="preserve">Éxitos k</t>
  </si>
  <si>
    <t xml:space="preserve">Fracaso</t>
  </si>
  <si>
    <t xml:space="preserve">Resultado (MUSD)</t>
  </si>
  <si>
    <t xml:space="preserve">Probabilidad</t>
  </si>
  <si>
    <t xml:space="preserve">¿Pérdida?</t>
  </si>
  <si>
    <t xml:space="preserve">Prob. con pérdida</t>
  </si>
  <si>
    <t xml:space="preserve">La distribución binomial supone pozos independientes con la misma probabilidad. En la realidad hay correlaciones geológicas. Hasta 30 pozos.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</si>
</sst>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0"/>
    <numFmt numFmtId="167" formatCode="0.0"/>
    <numFmt numFmtId="168" formatCode="#,##0"/>
    <numFmt numFmtId="169" formatCode="0.000"/>
    <numFmt numFmtId="170" formatCode="0.0%"/>
    <numFmt numFmtId="171" formatCode="0%"/>
    <numFmt numFmtId="172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900</v>
      </c>
      <c r="C5" s="2" t="s">
        <v>6</v>
      </c>
    </row>
    <row r="6" customFormat="false" ht="15" hidden="false" customHeight="false" outlineLevel="0" collapsed="false">
      <c r="A6" s="0" t="s">
        <v>7</v>
      </c>
      <c r="B6" s="5" t="n">
        <v>0.7</v>
      </c>
      <c r="C6" s="2" t="s">
        <v>8</v>
      </c>
    </row>
    <row r="7" customFormat="false" ht="15" hidden="false" customHeight="false" outlineLevel="0" collapsed="false">
      <c r="A7" s="0" t="s">
        <v>9</v>
      </c>
      <c r="B7" s="6" t="n">
        <v>65</v>
      </c>
      <c r="C7" s="2" t="s">
        <v>10</v>
      </c>
    </row>
    <row r="8" customFormat="false" ht="15" hidden="false" customHeight="false" outlineLevel="0" collapsed="false">
      <c r="A8" s="0" t="s">
        <v>11</v>
      </c>
      <c r="B8" s="5" t="n">
        <v>0.12</v>
      </c>
      <c r="C8" s="2" t="s">
        <v>12</v>
      </c>
    </row>
    <row r="9" customFormat="false" ht="15" hidden="false" customHeight="false" outlineLevel="0" collapsed="false">
      <c r="A9" s="0" t="s">
        <v>13</v>
      </c>
      <c r="B9" s="6" t="n">
        <v>8</v>
      </c>
      <c r="C9" s="2" t="s">
        <v>10</v>
      </c>
    </row>
    <row r="10" customFormat="false" ht="15" hidden="false" customHeight="false" outlineLevel="0" collapsed="false">
      <c r="A10" s="0" t="s">
        <v>14</v>
      </c>
      <c r="B10" s="7" t="n">
        <v>8000</v>
      </c>
      <c r="C10" s="2" t="s">
        <v>15</v>
      </c>
    </row>
    <row r="11" customFormat="false" ht="15" hidden="false" customHeight="false" outlineLevel="0" collapsed="false">
      <c r="A11" s="0" t="s">
        <v>16</v>
      </c>
      <c r="B11" s="7" t="n">
        <v>9000000</v>
      </c>
      <c r="C11" s="2" t="s">
        <v>17</v>
      </c>
    </row>
    <row r="12" customFormat="false" ht="15" hidden="false" customHeight="false" outlineLevel="0" collapsed="false">
      <c r="A12" s="0" t="s">
        <v>18</v>
      </c>
      <c r="B12" s="5" t="n">
        <v>0.1</v>
      </c>
      <c r="C12" s="2" t="s">
        <v>19</v>
      </c>
    </row>
    <row r="13" customFormat="false" ht="15" hidden="false" customHeight="false" outlineLevel="0" collapsed="false">
      <c r="A13" s="0" t="s">
        <v>20</v>
      </c>
      <c r="B13" s="5" t="n">
        <v>0</v>
      </c>
      <c r="C13" s="2" t="s">
        <v>12</v>
      </c>
    </row>
    <row r="14" customFormat="false" ht="15" hidden="false" customHeight="false" outlineLevel="0" collapsed="false">
      <c r="A14" s="0" t="s">
        <v>21</v>
      </c>
      <c r="B14" s="4" t="n">
        <v>120</v>
      </c>
      <c r="C14" s="2" t="s">
        <v>22</v>
      </c>
    </row>
    <row r="16" customFormat="false" ht="15" hidden="false" customHeight="false" outlineLevel="0" collapsed="false">
      <c r="A16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customFormat="false" ht="15" hidden="false" customHeight="false" outlineLevel="0" collapsed="false">
      <c r="A5" s="0" t="n">
        <v>0</v>
      </c>
      <c r="B5" s="8" t="n">
        <f aca="false">0</f>
        <v>0</v>
      </c>
      <c r="I5" s="9" t="n">
        <f aca="false">-Parametros!B11</f>
        <v>-9000000</v>
      </c>
      <c r="J5" s="9" t="n">
        <f aca="false">I5</f>
        <v>-9000000</v>
      </c>
      <c r="K5" s="9" t="n">
        <f aca="false">I5</f>
        <v>-9000000</v>
      </c>
    </row>
    <row r="6" customFormat="false" ht="15" hidden="false" customHeight="false" outlineLevel="0" collapsed="false">
      <c r="A6" s="0" t="n">
        <v>1</v>
      </c>
      <c r="B6" s="10" t="n">
        <f aca="false">A6/12</f>
        <v>0.0833333333333333</v>
      </c>
      <c r="C6" s="11" t="n">
        <f aca="false">Parametros!$B$5/(1+Parametros!$B$6*B6)</f>
        <v>850.393700787402</v>
      </c>
      <c r="D6" s="9" t="n">
        <f aca="false">C6*30.4</f>
        <v>25851.968503937</v>
      </c>
      <c r="E6" s="9" t="n">
        <f aca="false">D6*Parametros!$B$7*(1-Parametros!$B$8)</f>
        <v>1478732.5984252</v>
      </c>
      <c r="F6" s="9" t="n">
        <f aca="false">D6*Parametros!$B$9+Parametros!$B$10</f>
        <v>214815.748031496</v>
      </c>
      <c r="G6" s="9" t="n">
        <f aca="false">Parametros!$B$11/Parametros!$B$14</f>
        <v>75000</v>
      </c>
      <c r="H6" s="9" t="n">
        <f aca="false">MAX(0,E6-F6-G6)*Parametros!$B$13</f>
        <v>0</v>
      </c>
      <c r="I6" s="9" t="n">
        <f aca="false">E6-F6-H6</f>
        <v>1263916.8503937</v>
      </c>
      <c r="J6" s="9" t="n">
        <f aca="false">I6/(1+Parametros!$B$12)^B6</f>
        <v>1253917.93271194</v>
      </c>
      <c r="K6" s="9" t="n">
        <f aca="false">K5+I6</f>
        <v>-7736083.1496063</v>
      </c>
    </row>
    <row r="7" customFormat="false" ht="15" hidden="false" customHeight="false" outlineLevel="0" collapsed="false">
      <c r="A7" s="0" t="n">
        <v>2</v>
      </c>
      <c r="B7" s="10" t="n">
        <f aca="false">A7/12</f>
        <v>0.166666666666667</v>
      </c>
      <c r="C7" s="11" t="n">
        <f aca="false">Parametros!$B$5/(1+Parametros!$B$6*B7)</f>
        <v>805.970149253731</v>
      </c>
      <c r="D7" s="9" t="n">
        <f aca="false">C7*30.4</f>
        <v>24501.4925373134</v>
      </c>
      <c r="E7" s="9" t="n">
        <f aca="false">D7*Parametros!$B$7*(1-Parametros!$B$8)</f>
        <v>1401485.37313433</v>
      </c>
      <c r="F7" s="9" t="n">
        <f aca="false">D7*Parametros!$B$9+Parametros!$B$10</f>
        <v>204011.940298507</v>
      </c>
      <c r="G7" s="9" t="n">
        <f aca="false">Parametros!$B$11/Parametros!$B$14</f>
        <v>75000</v>
      </c>
      <c r="H7" s="9" t="n">
        <f aca="false">MAX(0,E7-F7-G7)*Parametros!$B$13</f>
        <v>0</v>
      </c>
      <c r="I7" s="9" t="n">
        <f aca="false">E7-F7-H7</f>
        <v>1197473.43283582</v>
      </c>
      <c r="J7" s="9" t="n">
        <f aca="false">I7/(1+Parametros!$B$12)^B7</f>
        <v>1178601.81639424</v>
      </c>
      <c r="K7" s="9" t="n">
        <f aca="false">K6+I7</f>
        <v>-6538609.71677048</v>
      </c>
    </row>
    <row r="8" customFormat="false" ht="15" hidden="false" customHeight="false" outlineLevel="0" collapsed="false">
      <c r="A8" s="0" t="n">
        <v>3</v>
      </c>
      <c r="B8" s="10" t="n">
        <f aca="false">A8/12</f>
        <v>0.25</v>
      </c>
      <c r="C8" s="11" t="n">
        <f aca="false">Parametros!$B$5/(1+Parametros!$B$6*B8)</f>
        <v>765.957446808511</v>
      </c>
      <c r="D8" s="9" t="n">
        <f aca="false">C8*30.4</f>
        <v>23285.1063829787</v>
      </c>
      <c r="E8" s="9" t="n">
        <f aca="false">D8*Parametros!$B$7*(1-Parametros!$B$8)</f>
        <v>1331908.08510638</v>
      </c>
      <c r="F8" s="9" t="n">
        <f aca="false">D8*Parametros!$B$9+Parametros!$B$10</f>
        <v>194280.85106383</v>
      </c>
      <c r="G8" s="9" t="n">
        <f aca="false">Parametros!$B$11/Parametros!$B$14</f>
        <v>75000</v>
      </c>
      <c r="H8" s="9" t="n">
        <f aca="false">MAX(0,E8-F8-G8)*Parametros!$B$13</f>
        <v>0</v>
      </c>
      <c r="I8" s="9" t="n">
        <f aca="false">E8-F8-H8</f>
        <v>1137627.23404255</v>
      </c>
      <c r="J8" s="9" t="n">
        <f aca="false">I8/(1+Parametros!$B$12)^B8</f>
        <v>1110840.765208</v>
      </c>
      <c r="K8" s="9" t="n">
        <f aca="false">K7+I8</f>
        <v>-5400982.48272792</v>
      </c>
    </row>
    <row r="9" customFormat="false" ht="15" hidden="false" customHeight="false" outlineLevel="0" collapsed="false">
      <c r="A9" s="0" t="n">
        <v>4</v>
      </c>
      <c r="B9" s="10" t="n">
        <f aca="false">A9/12</f>
        <v>0.333333333333333</v>
      </c>
      <c r="C9" s="11" t="n">
        <f aca="false">Parametros!$B$5/(1+Parametros!$B$6*B9)</f>
        <v>729.72972972973</v>
      </c>
      <c r="D9" s="9" t="n">
        <f aca="false">C9*30.4</f>
        <v>22183.7837837838</v>
      </c>
      <c r="E9" s="9" t="n">
        <f aca="false">D9*Parametros!$B$7*(1-Parametros!$B$8)</f>
        <v>1268912.43243243</v>
      </c>
      <c r="F9" s="9" t="n">
        <f aca="false">D9*Parametros!$B$9+Parametros!$B$10</f>
        <v>185470.27027027</v>
      </c>
      <c r="G9" s="9" t="n">
        <f aca="false">Parametros!$B$11/Parametros!$B$14</f>
        <v>75000</v>
      </c>
      <c r="H9" s="9" t="n">
        <f aca="false">MAX(0,E9-F9-G9)*Parametros!$B$13</f>
        <v>0</v>
      </c>
      <c r="I9" s="9" t="n">
        <f aca="false">E9-F9-H9</f>
        <v>1083442.16216216</v>
      </c>
      <c r="J9" s="9" t="n">
        <f aca="false">I9/(1+Parametros!$B$12)^B9</f>
        <v>1049562.17400659</v>
      </c>
      <c r="K9" s="9" t="n">
        <f aca="false">K8+I9</f>
        <v>-4317540.32056576</v>
      </c>
    </row>
    <row r="10" customFormat="false" ht="15" hidden="false" customHeight="false" outlineLevel="0" collapsed="false">
      <c r="A10" s="0" t="n">
        <v>5</v>
      </c>
      <c r="B10" s="10" t="n">
        <f aca="false">A10/12</f>
        <v>0.416666666666667</v>
      </c>
      <c r="C10" s="11" t="n">
        <f aca="false">Parametros!$B$5/(1+Parametros!$B$6*B10)</f>
        <v>696.774193548387</v>
      </c>
      <c r="D10" s="9" t="n">
        <f aca="false">C10*30.4</f>
        <v>21181.935483871</v>
      </c>
      <c r="E10" s="9" t="n">
        <f aca="false">D10*Parametros!$B$7*(1-Parametros!$B$8)</f>
        <v>1211606.70967742</v>
      </c>
      <c r="F10" s="9" t="n">
        <f aca="false">D10*Parametros!$B$9+Parametros!$B$10</f>
        <v>177455.483870968</v>
      </c>
      <c r="G10" s="9" t="n">
        <f aca="false">Parametros!$B$11/Parametros!$B$14</f>
        <v>75000</v>
      </c>
      <c r="H10" s="9" t="n">
        <f aca="false">MAX(0,E10-F10-G10)*Parametros!$B$13</f>
        <v>0</v>
      </c>
      <c r="I10" s="9" t="n">
        <f aca="false">E10-F10-H10</f>
        <v>1034151.22580645</v>
      </c>
      <c r="J10" s="9" t="n">
        <f aca="false">I10/(1+Parametros!$B$12)^B10</f>
        <v>993887.203301553</v>
      </c>
      <c r="K10" s="9" t="n">
        <f aca="false">K9+I10</f>
        <v>-3283389.09475931</v>
      </c>
    </row>
    <row r="11" customFormat="false" ht="15" hidden="false" customHeight="false" outlineLevel="0" collapsed="false">
      <c r="A11" s="0" t="n">
        <v>6</v>
      </c>
      <c r="B11" s="10" t="n">
        <f aca="false">A11/12</f>
        <v>0.5</v>
      </c>
      <c r="C11" s="11" t="n">
        <f aca="false">Parametros!$B$5/(1+Parametros!$B$6*B11)</f>
        <v>666.666666666667</v>
      </c>
      <c r="D11" s="9" t="n">
        <f aca="false">C11*30.4</f>
        <v>20266.6666666667</v>
      </c>
      <c r="E11" s="9" t="n">
        <f aca="false">D11*Parametros!$B$7*(1-Parametros!$B$8)</f>
        <v>1159253.33333333</v>
      </c>
      <c r="F11" s="9" t="n">
        <f aca="false">D11*Parametros!$B$9+Parametros!$B$10</f>
        <v>170133.333333333</v>
      </c>
      <c r="G11" s="9" t="n">
        <f aca="false">Parametros!$B$11/Parametros!$B$14</f>
        <v>75000</v>
      </c>
      <c r="H11" s="9" t="n">
        <f aca="false">MAX(0,E11-F11-G11)*Parametros!$B$13</f>
        <v>0</v>
      </c>
      <c r="I11" s="9" t="n">
        <f aca="false">E11-F11-H11</f>
        <v>989120</v>
      </c>
      <c r="J11" s="9" t="n">
        <f aca="false">I11/(1+Parametros!$B$12)^B11</f>
        <v>943088.9162746</v>
      </c>
      <c r="K11" s="9" t="n">
        <f aca="false">K10+I11</f>
        <v>-2294269.09475931</v>
      </c>
    </row>
    <row r="12" customFormat="false" ht="15" hidden="false" customHeight="false" outlineLevel="0" collapsed="false">
      <c r="A12" s="0" t="n">
        <v>7</v>
      </c>
      <c r="B12" s="10" t="n">
        <f aca="false">A12/12</f>
        <v>0.583333333333333</v>
      </c>
      <c r="C12" s="11" t="n">
        <f aca="false">Parametros!$B$5/(1+Parametros!$B$6*B12)</f>
        <v>639.05325443787</v>
      </c>
      <c r="D12" s="9" t="n">
        <f aca="false">C12*30.4</f>
        <v>19427.2189349112</v>
      </c>
      <c r="E12" s="9" t="n">
        <f aca="false">D12*Parametros!$B$7*(1-Parametros!$B$8)</f>
        <v>1111236.92307692</v>
      </c>
      <c r="F12" s="9" t="n">
        <f aca="false">D12*Parametros!$B$9+Parametros!$B$10</f>
        <v>163417.75147929</v>
      </c>
      <c r="G12" s="9" t="n">
        <f aca="false">Parametros!$B$11/Parametros!$B$14</f>
        <v>75000</v>
      </c>
      <c r="H12" s="9" t="n">
        <f aca="false">MAX(0,E12-F12-G12)*Parametros!$B$13</f>
        <v>0</v>
      </c>
      <c r="I12" s="9" t="n">
        <f aca="false">E12-F12-H12</f>
        <v>947819.171597633</v>
      </c>
      <c r="J12" s="9" t="n">
        <f aca="false">I12/(1+Parametros!$B$12)^B12</f>
        <v>896560.819609473</v>
      </c>
      <c r="K12" s="9" t="n">
        <f aca="false">K11+I12</f>
        <v>-1346449.92316168</v>
      </c>
    </row>
    <row r="13" customFormat="false" ht="15" hidden="false" customHeight="false" outlineLevel="0" collapsed="false">
      <c r="A13" s="0" t="n">
        <v>8</v>
      </c>
      <c r="B13" s="10" t="n">
        <f aca="false">A13/12</f>
        <v>0.666666666666667</v>
      </c>
      <c r="C13" s="11" t="n">
        <f aca="false">Parametros!$B$5/(1+Parametros!$B$6*B13)</f>
        <v>613.636363636364</v>
      </c>
      <c r="D13" s="9" t="n">
        <f aca="false">C13*30.4</f>
        <v>18654.5454545455</v>
      </c>
      <c r="E13" s="9" t="n">
        <f aca="false">D13*Parametros!$B$7*(1-Parametros!$B$8)</f>
        <v>1067040</v>
      </c>
      <c r="F13" s="9" t="n">
        <f aca="false">D13*Parametros!$B$9+Parametros!$B$10</f>
        <v>157236.363636364</v>
      </c>
      <c r="G13" s="9" t="n">
        <f aca="false">Parametros!$B$11/Parametros!$B$14</f>
        <v>75000</v>
      </c>
      <c r="H13" s="9" t="n">
        <f aca="false">MAX(0,E13-F13-G13)*Parametros!$B$13</f>
        <v>0</v>
      </c>
      <c r="I13" s="9" t="n">
        <f aca="false">E13-F13-H13</f>
        <v>909803.636363636</v>
      </c>
      <c r="J13" s="9" t="n">
        <f aca="false">I13/(1+Parametros!$B$12)^B13</f>
        <v>853792.911625525</v>
      </c>
      <c r="K13" s="9" t="n">
        <f aca="false">K12+I13</f>
        <v>-436646.286798041</v>
      </c>
    </row>
    <row r="14" customFormat="false" ht="15" hidden="false" customHeight="false" outlineLevel="0" collapsed="false">
      <c r="A14" s="0" t="n">
        <v>9</v>
      </c>
      <c r="B14" s="10" t="n">
        <f aca="false">A14/12</f>
        <v>0.75</v>
      </c>
      <c r="C14" s="11" t="n">
        <f aca="false">Parametros!$B$5/(1+Parametros!$B$6*B14)</f>
        <v>590.16393442623</v>
      </c>
      <c r="D14" s="9" t="n">
        <f aca="false">C14*30.4</f>
        <v>17940.9836065574</v>
      </c>
      <c r="E14" s="9" t="n">
        <f aca="false">D14*Parametros!$B$7*(1-Parametros!$B$8)</f>
        <v>1026224.26229508</v>
      </c>
      <c r="F14" s="9" t="n">
        <f aca="false">D14*Parametros!$B$9+Parametros!$B$10</f>
        <v>151527.868852459</v>
      </c>
      <c r="G14" s="9" t="n">
        <f aca="false">Parametros!$B$11/Parametros!$B$14</f>
        <v>75000</v>
      </c>
      <c r="H14" s="9" t="n">
        <f aca="false">MAX(0,E14-F14-G14)*Parametros!$B$13</f>
        <v>0</v>
      </c>
      <c r="I14" s="9" t="n">
        <f aca="false">E14-F14-H14</f>
        <v>874696.393442623</v>
      </c>
      <c r="J14" s="9" t="n">
        <f aca="false">I14/(1+Parametros!$B$12)^B14</f>
        <v>814353.227561258</v>
      </c>
      <c r="K14" s="9" t="n">
        <f aca="false">K13+I14</f>
        <v>438050.106644582</v>
      </c>
    </row>
    <row r="15" customFormat="false" ht="15" hidden="false" customHeight="false" outlineLevel="0" collapsed="false">
      <c r="A15" s="0" t="n">
        <v>10</v>
      </c>
      <c r="B15" s="10" t="n">
        <f aca="false">A15/12</f>
        <v>0.833333333333333</v>
      </c>
      <c r="C15" s="11" t="n">
        <f aca="false">Parametros!$B$5/(1+Parametros!$B$6*B15)</f>
        <v>568.421052631579</v>
      </c>
      <c r="D15" s="9" t="n">
        <f aca="false">C15*30.4</f>
        <v>17280</v>
      </c>
      <c r="E15" s="9" t="n">
        <f aca="false">D15*Parametros!$B$7*(1-Parametros!$B$8)</f>
        <v>988416</v>
      </c>
      <c r="F15" s="9" t="n">
        <f aca="false">D15*Parametros!$B$9+Parametros!$B$10</f>
        <v>146240</v>
      </c>
      <c r="G15" s="9" t="n">
        <f aca="false">Parametros!$B$11/Parametros!$B$14</f>
        <v>75000</v>
      </c>
      <c r="H15" s="9" t="n">
        <f aca="false">MAX(0,E15-F15-G15)*Parametros!$B$13</f>
        <v>0</v>
      </c>
      <c r="I15" s="9" t="n">
        <f aca="false">E15-F15-H15</f>
        <v>842176</v>
      </c>
      <c r="J15" s="9" t="n">
        <f aca="false">I15/(1+Parametros!$B$12)^B15</f>
        <v>777873.464321745</v>
      </c>
      <c r="K15" s="9" t="n">
        <f aca="false">K14+I15</f>
        <v>1280226.10664458</v>
      </c>
    </row>
    <row r="16" customFormat="false" ht="15" hidden="false" customHeight="false" outlineLevel="0" collapsed="false">
      <c r="A16" s="0" t="n">
        <v>11</v>
      </c>
      <c r="B16" s="10" t="n">
        <f aca="false">A16/12</f>
        <v>0.916666666666667</v>
      </c>
      <c r="C16" s="11" t="n">
        <f aca="false">Parametros!$B$5/(1+Parametros!$B$6*B16)</f>
        <v>548.223350253807</v>
      </c>
      <c r="D16" s="9" t="n">
        <f aca="false">C16*30.4</f>
        <v>16665.9898477157</v>
      </c>
      <c r="E16" s="9" t="n">
        <f aca="false">D16*Parametros!$B$7*(1-Parametros!$B$8)</f>
        <v>953294.61928934</v>
      </c>
      <c r="F16" s="9" t="n">
        <f aca="false">D16*Parametros!$B$9+Parametros!$B$10</f>
        <v>141327.918781726</v>
      </c>
      <c r="G16" s="9" t="n">
        <f aca="false">Parametros!$B$11/Parametros!$B$14</f>
        <v>75000</v>
      </c>
      <c r="H16" s="9" t="n">
        <f aca="false">MAX(0,E16-F16-G16)*Parametros!$B$13</f>
        <v>0</v>
      </c>
      <c r="I16" s="9" t="n">
        <f aca="false">E16-F16-H16</f>
        <v>811966.700507614</v>
      </c>
      <c r="J16" s="9" t="n">
        <f aca="false">I16/(1+Parametros!$B$12)^B16</f>
        <v>744037.670000959</v>
      </c>
      <c r="K16" s="9" t="n">
        <f aca="false">K15+I16</f>
        <v>2092192.8071522</v>
      </c>
    </row>
    <row r="17" customFormat="false" ht="15" hidden="false" customHeight="false" outlineLevel="0" collapsed="false">
      <c r="A17" s="0" t="n">
        <v>12</v>
      </c>
      <c r="B17" s="10" t="n">
        <f aca="false">A17/12</f>
        <v>1</v>
      </c>
      <c r="C17" s="11" t="n">
        <f aca="false">Parametros!$B$5/(1+Parametros!$B$6*B17)</f>
        <v>529.411764705882</v>
      </c>
      <c r="D17" s="9" t="n">
        <f aca="false">C17*30.4</f>
        <v>16094.1176470588</v>
      </c>
      <c r="E17" s="9" t="n">
        <f aca="false">D17*Parametros!$B$7*(1-Parametros!$B$8)</f>
        <v>920583.529411765</v>
      </c>
      <c r="F17" s="9" t="n">
        <f aca="false">D17*Parametros!$B$9+Parametros!$B$10</f>
        <v>136752.941176471</v>
      </c>
      <c r="G17" s="9" t="n">
        <f aca="false">Parametros!$B$11/Parametros!$B$14</f>
        <v>75000</v>
      </c>
      <c r="H17" s="9" t="n">
        <f aca="false">MAX(0,E17-F17-G17)*Parametros!$B$13</f>
        <v>0</v>
      </c>
      <c r="I17" s="9" t="n">
        <f aca="false">E17-F17-H17</f>
        <v>783830.588235294</v>
      </c>
      <c r="J17" s="9" t="n">
        <f aca="false">I17/(1+Parametros!$B$12)^B17</f>
        <v>712573.262032085</v>
      </c>
      <c r="K17" s="9" t="n">
        <f aca="false">K16+I17</f>
        <v>2876023.39538749</v>
      </c>
    </row>
    <row r="18" customFormat="false" ht="15" hidden="false" customHeight="false" outlineLevel="0" collapsed="false">
      <c r="A18" s="0" t="n">
        <v>13</v>
      </c>
      <c r="B18" s="10" t="n">
        <f aca="false">A18/12</f>
        <v>1.08333333333333</v>
      </c>
      <c r="C18" s="11" t="n">
        <f aca="false">Parametros!$B$5/(1+Parametros!$B$6*B18)</f>
        <v>511.848341232228</v>
      </c>
      <c r="D18" s="9" t="n">
        <f aca="false">C18*30.4</f>
        <v>15560.1895734597</v>
      </c>
      <c r="E18" s="9" t="n">
        <f aca="false">D18*Parametros!$B$7*(1-Parametros!$B$8)</f>
        <v>890042.843601896</v>
      </c>
      <c r="F18" s="9" t="n">
        <f aca="false">D18*Parametros!$B$9+Parametros!$B$10</f>
        <v>132481.516587678</v>
      </c>
      <c r="G18" s="9" t="n">
        <f aca="false">Parametros!$B$11/Parametros!$B$14</f>
        <v>75000</v>
      </c>
      <c r="H18" s="9" t="n">
        <f aca="false">MAX(0,E18-F18-G18)*Parametros!$B$13</f>
        <v>0</v>
      </c>
      <c r="I18" s="9" t="n">
        <f aca="false">E18-F18-H18</f>
        <v>757561.327014218</v>
      </c>
      <c r="J18" s="9" t="n">
        <f aca="false">I18/(1+Parametros!$B$12)^B18</f>
        <v>683243.833194396</v>
      </c>
      <c r="K18" s="9" t="n">
        <f aca="false">K17+I18</f>
        <v>3633584.72240171</v>
      </c>
    </row>
    <row r="19" customFormat="false" ht="15" hidden="false" customHeight="false" outlineLevel="0" collapsed="false">
      <c r="A19" s="0" t="n">
        <v>14</v>
      </c>
      <c r="B19" s="10" t="n">
        <f aca="false">A19/12</f>
        <v>1.16666666666667</v>
      </c>
      <c r="C19" s="11" t="n">
        <f aca="false">Parametros!$B$5/(1+Parametros!$B$6*B19)</f>
        <v>495.412844036697</v>
      </c>
      <c r="D19" s="9" t="n">
        <f aca="false">C19*30.4</f>
        <v>15060.5504587156</v>
      </c>
      <c r="E19" s="9" t="n">
        <f aca="false">D19*Parametros!$B$7*(1-Parametros!$B$8)</f>
        <v>861463.486238532</v>
      </c>
      <c r="F19" s="9" t="n">
        <f aca="false">D19*Parametros!$B$9+Parametros!$B$10</f>
        <v>128484.403669725</v>
      </c>
      <c r="G19" s="9" t="n">
        <f aca="false">Parametros!$B$11/Parametros!$B$14</f>
        <v>75000</v>
      </c>
      <c r="H19" s="9" t="n">
        <f aca="false">MAX(0,E19-F19-G19)*Parametros!$B$13</f>
        <v>0</v>
      </c>
      <c r="I19" s="9" t="n">
        <f aca="false">E19-F19-H19</f>
        <v>732979.082568807</v>
      </c>
      <c r="J19" s="9" t="n">
        <f aca="false">I19/(1+Parametros!$B$12)^B19</f>
        <v>655843.343619014</v>
      </c>
      <c r="K19" s="9" t="n">
        <f aca="false">K18+I19</f>
        <v>4366563.80497052</v>
      </c>
    </row>
    <row r="20" customFormat="false" ht="15" hidden="false" customHeight="false" outlineLevel="0" collapsed="false">
      <c r="A20" s="0" t="n">
        <v>15</v>
      </c>
      <c r="B20" s="10" t="n">
        <f aca="false">A20/12</f>
        <v>1.25</v>
      </c>
      <c r="C20" s="11" t="n">
        <f aca="false">Parametros!$B$5/(1+Parametros!$B$6*B20)</f>
        <v>480</v>
      </c>
      <c r="D20" s="9" t="n">
        <f aca="false">C20*30.4</f>
        <v>14592</v>
      </c>
      <c r="E20" s="9" t="n">
        <f aca="false">D20*Parametros!$B$7*(1-Parametros!$B$8)</f>
        <v>834662.4</v>
      </c>
      <c r="F20" s="9" t="n">
        <f aca="false">D20*Parametros!$B$9+Parametros!$B$10</f>
        <v>124736</v>
      </c>
      <c r="G20" s="9" t="n">
        <f aca="false">Parametros!$B$11/Parametros!$B$14</f>
        <v>75000</v>
      </c>
      <c r="H20" s="9" t="n">
        <f aca="false">MAX(0,E20-F20-G20)*Parametros!$B$13</f>
        <v>0</v>
      </c>
      <c r="I20" s="9" t="n">
        <f aca="false">E20-F20-H20</f>
        <v>709926.4</v>
      </c>
      <c r="J20" s="9" t="n">
        <f aca="false">I20/(1+Parametros!$B$12)^B20</f>
        <v>630191.3969538</v>
      </c>
      <c r="K20" s="9" t="n">
        <f aca="false">K19+I20</f>
        <v>5076490.20497052</v>
      </c>
    </row>
    <row r="21" customFormat="false" ht="15" hidden="false" customHeight="false" outlineLevel="0" collapsed="false">
      <c r="A21" s="0" t="n">
        <v>16</v>
      </c>
      <c r="B21" s="10" t="n">
        <f aca="false">A21/12</f>
        <v>1.33333333333333</v>
      </c>
      <c r="C21" s="11" t="n">
        <f aca="false">Parametros!$B$5/(1+Parametros!$B$6*B21)</f>
        <v>465.51724137931</v>
      </c>
      <c r="D21" s="9" t="n">
        <f aca="false">C21*30.4</f>
        <v>14151.724137931</v>
      </c>
      <c r="E21" s="9" t="n">
        <f aca="false">D21*Parametros!$B$7*(1-Parametros!$B$8)</f>
        <v>809478.620689655</v>
      </c>
      <c r="F21" s="9" t="n">
        <f aca="false">D21*Parametros!$B$9+Parametros!$B$10</f>
        <v>121213.793103448</v>
      </c>
      <c r="G21" s="9" t="n">
        <f aca="false">Parametros!$B$11/Parametros!$B$14</f>
        <v>75000</v>
      </c>
      <c r="H21" s="9" t="n">
        <f aca="false">MAX(0,E21-F21-G21)*Parametros!$B$13</f>
        <v>0</v>
      </c>
      <c r="I21" s="9" t="n">
        <f aca="false">E21-F21-H21</f>
        <v>688264.827586207</v>
      </c>
      <c r="J21" s="9" t="n">
        <f aca="false">I21/(1+Parametros!$B$12)^B21</f>
        <v>606129.371705494</v>
      </c>
      <c r="K21" s="9" t="n">
        <f aca="false">K20+I21</f>
        <v>5764755.03255672</v>
      </c>
    </row>
    <row r="22" customFormat="false" ht="15" hidden="false" customHeight="false" outlineLevel="0" collapsed="false">
      <c r="A22" s="0" t="n">
        <v>17</v>
      </c>
      <c r="B22" s="10" t="n">
        <f aca="false">A22/12</f>
        <v>1.41666666666667</v>
      </c>
      <c r="C22" s="11" t="n">
        <f aca="false">Parametros!$B$5/(1+Parametros!$B$6*B22)</f>
        <v>451.882845188285</v>
      </c>
      <c r="D22" s="9" t="n">
        <f aca="false">C22*30.4</f>
        <v>13737.2384937239</v>
      </c>
      <c r="E22" s="9" t="n">
        <f aca="false">D22*Parametros!$B$7*(1-Parametros!$B$8)</f>
        <v>785770.041841004</v>
      </c>
      <c r="F22" s="9" t="n">
        <f aca="false">D22*Parametros!$B$9+Parametros!$B$10</f>
        <v>117897.907949791</v>
      </c>
      <c r="G22" s="9" t="n">
        <f aca="false">Parametros!$B$11/Parametros!$B$14</f>
        <v>75000</v>
      </c>
      <c r="H22" s="9" t="n">
        <f aca="false">MAX(0,E22-F22-G22)*Parametros!$B$13</f>
        <v>0</v>
      </c>
      <c r="I22" s="9" t="n">
        <f aca="false">E22-F22-H22</f>
        <v>667872.133891213</v>
      </c>
      <c r="J22" s="9" t="n">
        <f aca="false">I22/(1+Parametros!$B$12)^B22</f>
        <v>583517.232429858</v>
      </c>
      <c r="K22" s="9" t="n">
        <f aca="false">K21+I22</f>
        <v>6432627.16644794</v>
      </c>
    </row>
    <row r="23" customFormat="false" ht="15" hidden="false" customHeight="false" outlineLevel="0" collapsed="false">
      <c r="A23" s="0" t="n">
        <v>18</v>
      </c>
      <c r="B23" s="10" t="n">
        <f aca="false">A23/12</f>
        <v>1.5</v>
      </c>
      <c r="C23" s="11" t="n">
        <f aca="false">Parametros!$B$5/(1+Parametros!$B$6*B23)</f>
        <v>439.024390243903</v>
      </c>
      <c r="D23" s="9" t="n">
        <f aca="false">C23*30.4</f>
        <v>13346.3414634146</v>
      </c>
      <c r="E23" s="9" t="n">
        <f aca="false">D23*Parametros!$B$7*(1-Parametros!$B$8)</f>
        <v>763410.731707317</v>
      </c>
      <c r="F23" s="9" t="n">
        <f aca="false">D23*Parametros!$B$9+Parametros!$B$10</f>
        <v>114770.731707317</v>
      </c>
      <c r="G23" s="9" t="n">
        <f aca="false">Parametros!$B$11/Parametros!$B$14</f>
        <v>75000</v>
      </c>
      <c r="H23" s="9" t="n">
        <f aca="false">MAX(0,E23-F23-G23)*Parametros!$B$13</f>
        <v>0</v>
      </c>
      <c r="I23" s="9" t="n">
        <f aca="false">E23-F23-H23</f>
        <v>648640</v>
      </c>
      <c r="J23" s="9" t="n">
        <f aca="false">I23/(1+Parametros!$B$12)^B23</f>
        <v>562230.885352964</v>
      </c>
      <c r="K23" s="9" t="n">
        <f aca="false">K22+I23</f>
        <v>7081267.16644794</v>
      </c>
    </row>
    <row r="24" customFormat="false" ht="15" hidden="false" customHeight="false" outlineLevel="0" collapsed="false">
      <c r="A24" s="0" t="n">
        <v>19</v>
      </c>
      <c r="B24" s="10" t="n">
        <f aca="false">A24/12</f>
        <v>1.58333333333333</v>
      </c>
      <c r="C24" s="11" t="n">
        <f aca="false">Parametros!$B$5/(1+Parametros!$B$6*B24)</f>
        <v>426.877470355731</v>
      </c>
      <c r="D24" s="9" t="n">
        <f aca="false">C24*30.4</f>
        <v>12977.0750988142</v>
      </c>
      <c r="E24" s="9" t="n">
        <f aca="false">D24*Parametros!$B$7*(1-Parametros!$B$8)</f>
        <v>742288.695652174</v>
      </c>
      <c r="F24" s="9" t="n">
        <f aca="false">D24*Parametros!$B$9+Parametros!$B$10</f>
        <v>111816.600790514</v>
      </c>
      <c r="G24" s="9" t="n">
        <f aca="false">Parametros!$B$11/Parametros!$B$14</f>
        <v>75000</v>
      </c>
      <c r="H24" s="9" t="n">
        <f aca="false">MAX(0,E24-F24-G24)*Parametros!$B$13</f>
        <v>0</v>
      </c>
      <c r="I24" s="9" t="n">
        <f aca="false">E24-F24-H24</f>
        <v>630472.09486166</v>
      </c>
      <c r="J24" s="9" t="n">
        <f aca="false">I24/(1+Parametros!$B$12)^B24</f>
        <v>542159.972980424</v>
      </c>
      <c r="K24" s="9" t="n">
        <f aca="false">K23+I24</f>
        <v>7711739.2613096</v>
      </c>
    </row>
    <row r="25" customFormat="false" ht="15" hidden="false" customHeight="false" outlineLevel="0" collapsed="false">
      <c r="A25" s="0" t="n">
        <v>20</v>
      </c>
      <c r="B25" s="10" t="n">
        <f aca="false">A25/12</f>
        <v>1.66666666666667</v>
      </c>
      <c r="C25" s="11" t="n">
        <f aca="false">Parametros!$B$5/(1+Parametros!$B$6*B25)</f>
        <v>415.384615384615</v>
      </c>
      <c r="D25" s="9" t="n">
        <f aca="false">C25*30.4</f>
        <v>12627.6923076923</v>
      </c>
      <c r="E25" s="9" t="n">
        <f aca="false">D25*Parametros!$B$7*(1-Parametros!$B$8)</f>
        <v>722304</v>
      </c>
      <c r="F25" s="9" t="n">
        <f aca="false">D25*Parametros!$B$9+Parametros!$B$10</f>
        <v>109021.538461538</v>
      </c>
      <c r="G25" s="9" t="n">
        <f aca="false">Parametros!$B$11/Parametros!$B$14</f>
        <v>75000</v>
      </c>
      <c r="H25" s="9" t="n">
        <f aca="false">MAX(0,E25-F25-G25)*Parametros!$B$13</f>
        <v>0</v>
      </c>
      <c r="I25" s="9" t="n">
        <f aca="false">E25-F25-H25</f>
        <v>613282.461538461</v>
      </c>
      <c r="J25" s="9" t="n">
        <f aca="false">I25/(1+Parametros!$B$12)^B25</f>
        <v>523206.024962221</v>
      </c>
      <c r="K25" s="9" t="n">
        <f aca="false">K24+I25</f>
        <v>8325021.72284806</v>
      </c>
    </row>
    <row r="26" customFormat="false" ht="15" hidden="false" customHeight="false" outlineLevel="0" collapsed="false">
      <c r="A26" s="0" t="n">
        <v>21</v>
      </c>
      <c r="B26" s="10" t="n">
        <f aca="false">A26/12</f>
        <v>1.75</v>
      </c>
      <c r="C26" s="11" t="n">
        <f aca="false">Parametros!$B$5/(1+Parametros!$B$6*B26)</f>
        <v>404.494382022472</v>
      </c>
      <c r="D26" s="9" t="n">
        <f aca="false">C26*30.4</f>
        <v>12296.6292134831</v>
      </c>
      <c r="E26" s="9" t="n">
        <f aca="false">D26*Parametros!$B$7*(1-Parametros!$B$8)</f>
        <v>703367.191011236</v>
      </c>
      <c r="F26" s="9" t="n">
        <f aca="false">D26*Parametros!$B$9+Parametros!$B$10</f>
        <v>106373.033707865</v>
      </c>
      <c r="G26" s="9" t="n">
        <f aca="false">Parametros!$B$11/Parametros!$B$14</f>
        <v>75000</v>
      </c>
      <c r="H26" s="9" t="n">
        <f aca="false">MAX(0,E26-F26-G26)*Parametros!$B$13</f>
        <v>0</v>
      </c>
      <c r="I26" s="9" t="n">
        <f aca="false">E26-F26-H26</f>
        <v>596994.157303371</v>
      </c>
      <c r="J26" s="9" t="n">
        <f aca="false">I26/(1+Parametros!$B$12)^B26</f>
        <v>505280.899832905</v>
      </c>
      <c r="K26" s="9" t="n">
        <f aca="false">K25+I26</f>
        <v>8922015.88015143</v>
      </c>
    </row>
    <row r="27" customFormat="false" ht="15" hidden="false" customHeight="false" outlineLevel="0" collapsed="false">
      <c r="A27" s="0" t="n">
        <v>22</v>
      </c>
      <c r="B27" s="10" t="n">
        <f aca="false">A27/12</f>
        <v>1.83333333333333</v>
      </c>
      <c r="C27" s="11" t="n">
        <f aca="false">Parametros!$B$5/(1+Parametros!$B$6*B27)</f>
        <v>394.160583941606</v>
      </c>
      <c r="D27" s="9" t="n">
        <f aca="false">C27*30.4</f>
        <v>11982.4817518248</v>
      </c>
      <c r="E27" s="9" t="n">
        <f aca="false">D27*Parametros!$B$7*(1-Parametros!$B$8)</f>
        <v>685397.95620438</v>
      </c>
      <c r="F27" s="9" t="n">
        <f aca="false">D27*Parametros!$B$9+Parametros!$B$10</f>
        <v>103859.854014599</v>
      </c>
      <c r="G27" s="9" t="n">
        <f aca="false">Parametros!$B$11/Parametros!$B$14</f>
        <v>75000</v>
      </c>
      <c r="H27" s="9" t="n">
        <f aca="false">MAX(0,E27-F27-G27)*Parametros!$B$13</f>
        <v>0</v>
      </c>
      <c r="I27" s="9" t="n">
        <f aca="false">E27-F27-H27</f>
        <v>581538.102189781</v>
      </c>
      <c r="J27" s="9" t="n">
        <f aca="false">I27/(1+Parametros!$B$12)^B27</f>
        <v>488305.465609281</v>
      </c>
      <c r="K27" s="9" t="n">
        <f aca="false">K26+I27</f>
        <v>9503553.98234121</v>
      </c>
    </row>
    <row r="28" customFormat="false" ht="15" hidden="false" customHeight="false" outlineLevel="0" collapsed="false">
      <c r="A28" s="0" t="n">
        <v>23</v>
      </c>
      <c r="B28" s="10" t="n">
        <f aca="false">A28/12</f>
        <v>1.91666666666667</v>
      </c>
      <c r="C28" s="11" t="n">
        <f aca="false">Parametros!$B$5/(1+Parametros!$B$6*B28)</f>
        <v>384.341637010676</v>
      </c>
      <c r="D28" s="9" t="n">
        <f aca="false">C28*30.4</f>
        <v>11683.9857651246</v>
      </c>
      <c r="E28" s="9" t="n">
        <f aca="false">D28*Parametros!$B$7*(1-Parametros!$B$8)</f>
        <v>668323.985765125</v>
      </c>
      <c r="F28" s="9" t="n">
        <f aca="false">D28*Parametros!$B$9+Parametros!$B$10</f>
        <v>101471.886120996</v>
      </c>
      <c r="G28" s="9" t="n">
        <f aca="false">Parametros!$B$11/Parametros!$B$14</f>
        <v>75000</v>
      </c>
      <c r="H28" s="9" t="n">
        <f aca="false">MAX(0,E28-F28-G28)*Parametros!$B$13</f>
        <v>0</v>
      </c>
      <c r="I28" s="9" t="n">
        <f aca="false">E28-F28-H28</f>
        <v>566852.099644128</v>
      </c>
      <c r="J28" s="9" t="n">
        <f aca="false">I28/(1+Parametros!$B$12)^B28</f>
        <v>472208.477594305</v>
      </c>
      <c r="K28" s="9" t="n">
        <f aca="false">K27+I28</f>
        <v>10070406.0819853</v>
      </c>
    </row>
    <row r="29" customFormat="false" ht="15" hidden="false" customHeight="false" outlineLevel="0" collapsed="false">
      <c r="A29" s="0" t="n">
        <v>24</v>
      </c>
      <c r="B29" s="10" t="n">
        <f aca="false">A29/12</f>
        <v>2</v>
      </c>
      <c r="C29" s="11" t="n">
        <f aca="false">Parametros!$B$5/(1+Parametros!$B$6*B29)</f>
        <v>375</v>
      </c>
      <c r="D29" s="9" t="n">
        <f aca="false">C29*30.4</f>
        <v>11400</v>
      </c>
      <c r="E29" s="9" t="n">
        <f aca="false">D29*Parametros!$B$7*(1-Parametros!$B$8)</f>
        <v>652080</v>
      </c>
      <c r="F29" s="9" t="n">
        <f aca="false">D29*Parametros!$B$9+Parametros!$B$10</f>
        <v>99200</v>
      </c>
      <c r="G29" s="9" t="n">
        <f aca="false">Parametros!$B$11/Parametros!$B$14</f>
        <v>75000</v>
      </c>
      <c r="H29" s="9" t="n">
        <f aca="false">MAX(0,E29-F29-G29)*Parametros!$B$13</f>
        <v>0</v>
      </c>
      <c r="I29" s="9" t="n">
        <f aca="false">E29-F29-H29</f>
        <v>552880</v>
      </c>
      <c r="J29" s="9" t="n">
        <f aca="false">I29/(1+Parametros!$B$12)^B29</f>
        <v>456925.619834711</v>
      </c>
      <c r="K29" s="9" t="n">
        <f aca="false">K28+I29</f>
        <v>10623286.0819853</v>
      </c>
    </row>
    <row r="30" customFormat="false" ht="15" hidden="false" customHeight="false" outlineLevel="0" collapsed="false">
      <c r="A30" s="0" t="n">
        <v>25</v>
      </c>
      <c r="B30" s="10" t="n">
        <f aca="false">A30/12</f>
        <v>2.08333333333333</v>
      </c>
      <c r="C30" s="11" t="n">
        <f aca="false">Parametros!$B$5/(1+Parametros!$B$6*B30)</f>
        <v>366.101694915254</v>
      </c>
      <c r="D30" s="9" t="n">
        <f aca="false">C30*30.4</f>
        <v>11129.4915254237</v>
      </c>
      <c r="E30" s="9" t="n">
        <f aca="false">D30*Parametros!$B$7*(1-Parametros!$B$8)</f>
        <v>636606.915254237</v>
      </c>
      <c r="F30" s="9" t="n">
        <f aca="false">D30*Parametros!$B$9+Parametros!$B$10</f>
        <v>97035.9322033898</v>
      </c>
      <c r="G30" s="9" t="n">
        <f aca="false">Parametros!$B$11/Parametros!$B$14</f>
        <v>75000</v>
      </c>
      <c r="H30" s="9" t="n">
        <f aca="false">MAX(0,E30-F30-G30)*Parametros!$B$13</f>
        <v>0</v>
      </c>
      <c r="I30" s="9" t="n">
        <f aca="false">E30-F30-H30</f>
        <v>539570.983050848</v>
      </c>
      <c r="J30" s="9" t="n">
        <f aca="false">I30/(1+Parametros!$B$12)^B30</f>
        <v>442398.683049231</v>
      </c>
      <c r="K30" s="9" t="n">
        <f aca="false">K29+I30</f>
        <v>11162857.0650362</v>
      </c>
    </row>
    <row r="31" customFormat="false" ht="15" hidden="false" customHeight="false" outlineLevel="0" collapsed="false">
      <c r="A31" s="0" t="n">
        <v>26</v>
      </c>
      <c r="B31" s="10" t="n">
        <f aca="false">A31/12</f>
        <v>2.16666666666667</v>
      </c>
      <c r="C31" s="11" t="n">
        <f aca="false">Parametros!$B$5/(1+Parametros!$B$6*B31)</f>
        <v>357.615894039735</v>
      </c>
      <c r="D31" s="9" t="n">
        <f aca="false">C31*30.4</f>
        <v>10871.5231788079</v>
      </c>
      <c r="E31" s="9" t="n">
        <f aca="false">D31*Parametros!$B$7*(1-Parametros!$B$8)</f>
        <v>621851.125827815</v>
      </c>
      <c r="F31" s="9" t="n">
        <f aca="false">D31*Parametros!$B$9+Parametros!$B$10</f>
        <v>94972.1854304636</v>
      </c>
      <c r="G31" s="9" t="n">
        <f aca="false">Parametros!$B$11/Parametros!$B$14</f>
        <v>75000</v>
      </c>
      <c r="H31" s="9" t="n">
        <f aca="false">MAX(0,E31-F31-G31)*Parametros!$B$13</f>
        <v>0</v>
      </c>
      <c r="I31" s="9" t="n">
        <f aca="false">E31-F31-H31</f>
        <v>526878.940397351</v>
      </c>
      <c r="J31" s="9" t="n">
        <f aca="false">I31/(1+Parametros!$B$12)^B31</f>
        <v>428574.856884819</v>
      </c>
      <c r="K31" s="9" t="n">
        <f aca="false">K30+I31</f>
        <v>11689736.0054335</v>
      </c>
    </row>
    <row r="32" customFormat="false" ht="15" hidden="false" customHeight="false" outlineLevel="0" collapsed="false">
      <c r="A32" s="0" t="n">
        <v>27</v>
      </c>
      <c r="B32" s="10" t="n">
        <f aca="false">A32/12</f>
        <v>2.25</v>
      </c>
      <c r="C32" s="11" t="n">
        <f aca="false">Parametros!$B$5/(1+Parametros!$B$6*B32)</f>
        <v>349.514563106796</v>
      </c>
      <c r="D32" s="9" t="n">
        <f aca="false">C32*30.4</f>
        <v>10625.2427184466</v>
      </c>
      <c r="E32" s="9" t="n">
        <f aca="false">D32*Parametros!$B$7*(1-Parametros!$B$8)</f>
        <v>607763.883495146</v>
      </c>
      <c r="F32" s="9" t="n">
        <f aca="false">D32*Parametros!$B$9+Parametros!$B$10</f>
        <v>93001.9417475728</v>
      </c>
      <c r="G32" s="9" t="n">
        <f aca="false">Parametros!$B$11/Parametros!$B$14</f>
        <v>75000</v>
      </c>
      <c r="H32" s="9" t="n">
        <f aca="false">MAX(0,E32-F32-G32)*Parametros!$B$13</f>
        <v>0</v>
      </c>
      <c r="I32" s="9" t="n">
        <f aca="false">E32-F32-H32</f>
        <v>514761.941747573</v>
      </c>
      <c r="J32" s="9" t="n">
        <f aca="false">I32/(1+Parametros!$B$12)^B32</f>
        <v>415406.118371187</v>
      </c>
      <c r="K32" s="9" t="n">
        <f aca="false">K31+I32</f>
        <v>12204497.9471811</v>
      </c>
    </row>
    <row r="33" customFormat="false" ht="15" hidden="false" customHeight="false" outlineLevel="0" collapsed="false">
      <c r="A33" s="0" t="n">
        <v>28</v>
      </c>
      <c r="B33" s="10" t="n">
        <f aca="false">A33/12</f>
        <v>2.33333333333333</v>
      </c>
      <c r="C33" s="11" t="n">
        <f aca="false">Parametros!$B$5/(1+Parametros!$B$6*B33)</f>
        <v>341.772151898734</v>
      </c>
      <c r="D33" s="9" t="n">
        <f aca="false">C33*30.4</f>
        <v>10389.8734177215</v>
      </c>
      <c r="E33" s="9" t="n">
        <f aca="false">D33*Parametros!$B$7*(1-Parametros!$B$8)</f>
        <v>594300.759493671</v>
      </c>
      <c r="F33" s="9" t="n">
        <f aca="false">D33*Parametros!$B$9+Parametros!$B$10</f>
        <v>91118.9873417722</v>
      </c>
      <c r="G33" s="9" t="n">
        <f aca="false">Parametros!$B$11/Parametros!$B$14</f>
        <v>75000</v>
      </c>
      <c r="H33" s="9" t="n">
        <f aca="false">MAX(0,E33-F33-G33)*Parametros!$B$13</f>
        <v>0</v>
      </c>
      <c r="I33" s="9" t="n">
        <f aca="false">E33-F33-H33</f>
        <v>503181.772151899</v>
      </c>
      <c r="J33" s="9" t="n">
        <f aca="false">I33/(1+Parametros!$B$12)^B33</f>
        <v>402848.701656837</v>
      </c>
      <c r="K33" s="9" t="n">
        <f aca="false">K32+I33</f>
        <v>12707679.719333</v>
      </c>
    </row>
    <row r="34" customFormat="false" ht="15" hidden="false" customHeight="false" outlineLevel="0" collapsed="false">
      <c r="A34" s="0" t="n">
        <v>29</v>
      </c>
      <c r="B34" s="10" t="n">
        <f aca="false">A34/12</f>
        <v>2.41666666666667</v>
      </c>
      <c r="C34" s="11" t="n">
        <f aca="false">Parametros!$B$5/(1+Parametros!$B$6*B34)</f>
        <v>334.365325077399</v>
      </c>
      <c r="D34" s="9" t="n">
        <f aca="false">C34*30.4</f>
        <v>10164.7058823529</v>
      </c>
      <c r="E34" s="9" t="n">
        <f aca="false">D34*Parametros!$B$7*(1-Parametros!$B$8)</f>
        <v>581421.176470588</v>
      </c>
      <c r="F34" s="9" t="n">
        <f aca="false">D34*Parametros!$B$9+Parametros!$B$10</f>
        <v>89317.6470588235</v>
      </c>
      <c r="G34" s="9" t="n">
        <f aca="false">Parametros!$B$11/Parametros!$B$14</f>
        <v>75000</v>
      </c>
      <c r="H34" s="9" t="n">
        <f aca="false">MAX(0,E34-F34-G34)*Parametros!$B$13</f>
        <v>0</v>
      </c>
      <c r="I34" s="9" t="n">
        <f aca="false">E34-F34-H34</f>
        <v>492103.529411765</v>
      </c>
      <c r="J34" s="9" t="n">
        <f aca="false">I34/(1+Parametros!$B$12)^B34</f>
        <v>390862.636695951</v>
      </c>
      <c r="K34" s="9" t="n">
        <f aca="false">K33+I34</f>
        <v>13199783.2487448</v>
      </c>
    </row>
    <row r="35" customFormat="false" ht="15" hidden="false" customHeight="false" outlineLevel="0" collapsed="false">
      <c r="A35" s="0" t="n">
        <v>30</v>
      </c>
      <c r="B35" s="10" t="n">
        <f aca="false">A35/12</f>
        <v>2.5</v>
      </c>
      <c r="C35" s="11" t="n">
        <f aca="false">Parametros!$B$5/(1+Parametros!$B$6*B35)</f>
        <v>327.272727272727</v>
      </c>
      <c r="D35" s="9" t="n">
        <f aca="false">C35*30.4</f>
        <v>9949.09090909091</v>
      </c>
      <c r="E35" s="9" t="n">
        <f aca="false">D35*Parametros!$B$7*(1-Parametros!$B$8)</f>
        <v>569088</v>
      </c>
      <c r="F35" s="9" t="n">
        <f aca="false">D35*Parametros!$B$9+Parametros!$B$10</f>
        <v>87592.7272727273</v>
      </c>
      <c r="G35" s="9" t="n">
        <f aca="false">Parametros!$B$11/Parametros!$B$14</f>
        <v>75000</v>
      </c>
      <c r="H35" s="9" t="n">
        <f aca="false">MAX(0,E35-F35-G35)*Parametros!$B$13</f>
        <v>0</v>
      </c>
      <c r="I35" s="9" t="n">
        <f aca="false">E35-F35-H35</f>
        <v>481495.272727273</v>
      </c>
      <c r="J35" s="9" t="n">
        <f aca="false">I35/(1+Parametros!$B$12)^B35</f>
        <v>379411.346647982</v>
      </c>
      <c r="K35" s="9" t="n">
        <f aca="false">K34+I35</f>
        <v>13681278.521472</v>
      </c>
    </row>
    <row r="36" customFormat="false" ht="15" hidden="false" customHeight="false" outlineLevel="0" collapsed="false">
      <c r="A36" s="0" t="n">
        <v>31</v>
      </c>
      <c r="B36" s="10" t="n">
        <f aca="false">A36/12</f>
        <v>2.58333333333333</v>
      </c>
      <c r="C36" s="11" t="n">
        <f aca="false">Parametros!$B$5/(1+Parametros!$B$6*B36)</f>
        <v>320.474777448071</v>
      </c>
      <c r="D36" s="9" t="n">
        <f aca="false">C36*30.4</f>
        <v>9742.43323442136</v>
      </c>
      <c r="E36" s="9" t="n">
        <f aca="false">D36*Parametros!$B$7*(1-Parametros!$B$8)</f>
        <v>557267.181008902</v>
      </c>
      <c r="F36" s="9" t="n">
        <f aca="false">D36*Parametros!$B$9+Parametros!$B$10</f>
        <v>85939.4658753709</v>
      </c>
      <c r="G36" s="9" t="n">
        <f aca="false">Parametros!$B$11/Parametros!$B$14</f>
        <v>75000</v>
      </c>
      <c r="H36" s="9" t="n">
        <f aca="false">MAX(0,E36-F36-G36)*Parametros!$B$13</f>
        <v>0</v>
      </c>
      <c r="I36" s="9" t="n">
        <f aca="false">E36-F36-H36</f>
        <v>471327.715133531</v>
      </c>
      <c r="J36" s="9" t="n">
        <f aca="false">I36/(1+Parametros!$B$12)^B36</f>
        <v>368461.295453082</v>
      </c>
      <c r="K36" s="9" t="n">
        <f aca="false">K35+I36</f>
        <v>14152606.2366056</v>
      </c>
    </row>
    <row r="37" customFormat="false" ht="15" hidden="false" customHeight="false" outlineLevel="0" collapsed="false">
      <c r="A37" s="0" t="n">
        <v>32</v>
      </c>
      <c r="B37" s="10" t="n">
        <f aca="false">A37/12</f>
        <v>2.66666666666667</v>
      </c>
      <c r="C37" s="11" t="n">
        <f aca="false">Parametros!$B$5/(1+Parametros!$B$6*B37)</f>
        <v>313.953488372093</v>
      </c>
      <c r="D37" s="9" t="n">
        <f aca="false">C37*30.4</f>
        <v>9544.18604651163</v>
      </c>
      <c r="E37" s="9" t="n">
        <f aca="false">D37*Parametros!$B$7*(1-Parametros!$B$8)</f>
        <v>545927.441860465</v>
      </c>
      <c r="F37" s="9" t="n">
        <f aca="false">D37*Parametros!$B$9+Parametros!$B$10</f>
        <v>84353.488372093</v>
      </c>
      <c r="G37" s="9" t="n">
        <f aca="false">Parametros!$B$11/Parametros!$B$14</f>
        <v>75000</v>
      </c>
      <c r="H37" s="9" t="n">
        <f aca="false">MAX(0,E37-F37-G37)*Parametros!$B$13</f>
        <v>0</v>
      </c>
      <c r="I37" s="9" t="n">
        <f aca="false">E37-F37-H37</f>
        <v>461573.953488372</v>
      </c>
      <c r="J37" s="9" t="n">
        <f aca="false">I37/(1+Parametros!$B$12)^B37</f>
        <v>357981.678436235</v>
      </c>
      <c r="K37" s="9" t="n">
        <f aca="false">K36+I37</f>
        <v>14614180.190094</v>
      </c>
    </row>
    <row r="38" customFormat="false" ht="15" hidden="false" customHeight="false" outlineLevel="0" collapsed="false">
      <c r="A38" s="0" t="n">
        <v>33</v>
      </c>
      <c r="B38" s="10" t="n">
        <f aca="false">A38/12</f>
        <v>2.75</v>
      </c>
      <c r="C38" s="11" t="n">
        <f aca="false">Parametros!$B$5/(1+Parametros!$B$6*B38)</f>
        <v>307.692307692308</v>
      </c>
      <c r="D38" s="9" t="n">
        <f aca="false">C38*30.4</f>
        <v>9353.84615384615</v>
      </c>
      <c r="E38" s="9" t="n">
        <f aca="false">D38*Parametros!$B$7*(1-Parametros!$B$8)</f>
        <v>535040</v>
      </c>
      <c r="F38" s="9" t="n">
        <f aca="false">D38*Parametros!$B$9+Parametros!$B$10</f>
        <v>82830.7692307692</v>
      </c>
      <c r="G38" s="9" t="n">
        <f aca="false">Parametros!$B$11/Parametros!$B$14</f>
        <v>75000</v>
      </c>
      <c r="H38" s="9" t="n">
        <f aca="false">MAX(0,E38-F38-G38)*Parametros!$B$13</f>
        <v>0</v>
      </c>
      <c r="I38" s="9" t="n">
        <f aca="false">E38-F38-H38</f>
        <v>452209.230769231</v>
      </c>
      <c r="J38" s="9" t="n">
        <f aca="false">I38/(1+Parametros!$B$12)^B38</f>
        <v>347944.14993322</v>
      </c>
      <c r="K38" s="9" t="n">
        <f aca="false">K37+I38</f>
        <v>15066389.4208632</v>
      </c>
    </row>
    <row r="39" customFormat="false" ht="15" hidden="false" customHeight="false" outlineLevel="0" collapsed="false">
      <c r="A39" s="0" t="n">
        <v>34</v>
      </c>
      <c r="B39" s="10" t="n">
        <f aca="false">A39/12</f>
        <v>2.83333333333333</v>
      </c>
      <c r="C39" s="11" t="n">
        <f aca="false">Parametros!$B$5/(1+Parametros!$B$6*B39)</f>
        <v>301.675977653631</v>
      </c>
      <c r="D39" s="9" t="n">
        <f aca="false">C39*30.4</f>
        <v>9170.94972067039</v>
      </c>
      <c r="E39" s="9" t="n">
        <f aca="false">D39*Parametros!$B$7*(1-Parametros!$B$8)</f>
        <v>524578.324022346</v>
      </c>
      <c r="F39" s="9" t="n">
        <f aca="false">D39*Parametros!$B$9+Parametros!$B$10</f>
        <v>81367.5977653631</v>
      </c>
      <c r="G39" s="9" t="n">
        <f aca="false">Parametros!$B$11/Parametros!$B$14</f>
        <v>75000</v>
      </c>
      <c r="H39" s="9" t="n">
        <f aca="false">MAX(0,E39-F39-G39)*Parametros!$B$13</f>
        <v>0</v>
      </c>
      <c r="I39" s="9" t="n">
        <f aca="false">E39-F39-H39</f>
        <v>443210.726256983</v>
      </c>
      <c r="J39" s="9" t="n">
        <f aca="false">I39/(1+Parametros!$B$12)^B39</f>
        <v>338322.582871192</v>
      </c>
      <c r="K39" s="9" t="n">
        <f aca="false">K38+I39</f>
        <v>15509600.1471202</v>
      </c>
    </row>
    <row r="40" customFormat="false" ht="15" hidden="false" customHeight="false" outlineLevel="0" collapsed="false">
      <c r="A40" s="0" t="n">
        <v>35</v>
      </c>
      <c r="B40" s="10" t="n">
        <f aca="false">A40/12</f>
        <v>2.91666666666667</v>
      </c>
      <c r="C40" s="11" t="n">
        <f aca="false">Parametros!$B$5/(1+Parametros!$B$6*B40)</f>
        <v>295.890410958904</v>
      </c>
      <c r="D40" s="9" t="n">
        <f aca="false">C40*30.4</f>
        <v>8995.06849315068</v>
      </c>
      <c r="E40" s="9" t="n">
        <f aca="false">D40*Parametros!$B$7*(1-Parametros!$B$8)</f>
        <v>514517.917808219</v>
      </c>
      <c r="F40" s="9" t="n">
        <f aca="false">D40*Parametros!$B$9+Parametros!$B$10</f>
        <v>79960.5479452055</v>
      </c>
      <c r="G40" s="9" t="n">
        <f aca="false">Parametros!$B$11/Parametros!$B$14</f>
        <v>75000</v>
      </c>
      <c r="H40" s="9" t="n">
        <f aca="false">MAX(0,E40-F40-G40)*Parametros!$B$13</f>
        <v>0</v>
      </c>
      <c r="I40" s="9" t="n">
        <f aca="false">E40-F40-H40</f>
        <v>434557.369863014</v>
      </c>
      <c r="J40" s="9" t="n">
        <f aca="false">I40/(1+Parametros!$B$12)^B40</f>
        <v>329092.856014062</v>
      </c>
      <c r="K40" s="9" t="n">
        <f aca="false">K39+I40</f>
        <v>15944157.5169832</v>
      </c>
    </row>
    <row r="41" customFormat="false" ht="15" hidden="false" customHeight="false" outlineLevel="0" collapsed="false">
      <c r="A41" s="0" t="n">
        <v>36</v>
      </c>
      <c r="B41" s="10" t="n">
        <f aca="false">A41/12</f>
        <v>3</v>
      </c>
      <c r="C41" s="11" t="n">
        <f aca="false">Parametros!$B$5/(1+Parametros!$B$6*B41)</f>
        <v>290.322580645161</v>
      </c>
      <c r="D41" s="9" t="n">
        <f aca="false">C41*30.4</f>
        <v>8825.8064516129</v>
      </c>
      <c r="E41" s="9" t="n">
        <f aca="false">D41*Parametros!$B$7*(1-Parametros!$B$8)</f>
        <v>504836.129032258</v>
      </c>
      <c r="F41" s="9" t="n">
        <f aca="false">D41*Parametros!$B$9+Parametros!$B$10</f>
        <v>78606.4516129032</v>
      </c>
      <c r="G41" s="9" t="n">
        <f aca="false">Parametros!$B$11/Parametros!$B$14</f>
        <v>75000</v>
      </c>
      <c r="H41" s="9" t="n">
        <f aca="false">MAX(0,E41-F41-G41)*Parametros!$B$13</f>
        <v>0</v>
      </c>
      <c r="I41" s="9" t="n">
        <f aca="false">E41-F41-H41</f>
        <v>426229.677419355</v>
      </c>
      <c r="J41" s="9" t="n">
        <f aca="false">I41/(1+Parametros!$B$12)^B41</f>
        <v>320232.665228666</v>
      </c>
      <c r="K41" s="9" t="n">
        <f aca="false">K40+I41</f>
        <v>16370387.1944025</v>
      </c>
    </row>
    <row r="42" customFormat="false" ht="15" hidden="false" customHeight="false" outlineLevel="0" collapsed="false">
      <c r="A42" s="0" t="n">
        <v>37</v>
      </c>
      <c r="B42" s="10" t="n">
        <f aca="false">A42/12</f>
        <v>3.08333333333333</v>
      </c>
      <c r="C42" s="11" t="n">
        <f aca="false">Parametros!$B$5/(1+Parametros!$B$6*B42)</f>
        <v>284.960422163588</v>
      </c>
      <c r="D42" s="9" t="n">
        <f aca="false">C42*30.4</f>
        <v>8662.79683377309</v>
      </c>
      <c r="E42" s="9" t="n">
        <f aca="false">D42*Parametros!$B$7*(1-Parametros!$B$8)</f>
        <v>495511.978891821</v>
      </c>
      <c r="F42" s="9" t="n">
        <f aca="false">D42*Parametros!$B$9+Parametros!$B$10</f>
        <v>77302.3746701847</v>
      </c>
      <c r="G42" s="9" t="n">
        <f aca="false">Parametros!$B$11/Parametros!$B$14</f>
        <v>75000</v>
      </c>
      <c r="H42" s="9" t="n">
        <f aca="false">MAX(0,E42-F42-G42)*Parametros!$B$13</f>
        <v>0</v>
      </c>
      <c r="I42" s="9" t="n">
        <f aca="false">E42-F42-H42</f>
        <v>418209.604221636</v>
      </c>
      <c r="J42" s="9" t="n">
        <f aca="false">I42/(1+Parametros!$B$12)^B42</f>
        <v>311721.355666136</v>
      </c>
      <c r="K42" s="9" t="n">
        <f aca="false">K41+I42</f>
        <v>16788596.7986242</v>
      </c>
    </row>
    <row r="43" customFormat="false" ht="15" hidden="false" customHeight="false" outlineLevel="0" collapsed="false">
      <c r="A43" s="0" t="n">
        <v>38</v>
      </c>
      <c r="B43" s="10" t="n">
        <f aca="false">A43/12</f>
        <v>3.16666666666667</v>
      </c>
      <c r="C43" s="11" t="n">
        <f aca="false">Parametros!$B$5/(1+Parametros!$B$6*B43)</f>
        <v>279.79274611399</v>
      </c>
      <c r="D43" s="9" t="n">
        <f aca="false">C43*30.4</f>
        <v>8505.69948186529</v>
      </c>
      <c r="E43" s="9" t="n">
        <f aca="false">D43*Parametros!$B$7*(1-Parametros!$B$8)</f>
        <v>486526.010362694</v>
      </c>
      <c r="F43" s="9" t="n">
        <f aca="false">D43*Parametros!$B$9+Parametros!$B$10</f>
        <v>76045.5958549223</v>
      </c>
      <c r="G43" s="9" t="n">
        <f aca="false">Parametros!$B$11/Parametros!$B$14</f>
        <v>75000</v>
      </c>
      <c r="H43" s="9" t="n">
        <f aca="false">MAX(0,E43-F43-G43)*Parametros!$B$13</f>
        <v>0</v>
      </c>
      <c r="I43" s="9" t="n">
        <f aca="false">E43-F43-H43</f>
        <v>410480.414507772</v>
      </c>
      <c r="J43" s="9" t="n">
        <f aca="false">I43/(1+Parametros!$B$12)^B43</f>
        <v>303539.772203419</v>
      </c>
      <c r="K43" s="9" t="n">
        <f aca="false">K42+I43</f>
        <v>17199077.2131319</v>
      </c>
    </row>
    <row r="44" customFormat="false" ht="15" hidden="false" customHeight="false" outlineLevel="0" collapsed="false">
      <c r="A44" s="0" t="n">
        <v>39</v>
      </c>
      <c r="B44" s="10" t="n">
        <f aca="false">A44/12</f>
        <v>3.25</v>
      </c>
      <c r="C44" s="11" t="n">
        <f aca="false">Parametros!$B$5/(1+Parametros!$B$6*B44)</f>
        <v>274.809160305344</v>
      </c>
      <c r="D44" s="9" t="n">
        <f aca="false">C44*30.4</f>
        <v>8354.19847328244</v>
      </c>
      <c r="E44" s="9" t="n">
        <f aca="false">D44*Parametros!$B$7*(1-Parametros!$B$8)</f>
        <v>477860.152671756</v>
      </c>
      <c r="F44" s="9" t="n">
        <f aca="false">D44*Parametros!$B$9+Parametros!$B$10</f>
        <v>74833.5877862596</v>
      </c>
      <c r="G44" s="9" t="n">
        <f aca="false">Parametros!$B$11/Parametros!$B$14</f>
        <v>75000</v>
      </c>
      <c r="H44" s="9" t="n">
        <f aca="false">MAX(0,E44-F44-G44)*Parametros!$B$13</f>
        <v>0</v>
      </c>
      <c r="I44" s="9" t="n">
        <f aca="false">E44-F44-H44</f>
        <v>403026.564885496</v>
      </c>
      <c r="J44" s="9" t="n">
        <f aca="false">I44/(1+Parametros!$B$12)^B44</f>
        <v>295670.125868248</v>
      </c>
      <c r="K44" s="9" t="n">
        <f aca="false">K43+I44</f>
        <v>17602103.7780174</v>
      </c>
    </row>
    <row r="45" customFormat="false" ht="15" hidden="false" customHeight="false" outlineLevel="0" collapsed="false">
      <c r="A45" s="0" t="n">
        <v>40</v>
      </c>
      <c r="B45" s="10" t="n">
        <f aca="false">A45/12</f>
        <v>3.33333333333333</v>
      </c>
      <c r="C45" s="11" t="n">
        <f aca="false">Parametros!$B$5/(1+Parametros!$B$6*B45)</f>
        <v>270</v>
      </c>
      <c r="D45" s="9" t="n">
        <f aca="false">C45*30.4</f>
        <v>8208</v>
      </c>
      <c r="E45" s="9" t="n">
        <f aca="false">D45*Parametros!$B$7*(1-Parametros!$B$8)</f>
        <v>469497.6</v>
      </c>
      <c r="F45" s="9" t="n">
        <f aca="false">D45*Parametros!$B$9+Parametros!$B$10</f>
        <v>73664</v>
      </c>
      <c r="G45" s="9" t="n">
        <f aca="false">Parametros!$B$11/Parametros!$B$14</f>
        <v>75000</v>
      </c>
      <c r="H45" s="9" t="n">
        <f aca="false">MAX(0,E45-F45-G45)*Parametros!$B$13</f>
        <v>0</v>
      </c>
      <c r="I45" s="9" t="n">
        <f aca="false">E45-F45-H45</f>
        <v>395833.6</v>
      </c>
      <c r="J45" s="9" t="n">
        <f aca="false">I45/(1+Parametros!$B$12)^B45</f>
        <v>288095.874289584</v>
      </c>
      <c r="K45" s="9" t="n">
        <f aca="false">K44+I45</f>
        <v>17997937.3780174</v>
      </c>
    </row>
    <row r="46" customFormat="false" ht="15" hidden="false" customHeight="false" outlineLevel="0" collapsed="false">
      <c r="A46" s="0" t="n">
        <v>41</v>
      </c>
      <c r="B46" s="10" t="n">
        <f aca="false">A46/12</f>
        <v>3.41666666666667</v>
      </c>
      <c r="C46" s="11" t="n">
        <f aca="false">Parametros!$B$5/(1+Parametros!$B$6*B46)</f>
        <v>265.356265356265</v>
      </c>
      <c r="D46" s="9" t="n">
        <f aca="false">C46*30.4</f>
        <v>8066.83046683047</v>
      </c>
      <c r="E46" s="9" t="n">
        <f aca="false">D46*Parametros!$B$7*(1-Parametros!$B$8)</f>
        <v>461422.702702703</v>
      </c>
      <c r="F46" s="9" t="n">
        <f aca="false">D46*Parametros!$B$9+Parametros!$B$10</f>
        <v>72534.6437346437</v>
      </c>
      <c r="G46" s="9" t="n">
        <f aca="false">Parametros!$B$11/Parametros!$B$14</f>
        <v>75000</v>
      </c>
      <c r="H46" s="9" t="n">
        <f aca="false">MAX(0,E46-F46-G46)*Parametros!$B$13</f>
        <v>0</v>
      </c>
      <c r="I46" s="9" t="n">
        <f aca="false">E46-F46-H46</f>
        <v>388888.058968059</v>
      </c>
      <c r="J46" s="9" t="n">
        <f aca="false">I46/(1+Parametros!$B$12)^B46</f>
        <v>280801.614484957</v>
      </c>
      <c r="K46" s="9" t="n">
        <f aca="false">K45+I46</f>
        <v>18386825.4369855</v>
      </c>
    </row>
    <row r="47" customFormat="false" ht="15" hidden="false" customHeight="false" outlineLevel="0" collapsed="false">
      <c r="A47" s="0" t="n">
        <v>42</v>
      </c>
      <c r="B47" s="10" t="n">
        <f aca="false">A47/12</f>
        <v>3.5</v>
      </c>
      <c r="C47" s="11" t="n">
        <f aca="false">Parametros!$B$5/(1+Parametros!$B$6*B47)</f>
        <v>260.869565217391</v>
      </c>
      <c r="D47" s="9" t="n">
        <f aca="false">C47*30.4</f>
        <v>7930.4347826087</v>
      </c>
      <c r="E47" s="9" t="n">
        <f aca="false">D47*Parametros!$B$7*(1-Parametros!$B$8)</f>
        <v>453620.869565217</v>
      </c>
      <c r="F47" s="9" t="n">
        <f aca="false">D47*Parametros!$B$9+Parametros!$B$10</f>
        <v>71443.4782608696</v>
      </c>
      <c r="G47" s="9" t="n">
        <f aca="false">Parametros!$B$11/Parametros!$B$14</f>
        <v>75000</v>
      </c>
      <c r="H47" s="9" t="n">
        <f aca="false">MAX(0,E47-F47-G47)*Parametros!$B$13</f>
        <v>0</v>
      </c>
      <c r="I47" s="9" t="n">
        <f aca="false">E47-F47-H47</f>
        <v>382177.391304348</v>
      </c>
      <c r="J47" s="9" t="n">
        <f aca="false">I47/(1+Parametros!$B$12)^B47</f>
        <v>273772.986524545</v>
      </c>
      <c r="K47" s="9" t="n">
        <f aca="false">K46+I47</f>
        <v>18769002.8282898</v>
      </c>
    </row>
    <row r="48" customFormat="false" ht="15" hidden="false" customHeight="false" outlineLevel="0" collapsed="false">
      <c r="A48" s="0" t="n">
        <v>43</v>
      </c>
      <c r="B48" s="10" t="n">
        <f aca="false">A48/12</f>
        <v>3.58333333333333</v>
      </c>
      <c r="C48" s="11" t="n">
        <f aca="false">Parametros!$B$5/(1+Parametros!$B$6*B48)</f>
        <v>256.532066508314</v>
      </c>
      <c r="D48" s="9" t="n">
        <f aca="false">C48*30.4</f>
        <v>7798.57482185273</v>
      </c>
      <c r="E48" s="9" t="n">
        <f aca="false">D48*Parametros!$B$7*(1-Parametros!$B$8)</f>
        <v>446078.479809976</v>
      </c>
      <c r="F48" s="9" t="n">
        <f aca="false">D48*Parametros!$B$9+Parametros!$B$10</f>
        <v>70388.5985748219</v>
      </c>
      <c r="G48" s="9" t="n">
        <f aca="false">Parametros!$B$11/Parametros!$B$14</f>
        <v>75000</v>
      </c>
      <c r="H48" s="9" t="n">
        <f aca="false">MAX(0,E48-F48-G48)*Parametros!$B$13</f>
        <v>0</v>
      </c>
      <c r="I48" s="9" t="n">
        <f aca="false">E48-F48-H48</f>
        <v>375689.881235154</v>
      </c>
      <c r="J48" s="9" t="n">
        <f aca="false">I48/(1+Parametros!$B$12)^B48</f>
        <v>266996.586806046</v>
      </c>
      <c r="K48" s="9" t="n">
        <f aca="false">K47+I48</f>
        <v>19144692.709525</v>
      </c>
    </row>
    <row r="49" customFormat="false" ht="15" hidden="false" customHeight="false" outlineLevel="0" collapsed="false">
      <c r="A49" s="0" t="n">
        <v>44</v>
      </c>
      <c r="B49" s="10" t="n">
        <f aca="false">A49/12</f>
        <v>3.66666666666667</v>
      </c>
      <c r="C49" s="11" t="n">
        <f aca="false">Parametros!$B$5/(1+Parametros!$B$6*B49)</f>
        <v>252.336448598131</v>
      </c>
      <c r="D49" s="9" t="n">
        <f aca="false">C49*30.4</f>
        <v>7671.02803738318</v>
      </c>
      <c r="E49" s="9" t="n">
        <f aca="false">D49*Parametros!$B$7*(1-Parametros!$B$8)</f>
        <v>438782.803738318</v>
      </c>
      <c r="F49" s="9" t="n">
        <f aca="false">D49*Parametros!$B$9+Parametros!$B$10</f>
        <v>69368.2242990654</v>
      </c>
      <c r="G49" s="9" t="n">
        <f aca="false">Parametros!$B$11/Parametros!$B$14</f>
        <v>75000</v>
      </c>
      <c r="H49" s="9" t="n">
        <f aca="false">MAX(0,E49-F49-G49)*Parametros!$B$13</f>
        <v>0</v>
      </c>
      <c r="I49" s="9" t="n">
        <f aca="false">E49-F49-H49</f>
        <v>369414.579439252</v>
      </c>
      <c r="J49" s="9" t="n">
        <f aca="false">I49/(1+Parametros!$B$12)^B49</f>
        <v>260459.88984005</v>
      </c>
      <c r="K49" s="9" t="n">
        <f aca="false">K48+I49</f>
        <v>19514107.2889643</v>
      </c>
    </row>
    <row r="50" customFormat="false" ht="15" hidden="false" customHeight="false" outlineLevel="0" collapsed="false">
      <c r="A50" s="0" t="n">
        <v>45</v>
      </c>
      <c r="B50" s="10" t="n">
        <f aca="false">A50/12</f>
        <v>3.75</v>
      </c>
      <c r="C50" s="11" t="n">
        <f aca="false">Parametros!$B$5/(1+Parametros!$B$6*B50)</f>
        <v>248.275862068966</v>
      </c>
      <c r="D50" s="9" t="n">
        <f aca="false">C50*30.4</f>
        <v>7547.58620689655</v>
      </c>
      <c r="E50" s="9" t="n">
        <f aca="false">D50*Parametros!$B$7*(1-Parametros!$B$8)</f>
        <v>431721.931034483</v>
      </c>
      <c r="F50" s="9" t="n">
        <f aca="false">D50*Parametros!$B$9+Parametros!$B$10</f>
        <v>68380.6896551724</v>
      </c>
      <c r="G50" s="9" t="n">
        <f aca="false">Parametros!$B$11/Parametros!$B$14</f>
        <v>75000</v>
      </c>
      <c r="H50" s="9" t="n">
        <f aca="false">MAX(0,E50-F50-G50)*Parametros!$B$13</f>
        <v>0</v>
      </c>
      <c r="I50" s="9" t="n">
        <f aca="false">E50-F50-H50</f>
        <v>363341.24137931</v>
      </c>
      <c r="J50" s="9" t="n">
        <f aca="false">I50/(1+Parametros!$B$12)^B50</f>
        <v>254151.177587246</v>
      </c>
      <c r="K50" s="9" t="n">
        <f aca="false">K49+I50</f>
        <v>19877448.5303436</v>
      </c>
    </row>
    <row r="51" customFormat="false" ht="15" hidden="false" customHeight="false" outlineLevel="0" collapsed="false">
      <c r="A51" s="0" t="n">
        <v>46</v>
      </c>
      <c r="B51" s="10" t="n">
        <f aca="false">A51/12</f>
        <v>3.83333333333333</v>
      </c>
      <c r="C51" s="11" t="n">
        <f aca="false">Parametros!$B$5/(1+Parametros!$B$6*B51)</f>
        <v>244.343891402715</v>
      </c>
      <c r="D51" s="9" t="n">
        <f aca="false">C51*30.4</f>
        <v>7428.05429864253</v>
      </c>
      <c r="E51" s="9" t="n">
        <f aca="false">D51*Parametros!$B$7*(1-Parametros!$B$8)</f>
        <v>424884.705882353</v>
      </c>
      <c r="F51" s="9" t="n">
        <f aca="false">D51*Parametros!$B$9+Parametros!$B$10</f>
        <v>67424.4343891403</v>
      </c>
      <c r="G51" s="9" t="n">
        <f aca="false">Parametros!$B$11/Parametros!$B$14</f>
        <v>75000</v>
      </c>
      <c r="H51" s="9" t="n">
        <f aca="false">MAX(0,E51-F51-G51)*Parametros!$B$13</f>
        <v>0</v>
      </c>
      <c r="I51" s="9" t="n">
        <f aca="false">E51-F51-H51</f>
        <v>357460.271493213</v>
      </c>
      <c r="J51" s="9" t="n">
        <f aca="false">I51/(1+Parametros!$B$12)^B51</f>
        <v>248059.47551028</v>
      </c>
      <c r="K51" s="9" t="n">
        <f aca="false">K50+I51</f>
        <v>20234908.8018368</v>
      </c>
    </row>
    <row r="52" customFormat="false" ht="15" hidden="false" customHeight="false" outlineLevel="0" collapsed="false">
      <c r="A52" s="0" t="n">
        <v>47</v>
      </c>
      <c r="B52" s="10" t="n">
        <f aca="false">A52/12</f>
        <v>3.91666666666667</v>
      </c>
      <c r="C52" s="11" t="n">
        <f aca="false">Parametros!$B$5/(1+Parametros!$B$6*B52)</f>
        <v>240.534521158129</v>
      </c>
      <c r="D52" s="9" t="n">
        <f aca="false">C52*30.4</f>
        <v>7312.24944320713</v>
      </c>
      <c r="E52" s="9" t="n">
        <f aca="false">D52*Parametros!$B$7*(1-Parametros!$B$8)</f>
        <v>418260.668151448</v>
      </c>
      <c r="F52" s="9" t="n">
        <f aca="false">D52*Parametros!$B$9+Parametros!$B$10</f>
        <v>66497.995545657</v>
      </c>
      <c r="G52" s="9" t="n">
        <f aca="false">Parametros!$B$11/Parametros!$B$14</f>
        <v>75000</v>
      </c>
      <c r="H52" s="9" t="n">
        <f aca="false">MAX(0,E52-F52-G52)*Parametros!$B$13</f>
        <v>0</v>
      </c>
      <c r="I52" s="9" t="n">
        <f aca="false">E52-F52-H52</f>
        <v>351762.672605791</v>
      </c>
      <c r="J52" s="9" t="n">
        <f aca="false">I52/(1+Parametros!$B$12)^B52</f>
        <v>242174.494607469</v>
      </c>
      <c r="K52" s="9" t="n">
        <f aca="false">K51+I52</f>
        <v>20586671.4744426</v>
      </c>
    </row>
    <row r="53" customFormat="false" ht="15" hidden="false" customHeight="false" outlineLevel="0" collapsed="false">
      <c r="A53" s="0" t="n">
        <v>48</v>
      </c>
      <c r="B53" s="10" t="n">
        <f aca="false">A53/12</f>
        <v>4</v>
      </c>
      <c r="C53" s="11" t="n">
        <f aca="false">Parametros!$B$5/(1+Parametros!$B$6*B53)</f>
        <v>236.842105263158</v>
      </c>
      <c r="D53" s="9" t="n">
        <f aca="false">C53*30.4</f>
        <v>7200</v>
      </c>
      <c r="E53" s="9" t="n">
        <f aca="false">D53*Parametros!$B$7*(1-Parametros!$B$8)</f>
        <v>411840</v>
      </c>
      <c r="F53" s="9" t="n">
        <f aca="false">D53*Parametros!$B$9+Parametros!$B$10</f>
        <v>65600</v>
      </c>
      <c r="G53" s="9" t="n">
        <f aca="false">Parametros!$B$11/Parametros!$B$14</f>
        <v>75000</v>
      </c>
      <c r="H53" s="9" t="n">
        <f aca="false">MAX(0,E53-F53-G53)*Parametros!$B$13</f>
        <v>0</v>
      </c>
      <c r="I53" s="9" t="n">
        <f aca="false">E53-F53-H53</f>
        <v>346240</v>
      </c>
      <c r="J53" s="9" t="n">
        <f aca="false">I53/(1+Parametros!$B$12)^B53</f>
        <v>236486.578785602</v>
      </c>
      <c r="K53" s="9" t="n">
        <f aca="false">K52+I53</f>
        <v>20932911.4744426</v>
      </c>
    </row>
    <row r="54" customFormat="false" ht="15" hidden="false" customHeight="false" outlineLevel="0" collapsed="false">
      <c r="A54" s="0" t="n">
        <v>49</v>
      </c>
      <c r="B54" s="10" t="n">
        <f aca="false">A54/12</f>
        <v>4.08333333333333</v>
      </c>
      <c r="C54" s="11" t="n">
        <f aca="false">Parametros!$B$5/(1+Parametros!$B$6*B54)</f>
        <v>233.261339092873</v>
      </c>
      <c r="D54" s="9" t="n">
        <f aca="false">C54*30.4</f>
        <v>7091.14470842333</v>
      </c>
      <c r="E54" s="9" t="n">
        <f aca="false">D54*Parametros!$B$7*(1-Parametros!$B$8)</f>
        <v>405613.477321814</v>
      </c>
      <c r="F54" s="9" t="n">
        <f aca="false">D54*Parametros!$B$9+Parametros!$B$10</f>
        <v>64729.1576673866</v>
      </c>
      <c r="G54" s="9" t="n">
        <f aca="false">Parametros!$B$11/Parametros!$B$14</f>
        <v>75000</v>
      </c>
      <c r="H54" s="9" t="n">
        <f aca="false">MAX(0,E54-F54-G54)*Parametros!$B$13</f>
        <v>0</v>
      </c>
      <c r="I54" s="9" t="n">
        <f aca="false">E54-F54-H54</f>
        <v>340884.319654428</v>
      </c>
      <c r="J54" s="9" t="n">
        <f aca="false">I54/(1+Parametros!$B$12)^B54</f>
        <v>230986.657006767</v>
      </c>
      <c r="K54" s="9" t="n">
        <f aca="false">K53+I54</f>
        <v>21273795.794097</v>
      </c>
    </row>
    <row r="55" customFormat="false" ht="15" hidden="false" customHeight="false" outlineLevel="0" collapsed="false">
      <c r="A55" s="0" t="n">
        <v>50</v>
      </c>
      <c r="B55" s="10" t="n">
        <f aca="false">A55/12</f>
        <v>4.16666666666667</v>
      </c>
      <c r="C55" s="11" t="n">
        <f aca="false">Parametros!$B$5/(1+Parametros!$B$6*B55)</f>
        <v>229.787234042553</v>
      </c>
      <c r="D55" s="9" t="n">
        <f aca="false">C55*30.4</f>
        <v>6985.53191489362</v>
      </c>
      <c r="E55" s="9" t="n">
        <f aca="false">D55*Parametros!$B$7*(1-Parametros!$B$8)</f>
        <v>399572.425531915</v>
      </c>
      <c r="F55" s="9" t="n">
        <f aca="false">D55*Parametros!$B$9+Parametros!$B$10</f>
        <v>63884.2553191489</v>
      </c>
      <c r="G55" s="9" t="n">
        <f aca="false">Parametros!$B$11/Parametros!$B$14</f>
        <v>75000</v>
      </c>
      <c r="H55" s="9" t="n">
        <f aca="false">MAX(0,E55-F55-G55)*Parametros!$B$13</f>
        <v>0</v>
      </c>
      <c r="I55" s="9" t="n">
        <f aca="false">E55-F55-H55</f>
        <v>335688.170212766</v>
      </c>
      <c r="J55" s="9" t="n">
        <f aca="false">I55/(1+Parametros!$B$12)^B55</f>
        <v>225666.199711496</v>
      </c>
      <c r="K55" s="9" t="n">
        <f aca="false">K54+I55</f>
        <v>21609483.9643098</v>
      </c>
    </row>
    <row r="56" customFormat="false" ht="15" hidden="false" customHeight="false" outlineLevel="0" collapsed="false">
      <c r="A56" s="0" t="n">
        <v>51</v>
      </c>
      <c r="B56" s="10" t="n">
        <f aca="false">A56/12</f>
        <v>4.25</v>
      </c>
      <c r="C56" s="11" t="n">
        <f aca="false">Parametros!$B$5/(1+Parametros!$B$6*B56)</f>
        <v>226.415094339623</v>
      </c>
      <c r="D56" s="9" t="n">
        <f aca="false">C56*30.4</f>
        <v>6883.01886792453</v>
      </c>
      <c r="E56" s="9" t="n">
        <f aca="false">D56*Parametros!$B$7*(1-Parametros!$B$8)</f>
        <v>393708.679245283</v>
      </c>
      <c r="F56" s="9" t="n">
        <f aca="false">D56*Parametros!$B$9+Parametros!$B$10</f>
        <v>63064.1509433962</v>
      </c>
      <c r="G56" s="9" t="n">
        <f aca="false">Parametros!$B$11/Parametros!$B$14</f>
        <v>75000</v>
      </c>
      <c r="H56" s="9" t="n">
        <f aca="false">MAX(0,E56-F56-G56)*Parametros!$B$13</f>
        <v>0</v>
      </c>
      <c r="I56" s="9" t="n">
        <f aca="false">E56-F56-H56</f>
        <v>330644.528301887</v>
      </c>
      <c r="J56" s="9" t="n">
        <f aca="false">I56/(1+Parametros!$B$12)^B56</f>
        <v>220517.179078937</v>
      </c>
      <c r="K56" s="9" t="n">
        <f aca="false">K55+I56</f>
        <v>21940128.4926116</v>
      </c>
    </row>
    <row r="57" customFormat="false" ht="15" hidden="false" customHeight="false" outlineLevel="0" collapsed="false">
      <c r="A57" s="0" t="n">
        <v>52</v>
      </c>
      <c r="B57" s="10" t="n">
        <f aca="false">A57/12</f>
        <v>4.33333333333333</v>
      </c>
      <c r="C57" s="11" t="n">
        <f aca="false">Parametros!$B$5/(1+Parametros!$B$6*B57)</f>
        <v>223.140495867769</v>
      </c>
      <c r="D57" s="9" t="n">
        <f aca="false">C57*30.4</f>
        <v>6783.47107438017</v>
      </c>
      <c r="E57" s="9" t="n">
        <f aca="false">D57*Parametros!$B$7*(1-Parametros!$B$8)</f>
        <v>388014.545454545</v>
      </c>
      <c r="F57" s="9" t="n">
        <f aca="false">D57*Parametros!$B$9+Parametros!$B$10</f>
        <v>62267.7685950413</v>
      </c>
      <c r="G57" s="9" t="n">
        <f aca="false">Parametros!$B$11/Parametros!$B$14</f>
        <v>75000</v>
      </c>
      <c r="H57" s="9" t="n">
        <f aca="false">MAX(0,E57-F57-G57)*Parametros!$B$13</f>
        <v>0</v>
      </c>
      <c r="I57" s="9" t="n">
        <f aca="false">E57-F57-H57</f>
        <v>325746.776859504</v>
      </c>
      <c r="J57" s="9" t="n">
        <f aca="false">I57/(1+Parametros!$B$12)^B57</f>
        <v>215532.032735594</v>
      </c>
      <c r="K57" s="9" t="n">
        <f aca="false">K56+I57</f>
        <v>22265875.2694711</v>
      </c>
    </row>
    <row r="58" customFormat="false" ht="15" hidden="false" customHeight="false" outlineLevel="0" collapsed="false">
      <c r="A58" s="0" t="n">
        <v>53</v>
      </c>
      <c r="B58" s="10" t="n">
        <f aca="false">A58/12</f>
        <v>4.41666666666667</v>
      </c>
      <c r="C58" s="11" t="n">
        <f aca="false">Parametros!$B$5/(1+Parametros!$B$6*B58)</f>
        <v>219.959266802444</v>
      </c>
      <c r="D58" s="9" t="n">
        <f aca="false">C58*30.4</f>
        <v>6686.7617107943</v>
      </c>
      <c r="E58" s="9" t="n">
        <f aca="false">D58*Parametros!$B$7*(1-Parametros!$B$8)</f>
        <v>382482.769857434</v>
      </c>
      <c r="F58" s="9" t="n">
        <f aca="false">D58*Parametros!$B$9+Parametros!$B$10</f>
        <v>61494.0936863544</v>
      </c>
      <c r="G58" s="9" t="n">
        <f aca="false">Parametros!$B$11/Parametros!$B$14</f>
        <v>75000</v>
      </c>
      <c r="H58" s="9" t="n">
        <f aca="false">MAX(0,E58-F58-G58)*Parametros!$B$13</f>
        <v>0</v>
      </c>
      <c r="I58" s="9" t="n">
        <f aca="false">E58-F58-H58</f>
        <v>320988.676171079</v>
      </c>
      <c r="J58" s="9" t="n">
        <f aca="false">I58/(1+Parametros!$B$12)^B58</f>
        <v>210703.630568478</v>
      </c>
      <c r="K58" s="9" t="n">
        <f aca="false">K57+I58</f>
        <v>22586863.9456422</v>
      </c>
    </row>
    <row r="59" customFormat="false" ht="15" hidden="false" customHeight="false" outlineLevel="0" collapsed="false">
      <c r="A59" s="0" t="n">
        <v>54</v>
      </c>
      <c r="B59" s="10" t="n">
        <f aca="false">A59/12</f>
        <v>4.5</v>
      </c>
      <c r="C59" s="11" t="n">
        <f aca="false">Parametros!$B$5/(1+Parametros!$B$6*B59)</f>
        <v>216.867469879518</v>
      </c>
      <c r="D59" s="9" t="n">
        <f aca="false">C59*30.4</f>
        <v>6592.77108433735</v>
      </c>
      <c r="E59" s="9" t="n">
        <f aca="false">D59*Parametros!$B$7*(1-Parametros!$B$8)</f>
        <v>377106.506024096</v>
      </c>
      <c r="F59" s="9" t="n">
        <f aca="false">D59*Parametros!$B$9+Parametros!$B$10</f>
        <v>60742.1686746988</v>
      </c>
      <c r="G59" s="9" t="n">
        <f aca="false">Parametros!$B$11/Parametros!$B$14</f>
        <v>75000</v>
      </c>
      <c r="H59" s="9" t="n">
        <f aca="false">MAX(0,E59-F59-G59)*Parametros!$B$13</f>
        <v>0</v>
      </c>
      <c r="I59" s="9" t="n">
        <f aca="false">E59-F59-H59</f>
        <v>316364.337349398</v>
      </c>
      <c r="J59" s="9" t="n">
        <f aca="false">I59/(1+Parametros!$B$12)^B59</f>
        <v>206025.244337219</v>
      </c>
      <c r="K59" s="9" t="n">
        <f aca="false">K58+I59</f>
        <v>22903228.2829916</v>
      </c>
    </row>
    <row r="60" customFormat="false" ht="15" hidden="false" customHeight="false" outlineLevel="0" collapsed="false">
      <c r="A60" s="0" t="n">
        <v>55</v>
      </c>
      <c r="B60" s="10" t="n">
        <f aca="false">A60/12</f>
        <v>4.58333333333333</v>
      </c>
      <c r="C60" s="11" t="n">
        <f aca="false">Parametros!$B$5/(1+Parametros!$B$6*B60)</f>
        <v>213.861386138614</v>
      </c>
      <c r="D60" s="9" t="n">
        <f aca="false">C60*30.4</f>
        <v>6501.38613861386</v>
      </c>
      <c r="E60" s="9" t="n">
        <f aca="false">D60*Parametros!$B$7*(1-Parametros!$B$8)</f>
        <v>371879.287128713</v>
      </c>
      <c r="F60" s="9" t="n">
        <f aca="false">D60*Parametros!$B$9+Parametros!$B$10</f>
        <v>60011.0891089109</v>
      </c>
      <c r="G60" s="9" t="n">
        <f aca="false">Parametros!$B$11/Parametros!$B$14</f>
        <v>75000</v>
      </c>
      <c r="H60" s="9" t="n">
        <f aca="false">MAX(0,E60-F60-G60)*Parametros!$B$13</f>
        <v>0</v>
      </c>
      <c r="I60" s="9" t="n">
        <f aca="false">E60-F60-H60</f>
        <v>311868.198019802</v>
      </c>
      <c r="J60" s="9" t="n">
        <f aca="false">I60/(1+Parametros!$B$12)^B60</f>
        <v>201490.519813552</v>
      </c>
      <c r="K60" s="9" t="n">
        <f aca="false">K59+I60</f>
        <v>23215096.4810114</v>
      </c>
    </row>
    <row r="61" customFormat="false" ht="15" hidden="false" customHeight="false" outlineLevel="0" collapsed="false">
      <c r="A61" s="0" t="n">
        <v>56</v>
      </c>
      <c r="B61" s="10" t="n">
        <f aca="false">A61/12</f>
        <v>4.66666666666667</v>
      </c>
      <c r="C61" s="11" t="n">
        <f aca="false">Parametros!$B$5/(1+Parametros!$B$6*B61)</f>
        <v>210.9375</v>
      </c>
      <c r="D61" s="9" t="n">
        <f aca="false">C61*30.4</f>
        <v>6412.5</v>
      </c>
      <c r="E61" s="9" t="n">
        <f aca="false">D61*Parametros!$B$7*(1-Parametros!$B$8)</f>
        <v>366795</v>
      </c>
      <c r="F61" s="9" t="n">
        <f aca="false">D61*Parametros!$B$9+Parametros!$B$10</f>
        <v>59300</v>
      </c>
      <c r="G61" s="9" t="n">
        <f aca="false">Parametros!$B$11/Parametros!$B$14</f>
        <v>75000</v>
      </c>
      <c r="H61" s="9" t="n">
        <f aca="false">MAX(0,E61-F61-G61)*Parametros!$B$13</f>
        <v>0</v>
      </c>
      <c r="I61" s="9" t="n">
        <f aca="false">E61-F61-H61</f>
        <v>307495</v>
      </c>
      <c r="J61" s="9" t="n">
        <f aca="false">I61/(1+Parametros!$B$12)^B61</f>
        <v>197093.451206298</v>
      </c>
      <c r="K61" s="9" t="n">
        <f aca="false">K60+I61</f>
        <v>23522591.4810114</v>
      </c>
    </row>
    <row r="62" customFormat="false" ht="15" hidden="false" customHeight="false" outlineLevel="0" collapsed="false">
      <c r="A62" s="0" t="n">
        <v>57</v>
      </c>
      <c r="B62" s="10" t="n">
        <f aca="false">A62/12</f>
        <v>4.75</v>
      </c>
      <c r="C62" s="11" t="n">
        <f aca="false">Parametros!$B$5/(1+Parametros!$B$6*B62)</f>
        <v>208.092485549133</v>
      </c>
      <c r="D62" s="9" t="n">
        <f aca="false">C62*30.4</f>
        <v>6326.01156069364</v>
      </c>
      <c r="E62" s="9" t="n">
        <f aca="false">D62*Parametros!$B$7*(1-Parametros!$B$8)</f>
        <v>361847.861271676</v>
      </c>
      <c r="F62" s="9" t="n">
        <f aca="false">D62*Parametros!$B$9+Parametros!$B$10</f>
        <v>58608.0924855491</v>
      </c>
      <c r="G62" s="9" t="n">
        <f aca="false">Parametros!$B$11/Parametros!$B$14</f>
        <v>75000</v>
      </c>
      <c r="H62" s="9" t="n">
        <f aca="false">MAX(0,E62-F62-G62)*Parametros!$B$13</f>
        <v>0</v>
      </c>
      <c r="I62" s="9" t="n">
        <f aca="false">E62-F62-H62</f>
        <v>303239.768786127</v>
      </c>
      <c r="J62" s="9" t="n">
        <f aca="false">I62/(1+Parametros!$B$12)^B62</f>
        <v>192828.357656068</v>
      </c>
      <c r="K62" s="9" t="n">
        <f aca="false">K61+I62</f>
        <v>23825831.2497976</v>
      </c>
    </row>
    <row r="63" customFormat="false" ht="15" hidden="false" customHeight="false" outlineLevel="0" collapsed="false">
      <c r="A63" s="0" t="n">
        <v>58</v>
      </c>
      <c r="B63" s="10" t="n">
        <f aca="false">A63/12</f>
        <v>4.83333333333333</v>
      </c>
      <c r="C63" s="11" t="n">
        <f aca="false">Parametros!$B$5/(1+Parametros!$B$6*B63)</f>
        <v>205.32319391635</v>
      </c>
      <c r="D63" s="9" t="n">
        <f aca="false">C63*30.4</f>
        <v>6241.82509505704</v>
      </c>
      <c r="E63" s="9" t="n">
        <f aca="false">D63*Parametros!$B$7*(1-Parametros!$B$8)</f>
        <v>357032.395437262</v>
      </c>
      <c r="F63" s="9" t="n">
        <f aca="false">D63*Parametros!$B$9+Parametros!$B$10</f>
        <v>57934.6007604563</v>
      </c>
      <c r="G63" s="9" t="n">
        <f aca="false">Parametros!$B$11/Parametros!$B$14</f>
        <v>75000</v>
      </c>
      <c r="H63" s="9" t="n">
        <f aca="false">MAX(0,E63-F63-G63)*Parametros!$B$13</f>
        <v>0</v>
      </c>
      <c r="I63" s="9" t="n">
        <f aca="false">E63-F63-H63</f>
        <v>299097.794676806</v>
      </c>
      <c r="J63" s="9" t="n">
        <f aca="false">I63/(1+Parametros!$B$12)^B63</f>
        <v>188689.861606872</v>
      </c>
      <c r="K63" s="9" t="n">
        <f aca="false">K62+I63</f>
        <v>24124929.0444744</v>
      </c>
    </row>
    <row r="64" customFormat="false" ht="15" hidden="false" customHeight="false" outlineLevel="0" collapsed="false">
      <c r="A64" s="0" t="n">
        <v>59</v>
      </c>
      <c r="B64" s="10" t="n">
        <f aca="false">A64/12</f>
        <v>4.91666666666667</v>
      </c>
      <c r="C64" s="11" t="n">
        <f aca="false">Parametros!$B$5/(1+Parametros!$B$6*B64)</f>
        <v>202.626641651032</v>
      </c>
      <c r="D64" s="9" t="n">
        <f aca="false">C64*30.4</f>
        <v>6159.84990619137</v>
      </c>
      <c r="E64" s="9" t="n">
        <f aca="false">D64*Parametros!$B$7*(1-Parametros!$B$8)</f>
        <v>352343.414634146</v>
      </c>
      <c r="F64" s="9" t="n">
        <f aca="false">D64*Parametros!$B$9+Parametros!$B$10</f>
        <v>57278.799249531</v>
      </c>
      <c r="G64" s="9" t="n">
        <f aca="false">Parametros!$B$11/Parametros!$B$14</f>
        <v>75000</v>
      </c>
      <c r="H64" s="9" t="n">
        <f aca="false">MAX(0,E64-F64-G64)*Parametros!$B$13</f>
        <v>0</v>
      </c>
      <c r="I64" s="9" t="n">
        <f aca="false">E64-F64-H64</f>
        <v>295064.615384615</v>
      </c>
      <c r="J64" s="9" t="n">
        <f aca="false">I64/(1+Parametros!$B$12)^B64</f>
        <v>184672.868882089</v>
      </c>
      <c r="K64" s="9" t="n">
        <f aca="false">K63+I64</f>
        <v>24419993.659859</v>
      </c>
    </row>
    <row r="65" customFormat="false" ht="15" hidden="false" customHeight="false" outlineLevel="0" collapsed="false">
      <c r="A65" s="0" t="n">
        <v>60</v>
      </c>
      <c r="B65" s="10" t="n">
        <f aca="false">A65/12</f>
        <v>5</v>
      </c>
      <c r="C65" s="11" t="n">
        <f aca="false">Parametros!$B$5/(1+Parametros!$B$6*B65)</f>
        <v>200</v>
      </c>
      <c r="D65" s="9" t="n">
        <f aca="false">C65*30.4</f>
        <v>6080</v>
      </c>
      <c r="E65" s="9" t="n">
        <f aca="false">D65*Parametros!$B$7*(1-Parametros!$B$8)</f>
        <v>347776</v>
      </c>
      <c r="F65" s="9" t="n">
        <f aca="false">D65*Parametros!$B$9+Parametros!$B$10</f>
        <v>56640</v>
      </c>
      <c r="G65" s="9" t="n">
        <f aca="false">Parametros!$B$11/Parametros!$B$14</f>
        <v>75000</v>
      </c>
      <c r="H65" s="9" t="n">
        <f aca="false">MAX(0,E65-F65-G65)*Parametros!$B$13</f>
        <v>0</v>
      </c>
      <c r="I65" s="9" t="n">
        <f aca="false">E65-F65-H65</f>
        <v>291136</v>
      </c>
      <c r="J65" s="9" t="n">
        <f aca="false">I65/(1+Parametros!$B$12)^B65</f>
        <v>180772.55031015</v>
      </c>
      <c r="K65" s="9" t="n">
        <f aca="false">K64+I65</f>
        <v>24711129.659859</v>
      </c>
    </row>
    <row r="66" customFormat="false" ht="15" hidden="false" customHeight="false" outlineLevel="0" collapsed="false">
      <c r="A66" s="0" t="n">
        <v>61</v>
      </c>
      <c r="B66" s="10" t="n">
        <f aca="false">A66/12</f>
        <v>5.08333333333333</v>
      </c>
      <c r="C66" s="11" t="n">
        <f aca="false">Parametros!$B$5/(1+Parametros!$B$6*B66)</f>
        <v>197.440585009141</v>
      </c>
      <c r="D66" s="9" t="n">
        <f aca="false">C66*30.4</f>
        <v>6002.19378427788</v>
      </c>
      <c r="E66" s="9" t="n">
        <f aca="false">D66*Parametros!$B$7*(1-Parametros!$B$8)</f>
        <v>343325.484460695</v>
      </c>
      <c r="F66" s="9" t="n">
        <f aca="false">D66*Parametros!$B$9+Parametros!$B$10</f>
        <v>56017.550274223</v>
      </c>
      <c r="G66" s="9" t="n">
        <f aca="false">Parametros!$B$11/Parametros!$B$14</f>
        <v>75000</v>
      </c>
      <c r="H66" s="9" t="n">
        <f aca="false">MAX(0,E66-F66-G66)*Parametros!$B$13</f>
        <v>0</v>
      </c>
      <c r="I66" s="9" t="n">
        <f aca="false">E66-F66-H66</f>
        <v>287307.934186472</v>
      </c>
      <c r="J66" s="9" t="n">
        <f aca="false">I66/(1+Parametros!$B$12)^B66</f>
        <v>176984.324761097</v>
      </c>
      <c r="K66" s="9" t="n">
        <f aca="false">K65+I66</f>
        <v>24998437.5940455</v>
      </c>
    </row>
    <row r="67" customFormat="false" ht="15" hidden="false" customHeight="false" outlineLevel="0" collapsed="false">
      <c r="A67" s="0" t="n">
        <v>62</v>
      </c>
      <c r="B67" s="10" t="n">
        <f aca="false">A67/12</f>
        <v>5.16666666666667</v>
      </c>
      <c r="C67" s="11" t="n">
        <f aca="false">Parametros!$B$5/(1+Parametros!$B$6*B67)</f>
        <v>194.945848375451</v>
      </c>
      <c r="D67" s="9" t="n">
        <f aca="false">C67*30.4</f>
        <v>5926.35379061372</v>
      </c>
      <c r="E67" s="9" t="n">
        <f aca="false">D67*Parametros!$B$7*(1-Parametros!$B$8)</f>
        <v>338987.436823105</v>
      </c>
      <c r="F67" s="9" t="n">
        <f aca="false">D67*Parametros!$B$9+Parametros!$B$10</f>
        <v>55410.8303249097</v>
      </c>
      <c r="G67" s="9" t="n">
        <f aca="false">Parametros!$B$11/Parametros!$B$14</f>
        <v>75000</v>
      </c>
      <c r="H67" s="9" t="n">
        <f aca="false">MAX(0,E67-F67-G67)*Parametros!$B$13</f>
        <v>0</v>
      </c>
      <c r="I67" s="9" t="n">
        <f aca="false">E67-F67-H67</f>
        <v>283576.606498195</v>
      </c>
      <c r="J67" s="9" t="n">
        <f aca="false">I67/(1+Parametros!$B$12)^B67</f>
        <v>173303.843469235</v>
      </c>
      <c r="K67" s="9" t="n">
        <f aca="false">K66+I67</f>
        <v>25282014.2005436</v>
      </c>
    </row>
    <row r="68" customFormat="false" ht="15" hidden="false" customHeight="false" outlineLevel="0" collapsed="false">
      <c r="A68" s="0" t="n">
        <v>63</v>
      </c>
      <c r="B68" s="10" t="n">
        <f aca="false">A68/12</f>
        <v>5.25</v>
      </c>
      <c r="C68" s="11" t="n">
        <f aca="false">Parametros!$B$5/(1+Parametros!$B$6*B68)</f>
        <v>192.513368983957</v>
      </c>
      <c r="D68" s="9" t="n">
        <f aca="false">C68*30.4</f>
        <v>5852.4064171123</v>
      </c>
      <c r="E68" s="9" t="n">
        <f aca="false">D68*Parametros!$B$7*(1-Parametros!$B$8)</f>
        <v>334757.647058824</v>
      </c>
      <c r="F68" s="9" t="n">
        <f aca="false">D68*Parametros!$B$9+Parametros!$B$10</f>
        <v>54819.2513368984</v>
      </c>
      <c r="G68" s="9" t="n">
        <f aca="false">Parametros!$B$11/Parametros!$B$14</f>
        <v>75000</v>
      </c>
      <c r="H68" s="9" t="n">
        <f aca="false">MAX(0,E68-F68-G68)*Parametros!$B$13</f>
        <v>0</v>
      </c>
      <c r="I68" s="9" t="n">
        <f aca="false">E68-F68-H68</f>
        <v>279938.395721925</v>
      </c>
      <c r="J68" s="9" t="n">
        <f aca="false">I68/(1+Parametros!$B$12)^B68</f>
        <v>169726.975529552</v>
      </c>
      <c r="K68" s="9" t="n">
        <f aca="false">K67+I68</f>
        <v>25561952.5962656</v>
      </c>
    </row>
    <row r="69" customFormat="false" ht="15" hidden="false" customHeight="false" outlineLevel="0" collapsed="false">
      <c r="A69" s="0" t="n">
        <v>64</v>
      </c>
      <c r="B69" s="10" t="n">
        <f aca="false">A69/12</f>
        <v>5.33333333333333</v>
      </c>
      <c r="C69" s="11" t="n">
        <f aca="false">Parametros!$B$5/(1+Parametros!$B$6*B69)</f>
        <v>190.140845070423</v>
      </c>
      <c r="D69" s="9" t="n">
        <f aca="false">C69*30.4</f>
        <v>5780.28169014085</v>
      </c>
      <c r="E69" s="9" t="n">
        <f aca="false">D69*Parametros!$B$7*(1-Parametros!$B$8)</f>
        <v>330632.112676056</v>
      </c>
      <c r="F69" s="9" t="n">
        <f aca="false">D69*Parametros!$B$9+Parametros!$B$10</f>
        <v>54242.2535211268</v>
      </c>
      <c r="G69" s="9" t="n">
        <f aca="false">Parametros!$B$11/Parametros!$B$14</f>
        <v>75000</v>
      </c>
      <c r="H69" s="9" t="n">
        <f aca="false">MAX(0,E69-F69-G69)*Parametros!$B$13</f>
        <v>0</v>
      </c>
      <c r="I69" s="9" t="n">
        <f aca="false">E69-F69-H69</f>
        <v>276389.85915493</v>
      </c>
      <c r="J69" s="9" t="n">
        <f aca="false">I69/(1+Parametros!$B$12)^B69</f>
        <v>166249.794466632</v>
      </c>
      <c r="K69" s="9" t="n">
        <f aca="false">K68+I69</f>
        <v>25838342.4554205</v>
      </c>
    </row>
    <row r="70" customFormat="false" ht="15" hidden="false" customHeight="false" outlineLevel="0" collapsed="false">
      <c r="A70" s="0" t="n">
        <v>65</v>
      </c>
      <c r="B70" s="10" t="n">
        <f aca="false">A70/12</f>
        <v>5.41666666666667</v>
      </c>
      <c r="C70" s="11" t="n">
        <f aca="false">Parametros!$B$5/(1+Parametros!$B$6*B70)</f>
        <v>187.826086956522</v>
      </c>
      <c r="D70" s="9" t="n">
        <f aca="false">C70*30.4</f>
        <v>5709.91304347826</v>
      </c>
      <c r="E70" s="9" t="n">
        <f aca="false">D70*Parametros!$B$7*(1-Parametros!$B$8)</f>
        <v>326607.026086957</v>
      </c>
      <c r="F70" s="9" t="n">
        <f aca="false">D70*Parametros!$B$9+Parametros!$B$10</f>
        <v>53679.3043478261</v>
      </c>
      <c r="G70" s="9" t="n">
        <f aca="false">Parametros!$B$11/Parametros!$B$14</f>
        <v>75000</v>
      </c>
      <c r="H70" s="9" t="n">
        <f aca="false">MAX(0,E70-F70-G70)*Parametros!$B$13</f>
        <v>0</v>
      </c>
      <c r="I70" s="9" t="n">
        <f aca="false">E70-F70-H70</f>
        <v>272927.72173913</v>
      </c>
      <c r="J70" s="9" t="n">
        <f aca="false">I70/(1+Parametros!$B$12)^B70</f>
        <v>162868.565784682</v>
      </c>
      <c r="K70" s="9" t="n">
        <f aca="false">K69+I70</f>
        <v>26111270.1771596</v>
      </c>
    </row>
    <row r="71" customFormat="false" ht="15" hidden="false" customHeight="false" outlineLevel="0" collapsed="false">
      <c r="A71" s="0" t="n">
        <v>66</v>
      </c>
      <c r="B71" s="10" t="n">
        <f aca="false">A71/12</f>
        <v>5.5</v>
      </c>
      <c r="C71" s="11" t="n">
        <f aca="false">Parametros!$B$5/(1+Parametros!$B$6*B71)</f>
        <v>185.567010309278</v>
      </c>
      <c r="D71" s="9" t="n">
        <f aca="false">C71*30.4</f>
        <v>5641.23711340206</v>
      </c>
      <c r="E71" s="9" t="n">
        <f aca="false">D71*Parametros!$B$7*(1-Parametros!$B$8)</f>
        <v>322678.762886598</v>
      </c>
      <c r="F71" s="9" t="n">
        <f aca="false">D71*Parametros!$B$9+Parametros!$B$10</f>
        <v>53129.8969072165</v>
      </c>
      <c r="G71" s="9" t="n">
        <f aca="false">Parametros!$B$11/Parametros!$B$14</f>
        <v>75000</v>
      </c>
      <c r="H71" s="9" t="n">
        <f aca="false">MAX(0,E71-F71-G71)*Parametros!$B$13</f>
        <v>0</v>
      </c>
      <c r="I71" s="9" t="n">
        <f aca="false">E71-F71-H71</f>
        <v>269548.865979381</v>
      </c>
      <c r="J71" s="9" t="n">
        <f aca="false">I71/(1+Parametros!$B$12)^B71</f>
        <v>159579.735416057</v>
      </c>
      <c r="K71" s="9" t="n">
        <f aca="false">K70+I71</f>
        <v>26380819.043139</v>
      </c>
    </row>
    <row r="72" customFormat="false" ht="15" hidden="false" customHeight="false" outlineLevel="0" collapsed="false">
      <c r="A72" s="0" t="n">
        <v>67</v>
      </c>
      <c r="B72" s="10" t="n">
        <f aca="false">A72/12</f>
        <v>5.58333333333333</v>
      </c>
      <c r="C72" s="11" t="n">
        <f aca="false">Parametros!$B$5/(1+Parametros!$B$6*B72)</f>
        <v>183.361629881155</v>
      </c>
      <c r="D72" s="9" t="n">
        <f aca="false">C72*30.4</f>
        <v>5574.1935483871</v>
      </c>
      <c r="E72" s="9" t="n">
        <f aca="false">D72*Parametros!$B$7*(1-Parametros!$B$8)</f>
        <v>318843.870967742</v>
      </c>
      <c r="F72" s="9" t="n">
        <f aca="false">D72*Parametros!$B$9+Parametros!$B$10</f>
        <v>52593.5483870968</v>
      </c>
      <c r="G72" s="9" t="n">
        <f aca="false">Parametros!$B$11/Parametros!$B$14</f>
        <v>75000</v>
      </c>
      <c r="H72" s="9" t="n">
        <f aca="false">MAX(0,E72-F72-G72)*Parametros!$B$13</f>
        <v>0</v>
      </c>
      <c r="I72" s="9" t="n">
        <f aca="false">E72-F72-H72</f>
        <v>266250.322580645</v>
      </c>
      <c r="J72" s="9" t="n">
        <f aca="false">I72/(1+Parametros!$B$12)^B72</f>
        <v>156379.918993547</v>
      </c>
      <c r="K72" s="9" t="n">
        <f aca="false">K71+I72</f>
        <v>26647069.3657197</v>
      </c>
    </row>
    <row r="73" customFormat="false" ht="15" hidden="false" customHeight="false" outlineLevel="0" collapsed="false">
      <c r="A73" s="0" t="n">
        <v>68</v>
      </c>
      <c r="B73" s="10" t="n">
        <f aca="false">A73/12</f>
        <v>5.66666666666667</v>
      </c>
      <c r="C73" s="11" t="n">
        <f aca="false">Parametros!$B$5/(1+Parametros!$B$6*B73)</f>
        <v>181.208053691275</v>
      </c>
      <c r="D73" s="9" t="n">
        <f aca="false">C73*30.4</f>
        <v>5508.72483221476</v>
      </c>
      <c r="E73" s="9" t="n">
        <f aca="false">D73*Parametros!$B$7*(1-Parametros!$B$8)</f>
        <v>315099.060402685</v>
      </c>
      <c r="F73" s="9" t="n">
        <f aca="false">D73*Parametros!$B$9+Parametros!$B$10</f>
        <v>52069.7986577181</v>
      </c>
      <c r="G73" s="9" t="n">
        <f aca="false">Parametros!$B$11/Parametros!$B$14</f>
        <v>75000</v>
      </c>
      <c r="H73" s="9" t="n">
        <f aca="false">MAX(0,E73-F73-G73)*Parametros!$B$13</f>
        <v>0</v>
      </c>
      <c r="I73" s="9" t="n">
        <f aca="false">E73-F73-H73</f>
        <v>263029.261744966</v>
      </c>
      <c r="J73" s="9" t="n">
        <f aca="false">I73/(1+Parametros!$B$12)^B73</f>
        <v>153265.891878686</v>
      </c>
      <c r="K73" s="9" t="n">
        <f aca="false">K72+I73</f>
        <v>26910098.6274646</v>
      </c>
    </row>
    <row r="74" customFormat="false" ht="15" hidden="false" customHeight="false" outlineLevel="0" collapsed="false">
      <c r="A74" s="0" t="n">
        <v>69</v>
      </c>
      <c r="B74" s="10" t="n">
        <f aca="false">A74/12</f>
        <v>5.75</v>
      </c>
      <c r="C74" s="11" t="n">
        <f aca="false">Parametros!$B$5/(1+Parametros!$B$6*B74)</f>
        <v>179.10447761194</v>
      </c>
      <c r="D74" s="9" t="n">
        <f aca="false">C74*30.4</f>
        <v>5444.77611940299</v>
      </c>
      <c r="E74" s="9" t="n">
        <f aca="false">D74*Parametros!$B$7*(1-Parametros!$B$8)</f>
        <v>311441.194029851</v>
      </c>
      <c r="F74" s="9" t="n">
        <f aca="false">D74*Parametros!$B$9+Parametros!$B$10</f>
        <v>51558.2089552239</v>
      </c>
      <c r="G74" s="9" t="n">
        <f aca="false">Parametros!$B$11/Parametros!$B$14</f>
        <v>75000</v>
      </c>
      <c r="H74" s="9" t="n">
        <f aca="false">MAX(0,E74-F74-G74)*Parametros!$B$13</f>
        <v>0</v>
      </c>
      <c r="I74" s="9" t="n">
        <f aca="false">E74-F74-H74</f>
        <v>259882.985074627</v>
      </c>
      <c r="J74" s="9" t="n">
        <f aca="false">I74/(1+Parametros!$B$12)^B74</f>
        <v>150234.579884663</v>
      </c>
      <c r="K74" s="9" t="n">
        <f aca="false">K73+I74</f>
        <v>27169981.6125393</v>
      </c>
    </row>
    <row r="75" customFormat="false" ht="15" hidden="false" customHeight="false" outlineLevel="0" collapsed="false">
      <c r="A75" s="0" t="n">
        <v>70</v>
      </c>
      <c r="B75" s="10" t="n">
        <f aca="false">A75/12</f>
        <v>5.83333333333333</v>
      </c>
      <c r="C75" s="11" t="n">
        <f aca="false">Parametros!$B$5/(1+Parametros!$B$6*B75)</f>
        <v>177.049180327869</v>
      </c>
      <c r="D75" s="9" t="n">
        <f aca="false">C75*30.4</f>
        <v>5382.29508196721</v>
      </c>
      <c r="E75" s="9" t="n">
        <f aca="false">D75*Parametros!$B$7*(1-Parametros!$B$8)</f>
        <v>307867.278688525</v>
      </c>
      <c r="F75" s="9" t="n">
        <f aca="false">D75*Parametros!$B$9+Parametros!$B$10</f>
        <v>51058.3606557377</v>
      </c>
      <c r="G75" s="9" t="n">
        <f aca="false">Parametros!$B$11/Parametros!$B$14</f>
        <v>75000</v>
      </c>
      <c r="H75" s="9" t="n">
        <f aca="false">MAX(0,E75-F75-G75)*Parametros!$B$13</f>
        <v>0</v>
      </c>
      <c r="I75" s="9" t="n">
        <f aca="false">E75-F75-H75</f>
        <v>256808.918032787</v>
      </c>
      <c r="J75" s="9" t="n">
        <f aca="false">I75/(1+Parametros!$B$12)^B75</f>
        <v>147283.050638027</v>
      </c>
      <c r="K75" s="9" t="n">
        <f aca="false">K74+I75</f>
        <v>27426790.530572</v>
      </c>
    </row>
    <row r="76" customFormat="false" ht="15" hidden="false" customHeight="false" outlineLevel="0" collapsed="false">
      <c r="A76" s="0" t="n">
        <v>71</v>
      </c>
      <c r="B76" s="10" t="n">
        <f aca="false">A76/12</f>
        <v>5.91666666666667</v>
      </c>
      <c r="C76" s="11" t="n">
        <f aca="false">Parametros!$B$5/(1+Parametros!$B$6*B76)</f>
        <v>175.040518638574</v>
      </c>
      <c r="D76" s="9" t="n">
        <f aca="false">C76*30.4</f>
        <v>5321.23176661264</v>
      </c>
      <c r="E76" s="9" t="n">
        <f aca="false">D76*Parametros!$B$7*(1-Parametros!$B$8)</f>
        <v>304374.457050243</v>
      </c>
      <c r="F76" s="9" t="n">
        <f aca="false">D76*Parametros!$B$9+Parametros!$B$10</f>
        <v>50569.8541329011</v>
      </c>
      <c r="G76" s="9" t="n">
        <f aca="false">Parametros!$B$11/Parametros!$B$14</f>
        <v>75000</v>
      </c>
      <c r="H76" s="9" t="n">
        <f aca="false">MAX(0,E76-F76-G76)*Parametros!$B$13</f>
        <v>0</v>
      </c>
      <c r="I76" s="9" t="n">
        <f aca="false">E76-F76-H76</f>
        <v>253804.602917342</v>
      </c>
      <c r="J76" s="9" t="n">
        <f aca="false">I76/(1+Parametros!$B$12)^B76</f>
        <v>144408.505528462</v>
      </c>
      <c r="K76" s="9" t="n">
        <f aca="false">K75+I76</f>
        <v>27680595.1334894</v>
      </c>
    </row>
    <row r="77" customFormat="false" ht="15" hidden="false" customHeight="false" outlineLevel="0" collapsed="false">
      <c r="A77" s="0" t="n">
        <v>72</v>
      </c>
      <c r="B77" s="10" t="n">
        <f aca="false">A77/12</f>
        <v>6</v>
      </c>
      <c r="C77" s="11" t="n">
        <f aca="false">Parametros!$B$5/(1+Parametros!$B$6*B77)</f>
        <v>173.076923076923</v>
      </c>
      <c r="D77" s="9" t="n">
        <f aca="false">C77*30.4</f>
        <v>5261.53846153846</v>
      </c>
      <c r="E77" s="9" t="n">
        <f aca="false">D77*Parametros!$B$7*(1-Parametros!$B$8)</f>
        <v>300960</v>
      </c>
      <c r="F77" s="9" t="n">
        <f aca="false">D77*Parametros!$B$9+Parametros!$B$10</f>
        <v>50092.3076923077</v>
      </c>
      <c r="G77" s="9" t="n">
        <f aca="false">Parametros!$B$11/Parametros!$B$14</f>
        <v>75000</v>
      </c>
      <c r="H77" s="9" t="n">
        <f aca="false">MAX(0,E77-F77-G77)*Parametros!$B$13</f>
        <v>0</v>
      </c>
      <c r="I77" s="9" t="n">
        <f aca="false">E77-F77-H77</f>
        <v>250867.692307692</v>
      </c>
      <c r="J77" s="9" t="n">
        <f aca="false">I77/(1+Parametros!$B$12)^B77</f>
        <v>141608.272200445</v>
      </c>
      <c r="K77" s="9" t="n">
        <f aca="false">K76+I77</f>
        <v>27931462.8257971</v>
      </c>
    </row>
    <row r="78" customFormat="false" ht="15" hidden="false" customHeight="false" outlineLevel="0" collapsed="false">
      <c r="A78" s="0" t="n">
        <v>73</v>
      </c>
      <c r="B78" s="10" t="n">
        <f aca="false">A78/12</f>
        <v>6.08333333333333</v>
      </c>
      <c r="C78" s="11" t="n">
        <f aca="false">Parametros!$B$5/(1+Parametros!$B$6*B78)</f>
        <v>171.156893819334</v>
      </c>
      <c r="D78" s="9" t="n">
        <f aca="false">C78*30.4</f>
        <v>5203.16957210777</v>
      </c>
      <c r="E78" s="9" t="n">
        <f aca="false">D78*Parametros!$B$7*(1-Parametros!$B$8)</f>
        <v>297621.299524564</v>
      </c>
      <c r="F78" s="9" t="n">
        <f aca="false">D78*Parametros!$B$9+Parametros!$B$10</f>
        <v>49625.3565768621</v>
      </c>
      <c r="G78" s="9" t="n">
        <f aca="false">Parametros!$B$11/Parametros!$B$14</f>
        <v>75000</v>
      </c>
      <c r="H78" s="9" t="n">
        <f aca="false">MAX(0,E78-F78-G78)*Parametros!$B$13</f>
        <v>0</v>
      </c>
      <c r="I78" s="9" t="n">
        <f aca="false">E78-F78-H78</f>
        <v>247995.942947702</v>
      </c>
      <c r="J78" s="9" t="n">
        <f aca="false">I78/(1+Parametros!$B$12)^B78</f>
        <v>138879.797544722</v>
      </c>
      <c r="K78" s="9" t="n">
        <f aca="false">K77+I78</f>
        <v>28179458.7687448</v>
      </c>
    </row>
    <row r="79" customFormat="false" ht="15" hidden="false" customHeight="false" outlineLevel="0" collapsed="false">
      <c r="A79" s="0" t="n">
        <v>74</v>
      </c>
      <c r="B79" s="10" t="n">
        <f aca="false">A79/12</f>
        <v>6.16666666666667</v>
      </c>
      <c r="C79" s="11" t="n">
        <f aca="false">Parametros!$B$5/(1+Parametros!$B$6*B79)</f>
        <v>169.278996865204</v>
      </c>
      <c r="D79" s="9" t="n">
        <f aca="false">C79*30.4</f>
        <v>5146.08150470219</v>
      </c>
      <c r="E79" s="9" t="n">
        <f aca="false">D79*Parametros!$B$7*(1-Parametros!$B$8)</f>
        <v>294355.862068966</v>
      </c>
      <c r="F79" s="9" t="n">
        <f aca="false">D79*Parametros!$B$9+Parametros!$B$10</f>
        <v>49168.6520376176</v>
      </c>
      <c r="G79" s="9" t="n">
        <f aca="false">Parametros!$B$11/Parametros!$B$14</f>
        <v>75000</v>
      </c>
      <c r="H79" s="9" t="n">
        <f aca="false">MAX(0,E79-F79-G79)*Parametros!$B$13</f>
        <v>0</v>
      </c>
      <c r="I79" s="9" t="n">
        <f aca="false">E79-F79-H79</f>
        <v>245187.210031348</v>
      </c>
      <c r="J79" s="9" t="n">
        <f aca="false">I79/(1+Parametros!$B$12)^B79</f>
        <v>136220.641151197</v>
      </c>
      <c r="K79" s="9" t="n">
        <f aca="false">K78+I79</f>
        <v>28424645.9787761</v>
      </c>
    </row>
    <row r="80" customFormat="false" ht="15" hidden="false" customHeight="false" outlineLevel="0" collapsed="false">
      <c r="A80" s="0" t="n">
        <v>75</v>
      </c>
      <c r="B80" s="10" t="n">
        <f aca="false">A80/12</f>
        <v>6.25</v>
      </c>
      <c r="C80" s="11" t="n">
        <f aca="false">Parametros!$B$5/(1+Parametros!$B$6*B80)</f>
        <v>167.441860465116</v>
      </c>
      <c r="D80" s="9" t="n">
        <f aca="false">C80*30.4</f>
        <v>5090.23255813954</v>
      </c>
      <c r="E80" s="9" t="n">
        <f aca="false">D80*Parametros!$B$7*(1-Parametros!$B$8)</f>
        <v>291161.302325581</v>
      </c>
      <c r="F80" s="9" t="n">
        <f aca="false">D80*Parametros!$B$9+Parametros!$B$10</f>
        <v>48721.8604651163</v>
      </c>
      <c r="G80" s="9" t="n">
        <f aca="false">Parametros!$B$11/Parametros!$B$14</f>
        <v>75000</v>
      </c>
      <c r="H80" s="9" t="n">
        <f aca="false">MAX(0,E80-F80-G80)*Parametros!$B$13</f>
        <v>0</v>
      </c>
      <c r="I80" s="9" t="n">
        <f aca="false">E80-F80-H80</f>
        <v>242439.441860465</v>
      </c>
      <c r="J80" s="9" t="n">
        <f aca="false">I80/(1+Parametros!$B$12)^B80</f>
        <v>133628.469188187</v>
      </c>
      <c r="K80" s="9" t="n">
        <f aca="false">K79+I80</f>
        <v>28667085.4206366</v>
      </c>
    </row>
    <row r="81" customFormat="false" ht="15" hidden="false" customHeight="false" outlineLevel="0" collapsed="false">
      <c r="A81" s="0" t="n">
        <v>76</v>
      </c>
      <c r="B81" s="10" t="n">
        <f aca="false">A81/12</f>
        <v>6.33333333333333</v>
      </c>
      <c r="C81" s="11" t="n">
        <f aca="false">Parametros!$B$5/(1+Parametros!$B$6*B81)</f>
        <v>165.644171779141</v>
      </c>
      <c r="D81" s="9" t="n">
        <f aca="false">C81*30.4</f>
        <v>5035.58282208589</v>
      </c>
      <c r="E81" s="9" t="n">
        <f aca="false">D81*Parametros!$B$7*(1-Parametros!$B$8)</f>
        <v>288035.337423313</v>
      </c>
      <c r="F81" s="9" t="n">
        <f aca="false">D81*Parametros!$B$9+Parametros!$B$10</f>
        <v>48284.6625766871</v>
      </c>
      <c r="G81" s="9" t="n">
        <f aca="false">Parametros!$B$11/Parametros!$B$14</f>
        <v>75000</v>
      </c>
      <c r="H81" s="9" t="n">
        <f aca="false">MAX(0,E81-F81-G81)*Parametros!$B$13</f>
        <v>0</v>
      </c>
      <c r="I81" s="9" t="n">
        <f aca="false">E81-F81-H81</f>
        <v>239750.674846626</v>
      </c>
      <c r="J81" s="9" t="n">
        <f aca="false">I81/(1+Parametros!$B$12)^B81</f>
        <v>131101.048676008</v>
      </c>
      <c r="K81" s="9" t="n">
        <f aca="false">K80+I81</f>
        <v>28906836.0954832</v>
      </c>
    </row>
    <row r="82" customFormat="false" ht="15" hidden="false" customHeight="false" outlineLevel="0" collapsed="false">
      <c r="A82" s="0" t="n">
        <v>77</v>
      </c>
      <c r="B82" s="10" t="n">
        <f aca="false">A82/12</f>
        <v>6.41666666666667</v>
      </c>
      <c r="C82" s="11" t="n">
        <f aca="false">Parametros!$B$5/(1+Parametros!$B$6*B82)</f>
        <v>163.884673748103</v>
      </c>
      <c r="D82" s="9" t="n">
        <f aca="false">C82*30.4</f>
        <v>4982.09408194234</v>
      </c>
      <c r="E82" s="9" t="n">
        <f aca="false">D82*Parametros!$B$7*(1-Parametros!$B$8)</f>
        <v>284975.781487102</v>
      </c>
      <c r="F82" s="9" t="n">
        <f aca="false">D82*Parametros!$B$9+Parametros!$B$10</f>
        <v>47856.7526555387</v>
      </c>
      <c r="G82" s="9" t="n">
        <f aca="false">Parametros!$B$11/Parametros!$B$14</f>
        <v>75000</v>
      </c>
      <c r="H82" s="9" t="n">
        <f aca="false">MAX(0,E82-F82-G82)*Parametros!$B$13</f>
        <v>0</v>
      </c>
      <c r="I82" s="9" t="n">
        <f aca="false">E82-F82-H82</f>
        <v>237119.028831563</v>
      </c>
      <c r="J82" s="9" t="n">
        <f aca="false">I82/(1+Parametros!$B$12)^B82</f>
        <v>128636.242125559</v>
      </c>
      <c r="K82" s="9" t="n">
        <f aca="false">K81+I82</f>
        <v>29143955.1243148</v>
      </c>
    </row>
    <row r="83" customFormat="false" ht="15" hidden="false" customHeight="false" outlineLevel="0" collapsed="false">
      <c r="A83" s="0" t="n">
        <v>78</v>
      </c>
      <c r="B83" s="10" t="n">
        <f aca="false">A83/12</f>
        <v>6.5</v>
      </c>
      <c r="C83" s="11" t="n">
        <f aca="false">Parametros!$B$5/(1+Parametros!$B$6*B83)</f>
        <v>162.162162162162</v>
      </c>
      <c r="D83" s="9" t="n">
        <f aca="false">C83*30.4</f>
        <v>4929.72972972973</v>
      </c>
      <c r="E83" s="9" t="n">
        <f aca="false">D83*Parametros!$B$7*(1-Parametros!$B$8)</f>
        <v>281980.540540541</v>
      </c>
      <c r="F83" s="9" t="n">
        <f aca="false">D83*Parametros!$B$9+Parametros!$B$10</f>
        <v>47437.8378378378</v>
      </c>
      <c r="G83" s="9" t="n">
        <f aca="false">Parametros!$B$11/Parametros!$B$14</f>
        <v>75000</v>
      </c>
      <c r="H83" s="9" t="n">
        <f aca="false">MAX(0,E83-F83-G83)*Parametros!$B$13</f>
        <v>0</v>
      </c>
      <c r="I83" s="9" t="n">
        <f aca="false">E83-F83-H83</f>
        <v>234542.702702703</v>
      </c>
      <c r="J83" s="9" t="n">
        <f aca="false">I83/(1+Parametros!$B$12)^B83</f>
        <v>126232.002515058</v>
      </c>
      <c r="K83" s="9" t="n">
        <f aca="false">K82+I83</f>
        <v>29378497.8270175</v>
      </c>
    </row>
    <row r="84" customFormat="false" ht="15" hidden="false" customHeight="false" outlineLevel="0" collapsed="false">
      <c r="A84" s="0" t="n">
        <v>79</v>
      </c>
      <c r="B84" s="10" t="n">
        <f aca="false">A84/12</f>
        <v>6.58333333333333</v>
      </c>
      <c r="C84" s="11" t="n">
        <f aca="false">Parametros!$B$5/(1+Parametros!$B$6*B84)</f>
        <v>160.475482912333</v>
      </c>
      <c r="D84" s="9" t="n">
        <f aca="false">C84*30.4</f>
        <v>4878.45468053492</v>
      </c>
      <c r="E84" s="9" t="n">
        <f aca="false">D84*Parametros!$B$7*(1-Parametros!$B$8)</f>
        <v>279047.607726597</v>
      </c>
      <c r="F84" s="9" t="n">
        <f aca="false">D84*Parametros!$B$9+Parametros!$B$10</f>
        <v>47027.6374442794</v>
      </c>
      <c r="G84" s="9" t="n">
        <f aca="false">Parametros!$B$11/Parametros!$B$14</f>
        <v>75000</v>
      </c>
      <c r="H84" s="9" t="n">
        <f aca="false">MAX(0,E84-F84-G84)*Parametros!$B$13</f>
        <v>0</v>
      </c>
      <c r="I84" s="9" t="n">
        <f aca="false">E84-F84-H84</f>
        <v>232019.970282318</v>
      </c>
      <c r="J84" s="9" t="n">
        <f aca="false">I84/(1+Parametros!$B$12)^B84</f>
        <v>123886.368580298</v>
      </c>
      <c r="K84" s="9" t="n">
        <f aca="false">K83+I84</f>
        <v>29610517.7972998</v>
      </c>
    </row>
    <row r="85" customFormat="false" ht="15" hidden="false" customHeight="false" outlineLevel="0" collapsed="false">
      <c r="A85" s="0" t="n">
        <v>80</v>
      </c>
      <c r="B85" s="10" t="n">
        <f aca="false">A85/12</f>
        <v>6.66666666666667</v>
      </c>
      <c r="C85" s="11" t="n">
        <f aca="false">Parametros!$B$5/(1+Parametros!$B$6*B85)</f>
        <v>158.823529411765</v>
      </c>
      <c r="D85" s="9" t="n">
        <f aca="false">C85*30.4</f>
        <v>4828.23529411765</v>
      </c>
      <c r="E85" s="9" t="n">
        <f aca="false">D85*Parametros!$B$7*(1-Parametros!$B$8)</f>
        <v>276175.058823529</v>
      </c>
      <c r="F85" s="9" t="n">
        <f aca="false">D85*Parametros!$B$9+Parametros!$B$10</f>
        <v>46625.8823529412</v>
      </c>
      <c r="G85" s="9" t="n">
        <f aca="false">Parametros!$B$11/Parametros!$B$14</f>
        <v>75000</v>
      </c>
      <c r="H85" s="9" t="n">
        <f aca="false">MAX(0,E85-F85-G85)*Parametros!$B$13</f>
        <v>0</v>
      </c>
      <c r="I85" s="9" t="n">
        <f aca="false">E85-F85-H85</f>
        <v>229549.176470588</v>
      </c>
      <c r="J85" s="9" t="n">
        <f aca="false">I85/(1+Parametros!$B$12)^B85</f>
        <v>121597.460395854</v>
      </c>
      <c r="K85" s="9" t="n">
        <f aca="false">K84+I85</f>
        <v>29840066.9737704</v>
      </c>
    </row>
    <row r="86" customFormat="false" ht="15" hidden="false" customHeight="false" outlineLevel="0" collapsed="false">
      <c r="A86" s="0" t="n">
        <v>81</v>
      </c>
      <c r="B86" s="10" t="n">
        <f aca="false">A86/12</f>
        <v>6.75</v>
      </c>
      <c r="C86" s="11" t="n">
        <f aca="false">Parametros!$B$5/(1+Parametros!$B$6*B86)</f>
        <v>157.205240174673</v>
      </c>
      <c r="D86" s="9" t="n">
        <f aca="false">C86*30.4</f>
        <v>4779.03930131004</v>
      </c>
      <c r="E86" s="9" t="n">
        <f aca="false">D86*Parametros!$B$7*(1-Parametros!$B$8)</f>
        <v>273361.048034935</v>
      </c>
      <c r="F86" s="9" t="n">
        <f aca="false">D86*Parametros!$B$9+Parametros!$B$10</f>
        <v>46232.3144104804</v>
      </c>
      <c r="G86" s="9" t="n">
        <f aca="false">Parametros!$B$11/Parametros!$B$14</f>
        <v>75000</v>
      </c>
      <c r="H86" s="9" t="n">
        <f aca="false">MAX(0,E86-F86-G86)*Parametros!$B$13</f>
        <v>0</v>
      </c>
      <c r="I86" s="9" t="n">
        <f aca="false">E86-F86-H86</f>
        <v>227128.733624454</v>
      </c>
      <c r="J86" s="9" t="n">
        <f aca="false">I86/(1+Parametros!$B$12)^B86</f>
        <v>119363.475226454</v>
      </c>
      <c r="K86" s="9" t="n">
        <f aca="false">K85+I86</f>
        <v>30067195.7073948</v>
      </c>
    </row>
    <row r="87" customFormat="false" ht="15" hidden="false" customHeight="false" outlineLevel="0" collapsed="false">
      <c r="A87" s="0" t="n">
        <v>82</v>
      </c>
      <c r="B87" s="10" t="n">
        <f aca="false">A87/12</f>
        <v>6.83333333333333</v>
      </c>
      <c r="C87" s="11" t="n">
        <f aca="false">Parametros!$B$5/(1+Parametros!$B$6*B87)</f>
        <v>155.619596541787</v>
      </c>
      <c r="D87" s="9" t="n">
        <f aca="false">C87*30.4</f>
        <v>4730.83573487032</v>
      </c>
      <c r="E87" s="9" t="n">
        <f aca="false">D87*Parametros!$B$7*(1-Parametros!$B$8)</f>
        <v>270603.804034582</v>
      </c>
      <c r="F87" s="9" t="n">
        <f aca="false">D87*Parametros!$B$9+Parametros!$B$10</f>
        <v>45846.6858789625</v>
      </c>
      <c r="G87" s="9" t="n">
        <f aca="false">Parametros!$B$11/Parametros!$B$14</f>
        <v>75000</v>
      </c>
      <c r="H87" s="9" t="n">
        <f aca="false">MAX(0,E87-F87-G87)*Parametros!$B$13</f>
        <v>0</v>
      </c>
      <c r="I87" s="9" t="n">
        <f aca="false">E87-F87-H87</f>
        <v>224757.11815562</v>
      </c>
      <c r="J87" s="9" t="n">
        <f aca="false">I87/(1+Parametros!$B$12)^B87</f>
        <v>117182.683629479</v>
      </c>
      <c r="K87" s="9" t="n">
        <f aca="false">K86+I87</f>
        <v>30291952.8255505</v>
      </c>
    </row>
    <row r="88" customFormat="false" ht="15" hidden="false" customHeight="false" outlineLevel="0" collapsed="false">
      <c r="A88" s="0" t="n">
        <v>83</v>
      </c>
      <c r="B88" s="10" t="n">
        <f aca="false">A88/12</f>
        <v>6.91666666666667</v>
      </c>
      <c r="C88" s="11" t="n">
        <f aca="false">Parametros!$B$5/(1+Parametros!$B$6*B88)</f>
        <v>154.065620542083</v>
      </c>
      <c r="D88" s="9" t="n">
        <f aca="false">C88*30.4</f>
        <v>4683.59486447932</v>
      </c>
      <c r="E88" s="9" t="n">
        <f aca="false">D88*Parametros!$B$7*(1-Parametros!$B$8)</f>
        <v>267901.626248217</v>
      </c>
      <c r="F88" s="9" t="n">
        <f aca="false">D88*Parametros!$B$9+Parametros!$B$10</f>
        <v>45468.7589158345</v>
      </c>
      <c r="G88" s="9" t="n">
        <f aca="false">Parametros!$B$11/Parametros!$B$14</f>
        <v>75000</v>
      </c>
      <c r="H88" s="9" t="n">
        <f aca="false">MAX(0,E88-F88-G88)*Parametros!$B$13</f>
        <v>0</v>
      </c>
      <c r="I88" s="9" t="n">
        <f aca="false">E88-F88-H88</f>
        <v>222432.867332382</v>
      </c>
      <c r="J88" s="9" t="n">
        <f aca="false">I88/(1+Parametros!$B$12)^B88</f>
        <v>115053.425790996</v>
      </c>
      <c r="K88" s="9" t="n">
        <f aca="false">K87+I88</f>
        <v>30514385.6928828</v>
      </c>
    </row>
    <row r="89" customFormat="false" ht="15" hidden="false" customHeight="false" outlineLevel="0" collapsed="false">
      <c r="A89" s="0" t="n">
        <v>84</v>
      </c>
      <c r="B89" s="10" t="n">
        <f aca="false">A89/12</f>
        <v>7</v>
      </c>
      <c r="C89" s="11" t="n">
        <f aca="false">Parametros!$B$5/(1+Parametros!$B$6*B89)</f>
        <v>152.542372881356</v>
      </c>
      <c r="D89" s="9" t="n">
        <f aca="false">C89*30.4</f>
        <v>4637.28813559322</v>
      </c>
      <c r="E89" s="9" t="n">
        <f aca="false">D89*Parametros!$B$7*(1-Parametros!$B$8)</f>
        <v>265252.881355932</v>
      </c>
      <c r="F89" s="9" t="n">
        <f aca="false">D89*Parametros!$B$9+Parametros!$B$10</f>
        <v>45098.3050847458</v>
      </c>
      <c r="G89" s="9" t="n">
        <f aca="false">Parametros!$B$11/Parametros!$B$14</f>
        <v>75000</v>
      </c>
      <c r="H89" s="9" t="n">
        <f aca="false">MAX(0,E89-F89-G89)*Parametros!$B$13</f>
        <v>0</v>
      </c>
      <c r="I89" s="9" t="n">
        <f aca="false">E89-F89-H89</f>
        <v>220154.576271187</v>
      </c>
      <c r="J89" s="9" t="n">
        <f aca="false">I89/(1+Parametros!$B$12)^B89</f>
        <v>112974.108079201</v>
      </c>
      <c r="K89" s="9" t="n">
        <f aca="false">K88+I89</f>
        <v>30734540.269154</v>
      </c>
    </row>
    <row r="90" customFormat="false" ht="15" hidden="false" customHeight="false" outlineLevel="0" collapsed="false">
      <c r="A90" s="0" t="n">
        <v>85</v>
      </c>
      <c r="B90" s="10" t="n">
        <f aca="false">A90/12</f>
        <v>7.08333333333333</v>
      </c>
      <c r="C90" s="11" t="n">
        <f aca="false">Parametros!$B$5/(1+Parametros!$B$6*B90)</f>
        <v>151.048951048951</v>
      </c>
      <c r="D90" s="9" t="n">
        <f aca="false">C90*30.4</f>
        <v>4591.88811188811</v>
      </c>
      <c r="E90" s="9" t="n">
        <f aca="false">D90*Parametros!$B$7*(1-Parametros!$B$8)</f>
        <v>262656</v>
      </c>
      <c r="F90" s="9" t="n">
        <f aca="false">D90*Parametros!$B$9+Parametros!$B$10</f>
        <v>44735.1048951049</v>
      </c>
      <c r="G90" s="9" t="n">
        <f aca="false">Parametros!$B$11/Parametros!$B$14</f>
        <v>75000</v>
      </c>
      <c r="H90" s="9" t="n">
        <f aca="false">MAX(0,E90-F90-G90)*Parametros!$B$13</f>
        <v>0</v>
      </c>
      <c r="I90" s="9" t="n">
        <f aca="false">E90-F90-H90</f>
        <v>217920.895104895</v>
      </c>
      <c r="J90" s="9" t="n">
        <f aca="false">I90/(1+Parametros!$B$12)^B90</f>
        <v>110943.199800339</v>
      </c>
      <c r="K90" s="9" t="n">
        <f aca="false">K89+I90</f>
        <v>30952461.1642589</v>
      </c>
    </row>
    <row r="91" customFormat="false" ht="15" hidden="false" customHeight="false" outlineLevel="0" collapsed="false">
      <c r="A91" s="0" t="n">
        <v>86</v>
      </c>
      <c r="B91" s="10" t="n">
        <f aca="false">A91/12</f>
        <v>7.16666666666667</v>
      </c>
      <c r="C91" s="11" t="n">
        <f aca="false">Parametros!$B$5/(1+Parametros!$B$6*B91)</f>
        <v>149.584487534626</v>
      </c>
      <c r="D91" s="9" t="n">
        <f aca="false">C91*30.4</f>
        <v>4547.36842105263</v>
      </c>
      <c r="E91" s="9" t="n">
        <f aca="false">D91*Parametros!$B$7*(1-Parametros!$B$8)</f>
        <v>260109.473684211</v>
      </c>
      <c r="F91" s="9" t="n">
        <f aca="false">D91*Parametros!$B$9+Parametros!$B$10</f>
        <v>44378.9473684211</v>
      </c>
      <c r="G91" s="9" t="n">
        <f aca="false">Parametros!$B$11/Parametros!$B$14</f>
        <v>75000</v>
      </c>
      <c r="H91" s="9" t="n">
        <f aca="false">MAX(0,E91-F91-G91)*Parametros!$B$13</f>
        <v>0</v>
      </c>
      <c r="I91" s="9" t="n">
        <f aca="false">E91-F91-H91</f>
        <v>215730.52631579</v>
      </c>
      <c r="J91" s="9" t="n">
        <f aca="false">I91/(1+Parametros!$B$12)^B91</f>
        <v>108959.230143384</v>
      </c>
      <c r="K91" s="9" t="n">
        <f aca="false">K90+I91</f>
        <v>31168191.6905747</v>
      </c>
    </row>
    <row r="92" customFormat="false" ht="15" hidden="false" customHeight="false" outlineLevel="0" collapsed="false">
      <c r="A92" s="0" t="n">
        <v>87</v>
      </c>
      <c r="B92" s="10" t="n">
        <f aca="false">A92/12</f>
        <v>7.25</v>
      </c>
      <c r="C92" s="11" t="n">
        <f aca="false">Parametros!$B$5/(1+Parametros!$B$6*B92)</f>
        <v>148.148148148148</v>
      </c>
      <c r="D92" s="9" t="n">
        <f aca="false">C92*30.4</f>
        <v>4503.7037037037</v>
      </c>
      <c r="E92" s="9" t="n">
        <f aca="false">D92*Parametros!$B$7*(1-Parametros!$B$8)</f>
        <v>257611.851851852</v>
      </c>
      <c r="F92" s="9" t="n">
        <f aca="false">D92*Parametros!$B$9+Parametros!$B$10</f>
        <v>44029.6296296296</v>
      </c>
      <c r="G92" s="9" t="n">
        <f aca="false">Parametros!$B$11/Parametros!$B$14</f>
        <v>75000</v>
      </c>
      <c r="H92" s="9" t="n">
        <f aca="false">MAX(0,E92-F92-G92)*Parametros!$B$13</f>
        <v>0</v>
      </c>
      <c r="I92" s="9" t="n">
        <f aca="false">E92-F92-H92</f>
        <v>213582.222222222</v>
      </c>
      <c r="J92" s="9" t="n">
        <f aca="false">I92/(1+Parametros!$B$12)^B92</f>
        <v>107020.785300772</v>
      </c>
      <c r="K92" s="9" t="n">
        <f aca="false">K91+I92</f>
        <v>31381773.9127969</v>
      </c>
    </row>
    <row r="93" customFormat="false" ht="15" hidden="false" customHeight="false" outlineLevel="0" collapsed="false">
      <c r="A93" s="0" t="n">
        <v>88</v>
      </c>
      <c r="B93" s="10" t="n">
        <f aca="false">A93/12</f>
        <v>7.33333333333333</v>
      </c>
      <c r="C93" s="11" t="n">
        <f aca="false">Parametros!$B$5/(1+Parametros!$B$6*B93)</f>
        <v>146.739130434783</v>
      </c>
      <c r="D93" s="9" t="n">
        <f aca="false">C93*30.4</f>
        <v>4460.86956521739</v>
      </c>
      <c r="E93" s="9" t="n">
        <f aca="false">D93*Parametros!$B$7*(1-Parametros!$B$8)</f>
        <v>255161.739130435</v>
      </c>
      <c r="F93" s="9" t="n">
        <f aca="false">D93*Parametros!$B$9+Parametros!$B$10</f>
        <v>43686.9565217391</v>
      </c>
      <c r="G93" s="9" t="n">
        <f aca="false">Parametros!$B$11/Parametros!$B$14</f>
        <v>75000</v>
      </c>
      <c r="H93" s="9" t="n">
        <f aca="false">MAX(0,E93-F93-G93)*Parametros!$B$13</f>
        <v>0</v>
      </c>
      <c r="I93" s="9" t="n">
        <f aca="false">E93-F93-H93</f>
        <v>211474.782608696</v>
      </c>
      <c r="J93" s="9" t="n">
        <f aca="false">I93/(1+Parametros!$B$12)^B93</f>
        <v>105126.505753479</v>
      </c>
      <c r="K93" s="9" t="n">
        <f aca="false">K92+I93</f>
        <v>31593248.6954056</v>
      </c>
    </row>
    <row r="94" customFormat="false" ht="15" hidden="false" customHeight="false" outlineLevel="0" collapsed="false">
      <c r="A94" s="0" t="n">
        <v>89</v>
      </c>
      <c r="B94" s="10" t="n">
        <f aca="false">A94/12</f>
        <v>7.41666666666667</v>
      </c>
      <c r="C94" s="11" t="n">
        <f aca="false">Parametros!$B$5/(1+Parametros!$B$6*B94)</f>
        <v>145.35666218035</v>
      </c>
      <c r="D94" s="9" t="n">
        <f aca="false">C94*30.4</f>
        <v>4418.84253028264</v>
      </c>
      <c r="E94" s="9" t="n">
        <f aca="false">D94*Parametros!$B$7*(1-Parametros!$B$8)</f>
        <v>252757.792732167</v>
      </c>
      <c r="F94" s="9" t="n">
        <f aca="false">D94*Parametros!$B$9+Parametros!$B$10</f>
        <v>43350.7402422611</v>
      </c>
      <c r="G94" s="9" t="n">
        <f aca="false">Parametros!$B$11/Parametros!$B$14</f>
        <v>75000</v>
      </c>
      <c r="H94" s="9" t="n">
        <f aca="false">MAX(0,E94-F94-G94)*Parametros!$B$13</f>
        <v>0</v>
      </c>
      <c r="I94" s="9" t="n">
        <f aca="false">E94-F94-H94</f>
        <v>209407.052489906</v>
      </c>
      <c r="J94" s="9" t="n">
        <f aca="false">I94/(1+Parametros!$B$12)^B94</f>
        <v>103275.083709602</v>
      </c>
      <c r="K94" s="9" t="n">
        <f aca="false">K93+I94</f>
        <v>31802655.7478955</v>
      </c>
    </row>
    <row r="95" customFormat="false" ht="15" hidden="false" customHeight="false" outlineLevel="0" collapsed="false">
      <c r="A95" s="0" t="n">
        <v>90</v>
      </c>
      <c r="B95" s="10" t="n">
        <f aca="false">A95/12</f>
        <v>7.5</v>
      </c>
      <c r="C95" s="11" t="n">
        <f aca="false">Parametros!$B$5/(1+Parametros!$B$6*B95)</f>
        <v>144</v>
      </c>
      <c r="D95" s="9" t="n">
        <f aca="false">C95*30.4</f>
        <v>4377.6</v>
      </c>
      <c r="E95" s="9" t="n">
        <f aca="false">D95*Parametros!$B$7*(1-Parametros!$B$8)</f>
        <v>250398.72</v>
      </c>
      <c r="F95" s="9" t="n">
        <f aca="false">D95*Parametros!$B$9+Parametros!$B$10</f>
        <v>43020.8</v>
      </c>
      <c r="G95" s="9" t="n">
        <f aca="false">Parametros!$B$11/Parametros!$B$14</f>
        <v>75000</v>
      </c>
      <c r="H95" s="9" t="n">
        <f aca="false">MAX(0,E95-F95-G95)*Parametros!$B$13</f>
        <v>0</v>
      </c>
      <c r="I95" s="9" t="n">
        <f aca="false">E95-F95-H95</f>
        <v>207377.92</v>
      </c>
      <c r="J95" s="9" t="n">
        <f aca="false">I95/(1+Parametros!$B$12)^B95</f>
        <v>101465.26068641</v>
      </c>
      <c r="K95" s="9" t="n">
        <f aca="false">K94+I95</f>
        <v>32010033.6678955</v>
      </c>
    </row>
    <row r="96" customFormat="false" ht="15" hidden="false" customHeight="false" outlineLevel="0" collapsed="false">
      <c r="A96" s="0" t="n">
        <v>91</v>
      </c>
      <c r="B96" s="10" t="n">
        <f aca="false">A96/12</f>
        <v>7.58333333333333</v>
      </c>
      <c r="C96" s="11" t="n">
        <f aca="false">Parametros!$B$5/(1+Parametros!$B$6*B96)</f>
        <v>142.668428005284</v>
      </c>
      <c r="D96" s="9" t="n">
        <f aca="false">C96*30.4</f>
        <v>4337.12021136063</v>
      </c>
      <c r="E96" s="9" t="n">
        <f aca="false">D96*Parametros!$B$7*(1-Parametros!$B$8)</f>
        <v>248083.276089828</v>
      </c>
      <c r="F96" s="9" t="n">
        <f aca="false">D96*Parametros!$B$9+Parametros!$B$10</f>
        <v>42696.9616908851</v>
      </c>
      <c r="G96" s="9" t="n">
        <f aca="false">Parametros!$B$11/Parametros!$B$14</f>
        <v>75000</v>
      </c>
      <c r="H96" s="9" t="n">
        <f aca="false">MAX(0,E96-F96-G96)*Parametros!$B$13</f>
        <v>0</v>
      </c>
      <c r="I96" s="9" t="n">
        <f aca="false">E96-F96-H96</f>
        <v>205386.314398943</v>
      </c>
      <c r="J96" s="9" t="n">
        <f aca="false">I96/(1+Parametros!$B$12)^B96</f>
        <v>99695.82522658</v>
      </c>
      <c r="K96" s="9" t="n">
        <f aca="false">K95+I96</f>
        <v>32215419.9822945</v>
      </c>
    </row>
    <row r="97" customFormat="false" ht="15" hidden="false" customHeight="false" outlineLevel="0" collapsed="false">
      <c r="A97" s="0" t="n">
        <v>92</v>
      </c>
      <c r="B97" s="10" t="n">
        <f aca="false">A97/12</f>
        <v>7.66666666666667</v>
      </c>
      <c r="C97" s="11" t="n">
        <f aca="false">Parametros!$B$5/(1+Parametros!$B$6*B97)</f>
        <v>141.361256544503</v>
      </c>
      <c r="D97" s="9" t="n">
        <f aca="false">C97*30.4</f>
        <v>4297.38219895288</v>
      </c>
      <c r="E97" s="9" t="n">
        <f aca="false">D97*Parametros!$B$7*(1-Parametros!$B$8)</f>
        <v>245810.261780105</v>
      </c>
      <c r="F97" s="9" t="n">
        <f aca="false">D97*Parametros!$B$9+Parametros!$B$10</f>
        <v>42379.057591623</v>
      </c>
      <c r="G97" s="9" t="n">
        <f aca="false">Parametros!$B$11/Parametros!$B$14</f>
        <v>75000</v>
      </c>
      <c r="H97" s="9" t="n">
        <f aca="false">MAX(0,E97-F97-G97)*Parametros!$B$13</f>
        <v>0</v>
      </c>
      <c r="I97" s="9" t="n">
        <f aca="false">E97-F97-H97</f>
        <v>203431.204188482</v>
      </c>
      <c r="J97" s="9" t="n">
        <f aca="false">I97/(1+Parametros!$B$12)^B97</f>
        <v>97965.6107400157</v>
      </c>
      <c r="K97" s="9" t="n">
        <f aca="false">K96+I97</f>
        <v>32418851.186483</v>
      </c>
    </row>
    <row r="98" customFormat="false" ht="15" hidden="false" customHeight="false" outlineLevel="0" collapsed="false">
      <c r="A98" s="0" t="n">
        <v>93</v>
      </c>
      <c r="B98" s="10" t="n">
        <f aca="false">A98/12</f>
        <v>7.75</v>
      </c>
      <c r="C98" s="11" t="n">
        <f aca="false">Parametros!$B$5/(1+Parametros!$B$6*B98)</f>
        <v>140.077821011673</v>
      </c>
      <c r="D98" s="9" t="n">
        <f aca="false">C98*30.4</f>
        <v>4258.36575875486</v>
      </c>
      <c r="E98" s="9" t="n">
        <f aca="false">D98*Parametros!$B$7*(1-Parametros!$B$8)</f>
        <v>243578.521400778</v>
      </c>
      <c r="F98" s="9" t="n">
        <f aca="false">D98*Parametros!$B$9+Parametros!$B$10</f>
        <v>42066.9260700389</v>
      </c>
      <c r="G98" s="9" t="n">
        <f aca="false">Parametros!$B$11/Parametros!$B$14</f>
        <v>75000</v>
      </c>
      <c r="H98" s="9" t="n">
        <f aca="false">MAX(0,E98-F98-G98)*Parametros!$B$13</f>
        <v>0</v>
      </c>
      <c r="I98" s="9" t="n">
        <f aca="false">E98-F98-H98</f>
        <v>201511.595330739</v>
      </c>
      <c r="J98" s="9" t="n">
        <f aca="false">I98/(1+Parametros!$B$12)^B98</f>
        <v>96273.4934632613</v>
      </c>
      <c r="K98" s="9" t="n">
        <f aca="false">K97+I98</f>
        <v>32620362.7818137</v>
      </c>
    </row>
    <row r="99" customFormat="false" ht="15" hidden="false" customHeight="false" outlineLevel="0" collapsed="false">
      <c r="A99" s="0" t="n">
        <v>94</v>
      </c>
      <c r="B99" s="10" t="n">
        <f aca="false">A99/12</f>
        <v>7.83333333333333</v>
      </c>
      <c r="C99" s="11" t="n">
        <f aca="false">Parametros!$B$5/(1+Parametros!$B$6*B99)</f>
        <v>138.817480719794</v>
      </c>
      <c r="D99" s="9" t="n">
        <f aca="false">C99*30.4</f>
        <v>4220.05141388175</v>
      </c>
      <c r="E99" s="9" t="n">
        <f aca="false">D99*Parametros!$B$7*(1-Parametros!$B$8)</f>
        <v>241386.940874036</v>
      </c>
      <c r="F99" s="9" t="n">
        <f aca="false">D99*Parametros!$B$9+Parametros!$B$10</f>
        <v>41760.411311054</v>
      </c>
      <c r="G99" s="9" t="n">
        <f aca="false">Parametros!$B$11/Parametros!$B$14</f>
        <v>75000</v>
      </c>
      <c r="H99" s="9" t="n">
        <f aca="false">MAX(0,E99-F99-G99)*Parametros!$B$13</f>
        <v>0</v>
      </c>
      <c r="I99" s="9" t="n">
        <f aca="false">E99-F99-H99</f>
        <v>199626.529562982</v>
      </c>
      <c r="J99" s="9" t="n">
        <f aca="false">I99/(1+Parametros!$B$12)^B99</f>
        <v>94618.3905291074</v>
      </c>
      <c r="K99" s="9" t="n">
        <f aca="false">K98+I99</f>
        <v>32819989.3113767</v>
      </c>
    </row>
    <row r="100" customFormat="false" ht="15" hidden="false" customHeight="false" outlineLevel="0" collapsed="false">
      <c r="A100" s="0" t="n">
        <v>95</v>
      </c>
      <c r="B100" s="10" t="n">
        <f aca="false">A100/12</f>
        <v>7.91666666666667</v>
      </c>
      <c r="C100" s="11" t="n">
        <f aca="false">Parametros!$B$5/(1+Parametros!$B$6*B100)</f>
        <v>137.579617834395</v>
      </c>
      <c r="D100" s="9" t="n">
        <f aca="false">C100*30.4</f>
        <v>4182.42038216561</v>
      </c>
      <c r="E100" s="9" t="n">
        <f aca="false">D100*Parametros!$B$7*(1-Parametros!$B$8)</f>
        <v>239234.445859873</v>
      </c>
      <c r="F100" s="9" t="n">
        <f aca="false">D100*Parametros!$B$9+Parametros!$B$10</f>
        <v>41459.3630573248</v>
      </c>
      <c r="G100" s="9" t="n">
        <f aca="false">Parametros!$B$11/Parametros!$B$14</f>
        <v>75000</v>
      </c>
      <c r="H100" s="9" t="n">
        <f aca="false">MAX(0,E100-F100-G100)*Parametros!$B$13</f>
        <v>0</v>
      </c>
      <c r="I100" s="9" t="n">
        <f aca="false">E100-F100-H100</f>
        <v>197775.082802548</v>
      </c>
      <c r="J100" s="9" t="n">
        <f aca="false">I100/(1+Parametros!$B$12)^B100</f>
        <v>92999.2581395091</v>
      </c>
      <c r="K100" s="9" t="n">
        <f aca="false">K99+I100</f>
        <v>33017764.3941792</v>
      </c>
    </row>
    <row r="101" customFormat="false" ht="15" hidden="false" customHeight="false" outlineLevel="0" collapsed="false">
      <c r="A101" s="0" t="n">
        <v>96</v>
      </c>
      <c r="B101" s="10" t="n">
        <f aca="false">A101/12</f>
        <v>8</v>
      </c>
      <c r="C101" s="11" t="n">
        <f aca="false">Parametros!$B$5/(1+Parametros!$B$6*B101)</f>
        <v>136.363636363636</v>
      </c>
      <c r="D101" s="9" t="n">
        <f aca="false">C101*30.4</f>
        <v>4145.45454545455</v>
      </c>
      <c r="E101" s="9" t="n">
        <f aca="false">D101*Parametros!$B$7*(1-Parametros!$B$8)</f>
        <v>237120</v>
      </c>
      <c r="F101" s="9" t="n">
        <f aca="false">D101*Parametros!$B$9+Parametros!$B$10</f>
        <v>41163.6363636364</v>
      </c>
      <c r="G101" s="9" t="n">
        <f aca="false">Parametros!$B$11/Parametros!$B$14</f>
        <v>75000</v>
      </c>
      <c r="H101" s="9" t="n">
        <f aca="false">MAX(0,E101-F101-G101)*Parametros!$B$13</f>
        <v>0</v>
      </c>
      <c r="I101" s="9" t="n">
        <f aca="false">E101-F101-H101</f>
        <v>195956.363636364</v>
      </c>
      <c r="J101" s="9" t="n">
        <f aca="false">I101/(1+Parametros!$B$12)^B101</f>
        <v>91415.0898354258</v>
      </c>
      <c r="K101" s="9" t="n">
        <f aca="false">K100+I101</f>
        <v>33213720.7578156</v>
      </c>
    </row>
    <row r="102" customFormat="false" ht="15" hidden="false" customHeight="false" outlineLevel="0" collapsed="false">
      <c r="A102" s="0" t="n">
        <v>97</v>
      </c>
      <c r="B102" s="10" t="n">
        <f aca="false">A102/12</f>
        <v>8.08333333333333</v>
      </c>
      <c r="C102" s="11" t="n">
        <f aca="false">Parametros!$B$5/(1+Parametros!$B$6*B102)</f>
        <v>135.168961201502</v>
      </c>
      <c r="D102" s="9" t="n">
        <f aca="false">C102*30.4</f>
        <v>4109.13642052566</v>
      </c>
      <c r="E102" s="9" t="n">
        <f aca="false">D102*Parametros!$B$7*(1-Parametros!$B$8)</f>
        <v>235042.603254068</v>
      </c>
      <c r="F102" s="9" t="n">
        <f aca="false">D102*Parametros!$B$9+Parametros!$B$10</f>
        <v>40873.0913642053</v>
      </c>
      <c r="G102" s="9" t="n">
        <f aca="false">Parametros!$B$11/Parametros!$B$14</f>
        <v>75000</v>
      </c>
      <c r="H102" s="9" t="n">
        <f aca="false">MAX(0,E102-F102-G102)*Parametros!$B$13</f>
        <v>0</v>
      </c>
      <c r="I102" s="9" t="n">
        <f aca="false">E102-F102-H102</f>
        <v>194169.511889862</v>
      </c>
      <c r="J102" s="9" t="n">
        <f aca="false">I102/(1+Parametros!$B$12)^B102</f>
        <v>89864.914857636</v>
      </c>
      <c r="K102" s="9" t="n">
        <f aca="false">K101+I102</f>
        <v>33407890.2697055</v>
      </c>
    </row>
    <row r="103" customFormat="false" ht="15" hidden="false" customHeight="false" outlineLevel="0" collapsed="false">
      <c r="A103" s="0" t="n">
        <v>98</v>
      </c>
      <c r="B103" s="10" t="n">
        <f aca="false">A103/12</f>
        <v>8.16666666666667</v>
      </c>
      <c r="C103" s="11" t="n">
        <f aca="false">Parametros!$B$5/(1+Parametros!$B$6*B103)</f>
        <v>133.995037220844</v>
      </c>
      <c r="D103" s="9" t="n">
        <f aca="false">C103*30.4</f>
        <v>4073.44913151365</v>
      </c>
      <c r="E103" s="9" t="n">
        <f aca="false">D103*Parametros!$B$7*(1-Parametros!$B$8)</f>
        <v>233001.290322581</v>
      </c>
      <c r="F103" s="9" t="n">
        <f aca="false">D103*Parametros!$B$9+Parametros!$B$10</f>
        <v>40587.5930521092</v>
      </c>
      <c r="G103" s="9" t="n">
        <f aca="false">Parametros!$B$11/Parametros!$B$14</f>
        <v>75000</v>
      </c>
      <c r="H103" s="9" t="n">
        <f aca="false">MAX(0,E103-F103-G103)*Parametros!$B$13</f>
        <v>0</v>
      </c>
      <c r="I103" s="9" t="n">
        <f aca="false">E103-F103-H103</f>
        <v>192413.697270472</v>
      </c>
      <c r="J103" s="9" t="n">
        <f aca="false">I103/(1+Parametros!$B$12)^B103</f>
        <v>88347.7965929991</v>
      </c>
      <c r="K103" s="9" t="n">
        <f aca="false">K102+I103</f>
        <v>33600303.9669759</v>
      </c>
    </row>
    <row r="104" customFormat="false" ht="15" hidden="false" customHeight="false" outlineLevel="0" collapsed="false">
      <c r="A104" s="0" t="n">
        <v>99</v>
      </c>
      <c r="B104" s="10" t="n">
        <f aca="false">A104/12</f>
        <v>8.25</v>
      </c>
      <c r="C104" s="11" t="n">
        <f aca="false">Parametros!$B$5/(1+Parametros!$B$6*B104)</f>
        <v>132.841328413284</v>
      </c>
      <c r="D104" s="9" t="n">
        <f aca="false">C104*30.4</f>
        <v>4038.37638376384</v>
      </c>
      <c r="E104" s="9" t="n">
        <f aca="false">D104*Parametros!$B$7*(1-Parametros!$B$8)</f>
        <v>230995.129151292</v>
      </c>
      <c r="F104" s="9" t="n">
        <f aca="false">D104*Parametros!$B$9+Parametros!$B$10</f>
        <v>40307.0110701107</v>
      </c>
      <c r="G104" s="9" t="n">
        <f aca="false">Parametros!$B$11/Parametros!$B$14</f>
        <v>75000</v>
      </c>
      <c r="H104" s="9" t="n">
        <f aca="false">MAX(0,E104-F104-G104)*Parametros!$B$13</f>
        <v>0</v>
      </c>
      <c r="I104" s="9" t="n">
        <f aca="false">E104-F104-H104</f>
        <v>190688.118081181</v>
      </c>
      <c r="J104" s="9" t="n">
        <f aca="false">I104/(1+Parametros!$B$12)^B104</f>
        <v>86862.8311010115</v>
      </c>
      <c r="K104" s="9" t="n">
        <f aca="false">K103+I104</f>
        <v>33790992.0850571</v>
      </c>
    </row>
    <row r="105" customFormat="false" ht="15" hidden="false" customHeight="false" outlineLevel="0" collapsed="false">
      <c r="A105" s="0" t="n">
        <v>100</v>
      </c>
      <c r="B105" s="10" t="n">
        <f aca="false">A105/12</f>
        <v>8.33333333333333</v>
      </c>
      <c r="C105" s="11" t="n">
        <f aca="false">Parametros!$B$5/(1+Parametros!$B$6*B105)</f>
        <v>131.707317073171</v>
      </c>
      <c r="D105" s="9" t="n">
        <f aca="false">C105*30.4</f>
        <v>4003.90243902439</v>
      </c>
      <c r="E105" s="9" t="n">
        <f aca="false">D105*Parametros!$B$7*(1-Parametros!$B$8)</f>
        <v>229023.219512195</v>
      </c>
      <c r="F105" s="9" t="n">
        <f aca="false">D105*Parametros!$B$9+Parametros!$B$10</f>
        <v>40031.2195121951</v>
      </c>
      <c r="G105" s="9" t="n">
        <f aca="false">Parametros!$B$11/Parametros!$B$14</f>
        <v>75000</v>
      </c>
      <c r="H105" s="9" t="n">
        <f aca="false">MAX(0,E105-F105-G105)*Parametros!$B$13</f>
        <v>0</v>
      </c>
      <c r="I105" s="9" t="n">
        <f aca="false">E105-F105-H105</f>
        <v>188992</v>
      </c>
      <c r="J105" s="9" t="n">
        <f aca="false">I105/(1+Parametros!$B$12)^B105</f>
        <v>85409.1457158602</v>
      </c>
      <c r="K105" s="9" t="n">
        <f aca="false">K104+I105</f>
        <v>33979984.0850571</v>
      </c>
    </row>
    <row r="106" customFormat="false" ht="15" hidden="false" customHeight="false" outlineLevel="0" collapsed="false">
      <c r="A106" s="0" t="n">
        <v>101</v>
      </c>
      <c r="B106" s="10" t="n">
        <f aca="false">A106/12</f>
        <v>8.41666666666667</v>
      </c>
      <c r="C106" s="11" t="n">
        <f aca="false">Parametros!$B$5/(1+Parametros!$B$6*B106)</f>
        <v>130.592503022975</v>
      </c>
      <c r="D106" s="9" t="n">
        <f aca="false">C106*30.4</f>
        <v>3970.01209189843</v>
      </c>
      <c r="E106" s="9" t="n">
        <f aca="false">D106*Parametros!$B$7*(1-Parametros!$B$8)</f>
        <v>227084.69165659</v>
      </c>
      <c r="F106" s="9" t="n">
        <f aca="false">D106*Parametros!$B$9+Parametros!$B$10</f>
        <v>39760.0967351874</v>
      </c>
      <c r="G106" s="9" t="n">
        <f aca="false">Parametros!$B$11/Parametros!$B$14</f>
        <v>75000</v>
      </c>
      <c r="H106" s="9" t="n">
        <f aca="false">MAX(0,E106-F106-G106)*Parametros!$B$13</f>
        <v>0</v>
      </c>
      <c r="I106" s="9" t="n">
        <f aca="false">E106-F106-H106</f>
        <v>187324.594921403</v>
      </c>
      <c r="J106" s="9" t="n">
        <f aca="false">I106/(1+Parametros!$B$12)^B106</f>
        <v>83985.8977195005</v>
      </c>
      <c r="K106" s="9" t="n">
        <f aca="false">K105+I106</f>
        <v>34167308.6799785</v>
      </c>
    </row>
    <row r="107" customFormat="false" ht="15" hidden="false" customHeight="false" outlineLevel="0" collapsed="false">
      <c r="A107" s="0" t="n">
        <v>102</v>
      </c>
      <c r="B107" s="10" t="n">
        <f aca="false">A107/12</f>
        <v>8.5</v>
      </c>
      <c r="C107" s="11" t="n">
        <f aca="false">Parametros!$B$5/(1+Parametros!$B$6*B107)</f>
        <v>129.496402877698</v>
      </c>
      <c r="D107" s="9" t="n">
        <f aca="false">C107*30.4</f>
        <v>3936.69064748201</v>
      </c>
      <c r="E107" s="9" t="n">
        <f aca="false">D107*Parametros!$B$7*(1-Parametros!$B$8)</f>
        <v>225178.705035971</v>
      </c>
      <c r="F107" s="9" t="n">
        <f aca="false">D107*Parametros!$B$9+Parametros!$B$10</f>
        <v>39493.5251798561</v>
      </c>
      <c r="G107" s="9" t="n">
        <f aca="false">Parametros!$B$11/Parametros!$B$14</f>
        <v>75000</v>
      </c>
      <c r="H107" s="9" t="n">
        <f aca="false">MAX(0,E107-F107-G107)*Parametros!$B$13</f>
        <v>0</v>
      </c>
      <c r="I107" s="9" t="n">
        <f aca="false">E107-F107-H107</f>
        <v>185685.179856115</v>
      </c>
      <c r="J107" s="9" t="n">
        <f aca="false">I107/(1+Parametros!$B$12)^B107</f>
        <v>82592.2730815827</v>
      </c>
      <c r="K107" s="9" t="n">
        <f aca="false">K106+I107</f>
        <v>34352993.8598346</v>
      </c>
    </row>
    <row r="108" customFormat="false" ht="15" hidden="false" customHeight="false" outlineLevel="0" collapsed="false">
      <c r="A108" s="0" t="n">
        <v>103</v>
      </c>
      <c r="B108" s="10" t="n">
        <f aca="false">A108/12</f>
        <v>8.58333333333333</v>
      </c>
      <c r="C108" s="11" t="n">
        <f aca="false">Parametros!$B$5/(1+Parametros!$B$6*B108)</f>
        <v>128.418549346017</v>
      </c>
      <c r="D108" s="9" t="n">
        <f aca="false">C108*30.4</f>
        <v>3903.92390011891</v>
      </c>
      <c r="E108" s="9" t="n">
        <f aca="false">D108*Parametros!$B$7*(1-Parametros!$B$8)</f>
        <v>223304.447086801</v>
      </c>
      <c r="F108" s="9" t="n">
        <f aca="false">D108*Parametros!$B$9+Parametros!$B$10</f>
        <v>39231.3912009512</v>
      </c>
      <c r="G108" s="9" t="n">
        <f aca="false">Parametros!$B$11/Parametros!$B$14</f>
        <v>75000</v>
      </c>
      <c r="H108" s="9" t="n">
        <f aca="false">MAX(0,E108-F108-G108)*Parametros!$B$13</f>
        <v>0</v>
      </c>
      <c r="I108" s="9" t="n">
        <f aca="false">E108-F108-H108</f>
        <v>184073.05588585</v>
      </c>
      <c r="J108" s="9" t="n">
        <f aca="false">I108/(1+Parametros!$B$12)^B108</f>
        <v>81227.4852623359</v>
      </c>
      <c r="K108" s="9" t="n">
        <f aca="false">K107+I108</f>
        <v>34537066.9157205</v>
      </c>
    </row>
    <row r="109" customFormat="false" ht="15" hidden="false" customHeight="false" outlineLevel="0" collapsed="false">
      <c r="A109" s="0" t="n">
        <v>104</v>
      </c>
      <c r="B109" s="10" t="n">
        <f aca="false">A109/12</f>
        <v>8.66666666666667</v>
      </c>
      <c r="C109" s="11" t="n">
        <f aca="false">Parametros!$B$5/(1+Parametros!$B$6*B109)</f>
        <v>127.358490566038</v>
      </c>
      <c r="D109" s="9" t="n">
        <f aca="false">C109*30.4</f>
        <v>3871.69811320755</v>
      </c>
      <c r="E109" s="9" t="n">
        <f aca="false">D109*Parametros!$B$7*(1-Parametros!$B$8)</f>
        <v>221461.132075472</v>
      </c>
      <c r="F109" s="9" t="n">
        <f aca="false">D109*Parametros!$B$9+Parametros!$B$10</f>
        <v>38973.5849056604</v>
      </c>
      <c r="G109" s="9" t="n">
        <f aca="false">Parametros!$B$11/Parametros!$B$14</f>
        <v>75000</v>
      </c>
      <c r="H109" s="9" t="n">
        <f aca="false">MAX(0,E109-F109-G109)*Parametros!$B$13</f>
        <v>0</v>
      </c>
      <c r="I109" s="9" t="n">
        <f aca="false">E109-F109-H109</f>
        <v>182487.547169811</v>
      </c>
      <c r="J109" s="9" t="n">
        <f aca="false">I109/(1+Parametros!$B$12)^B109</f>
        <v>79890.774074768</v>
      </c>
      <c r="K109" s="9" t="n">
        <f aca="false">K108+I109</f>
        <v>34719554.4628903</v>
      </c>
    </row>
    <row r="110" customFormat="false" ht="15" hidden="false" customHeight="false" outlineLevel="0" collapsed="false">
      <c r="A110" s="0" t="n">
        <v>105</v>
      </c>
      <c r="B110" s="10" t="n">
        <f aca="false">A110/12</f>
        <v>8.75</v>
      </c>
      <c r="C110" s="11" t="n">
        <f aca="false">Parametros!$B$5/(1+Parametros!$B$6*B110)</f>
        <v>126.315789473684</v>
      </c>
      <c r="D110" s="9" t="n">
        <f aca="false">C110*30.4</f>
        <v>3840</v>
      </c>
      <c r="E110" s="9" t="n">
        <f aca="false">D110*Parametros!$B$7*(1-Parametros!$B$8)</f>
        <v>219648</v>
      </c>
      <c r="F110" s="9" t="n">
        <f aca="false">D110*Parametros!$B$9+Parametros!$B$10</f>
        <v>38720</v>
      </c>
      <c r="G110" s="9" t="n">
        <f aca="false">Parametros!$B$11/Parametros!$B$14</f>
        <v>75000</v>
      </c>
      <c r="H110" s="9" t="n">
        <f aca="false">MAX(0,E110-F110-G110)*Parametros!$B$13</f>
        <v>0</v>
      </c>
      <c r="I110" s="9" t="n">
        <f aca="false">E110-F110-H110</f>
        <v>180928</v>
      </c>
      <c r="J110" s="9" t="n">
        <f aca="false">I110/(1+Parametros!$B$12)^B110</f>
        <v>78581.4046027836</v>
      </c>
      <c r="K110" s="9" t="n">
        <f aca="false">K109+I110</f>
        <v>34900482.4628903</v>
      </c>
    </row>
    <row r="111" customFormat="false" ht="15" hidden="false" customHeight="false" outlineLevel="0" collapsed="false">
      <c r="A111" s="0" t="n">
        <v>106</v>
      </c>
      <c r="B111" s="10" t="n">
        <f aca="false">A111/12</f>
        <v>8.83333333333333</v>
      </c>
      <c r="C111" s="11" t="n">
        <f aca="false">Parametros!$B$5/(1+Parametros!$B$6*B111)</f>
        <v>125.290023201856</v>
      </c>
      <c r="D111" s="9" t="n">
        <f aca="false">C111*30.4</f>
        <v>3808.81670533643</v>
      </c>
      <c r="E111" s="9" t="n">
        <f aca="false">D111*Parametros!$B$7*(1-Parametros!$B$8)</f>
        <v>217864.315545244</v>
      </c>
      <c r="F111" s="9" t="n">
        <f aca="false">D111*Parametros!$B$9+Parametros!$B$10</f>
        <v>38470.5336426914</v>
      </c>
      <c r="G111" s="9" t="n">
        <f aca="false">Parametros!$B$11/Parametros!$B$14</f>
        <v>75000</v>
      </c>
      <c r="H111" s="9" t="n">
        <f aca="false">MAX(0,E111-F111-G111)*Parametros!$B$13</f>
        <v>0</v>
      </c>
      <c r="I111" s="9" t="n">
        <f aca="false">E111-F111-H111</f>
        <v>179393.781902552</v>
      </c>
      <c r="J111" s="9" t="n">
        <f aca="false">I111/(1+Parametros!$B$12)^B111</f>
        <v>77298.6661720409</v>
      </c>
      <c r="K111" s="9" t="n">
        <f aca="false">K110+I111</f>
        <v>35079876.2447929</v>
      </c>
    </row>
    <row r="112" customFormat="false" ht="15" hidden="false" customHeight="false" outlineLevel="0" collapsed="false">
      <c r="A112" s="0" t="n">
        <v>107</v>
      </c>
      <c r="B112" s="10" t="n">
        <f aca="false">A112/12</f>
        <v>8.91666666666667</v>
      </c>
      <c r="C112" s="11" t="n">
        <f aca="false">Parametros!$B$5/(1+Parametros!$B$6*B112)</f>
        <v>124.280782508631</v>
      </c>
      <c r="D112" s="9" t="n">
        <f aca="false">C112*30.4</f>
        <v>3778.13578826237</v>
      </c>
      <c r="E112" s="9" t="n">
        <f aca="false">D112*Parametros!$B$7*(1-Parametros!$B$8)</f>
        <v>216109.367088608</v>
      </c>
      <c r="F112" s="9" t="n">
        <f aca="false">D112*Parametros!$B$9+Parametros!$B$10</f>
        <v>38225.086306099</v>
      </c>
      <c r="G112" s="9" t="n">
        <f aca="false">Parametros!$B$11/Parametros!$B$14</f>
        <v>75000</v>
      </c>
      <c r="H112" s="9" t="n">
        <f aca="false">MAX(0,E112-F112-G112)*Parametros!$B$13</f>
        <v>0</v>
      </c>
      <c r="I112" s="9" t="n">
        <f aca="false">E112-F112-H112</f>
        <v>177884.280782509</v>
      </c>
      <c r="J112" s="9" t="n">
        <f aca="false">I112/(1+Parametros!$B$12)^B112</f>
        <v>76041.8713705735</v>
      </c>
      <c r="K112" s="9" t="n">
        <f aca="false">K111+I112</f>
        <v>35257760.5255754</v>
      </c>
    </row>
    <row r="113" customFormat="false" ht="15" hidden="false" customHeight="false" outlineLevel="0" collapsed="false">
      <c r="A113" s="0" t="n">
        <v>108</v>
      </c>
      <c r="B113" s="10" t="n">
        <f aca="false">A113/12</f>
        <v>9</v>
      </c>
      <c r="C113" s="11" t="n">
        <f aca="false">Parametros!$B$5/(1+Parametros!$B$6*B113)</f>
        <v>123.287671232877</v>
      </c>
      <c r="D113" s="9" t="n">
        <f aca="false">C113*30.4</f>
        <v>3747.94520547945</v>
      </c>
      <c r="E113" s="9" t="n">
        <f aca="false">D113*Parametros!$B$7*(1-Parametros!$B$8)</f>
        <v>214382.465753425</v>
      </c>
      <c r="F113" s="9" t="n">
        <f aca="false">D113*Parametros!$B$9+Parametros!$B$10</f>
        <v>37983.5616438356</v>
      </c>
      <c r="G113" s="9" t="n">
        <f aca="false">Parametros!$B$11/Parametros!$B$14</f>
        <v>75000</v>
      </c>
      <c r="H113" s="9" t="n">
        <f aca="false">MAX(0,E113-F113-G113)*Parametros!$B$13</f>
        <v>0</v>
      </c>
      <c r="I113" s="9" t="n">
        <f aca="false">E113-F113-H113</f>
        <v>176398.904109589</v>
      </c>
      <c r="J113" s="9" t="n">
        <f aca="false">I113/(1+Parametros!$B$12)^B113</f>
        <v>74810.355116393</v>
      </c>
      <c r="K113" s="9" t="n">
        <f aca="false">K112+I113</f>
        <v>35434159.4296849</v>
      </c>
    </row>
    <row r="114" customFormat="false" ht="15" hidden="false" customHeight="false" outlineLevel="0" collapsed="false">
      <c r="A114" s="0" t="n">
        <v>109</v>
      </c>
      <c r="B114" s="10" t="n">
        <f aca="false">A114/12</f>
        <v>9.08333333333333</v>
      </c>
      <c r="C114" s="11" t="n">
        <f aca="false">Parametros!$B$5/(1+Parametros!$B$6*B114)</f>
        <v>122.310305775764</v>
      </c>
      <c r="D114" s="9" t="n">
        <f aca="false">C114*30.4</f>
        <v>3718.23329558324</v>
      </c>
      <c r="E114" s="9" t="n">
        <f aca="false">D114*Parametros!$B$7*(1-Parametros!$B$8)</f>
        <v>212682.944507361</v>
      </c>
      <c r="F114" s="9" t="n">
        <f aca="false">D114*Parametros!$B$9+Parametros!$B$10</f>
        <v>37745.8663646659</v>
      </c>
      <c r="G114" s="9" t="n">
        <f aca="false">Parametros!$B$11/Parametros!$B$14</f>
        <v>75000</v>
      </c>
      <c r="H114" s="9" t="n">
        <f aca="false">MAX(0,E114-F114-G114)*Parametros!$B$13</f>
        <v>0</v>
      </c>
      <c r="I114" s="9" t="n">
        <f aca="false">E114-F114-H114</f>
        <v>174937.078142695</v>
      </c>
      <c r="J114" s="9" t="n">
        <f aca="false">I114/(1+Parametros!$B$12)^B114</f>
        <v>73603.4737694655</v>
      </c>
      <c r="K114" s="9" t="n">
        <f aca="false">K113+I114</f>
        <v>35609096.5078276</v>
      </c>
    </row>
    <row r="115" customFormat="false" ht="15" hidden="false" customHeight="false" outlineLevel="0" collapsed="false">
      <c r="A115" s="0" t="n">
        <v>110</v>
      </c>
      <c r="B115" s="10" t="n">
        <f aca="false">A115/12</f>
        <v>9.16666666666667</v>
      </c>
      <c r="C115" s="11" t="n">
        <f aca="false">Parametros!$B$5/(1+Parametros!$B$6*B115)</f>
        <v>121.348314606742</v>
      </c>
      <c r="D115" s="9" t="n">
        <f aca="false">C115*30.4</f>
        <v>3688.98876404494</v>
      </c>
      <c r="E115" s="9" t="n">
        <f aca="false">D115*Parametros!$B$7*(1-Parametros!$B$8)</f>
        <v>211010.157303371</v>
      </c>
      <c r="F115" s="9" t="n">
        <f aca="false">D115*Parametros!$B$9+Parametros!$B$10</f>
        <v>37511.9101123596</v>
      </c>
      <c r="G115" s="9" t="n">
        <f aca="false">Parametros!$B$11/Parametros!$B$14</f>
        <v>75000</v>
      </c>
      <c r="H115" s="9" t="n">
        <f aca="false">MAX(0,E115-F115-G115)*Parametros!$B$13</f>
        <v>0</v>
      </c>
      <c r="I115" s="9" t="n">
        <f aca="false">E115-F115-H115</f>
        <v>173498.247191011</v>
      </c>
      <c r="J115" s="9" t="n">
        <f aca="false">I115/(1+Parametros!$B$12)^B115</f>
        <v>72420.6042856184</v>
      </c>
      <c r="K115" s="9" t="n">
        <f aca="false">K114+I115</f>
        <v>35782594.7550187</v>
      </c>
    </row>
    <row r="116" customFormat="false" ht="15" hidden="false" customHeight="false" outlineLevel="0" collapsed="false">
      <c r="A116" s="0" t="n">
        <v>111</v>
      </c>
      <c r="B116" s="10" t="n">
        <f aca="false">A116/12</f>
        <v>9.25</v>
      </c>
      <c r="C116" s="11" t="n">
        <f aca="false">Parametros!$B$5/(1+Parametros!$B$6*B116)</f>
        <v>120.401337792642</v>
      </c>
      <c r="D116" s="9" t="n">
        <f aca="false">C116*30.4</f>
        <v>3660.20066889632</v>
      </c>
      <c r="E116" s="9" t="n">
        <f aca="false">D116*Parametros!$B$7*(1-Parametros!$B$8)</f>
        <v>209363.47826087</v>
      </c>
      <c r="F116" s="9" t="n">
        <f aca="false">D116*Parametros!$B$9+Parametros!$B$10</f>
        <v>37281.6053511706</v>
      </c>
      <c r="G116" s="9" t="n">
        <f aca="false">Parametros!$B$11/Parametros!$B$14</f>
        <v>75000</v>
      </c>
      <c r="H116" s="9" t="n">
        <f aca="false">MAX(0,E116-F116-G116)*Parametros!$B$13</f>
        <v>0</v>
      </c>
      <c r="I116" s="9" t="n">
        <f aca="false">E116-F116-H116</f>
        <v>172081.872909699</v>
      </c>
      <c r="J116" s="9" t="n">
        <f aca="false">I116/(1+Parametros!$B$12)^B116</f>
        <v>71261.143410087</v>
      </c>
      <c r="K116" s="9" t="n">
        <f aca="false">K115+I116</f>
        <v>35954676.6279284</v>
      </c>
    </row>
    <row r="117" customFormat="false" ht="15" hidden="false" customHeight="false" outlineLevel="0" collapsed="false">
      <c r="A117" s="0" t="n">
        <v>112</v>
      </c>
      <c r="B117" s="10" t="n">
        <f aca="false">A117/12</f>
        <v>9.33333333333333</v>
      </c>
      <c r="C117" s="11" t="n">
        <f aca="false">Parametros!$B$5/(1+Parametros!$B$6*B117)</f>
        <v>119.469026548673</v>
      </c>
      <c r="D117" s="9" t="n">
        <f aca="false">C117*30.4</f>
        <v>3631.85840707965</v>
      </c>
      <c r="E117" s="9" t="n">
        <f aca="false">D117*Parametros!$B$7*(1-Parametros!$B$8)</f>
        <v>207742.300884956</v>
      </c>
      <c r="F117" s="9" t="n">
        <f aca="false">D117*Parametros!$B$9+Parametros!$B$10</f>
        <v>37054.8672566372</v>
      </c>
      <c r="G117" s="9" t="n">
        <f aca="false">Parametros!$B$11/Parametros!$B$14</f>
        <v>75000</v>
      </c>
      <c r="H117" s="9" t="n">
        <f aca="false">MAX(0,E117-F117-G117)*Parametros!$B$13</f>
        <v>0</v>
      </c>
      <c r="I117" s="9" t="n">
        <f aca="false">E117-F117-H117</f>
        <v>170687.433628319</v>
      </c>
      <c r="J117" s="9" t="n">
        <f aca="false">I117/(1+Parametros!$B$12)^B117</f>
        <v>70124.5069085526</v>
      </c>
      <c r="K117" s="9" t="n">
        <f aca="false">K116+I117</f>
        <v>36125364.0615567</v>
      </c>
    </row>
    <row r="118" customFormat="false" ht="15" hidden="false" customHeight="false" outlineLevel="0" collapsed="false">
      <c r="A118" s="0" t="n">
        <v>113</v>
      </c>
      <c r="B118" s="10" t="n">
        <f aca="false">A118/12</f>
        <v>9.41666666666667</v>
      </c>
      <c r="C118" s="11" t="n">
        <f aca="false">Parametros!$B$5/(1+Parametros!$B$6*B118)</f>
        <v>118.551042810099</v>
      </c>
      <c r="D118" s="9" t="n">
        <f aca="false">C118*30.4</f>
        <v>3603.951701427</v>
      </c>
      <c r="E118" s="9" t="n">
        <f aca="false">D118*Parametros!$B$7*(1-Parametros!$B$8)</f>
        <v>206146.037321625</v>
      </c>
      <c r="F118" s="9" t="n">
        <f aca="false">D118*Parametros!$B$9+Parametros!$B$10</f>
        <v>36831.613611416</v>
      </c>
      <c r="G118" s="9" t="n">
        <f aca="false">Parametros!$B$11/Parametros!$B$14</f>
        <v>75000</v>
      </c>
      <c r="H118" s="9" t="n">
        <f aca="false">MAX(0,E118-F118-G118)*Parametros!$B$13</f>
        <v>0</v>
      </c>
      <c r="I118" s="9" t="n">
        <f aca="false">E118-F118-H118</f>
        <v>169314.423710209</v>
      </c>
      <c r="J118" s="9" t="n">
        <f aca="false">I118/(1+Parametros!$B$12)^B118</f>
        <v>69010.1288336535</v>
      </c>
      <c r="K118" s="9" t="n">
        <f aca="false">K117+I118</f>
        <v>36294678.4852669</v>
      </c>
    </row>
    <row r="119" customFormat="false" ht="15" hidden="false" customHeight="false" outlineLevel="0" collapsed="false">
      <c r="A119" s="0" t="n">
        <v>114</v>
      </c>
      <c r="B119" s="10" t="n">
        <f aca="false">A119/12</f>
        <v>9.5</v>
      </c>
      <c r="C119" s="11" t="n">
        <f aca="false">Parametros!$B$5/(1+Parametros!$B$6*B119)</f>
        <v>117.647058823529</v>
      </c>
      <c r="D119" s="9" t="n">
        <f aca="false">C119*30.4</f>
        <v>3576.47058823529</v>
      </c>
      <c r="E119" s="9" t="n">
        <f aca="false">D119*Parametros!$B$7*(1-Parametros!$B$8)</f>
        <v>204574.117647059</v>
      </c>
      <c r="F119" s="9" t="n">
        <f aca="false">D119*Parametros!$B$9+Parametros!$B$10</f>
        <v>36611.7647058824</v>
      </c>
      <c r="G119" s="9" t="n">
        <f aca="false">Parametros!$B$11/Parametros!$B$14</f>
        <v>75000</v>
      </c>
      <c r="H119" s="9" t="n">
        <f aca="false">MAX(0,E119-F119-G119)*Parametros!$B$13</f>
        <v>0</v>
      </c>
      <c r="I119" s="9" t="n">
        <f aca="false">E119-F119-H119</f>
        <v>167962.352941176</v>
      </c>
      <c r="J119" s="9" t="n">
        <f aca="false">I119/(1+Parametros!$B$12)^B119</f>
        <v>67917.4608250782</v>
      </c>
      <c r="K119" s="9" t="n">
        <f aca="false">K118+I119</f>
        <v>36462640.8382081</v>
      </c>
    </row>
    <row r="120" customFormat="false" ht="15" hidden="false" customHeight="false" outlineLevel="0" collapsed="false">
      <c r="A120" s="0" t="n">
        <v>115</v>
      </c>
      <c r="B120" s="10" t="n">
        <f aca="false">A120/12</f>
        <v>9.58333333333333</v>
      </c>
      <c r="C120" s="11" t="n">
        <f aca="false">Parametros!$B$5/(1+Parametros!$B$6*B120)</f>
        <v>116.756756756757</v>
      </c>
      <c r="D120" s="9" t="n">
        <f aca="false">C120*30.4</f>
        <v>3549.40540540541</v>
      </c>
      <c r="E120" s="9" t="n">
        <f aca="false">D120*Parametros!$B$7*(1-Parametros!$B$8)</f>
        <v>203025.989189189</v>
      </c>
      <c r="F120" s="9" t="n">
        <f aca="false">D120*Parametros!$B$9+Parametros!$B$10</f>
        <v>36395.2432432432</v>
      </c>
      <c r="G120" s="9" t="n">
        <f aca="false">Parametros!$B$11/Parametros!$B$14</f>
        <v>75000</v>
      </c>
      <c r="H120" s="9" t="n">
        <f aca="false">MAX(0,E120-F120-G120)*Parametros!$B$13</f>
        <v>0</v>
      </c>
      <c r="I120" s="9" t="n">
        <f aca="false">E120-F120-H120</f>
        <v>166630.745945946</v>
      </c>
      <c r="J120" s="9" t="n">
        <f aca="false">I120/(1+Parametros!$B$12)^B120</f>
        <v>66845.9714414589</v>
      </c>
      <c r="K120" s="9" t="n">
        <f aca="false">K119+I120</f>
        <v>36629271.584154</v>
      </c>
    </row>
    <row r="121" customFormat="false" ht="15" hidden="false" customHeight="false" outlineLevel="0" collapsed="false">
      <c r="A121" s="0" t="n">
        <v>116</v>
      </c>
      <c r="B121" s="10" t="n">
        <f aca="false">A121/12</f>
        <v>9.66666666666667</v>
      </c>
      <c r="C121" s="11" t="n">
        <f aca="false">Parametros!$B$5/(1+Parametros!$B$6*B121)</f>
        <v>115.87982832618</v>
      </c>
      <c r="D121" s="9" t="n">
        <f aca="false">C121*30.4</f>
        <v>3522.74678111588</v>
      </c>
      <c r="E121" s="9" t="n">
        <f aca="false">D121*Parametros!$B$7*(1-Parametros!$B$8)</f>
        <v>201501.115879828</v>
      </c>
      <c r="F121" s="9" t="n">
        <f aca="false">D121*Parametros!$B$9+Parametros!$B$10</f>
        <v>36181.974248927</v>
      </c>
      <c r="G121" s="9" t="n">
        <f aca="false">Parametros!$B$11/Parametros!$B$14</f>
        <v>75000</v>
      </c>
      <c r="H121" s="9" t="n">
        <f aca="false">MAX(0,E121-F121-G121)*Parametros!$B$13</f>
        <v>0</v>
      </c>
      <c r="I121" s="9" t="n">
        <f aca="false">E121-F121-H121</f>
        <v>165319.141630901</v>
      </c>
      <c r="J121" s="9" t="n">
        <f aca="false">I121/(1+Parametros!$B$12)^B121</f>
        <v>65795.145522395</v>
      </c>
      <c r="K121" s="9" t="n">
        <f aca="false">K120+I121</f>
        <v>36794590.7257849</v>
      </c>
    </row>
    <row r="122" customFormat="false" ht="15" hidden="false" customHeight="false" outlineLevel="0" collapsed="false">
      <c r="A122" s="0" t="n">
        <v>117</v>
      </c>
      <c r="B122" s="10" t="n">
        <f aca="false">A122/12</f>
        <v>9.75</v>
      </c>
      <c r="C122" s="11" t="n">
        <f aca="false">Parametros!$B$5/(1+Parametros!$B$6*B122)</f>
        <v>115.015974440895</v>
      </c>
      <c r="D122" s="9" t="n">
        <f aca="false">C122*30.4</f>
        <v>3496.4856230032</v>
      </c>
      <c r="E122" s="9" t="n">
        <f aca="false">D122*Parametros!$B$7*(1-Parametros!$B$8)</f>
        <v>199998.977635783</v>
      </c>
      <c r="F122" s="9" t="n">
        <f aca="false">D122*Parametros!$B$9+Parametros!$B$10</f>
        <v>35971.8849840256</v>
      </c>
      <c r="G122" s="9" t="n">
        <f aca="false">Parametros!$B$11/Parametros!$B$14</f>
        <v>75000</v>
      </c>
      <c r="H122" s="9" t="n">
        <f aca="false">MAX(0,E122-F122-G122)*Parametros!$B$13</f>
        <v>0</v>
      </c>
      <c r="I122" s="9" t="n">
        <f aca="false">E122-F122-H122</f>
        <v>164027.092651757</v>
      </c>
      <c r="J122" s="9" t="n">
        <f aca="false">I122/(1+Parametros!$B$12)^B122</f>
        <v>64764.483579033</v>
      </c>
      <c r="K122" s="9" t="n">
        <f aca="false">K121+I122</f>
        <v>36958617.8184367</v>
      </c>
    </row>
    <row r="123" customFormat="false" ht="15" hidden="false" customHeight="false" outlineLevel="0" collapsed="false">
      <c r="A123" s="0" t="n">
        <v>118</v>
      </c>
      <c r="B123" s="10" t="n">
        <f aca="false">A123/12</f>
        <v>9.83333333333333</v>
      </c>
      <c r="C123" s="11" t="n">
        <f aca="false">Parametros!$B$5/(1+Parametros!$B$6*B123)</f>
        <v>114.164904862579</v>
      </c>
      <c r="D123" s="9" t="n">
        <f aca="false">C123*30.4</f>
        <v>3470.61310782241</v>
      </c>
      <c r="E123" s="9" t="n">
        <f aca="false">D123*Parametros!$B$7*(1-Parametros!$B$8)</f>
        <v>198519.069767442</v>
      </c>
      <c r="F123" s="9" t="n">
        <f aca="false">D123*Parametros!$B$9+Parametros!$B$10</f>
        <v>35764.9048625793</v>
      </c>
      <c r="G123" s="9" t="n">
        <f aca="false">Parametros!$B$11/Parametros!$B$14</f>
        <v>75000</v>
      </c>
      <c r="H123" s="9" t="n">
        <f aca="false">MAX(0,E123-F123-G123)*Parametros!$B$13</f>
        <v>0</v>
      </c>
      <c r="I123" s="9" t="n">
        <f aca="false">E123-F123-H123</f>
        <v>162754.164904863</v>
      </c>
      <c r="J123" s="9" t="n">
        <f aca="false">I123/(1+Parametros!$B$12)^B123</f>
        <v>63753.5012117247</v>
      </c>
      <c r="K123" s="9" t="n">
        <f aca="false">K122+I123</f>
        <v>37121371.9833415</v>
      </c>
    </row>
    <row r="124" customFormat="false" ht="15" hidden="false" customHeight="false" outlineLevel="0" collapsed="false">
      <c r="A124" s="0" t="n">
        <v>119</v>
      </c>
      <c r="B124" s="10" t="n">
        <f aca="false">A124/12</f>
        <v>9.91666666666667</v>
      </c>
      <c r="C124" s="11" t="n">
        <f aca="false">Parametros!$B$5/(1+Parametros!$B$6*B124)</f>
        <v>113.326337880378</v>
      </c>
      <c r="D124" s="9" t="n">
        <f aca="false">C124*30.4</f>
        <v>3445.12067156348</v>
      </c>
      <c r="E124" s="9" t="n">
        <f aca="false">D124*Parametros!$B$7*(1-Parametros!$B$8)</f>
        <v>197060.902413431</v>
      </c>
      <c r="F124" s="9" t="n">
        <f aca="false">D124*Parametros!$B$9+Parametros!$B$10</f>
        <v>35560.9653725079</v>
      </c>
      <c r="G124" s="9" t="n">
        <f aca="false">Parametros!$B$11/Parametros!$B$14</f>
        <v>75000</v>
      </c>
      <c r="H124" s="9" t="n">
        <f aca="false">MAX(0,E124-F124-G124)*Parametros!$B$13</f>
        <v>0</v>
      </c>
      <c r="I124" s="9" t="n">
        <f aca="false">E124-F124-H124</f>
        <v>161499.937040923</v>
      </c>
      <c r="J124" s="9" t="n">
        <f aca="false">I124/(1+Parametros!$B$12)^B124</f>
        <v>62761.7285533702</v>
      </c>
      <c r="K124" s="9" t="n">
        <f aca="false">K123+I124</f>
        <v>37282871.9203825</v>
      </c>
    </row>
    <row r="125" customFormat="false" ht="15" hidden="false" customHeight="false" outlineLevel="0" collapsed="false">
      <c r="A125" s="0" t="n">
        <v>120</v>
      </c>
      <c r="B125" s="10" t="n">
        <f aca="false">A125/12</f>
        <v>10</v>
      </c>
      <c r="C125" s="11" t="n">
        <f aca="false">Parametros!$B$5/(1+Parametros!$B$6*B125)</f>
        <v>112.5</v>
      </c>
      <c r="D125" s="9" t="n">
        <f aca="false">C125*30.4</f>
        <v>3420</v>
      </c>
      <c r="E125" s="9" t="n">
        <f aca="false">D125*Parametros!$B$7*(1-Parametros!$B$8)</f>
        <v>195624</v>
      </c>
      <c r="F125" s="9" t="n">
        <f aca="false">D125*Parametros!$B$9+Parametros!$B$10</f>
        <v>35360</v>
      </c>
      <c r="G125" s="9" t="n">
        <f aca="false">Parametros!$B$11/Parametros!$B$14</f>
        <v>75000</v>
      </c>
      <c r="H125" s="9" t="n">
        <f aca="false">MAX(0,E125-F125-G125)*Parametros!$B$13</f>
        <v>0</v>
      </c>
      <c r="I125" s="9" t="n">
        <f aca="false">E125-F125-H125</f>
        <v>160264</v>
      </c>
      <c r="J125" s="9" t="n">
        <f aca="false">I125/(1+Parametros!$B$12)^B125</f>
        <v>61788.7097371344</v>
      </c>
      <c r="K125" s="9" t="n">
        <f aca="false">K124+I125</f>
        <v>37443135.9203825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37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38</v>
      </c>
      <c r="B5" s="12" t="n">
        <f aca="false">SUM(Flujo!J5:J125)/1000000</f>
        <v>25.6881459319739</v>
      </c>
      <c r="C5" s="2" t="s">
        <v>39</v>
      </c>
    </row>
    <row r="6" customFormat="false" ht="15" hidden="false" customHeight="false" outlineLevel="0" collapsed="false">
      <c r="A6" s="0" t="s">
        <v>40</v>
      </c>
      <c r="B6" s="13" t="n">
        <f aca="false">(1+IRR(Flujo!I5:I125,0.02))^12-1</f>
        <v>2.12687494244698</v>
      </c>
      <c r="C6" s="2"/>
    </row>
    <row r="7" customFormat="false" ht="15" hidden="false" customHeight="false" outlineLevel="0" collapsed="false">
      <c r="A7" s="0" t="s">
        <v>41</v>
      </c>
      <c r="B7" s="14" t="n">
        <f aca="false">COUNTIF(Flujo!K5:K125,"&lt;0")</f>
        <v>9</v>
      </c>
      <c r="C7" s="2" t="s">
        <v>22</v>
      </c>
    </row>
    <row r="8" customFormat="false" ht="15" hidden="false" customHeight="false" outlineLevel="0" collapsed="false">
      <c r="A8" s="0" t="s">
        <v>42</v>
      </c>
      <c r="B8" s="15" t="n">
        <f aca="false">SUM(Flujo!D6:D125)/1000</f>
        <v>963.478372365497</v>
      </c>
      <c r="C8" s="2" t="s">
        <v>43</v>
      </c>
    </row>
    <row r="9" customFormat="false" ht="15" hidden="false" customHeight="false" outlineLevel="0" collapsed="false">
      <c r="A9" s="0" t="s">
        <v>44</v>
      </c>
      <c r="B9" s="12" t="n">
        <f aca="false">B5*1000000/Parametros!B11</f>
        <v>2.85423843688599</v>
      </c>
      <c r="C9" s="2"/>
    </row>
    <row r="10" customFormat="false" ht="15" hidden="false" customHeight="false" outlineLevel="0" collapsed="false">
      <c r="A10" s="0" t="s">
        <v>45</v>
      </c>
      <c r="B10" s="16" t="n">
        <f aca="false">Parametros!B11/(B8*1000)</f>
        <v>9.34115415367709</v>
      </c>
      <c r="C10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6"/>
    <col collapsed="false" customWidth="true" hidden="false" outlineLevel="0" max="6" min="4" style="0" width="12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47</v>
      </c>
      <c r="B3" s="17" t="n">
        <v>0.2</v>
      </c>
    </row>
    <row r="5" customFormat="false" ht="28.3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</row>
    <row r="6" customFormat="false" ht="15" hidden="false" customHeight="false" outlineLevel="0" collapsed="false">
      <c r="A6" s="0" t="s">
        <v>54</v>
      </c>
      <c r="B6" s="8" t="n">
        <f aca="false">(SUMPRODUCT(((Parametros!$B$5/(1+Parametros!$B$6*Flujo!$B$6:$B$125))*30.4*(Parametros!$B$7*(1-$B$3)*(1-Parametros!$B$8)-Parametros!$B$9)-Parametros!$B$10)/(1+Parametros!$B$12)^Flujo!$B$6:$B$125)-Parametros!$B$11)/1000000</f>
        <v>17.4791099558297</v>
      </c>
      <c r="C6" s="8" t="n">
        <f aca="false">(SUMPRODUCT(((Parametros!$B$5/(1+Parametros!$B$6*Flujo!$B$6:$B$125))*30.4*(Parametros!$B$7*(1+$B$3)*(1-Parametros!$B$8)-Parametros!$B$9)-Parametros!$B$10)/(1+Parametros!$B$12)^Flujo!$B$6:$B$125)-Parametros!$B$11)/1000000</f>
        <v>33.8971819081182</v>
      </c>
      <c r="D6" s="8" t="n">
        <f aca="false">MIN(B6:C6)</f>
        <v>17.4791099558297</v>
      </c>
      <c r="E6" s="8" t="n">
        <f aca="false">MAX(B6:C6)</f>
        <v>33.8971819081182</v>
      </c>
      <c r="F6" s="12" t="n">
        <f aca="false">E6-D6</f>
        <v>16.4180719522884</v>
      </c>
    </row>
    <row r="7" customFormat="false" ht="15" hidden="false" customHeight="false" outlineLevel="0" collapsed="false">
      <c r="A7" s="0" t="s">
        <v>55</v>
      </c>
      <c r="B7" s="8" t="n">
        <f aca="false">(SUMPRODUCT(((Parametros!$B$5*(1-$B$3)/(1+Parametros!$B$6*Flujo!$B$6:$B$125))*30.4*(Parametros!$B$7*(1-Parametros!$B$8)-Parametros!$B$9)-Parametros!$B$10)/(1+Parametros!$B$12)^Flujo!$B$6:$B$125)-Parametros!$B$11)/1000000</f>
        <v>18.6272268755702</v>
      </c>
      <c r="C7" s="8" t="n">
        <f aca="false">(SUMPRODUCT(((Parametros!$B$5*(1+$B$3)/(1+Parametros!$B$6*Flujo!$B$6:$B$125))*30.4*(Parametros!$B$7*(1-Parametros!$B$8)-Parametros!$B$9)-Parametros!$B$10)/(1+Parametros!$B$12)^Flujo!$B$6:$B$125)-Parametros!$B$11)/1000000</f>
        <v>32.7490649883777</v>
      </c>
      <c r="D7" s="8" t="n">
        <f aca="false">MIN(B7:C7)</f>
        <v>18.6272268755702</v>
      </c>
      <c r="E7" s="8" t="n">
        <f aca="false">MAX(B7:C7)</f>
        <v>32.7490649883777</v>
      </c>
      <c r="F7" s="12" t="n">
        <f aca="false">E7-D7</f>
        <v>14.1218381128075</v>
      </c>
    </row>
    <row r="8" customFormat="false" ht="15" hidden="false" customHeight="false" outlineLevel="0" collapsed="false">
      <c r="A8" s="0" t="s">
        <v>16</v>
      </c>
      <c r="B8" s="8" t="n">
        <f aca="false">(SUMPRODUCT(((Parametros!$B$5/(1+Parametros!$B$6*Flujo!$B$6:$B$125))*30.4*(Parametros!$B$7*(1-Parametros!$B$8)-Parametros!$B$9)-Parametros!$B$10)/(1+Parametros!$B$12)^Flujo!$B$6:$B$125)-Parametros!$B$11*(1-$B$3))/1000000</f>
        <v>27.488145931974</v>
      </c>
      <c r="C8" s="8" t="n">
        <f aca="false">(SUMPRODUCT(((Parametros!$B$5/(1+Parametros!$B$6*Flujo!$B$6:$B$125))*30.4*(Parametros!$B$7*(1-Parametros!$B$8)-Parametros!$B$9)-Parametros!$B$10)/(1+Parametros!$B$12)^Flujo!$B$6:$B$125)-Parametros!$B$11*(1+$B$3))/1000000</f>
        <v>23.888145931974</v>
      </c>
      <c r="D8" s="8" t="n">
        <f aca="false">MIN(B8:C8)</f>
        <v>23.888145931974</v>
      </c>
      <c r="E8" s="8" t="n">
        <f aca="false">MAX(B8:C8)</f>
        <v>27.488145931974</v>
      </c>
      <c r="F8" s="12" t="n">
        <f aca="false">E8-D8</f>
        <v>3.6</v>
      </c>
    </row>
    <row r="9" customFormat="false" ht="15" hidden="false" customHeight="false" outlineLevel="0" collapsed="false">
      <c r="A9" s="0" t="s">
        <v>56</v>
      </c>
      <c r="B9" s="8" t="n">
        <f aca="false">(SUMPRODUCT(((Parametros!$B$5/(1+Parametros!$B$6*(1-$B$3)*Flujo!$B$6:$B$125))*30.4*(Parametros!$B$7*(1-Parametros!$B$8)-Parametros!$B$9)-Parametros!$B$10)/(1+Parametros!$B$12)^Flujo!$B$6:$B$125)-Parametros!$B$11)/1000000</f>
        <v>30.0301770874529</v>
      </c>
      <c r="C9" s="8" t="n">
        <f aca="false">(SUMPRODUCT(((Parametros!$B$5/(1+Parametros!$B$6*(1+$B$3)*Flujo!$B$6:$B$125))*30.4*(Parametros!$B$7*(1-Parametros!$B$8)-Parametros!$B$9)-Parametros!$B$10)/(1+Parametros!$B$12)^Flujo!$B$6:$B$125)-Parametros!$B$11)/1000000</f>
        <v>22.3364780280915</v>
      </c>
      <c r="D9" s="8" t="n">
        <f aca="false">MIN(B9:C9)</f>
        <v>22.3364780280915</v>
      </c>
      <c r="E9" s="8" t="n">
        <f aca="false">MAX(B9:C9)</f>
        <v>30.0301770874529</v>
      </c>
      <c r="F9" s="12" t="n">
        <f aca="false">E9-D9</f>
        <v>7.69369905936141</v>
      </c>
    </row>
    <row r="10" customFormat="false" ht="15" hidden="false" customHeight="false" outlineLevel="0" collapsed="false">
      <c r="A10" s="0" t="s">
        <v>18</v>
      </c>
      <c r="B10" s="8" t="n">
        <f aca="false">(SUMPRODUCT(((Parametros!$B$5/(1+Parametros!$B$6*Flujo!$B$6:$B$125))*30.4*(Parametros!$B$7*(1-Parametros!$B$8)-Parametros!$B$9)-Parametros!$B$10)/(1+Parametros!$B$12*(1-$B$3))^Flujo!$B$6:$B$125)-Parametros!$B$11)/1000000</f>
        <v>27.5167910299524</v>
      </c>
      <c r="C10" s="8" t="n">
        <f aca="false">(SUMPRODUCT(((Parametros!$B$5/(1+Parametros!$B$6*Flujo!$B$6:$B$125))*30.4*(Parametros!$B$7*(1-Parametros!$B$8)-Parametros!$B$9)-Parametros!$B$10)/(1+Parametros!$B$12*(1+$B$3))^Flujo!$B$6:$B$125)-Parametros!$B$11)/1000000</f>
        <v>24.0485266099983</v>
      </c>
      <c r="D10" s="8" t="n">
        <f aca="false">MIN(B10:C10)</f>
        <v>24.0485266099983</v>
      </c>
      <c r="E10" s="8" t="n">
        <f aca="false">MAX(B10:C10)</f>
        <v>27.5167910299524</v>
      </c>
      <c r="F10" s="12" t="n">
        <f aca="false">E10-D10</f>
        <v>3.46826441995404</v>
      </c>
    </row>
    <row r="11" customFormat="false" ht="15" hidden="false" customHeight="false" outlineLevel="0" collapsed="false">
      <c r="A11" s="0" t="s">
        <v>57</v>
      </c>
      <c r="B11" s="8" t="n">
        <f aca="false">(SUMPRODUCT(((Parametros!$B$5/(1+Parametros!$B$6*Flujo!$B$6:$B$125))*30.4*(Parametros!$B$7*(1-Parametros!$B$8)-Parametros!$B$9*(1-$B$3))-Parametros!$B$10*(1-$B$3))/(1+Parametros!$B$12)^Flujo!$B$6:$B$125)-Parametros!$B$11)/1000000</f>
        <v>26.9595527217234</v>
      </c>
      <c r="C11" s="8" t="n">
        <f aca="false">(SUMPRODUCT(((Parametros!$B$5/(1+Parametros!$B$6*Flujo!$B$6:$B$125))*30.4*(Parametros!$B$7*(1-Parametros!$B$8)-Parametros!$B$9*(1+$B$3))-Parametros!$B$10*(1+$B$3))/(1+Parametros!$B$12)^Flujo!$B$6:$B$125)-Parametros!$B$11)/1000000</f>
        <v>24.4167391422245</v>
      </c>
      <c r="D11" s="8" t="n">
        <f aca="false">MIN(B11:C11)</f>
        <v>24.4167391422245</v>
      </c>
      <c r="E11" s="8" t="n">
        <f aca="false">MAX(B11:C11)</f>
        <v>26.9595527217234</v>
      </c>
      <c r="F11" s="12" t="n">
        <f aca="false">E11-D11</f>
        <v>2.54281357949882</v>
      </c>
    </row>
    <row r="13" customFormat="false" ht="15" hidden="false" customHeight="false" outlineLevel="0" collapsed="false">
      <c r="A13" s="0" t="s">
        <v>58</v>
      </c>
      <c r="B13" s="12" t="n">
        <f aca="false">(SUMPRODUCT(((Parametros!$B$5/(1+Parametros!$B$6*Flujo!$B$6:$B$125))*30.4*(Parametros!$B$7*(1-Parametros!$B$8)-Parametros!$B$9)-Parametros!$B$10)/(1+Parametros!$B$12)^Flujo!$B$6:$B$125)-Parametros!$B$11)/1000000</f>
        <v>25.688145931974</v>
      </c>
    </row>
    <row r="14" customFormat="false" ht="15" hidden="false" customHeight="false" outlineLevel="0" collapsed="false">
      <c r="A14" s="0" t="s">
        <v>59</v>
      </c>
      <c r="B14" s="18" t="str">
        <f aca="false">INDEX(A6:A11,MATCH(MAX(F6:F11),F6:F11,0))</f>
        <v>Precio</v>
      </c>
    </row>
    <row r="16" customFormat="false" ht="15" hidden="false" customHeight="false" outlineLevel="0" collapsed="false">
      <c r="A16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62</v>
      </c>
      <c r="B4" s="17" t="n">
        <v>0.25</v>
      </c>
    </row>
    <row r="5" customFormat="false" ht="15" hidden="false" customHeight="false" outlineLevel="0" collapsed="false">
      <c r="A5" s="0" t="s">
        <v>63</v>
      </c>
      <c r="B5" s="4" t="n">
        <v>120</v>
      </c>
    </row>
    <row r="6" customFormat="false" ht="15" hidden="false" customHeight="false" outlineLevel="0" collapsed="false">
      <c r="A6" s="0" t="s">
        <v>64</v>
      </c>
      <c r="B6" s="4" t="n">
        <v>20</v>
      </c>
    </row>
    <row r="7" customFormat="false" ht="15" hidden="false" customHeight="false" outlineLevel="0" collapsed="false">
      <c r="A7" s="0" t="s">
        <v>65</v>
      </c>
      <c r="B7" s="4" t="n">
        <v>10</v>
      </c>
    </row>
    <row r="9" customFormat="false" ht="15" hidden="false" customHeight="false" outlineLevel="0" collapsed="false">
      <c r="A9" s="0" t="s">
        <v>66</v>
      </c>
      <c r="B9" s="16" t="n">
        <f aca="false">B4*B5-(1-B4)*B6</f>
        <v>15</v>
      </c>
    </row>
    <row r="10" customFormat="false" ht="15" hidden="false" customHeight="false" outlineLevel="0" collapsed="false">
      <c r="A10" s="0" t="s">
        <v>67</v>
      </c>
      <c r="B10" s="13" t="n">
        <f aca="false">B6/(B5+B6)</f>
        <v>0.142857142857143</v>
      </c>
    </row>
    <row r="11" customFormat="false" ht="15" hidden="false" customHeight="false" outlineLevel="0" collapsed="false">
      <c r="A11" s="0" t="s">
        <v>68</v>
      </c>
      <c r="B11" s="16" t="n">
        <f aca="false">B9*B7</f>
        <v>150</v>
      </c>
    </row>
    <row r="12" customFormat="false" ht="15" hidden="false" customHeight="false" outlineLevel="0" collapsed="false">
      <c r="A12" s="0" t="s">
        <v>69</v>
      </c>
      <c r="B12" s="13" t="n">
        <f aca="false">SUM(G16:G46)</f>
        <v>0.244025230407715</v>
      </c>
    </row>
    <row r="15" customFormat="false" ht="15" hidden="false" customHeight="false" outlineLevel="0" collapsed="false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74</v>
      </c>
      <c r="F15" s="3"/>
      <c r="G15" s="3" t="s">
        <v>75</v>
      </c>
    </row>
    <row r="16" customFormat="false" ht="15" hidden="false" customHeight="false" outlineLevel="0" collapsed="false">
      <c r="A16" s="0" t="n">
        <v>0</v>
      </c>
      <c r="B16" s="19" t="n">
        <f aca="false">IF(A16&lt;=$B$7,$B$7-A16,"")</f>
        <v>10</v>
      </c>
      <c r="C16" s="11" t="n">
        <f aca="false">IF(A16&lt;=$B$7,A16*$B$5-($B$7-A16)*$B$6,"")</f>
        <v>-200</v>
      </c>
      <c r="D16" s="20" t="n">
        <f aca="false">IF(A16&lt;=$B$7,BINOMDIST(A16,$B$7,$B$4,FALSE()),0)</f>
        <v>0.0563135147094727</v>
      </c>
      <c r="E16" s="19" t="n">
        <f aca="false">IF(A16&lt;=$B$7,IF(C16&lt;0,1,0),0)</f>
        <v>1</v>
      </c>
      <c r="G16" s="20" t="n">
        <f aca="false">D16*E16</f>
        <v>0.0563135147094727</v>
      </c>
    </row>
    <row r="17" customFormat="false" ht="15" hidden="false" customHeight="false" outlineLevel="0" collapsed="false">
      <c r="A17" s="0" t="n">
        <v>1</v>
      </c>
      <c r="B17" s="19" t="n">
        <f aca="false">IF(A17&lt;=$B$7,$B$7-A17,"")</f>
        <v>9</v>
      </c>
      <c r="C17" s="11" t="n">
        <f aca="false">IF(A17&lt;=$B$7,A17*$B$5-($B$7-A17)*$B$6,"")</f>
        <v>-60</v>
      </c>
      <c r="D17" s="20" t="n">
        <f aca="false">IF(A17&lt;=$B$7,BINOMDIST(A17,$B$7,$B$4,FALSE()),0)</f>
        <v>0.187711715698242</v>
      </c>
      <c r="E17" s="19" t="n">
        <f aca="false">IF(A17&lt;=$B$7,IF(C17&lt;0,1,0),0)</f>
        <v>1</v>
      </c>
      <c r="G17" s="20" t="n">
        <f aca="false">D17*E17</f>
        <v>0.187711715698242</v>
      </c>
    </row>
    <row r="18" customFormat="false" ht="15" hidden="false" customHeight="false" outlineLevel="0" collapsed="false">
      <c r="A18" s="0" t="n">
        <v>2</v>
      </c>
      <c r="B18" s="19" t="n">
        <f aca="false">IF(A18&lt;=$B$7,$B$7-A18,"")</f>
        <v>8</v>
      </c>
      <c r="C18" s="11" t="n">
        <f aca="false">IF(A18&lt;=$B$7,A18*$B$5-($B$7-A18)*$B$6,"")</f>
        <v>80</v>
      </c>
      <c r="D18" s="20" t="n">
        <f aca="false">IF(A18&lt;=$B$7,BINOMDIST(A18,$B$7,$B$4,FALSE()),0)</f>
        <v>0.281567573547363</v>
      </c>
      <c r="E18" s="19" t="n">
        <f aca="false">IF(A18&lt;=$B$7,IF(C18&lt;0,1,0),0)</f>
        <v>0</v>
      </c>
      <c r="G18" s="20" t="n">
        <f aca="false">D18*E18</f>
        <v>0</v>
      </c>
    </row>
    <row r="19" customFormat="false" ht="15" hidden="false" customHeight="false" outlineLevel="0" collapsed="false">
      <c r="A19" s="0" t="n">
        <v>3</v>
      </c>
      <c r="B19" s="19" t="n">
        <f aca="false">IF(A19&lt;=$B$7,$B$7-A19,"")</f>
        <v>7</v>
      </c>
      <c r="C19" s="11" t="n">
        <f aca="false">IF(A19&lt;=$B$7,A19*$B$5-($B$7-A19)*$B$6,"")</f>
        <v>220</v>
      </c>
      <c r="D19" s="20" t="n">
        <f aca="false">IF(A19&lt;=$B$7,BINOMDIST(A19,$B$7,$B$4,FALSE()),0)</f>
        <v>0.250282287597656</v>
      </c>
      <c r="E19" s="19" t="n">
        <f aca="false">IF(A19&lt;=$B$7,IF(C19&lt;0,1,0),0)</f>
        <v>0</v>
      </c>
      <c r="G19" s="20" t="n">
        <f aca="false">D19*E19</f>
        <v>0</v>
      </c>
    </row>
    <row r="20" customFormat="false" ht="15" hidden="false" customHeight="false" outlineLevel="0" collapsed="false">
      <c r="A20" s="0" t="n">
        <v>4</v>
      </c>
      <c r="B20" s="19" t="n">
        <f aca="false">IF(A20&lt;=$B$7,$B$7-A20,"")</f>
        <v>6</v>
      </c>
      <c r="C20" s="11" t="n">
        <f aca="false">IF(A20&lt;=$B$7,A20*$B$5-($B$7-A20)*$B$6,"")</f>
        <v>360</v>
      </c>
      <c r="D20" s="20" t="n">
        <f aca="false">IF(A20&lt;=$B$7,BINOMDIST(A20,$B$7,$B$4,FALSE()),0)</f>
        <v>0.145998001098633</v>
      </c>
      <c r="E20" s="19" t="n">
        <f aca="false">IF(A20&lt;=$B$7,IF(C20&lt;0,1,0),0)</f>
        <v>0</v>
      </c>
      <c r="G20" s="20" t="n">
        <f aca="false">D20*E20</f>
        <v>0</v>
      </c>
    </row>
    <row r="21" customFormat="false" ht="15" hidden="false" customHeight="false" outlineLevel="0" collapsed="false">
      <c r="A21" s="0" t="n">
        <v>5</v>
      </c>
      <c r="B21" s="19" t="n">
        <f aca="false">IF(A21&lt;=$B$7,$B$7-A21,"")</f>
        <v>5</v>
      </c>
      <c r="C21" s="11" t="n">
        <f aca="false">IF(A21&lt;=$B$7,A21*$B$5-($B$7-A21)*$B$6,"")</f>
        <v>500</v>
      </c>
      <c r="D21" s="20" t="n">
        <f aca="false">IF(A21&lt;=$B$7,BINOMDIST(A21,$B$7,$B$4,FALSE()),0)</f>
        <v>0.0583992004394531</v>
      </c>
      <c r="E21" s="19" t="n">
        <f aca="false">IF(A21&lt;=$B$7,IF(C21&lt;0,1,0),0)</f>
        <v>0</v>
      </c>
      <c r="G21" s="20" t="n">
        <f aca="false">D21*E21</f>
        <v>0</v>
      </c>
    </row>
    <row r="22" customFormat="false" ht="15" hidden="false" customHeight="false" outlineLevel="0" collapsed="false">
      <c r="A22" s="0" t="n">
        <v>6</v>
      </c>
      <c r="B22" s="19" t="n">
        <f aca="false">IF(A22&lt;=$B$7,$B$7-A22,"")</f>
        <v>4</v>
      </c>
      <c r="C22" s="11" t="n">
        <f aca="false">IF(A22&lt;=$B$7,A22*$B$5-($B$7-A22)*$B$6,"")</f>
        <v>640</v>
      </c>
      <c r="D22" s="20" t="n">
        <f aca="false">IF(A22&lt;=$B$7,BINOMDIST(A22,$B$7,$B$4,FALSE()),0)</f>
        <v>0.0162220001220703</v>
      </c>
      <c r="E22" s="19" t="n">
        <f aca="false">IF(A22&lt;=$B$7,IF(C22&lt;0,1,0),0)</f>
        <v>0</v>
      </c>
      <c r="G22" s="20" t="n">
        <f aca="false">D22*E22</f>
        <v>0</v>
      </c>
    </row>
    <row r="23" customFormat="false" ht="15" hidden="false" customHeight="false" outlineLevel="0" collapsed="false">
      <c r="A23" s="0" t="n">
        <v>7</v>
      </c>
      <c r="B23" s="19" t="n">
        <f aca="false">IF(A23&lt;=$B$7,$B$7-A23,"")</f>
        <v>3</v>
      </c>
      <c r="C23" s="11" t="n">
        <f aca="false">IF(A23&lt;=$B$7,A23*$B$5-($B$7-A23)*$B$6,"")</f>
        <v>780</v>
      </c>
      <c r="D23" s="20" t="n">
        <f aca="false">IF(A23&lt;=$B$7,BINOMDIST(A23,$B$7,$B$4,FALSE()),0)</f>
        <v>0.00308990478515625</v>
      </c>
      <c r="E23" s="19" t="n">
        <f aca="false">IF(A23&lt;=$B$7,IF(C23&lt;0,1,0),0)</f>
        <v>0</v>
      </c>
      <c r="G23" s="20" t="n">
        <f aca="false">D23*E23</f>
        <v>0</v>
      </c>
    </row>
    <row r="24" customFormat="false" ht="15" hidden="false" customHeight="false" outlineLevel="0" collapsed="false">
      <c r="A24" s="0" t="n">
        <v>8</v>
      </c>
      <c r="B24" s="19" t="n">
        <f aca="false">IF(A24&lt;=$B$7,$B$7-A24,"")</f>
        <v>2</v>
      </c>
      <c r="C24" s="11" t="n">
        <f aca="false">IF(A24&lt;=$B$7,A24*$B$5-($B$7-A24)*$B$6,"")</f>
        <v>920</v>
      </c>
      <c r="D24" s="20" t="n">
        <f aca="false">IF(A24&lt;=$B$7,BINOMDIST(A24,$B$7,$B$4,FALSE()),0)</f>
        <v>0.000386238098144531</v>
      </c>
      <c r="E24" s="19" t="n">
        <f aca="false">IF(A24&lt;=$B$7,IF(C24&lt;0,1,0),0)</f>
        <v>0</v>
      </c>
      <c r="G24" s="20" t="n">
        <f aca="false">D24*E24</f>
        <v>0</v>
      </c>
    </row>
    <row r="25" customFormat="false" ht="15" hidden="false" customHeight="false" outlineLevel="0" collapsed="false">
      <c r="A25" s="0" t="n">
        <v>9</v>
      </c>
      <c r="B25" s="19" t="n">
        <f aca="false">IF(A25&lt;=$B$7,$B$7-A25,"")</f>
        <v>1</v>
      </c>
      <c r="C25" s="11" t="n">
        <f aca="false">IF(A25&lt;=$B$7,A25*$B$5-($B$7-A25)*$B$6,"")</f>
        <v>1060</v>
      </c>
      <c r="D25" s="20" t="n">
        <f aca="false">IF(A25&lt;=$B$7,BINOMDIST(A25,$B$7,$B$4,FALSE()),0)</f>
        <v>2.86102294921875E-005</v>
      </c>
      <c r="E25" s="19" t="n">
        <f aca="false">IF(A25&lt;=$B$7,IF(C25&lt;0,1,0),0)</f>
        <v>0</v>
      </c>
      <c r="G25" s="20" t="n">
        <f aca="false">D25*E25</f>
        <v>0</v>
      </c>
    </row>
    <row r="26" customFormat="false" ht="15" hidden="false" customHeight="false" outlineLevel="0" collapsed="false">
      <c r="A26" s="0" t="n">
        <v>10</v>
      </c>
      <c r="B26" s="19" t="n">
        <f aca="false">IF(A26&lt;=$B$7,$B$7-A26,"")</f>
        <v>0</v>
      </c>
      <c r="C26" s="11" t="n">
        <f aca="false">IF(A26&lt;=$B$7,A26*$B$5-($B$7-A26)*$B$6,"")</f>
        <v>1200</v>
      </c>
      <c r="D26" s="20" t="n">
        <f aca="false">IF(A26&lt;=$B$7,BINOMDIST(A26,$B$7,$B$4,FALSE()),0)</f>
        <v>9.5367431640625E-007</v>
      </c>
      <c r="E26" s="19" t="n">
        <f aca="false">IF(A26&lt;=$B$7,IF(C26&lt;0,1,0),0)</f>
        <v>0</v>
      </c>
      <c r="G26" s="20" t="n">
        <f aca="false">D26*E26</f>
        <v>0</v>
      </c>
    </row>
    <row r="27" customFormat="false" ht="15" hidden="false" customHeight="false" outlineLevel="0" collapsed="false">
      <c r="A27" s="0" t="n">
        <v>11</v>
      </c>
      <c r="B27" s="19" t="str">
        <f aca="false">IF(A27&lt;=$B$7,$B$7-A27,"")</f>
        <v/>
      </c>
      <c r="C27" s="11" t="str">
        <f aca="false">IF(A27&lt;=$B$7,A27*$B$5-($B$7-A27)*$B$6,"")</f>
        <v/>
      </c>
      <c r="D27" s="20" t="n">
        <f aca="false">IF(A27&lt;=$B$7,BINOMDIST(A27,$B$7,$B$4,FALSE()),0)</f>
        <v>0</v>
      </c>
      <c r="E27" s="19" t="n">
        <f aca="false">IF(A27&lt;=$B$7,IF(C27&lt;0,1,0),0)</f>
        <v>0</v>
      </c>
      <c r="G27" s="20" t="n">
        <f aca="false">D27*E27</f>
        <v>0</v>
      </c>
    </row>
    <row r="28" customFormat="false" ht="15" hidden="false" customHeight="false" outlineLevel="0" collapsed="false">
      <c r="A28" s="0" t="n">
        <v>12</v>
      </c>
      <c r="B28" s="19" t="str">
        <f aca="false">IF(A28&lt;=$B$7,$B$7-A28,"")</f>
        <v/>
      </c>
      <c r="C28" s="11" t="str">
        <f aca="false">IF(A28&lt;=$B$7,A28*$B$5-($B$7-A28)*$B$6,"")</f>
        <v/>
      </c>
      <c r="D28" s="20" t="n">
        <f aca="false">IF(A28&lt;=$B$7,BINOMDIST(A28,$B$7,$B$4,FALSE()),0)</f>
        <v>0</v>
      </c>
      <c r="E28" s="19" t="n">
        <f aca="false">IF(A28&lt;=$B$7,IF(C28&lt;0,1,0),0)</f>
        <v>0</v>
      </c>
      <c r="G28" s="20" t="n">
        <f aca="false">D28*E28</f>
        <v>0</v>
      </c>
    </row>
    <row r="29" customFormat="false" ht="15" hidden="false" customHeight="false" outlineLevel="0" collapsed="false">
      <c r="A29" s="0" t="n">
        <v>13</v>
      </c>
      <c r="B29" s="19" t="str">
        <f aca="false">IF(A29&lt;=$B$7,$B$7-A29,"")</f>
        <v/>
      </c>
      <c r="C29" s="11" t="str">
        <f aca="false">IF(A29&lt;=$B$7,A29*$B$5-($B$7-A29)*$B$6,"")</f>
        <v/>
      </c>
      <c r="D29" s="20" t="n">
        <f aca="false">IF(A29&lt;=$B$7,BINOMDIST(A29,$B$7,$B$4,FALSE()),0)</f>
        <v>0</v>
      </c>
      <c r="E29" s="19" t="n">
        <f aca="false">IF(A29&lt;=$B$7,IF(C29&lt;0,1,0),0)</f>
        <v>0</v>
      </c>
      <c r="G29" s="20" t="n">
        <f aca="false">D29*E29</f>
        <v>0</v>
      </c>
    </row>
    <row r="30" customFormat="false" ht="15" hidden="false" customHeight="false" outlineLevel="0" collapsed="false">
      <c r="A30" s="0" t="n">
        <v>14</v>
      </c>
      <c r="B30" s="19" t="str">
        <f aca="false">IF(A30&lt;=$B$7,$B$7-A30,"")</f>
        <v/>
      </c>
      <c r="C30" s="11" t="str">
        <f aca="false">IF(A30&lt;=$B$7,A30*$B$5-($B$7-A30)*$B$6,"")</f>
        <v/>
      </c>
      <c r="D30" s="20" t="n">
        <f aca="false">IF(A30&lt;=$B$7,BINOMDIST(A30,$B$7,$B$4,FALSE()),0)</f>
        <v>0</v>
      </c>
      <c r="E30" s="19" t="n">
        <f aca="false">IF(A30&lt;=$B$7,IF(C30&lt;0,1,0),0)</f>
        <v>0</v>
      </c>
      <c r="G30" s="20" t="n">
        <f aca="false">D30*E30</f>
        <v>0</v>
      </c>
    </row>
    <row r="31" customFormat="false" ht="15" hidden="false" customHeight="false" outlineLevel="0" collapsed="false">
      <c r="A31" s="0" t="n">
        <v>15</v>
      </c>
      <c r="B31" s="19" t="str">
        <f aca="false">IF(A31&lt;=$B$7,$B$7-A31,"")</f>
        <v/>
      </c>
      <c r="C31" s="11" t="str">
        <f aca="false">IF(A31&lt;=$B$7,A31*$B$5-($B$7-A31)*$B$6,"")</f>
        <v/>
      </c>
      <c r="D31" s="20" t="n">
        <f aca="false">IF(A31&lt;=$B$7,BINOMDIST(A31,$B$7,$B$4,FALSE()),0)</f>
        <v>0</v>
      </c>
      <c r="E31" s="19" t="n">
        <f aca="false">IF(A31&lt;=$B$7,IF(C31&lt;0,1,0),0)</f>
        <v>0</v>
      </c>
      <c r="G31" s="20" t="n">
        <f aca="false">D31*E31</f>
        <v>0</v>
      </c>
    </row>
    <row r="32" customFormat="false" ht="15" hidden="false" customHeight="false" outlineLevel="0" collapsed="false">
      <c r="A32" s="0" t="n">
        <v>16</v>
      </c>
      <c r="B32" s="19" t="str">
        <f aca="false">IF(A32&lt;=$B$7,$B$7-A32,"")</f>
        <v/>
      </c>
      <c r="C32" s="11" t="str">
        <f aca="false">IF(A32&lt;=$B$7,A32*$B$5-($B$7-A32)*$B$6,"")</f>
        <v/>
      </c>
      <c r="D32" s="20" t="n">
        <f aca="false">IF(A32&lt;=$B$7,BINOMDIST(A32,$B$7,$B$4,FALSE()),0)</f>
        <v>0</v>
      </c>
      <c r="E32" s="19" t="n">
        <f aca="false">IF(A32&lt;=$B$7,IF(C32&lt;0,1,0),0)</f>
        <v>0</v>
      </c>
      <c r="G32" s="20" t="n">
        <f aca="false">D32*E32</f>
        <v>0</v>
      </c>
    </row>
    <row r="33" customFormat="false" ht="15" hidden="false" customHeight="false" outlineLevel="0" collapsed="false">
      <c r="A33" s="0" t="n">
        <v>17</v>
      </c>
      <c r="B33" s="19" t="str">
        <f aca="false">IF(A33&lt;=$B$7,$B$7-A33,"")</f>
        <v/>
      </c>
      <c r="C33" s="11" t="str">
        <f aca="false">IF(A33&lt;=$B$7,A33*$B$5-($B$7-A33)*$B$6,"")</f>
        <v/>
      </c>
      <c r="D33" s="20" t="n">
        <f aca="false">IF(A33&lt;=$B$7,BINOMDIST(A33,$B$7,$B$4,FALSE()),0)</f>
        <v>0</v>
      </c>
      <c r="E33" s="19" t="n">
        <f aca="false">IF(A33&lt;=$B$7,IF(C33&lt;0,1,0),0)</f>
        <v>0</v>
      </c>
      <c r="G33" s="20" t="n">
        <f aca="false">D33*E33</f>
        <v>0</v>
      </c>
    </row>
    <row r="34" customFormat="false" ht="15" hidden="false" customHeight="false" outlineLevel="0" collapsed="false">
      <c r="A34" s="0" t="n">
        <v>18</v>
      </c>
      <c r="B34" s="19" t="str">
        <f aca="false">IF(A34&lt;=$B$7,$B$7-A34,"")</f>
        <v/>
      </c>
      <c r="C34" s="11" t="str">
        <f aca="false">IF(A34&lt;=$B$7,A34*$B$5-($B$7-A34)*$B$6,"")</f>
        <v/>
      </c>
      <c r="D34" s="20" t="n">
        <f aca="false">IF(A34&lt;=$B$7,BINOMDIST(A34,$B$7,$B$4,FALSE()),0)</f>
        <v>0</v>
      </c>
      <c r="E34" s="19" t="n">
        <f aca="false">IF(A34&lt;=$B$7,IF(C34&lt;0,1,0),0)</f>
        <v>0</v>
      </c>
      <c r="G34" s="20" t="n">
        <f aca="false">D34*E34</f>
        <v>0</v>
      </c>
    </row>
    <row r="35" customFormat="false" ht="15" hidden="false" customHeight="false" outlineLevel="0" collapsed="false">
      <c r="A35" s="0" t="n">
        <v>19</v>
      </c>
      <c r="B35" s="19" t="str">
        <f aca="false">IF(A35&lt;=$B$7,$B$7-A35,"")</f>
        <v/>
      </c>
      <c r="C35" s="11" t="str">
        <f aca="false">IF(A35&lt;=$B$7,A35*$B$5-($B$7-A35)*$B$6,"")</f>
        <v/>
      </c>
      <c r="D35" s="20" t="n">
        <f aca="false">IF(A35&lt;=$B$7,BINOMDIST(A35,$B$7,$B$4,FALSE()),0)</f>
        <v>0</v>
      </c>
      <c r="E35" s="19" t="n">
        <f aca="false">IF(A35&lt;=$B$7,IF(C35&lt;0,1,0),0)</f>
        <v>0</v>
      </c>
      <c r="G35" s="20" t="n">
        <f aca="false">D35*E35</f>
        <v>0</v>
      </c>
    </row>
    <row r="36" customFormat="false" ht="15" hidden="false" customHeight="false" outlineLevel="0" collapsed="false">
      <c r="A36" s="0" t="n">
        <v>20</v>
      </c>
      <c r="B36" s="19" t="str">
        <f aca="false">IF(A36&lt;=$B$7,$B$7-A36,"")</f>
        <v/>
      </c>
      <c r="C36" s="11" t="str">
        <f aca="false">IF(A36&lt;=$B$7,A36*$B$5-($B$7-A36)*$B$6,"")</f>
        <v/>
      </c>
      <c r="D36" s="20" t="n">
        <f aca="false">IF(A36&lt;=$B$7,BINOMDIST(A36,$B$7,$B$4,FALSE()),0)</f>
        <v>0</v>
      </c>
      <c r="E36" s="19" t="n">
        <f aca="false">IF(A36&lt;=$B$7,IF(C36&lt;0,1,0),0)</f>
        <v>0</v>
      </c>
      <c r="G36" s="20" t="n">
        <f aca="false">D36*E36</f>
        <v>0</v>
      </c>
    </row>
    <row r="37" customFormat="false" ht="15" hidden="false" customHeight="false" outlineLevel="0" collapsed="false">
      <c r="A37" s="0" t="n">
        <v>21</v>
      </c>
      <c r="B37" s="19" t="str">
        <f aca="false">IF(A37&lt;=$B$7,$B$7-A37,"")</f>
        <v/>
      </c>
      <c r="C37" s="11" t="str">
        <f aca="false">IF(A37&lt;=$B$7,A37*$B$5-($B$7-A37)*$B$6,"")</f>
        <v/>
      </c>
      <c r="D37" s="20" t="n">
        <f aca="false">IF(A37&lt;=$B$7,BINOMDIST(A37,$B$7,$B$4,FALSE()),0)</f>
        <v>0</v>
      </c>
      <c r="E37" s="19" t="n">
        <f aca="false">IF(A37&lt;=$B$7,IF(C37&lt;0,1,0),0)</f>
        <v>0</v>
      </c>
      <c r="G37" s="20" t="n">
        <f aca="false">D37*E37</f>
        <v>0</v>
      </c>
    </row>
    <row r="38" customFormat="false" ht="15" hidden="false" customHeight="false" outlineLevel="0" collapsed="false">
      <c r="A38" s="0" t="n">
        <v>22</v>
      </c>
      <c r="B38" s="19" t="str">
        <f aca="false">IF(A38&lt;=$B$7,$B$7-A38,"")</f>
        <v/>
      </c>
      <c r="C38" s="11" t="str">
        <f aca="false">IF(A38&lt;=$B$7,A38*$B$5-($B$7-A38)*$B$6,"")</f>
        <v/>
      </c>
      <c r="D38" s="20" t="n">
        <f aca="false">IF(A38&lt;=$B$7,BINOMDIST(A38,$B$7,$B$4,FALSE()),0)</f>
        <v>0</v>
      </c>
      <c r="E38" s="19" t="n">
        <f aca="false">IF(A38&lt;=$B$7,IF(C38&lt;0,1,0),0)</f>
        <v>0</v>
      </c>
      <c r="G38" s="20" t="n">
        <f aca="false">D38*E38</f>
        <v>0</v>
      </c>
    </row>
    <row r="39" customFormat="false" ht="15" hidden="false" customHeight="false" outlineLevel="0" collapsed="false">
      <c r="A39" s="0" t="n">
        <v>23</v>
      </c>
      <c r="B39" s="19" t="str">
        <f aca="false">IF(A39&lt;=$B$7,$B$7-A39,"")</f>
        <v/>
      </c>
      <c r="C39" s="11" t="str">
        <f aca="false">IF(A39&lt;=$B$7,A39*$B$5-($B$7-A39)*$B$6,"")</f>
        <v/>
      </c>
      <c r="D39" s="20" t="n">
        <f aca="false">IF(A39&lt;=$B$7,BINOMDIST(A39,$B$7,$B$4,FALSE()),0)</f>
        <v>0</v>
      </c>
      <c r="E39" s="19" t="n">
        <f aca="false">IF(A39&lt;=$B$7,IF(C39&lt;0,1,0),0)</f>
        <v>0</v>
      </c>
      <c r="G39" s="20" t="n">
        <f aca="false">D39*E39</f>
        <v>0</v>
      </c>
    </row>
    <row r="40" customFormat="false" ht="15" hidden="false" customHeight="false" outlineLevel="0" collapsed="false">
      <c r="A40" s="0" t="n">
        <v>24</v>
      </c>
      <c r="B40" s="19" t="str">
        <f aca="false">IF(A40&lt;=$B$7,$B$7-A40,"")</f>
        <v/>
      </c>
      <c r="C40" s="11" t="str">
        <f aca="false">IF(A40&lt;=$B$7,A40*$B$5-($B$7-A40)*$B$6,"")</f>
        <v/>
      </c>
      <c r="D40" s="20" t="n">
        <f aca="false">IF(A40&lt;=$B$7,BINOMDIST(A40,$B$7,$B$4,FALSE()),0)</f>
        <v>0</v>
      </c>
      <c r="E40" s="19" t="n">
        <f aca="false">IF(A40&lt;=$B$7,IF(C40&lt;0,1,0),0)</f>
        <v>0</v>
      </c>
      <c r="G40" s="20" t="n">
        <f aca="false">D40*E40</f>
        <v>0</v>
      </c>
    </row>
    <row r="41" customFormat="false" ht="15" hidden="false" customHeight="false" outlineLevel="0" collapsed="false">
      <c r="A41" s="0" t="n">
        <v>25</v>
      </c>
      <c r="B41" s="19" t="str">
        <f aca="false">IF(A41&lt;=$B$7,$B$7-A41,"")</f>
        <v/>
      </c>
      <c r="C41" s="11" t="str">
        <f aca="false">IF(A41&lt;=$B$7,A41*$B$5-($B$7-A41)*$B$6,"")</f>
        <v/>
      </c>
      <c r="D41" s="20" t="n">
        <f aca="false">IF(A41&lt;=$B$7,BINOMDIST(A41,$B$7,$B$4,FALSE()),0)</f>
        <v>0</v>
      </c>
      <c r="E41" s="19" t="n">
        <f aca="false">IF(A41&lt;=$B$7,IF(C41&lt;0,1,0),0)</f>
        <v>0</v>
      </c>
      <c r="G41" s="20" t="n">
        <f aca="false">D41*E41</f>
        <v>0</v>
      </c>
    </row>
    <row r="42" customFormat="false" ht="15" hidden="false" customHeight="false" outlineLevel="0" collapsed="false">
      <c r="A42" s="0" t="n">
        <v>26</v>
      </c>
      <c r="B42" s="19" t="str">
        <f aca="false">IF(A42&lt;=$B$7,$B$7-A42,"")</f>
        <v/>
      </c>
      <c r="C42" s="11" t="str">
        <f aca="false">IF(A42&lt;=$B$7,A42*$B$5-($B$7-A42)*$B$6,"")</f>
        <v/>
      </c>
      <c r="D42" s="20" t="n">
        <f aca="false">IF(A42&lt;=$B$7,BINOMDIST(A42,$B$7,$B$4,FALSE()),0)</f>
        <v>0</v>
      </c>
      <c r="E42" s="19" t="n">
        <f aca="false">IF(A42&lt;=$B$7,IF(C42&lt;0,1,0),0)</f>
        <v>0</v>
      </c>
      <c r="G42" s="20" t="n">
        <f aca="false">D42*E42</f>
        <v>0</v>
      </c>
    </row>
    <row r="43" customFormat="false" ht="15" hidden="false" customHeight="false" outlineLevel="0" collapsed="false">
      <c r="A43" s="0" t="n">
        <v>27</v>
      </c>
      <c r="B43" s="19" t="str">
        <f aca="false">IF(A43&lt;=$B$7,$B$7-A43,"")</f>
        <v/>
      </c>
      <c r="C43" s="11" t="str">
        <f aca="false">IF(A43&lt;=$B$7,A43*$B$5-($B$7-A43)*$B$6,"")</f>
        <v/>
      </c>
      <c r="D43" s="20" t="n">
        <f aca="false">IF(A43&lt;=$B$7,BINOMDIST(A43,$B$7,$B$4,FALSE()),0)</f>
        <v>0</v>
      </c>
      <c r="E43" s="19" t="n">
        <f aca="false">IF(A43&lt;=$B$7,IF(C43&lt;0,1,0),0)</f>
        <v>0</v>
      </c>
      <c r="G43" s="20" t="n">
        <f aca="false">D43*E43</f>
        <v>0</v>
      </c>
    </row>
    <row r="44" customFormat="false" ht="15" hidden="false" customHeight="false" outlineLevel="0" collapsed="false">
      <c r="A44" s="0" t="n">
        <v>28</v>
      </c>
      <c r="B44" s="19" t="str">
        <f aca="false">IF(A44&lt;=$B$7,$B$7-A44,"")</f>
        <v/>
      </c>
      <c r="C44" s="11" t="str">
        <f aca="false">IF(A44&lt;=$B$7,A44*$B$5-($B$7-A44)*$B$6,"")</f>
        <v/>
      </c>
      <c r="D44" s="20" t="n">
        <f aca="false">IF(A44&lt;=$B$7,BINOMDIST(A44,$B$7,$B$4,FALSE()),0)</f>
        <v>0</v>
      </c>
      <c r="E44" s="19" t="n">
        <f aca="false">IF(A44&lt;=$B$7,IF(C44&lt;0,1,0),0)</f>
        <v>0</v>
      </c>
      <c r="G44" s="20" t="n">
        <f aca="false">D44*E44</f>
        <v>0</v>
      </c>
    </row>
    <row r="45" customFormat="false" ht="15" hidden="false" customHeight="false" outlineLevel="0" collapsed="false">
      <c r="A45" s="0" t="n">
        <v>29</v>
      </c>
      <c r="B45" s="19" t="str">
        <f aca="false">IF(A45&lt;=$B$7,$B$7-A45,"")</f>
        <v/>
      </c>
      <c r="C45" s="11" t="str">
        <f aca="false">IF(A45&lt;=$B$7,A45*$B$5-($B$7-A45)*$B$6,"")</f>
        <v/>
      </c>
      <c r="D45" s="20" t="n">
        <f aca="false">IF(A45&lt;=$B$7,BINOMDIST(A45,$B$7,$B$4,FALSE()),0)</f>
        <v>0</v>
      </c>
      <c r="E45" s="19" t="n">
        <f aca="false">IF(A45&lt;=$B$7,IF(C45&lt;0,1,0),0)</f>
        <v>0</v>
      </c>
      <c r="G45" s="20" t="n">
        <f aca="false">D45*E45</f>
        <v>0</v>
      </c>
    </row>
    <row r="46" customFormat="false" ht="15" hidden="false" customHeight="false" outlineLevel="0" collapsed="false">
      <c r="A46" s="0" t="n">
        <v>30</v>
      </c>
      <c r="B46" s="19" t="str">
        <f aca="false">IF(A46&lt;=$B$7,$B$7-A46,"")</f>
        <v/>
      </c>
      <c r="C46" s="11" t="str">
        <f aca="false">IF(A46&lt;=$B$7,A46*$B$5-($B$7-A46)*$B$6,"")</f>
        <v/>
      </c>
      <c r="D46" s="20" t="n">
        <f aca="false">IF(A46&lt;=$B$7,BINOMDIST(A46,$B$7,$B$4,FALSE()),0)</f>
        <v>0</v>
      </c>
      <c r="E46" s="19" t="n">
        <f aca="false">IF(A46&lt;=$B$7,IF(C46&lt;0,1,0),0)</f>
        <v>0</v>
      </c>
      <c r="G46" s="20" t="n">
        <f aca="false">D46*E46</f>
        <v>0</v>
      </c>
    </row>
    <row r="48" customFormat="false" ht="15" hidden="false" customHeight="false" outlineLevel="0" collapsed="false">
      <c r="A48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2026-10-31T08:03:48Z</dcterms:created>
  <dc:creator>openpyxl</dc:creator>
  <dc:description/>
  <dc:language>en-US</dc:language>
  <cp:lastModifiedBy/>
  <dcterms:modified xsi:type="dcterms:W3CDTF">2026-10-31T08:03:48Z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