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juste" sheetId="1" state="visible" r:id="rId3"/>
    <sheet name="Mapa" sheetId="2" state="visible" r:id="rId4"/>
    <sheet name="Dispers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<sst xmlns="http://schemas.openxmlformats.org/spreadsheetml/2006/main" count="73" uniqueCount="64">
  <si>
    <t xml:space="preserve">Ajuste histórico con balance de materiales y acuífero</t>
  </si>
  <si>
    <t xml:space="preserve">Datos de ejemplo (sintéticos) con fines didácticos. Celdas azules sobre fondo crema = entradas editables; el resto son fórmulas.</t>
  </si>
  <si>
    <t xml:space="preserve">Parámetro</t>
  </si>
  <si>
    <t xml:space="preserve">Valor</t>
  </si>
  <si>
    <t xml:space="preserve">Unidad</t>
  </si>
  <si>
    <t xml:space="preserve">Presión inicial pi</t>
  </si>
  <si>
    <t xml:space="preserve">psi</t>
  </si>
  <si>
    <t xml:space="preserve">Compresibilidad total ct</t>
  </si>
  <si>
    <t xml:space="preserve">1/psi</t>
  </si>
  <si>
    <t xml:space="preserve">Petróleo original N (a ajustar)</t>
  </si>
  <si>
    <t xml:space="preserve">MMbbl</t>
  </si>
  <si>
    <t xml:space="preserve">Fuerza del acuífero Ca (a ajustar)</t>
  </si>
  <si>
    <t xml:space="preserve">Mbbl/psi</t>
  </si>
  <si>
    <t xml:space="preserve">Incluir agua producida (1 = sí, 0 = no)</t>
  </si>
  <si>
    <t xml:space="preserve">Incertidumbre del dato de presión σp</t>
  </si>
  <si>
    <t xml:space="preserve">Incertidumbre del dato de agua σw</t>
  </si>
  <si>
    <t xml:space="preserve">Ceff = N·ct + Ca (Mbbl/psi)</t>
  </si>
  <si>
    <t xml:space="preserve">Con solo presión, solo Ceff está restringido</t>
  </si>
  <si>
    <t xml:space="preserve">Error de ajuste (σ)</t>
  </si>
  <si>
    <t xml:space="preserve">Menor que 1,5: el modelo ajusta</t>
  </si>
  <si>
    <t xml:space="preserve">Agua acumulada a 20 años (pronóstico)</t>
  </si>
  <si>
    <t xml:space="preserve">Año</t>
  </si>
  <si>
    <t xml:space="preserve">Np (MMbbl)</t>
  </si>
  <si>
    <t xml:space="preserve">p observada (psi)</t>
  </si>
  <si>
    <t xml:space="preserve">Wp observada (MMbbl)</t>
  </si>
  <si>
    <t xml:space="preserve">p modelo (psi)</t>
  </si>
  <si>
    <t xml:space="preserve">Wp modelo (MMbbl)</t>
  </si>
  <si>
    <t xml:space="preserve">Residual p (psi)</t>
  </si>
  <si>
    <t xml:space="preserve">Pronóstico (el mismo caudal de 1,2 MMbbl/año)</t>
  </si>
  <si>
    <t xml:space="preserve">Los datos son sintéticos (N = 400 MMbbl, Ca = 3,2 Mbbl/psi más ruido). Probá primero con solo presión, y encontrá varios pares (N, Ca) con error menor a 1,5 que den distinto pronóstico de agua. Después poné 1 en "Incluir agua" y repetí.</t>
  </si>
  <si>
    <t xml:space="preserve">Mapa del error de ajuste (solo presión)</t>
  </si>
  <si>
    <t xml:space="preserve">Cada celda calcula σ con los datos de la hoja Ajuste. Verde: modelos que ajustan (σ &lt; 1,5).</t>
  </si>
  <si>
    <t xml:space="preserve">Ca \ N</t>
  </si>
  <si>
    <t xml:space="preserve">Dispersión numérica: esquema upwind de Buckley y Leverett</t>
  </si>
  <si>
    <t xml:space="preserve">Malla de 20 celdas. Cambiá M, el Courant y los volúmenes porales inyectados y mirá el perfil final contra el frente analítico.</t>
  </si>
  <si>
    <t xml:space="preserve">S</t>
  </si>
  <si>
    <t xml:space="preserve">f′(S)</t>
  </si>
  <si>
    <t xml:space="preserve">f(S)/S</t>
  </si>
  <si>
    <t xml:space="preserve">f(S)</t>
  </si>
  <si>
    <t xml:space="preserve">Razón de movilidad M</t>
  </si>
  <si>
    <t xml:space="preserve">Evolución (cada fila es un paso; la fila 7 es el estado final elegido)</t>
  </si>
  <si>
    <t xml:space="preserve">Paso</t>
  </si>
  <si>
    <t xml:space="preserve">Final</t>
  </si>
  <si>
    <t xml:space="preserve">n</t>
  </si>
  <si>
    <t xml:space="preserve">celda 1</t>
  </si>
  <si>
    <t xml:space="preserve">celda 2</t>
  </si>
  <si>
    <t xml:space="preserve">celda 3</t>
  </si>
  <si>
    <t xml:space="preserve">celda 4</t>
  </si>
  <si>
    <t xml:space="preserve">celda 5</t>
  </si>
  <si>
    <t xml:space="preserve">celda 6</t>
  </si>
  <si>
    <t xml:space="preserve">celda 7</t>
  </si>
  <si>
    <t xml:space="preserve">celda 8</t>
  </si>
  <si>
    <t xml:space="preserve">celda 9</t>
  </si>
  <si>
    <t xml:space="preserve">celda 10</t>
  </si>
  <si>
    <t xml:space="preserve">celda 11</t>
  </si>
  <si>
    <t xml:space="preserve">celda 12</t>
  </si>
  <si>
    <t xml:space="preserve">celda 13</t>
  </si>
  <si>
    <t xml:space="preserve">celda 14</t>
  </si>
  <si>
    <t xml:space="preserve">celda 15</t>
  </si>
  <si>
    <t xml:space="preserve">celda 16</t>
  </si>
  <si>
    <t xml:space="preserve">celda 17</t>
  </si>
  <si>
    <t xml:space="preserve">celda 18</t>
  </si>
  <si>
    <t xml:space="preserve">celda 19</t>
  </si>
  <si>
    <t xml:space="preserve">celda 20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</si>
</sst>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E+00"/>
    <numFmt numFmtId="167" formatCode="0.0"/>
    <numFmt numFmtId="168" formatCode="0.00"/>
    <numFmt numFmtId="169" formatCode="General"/>
    <numFmt numFmtId="170" formatCode="0.000"/>
    <numFmt numFmtId="171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A30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A30"/>
        <bgColor rgb="FF000000"/>
      </patternFill>
    </fill>
    <fill>
      <patternFill patternType="solid">
        <fgColor rgb="FFFFF8DC"/>
        <bgColor rgb="FFFFFFFF"/>
      </patternFill>
    </fill>
    <fill>
      <patternFill patternType="solid">
        <fgColor rgb="FFE3F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A8E6C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3F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E6C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1A3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4500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1.2E-005</v>
      </c>
      <c r="C6" s="2" t="s">
        <v>8</v>
      </c>
    </row>
    <row r="7" customFormat="false" ht="15" hidden="false" customHeight="false" outlineLevel="0" collapsed="false">
      <c r="A7" s="0" t="s">
        <v>9</v>
      </c>
      <c r="B7" s="4" t="n">
        <v>250</v>
      </c>
      <c r="C7" s="2" t="s">
        <v>10</v>
      </c>
    </row>
    <row r="8" customFormat="false" ht="15" hidden="false" customHeight="false" outlineLevel="0" collapsed="false">
      <c r="A8" s="0" t="s">
        <v>11</v>
      </c>
      <c r="B8" s="6" t="n">
        <v>5</v>
      </c>
      <c r="C8" s="2" t="s">
        <v>12</v>
      </c>
    </row>
    <row r="9" customFormat="false" ht="15" hidden="false" customHeight="false" outlineLevel="0" collapsed="false">
      <c r="A9" s="0" t="s">
        <v>13</v>
      </c>
      <c r="B9" s="4" t="n">
        <v>0</v>
      </c>
      <c r="C9" s="2"/>
    </row>
    <row r="10" customFormat="false" ht="15" hidden="false" customHeight="false" outlineLevel="0" collapsed="false">
      <c r="A10" s="0" t="s">
        <v>14</v>
      </c>
      <c r="B10" s="4" t="n">
        <v>25</v>
      </c>
      <c r="C10" s="2" t="s">
        <v>6</v>
      </c>
    </row>
    <row r="11" customFormat="false" ht="15" hidden="false" customHeight="false" outlineLevel="0" collapsed="false">
      <c r="A11" s="0" t="s">
        <v>15</v>
      </c>
      <c r="B11" s="7" t="n">
        <v>0.12</v>
      </c>
      <c r="C11" s="2" t="s">
        <v>10</v>
      </c>
    </row>
    <row r="13" customFormat="false" ht="15" hidden="false" customHeight="false" outlineLevel="0" collapsed="false">
      <c r="A13" s="0" t="s">
        <v>16</v>
      </c>
      <c r="B13" s="8" t="n">
        <f aca="false">B7*B6*1000+B8</f>
        <v>8</v>
      </c>
      <c r="C13" s="2" t="s">
        <v>17</v>
      </c>
    </row>
    <row r="14" customFormat="false" ht="15" hidden="false" customHeight="false" outlineLevel="0" collapsed="false">
      <c r="A14" s="0" t="s">
        <v>18</v>
      </c>
      <c r="B14" s="9" t="n">
        <f aca="false">SQRT((SUMPRODUCT(((E19:E29-C19:C29)/B10)^2)+IF(B9=1,SUMPRODUCT(((F19:F29-D19:D29)/B11)^2),0))/IF(B9=1,22,11))</f>
        <v>0.844823381219144</v>
      </c>
      <c r="C14" s="2" t="s">
        <v>19</v>
      </c>
    </row>
    <row r="15" customFormat="false" ht="15" hidden="false" customHeight="false" outlineLevel="0" collapsed="false">
      <c r="A15" s="0" t="s">
        <v>20</v>
      </c>
      <c r="B15" s="10" t="n">
        <f aca="false">B8*(1.2*20*1000/B13)/1000</f>
        <v>15</v>
      </c>
      <c r="C15" s="2" t="s">
        <v>10</v>
      </c>
    </row>
    <row r="18" customFormat="false" ht="28.35" hidden="false" customHeight="false" outlineLevel="0" collapsed="false">
      <c r="A18" s="3" t="s">
        <v>21</v>
      </c>
      <c r="B18" s="3" t="s">
        <v>22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27</v>
      </c>
    </row>
    <row r="19" customFormat="false" ht="15" hidden="false" customHeight="false" outlineLevel="0" collapsed="false">
      <c r="A19" s="0" t="n">
        <v>0</v>
      </c>
      <c r="B19" s="11" t="n">
        <f aca="false">1.2*A19</f>
        <v>0</v>
      </c>
      <c r="C19" s="6" t="n">
        <v>4470.5</v>
      </c>
      <c r="D19" s="7" t="n">
        <v>0</v>
      </c>
      <c r="E19" s="11" t="n">
        <f aca="false">$B$5-B19*1000/$B$13</f>
        <v>4500</v>
      </c>
      <c r="F19" s="8" t="n">
        <f aca="false">$B$8*(B19*1000/$B$13)/1000</f>
        <v>0</v>
      </c>
      <c r="G19" s="11" t="n">
        <f aca="false">E19-C19</f>
        <v>29.5</v>
      </c>
    </row>
    <row r="20" customFormat="false" ht="15" hidden="false" customHeight="false" outlineLevel="0" collapsed="false">
      <c r="A20" s="0" t="n">
        <v>1</v>
      </c>
      <c r="B20" s="11" t="n">
        <f aca="false">1.2*A20</f>
        <v>1.2</v>
      </c>
      <c r="C20" s="6" t="n">
        <v>4366.7</v>
      </c>
      <c r="D20" s="7" t="n">
        <v>0.2</v>
      </c>
      <c r="E20" s="11" t="n">
        <f aca="false">$B$5-B20*1000/$B$13</f>
        <v>4350</v>
      </c>
      <c r="F20" s="8" t="n">
        <f aca="false">$B$8*(B20*1000/$B$13)/1000</f>
        <v>0.75</v>
      </c>
      <c r="G20" s="11" t="n">
        <f aca="false">E20-C20</f>
        <v>-16.6999999999998</v>
      </c>
    </row>
    <row r="21" customFormat="false" ht="15" hidden="false" customHeight="false" outlineLevel="0" collapsed="false">
      <c r="A21" s="0" t="n">
        <v>2</v>
      </c>
      <c r="B21" s="11" t="n">
        <f aca="false">1.2*A21</f>
        <v>2.4</v>
      </c>
      <c r="C21" s="6" t="n">
        <v>4196.4</v>
      </c>
      <c r="D21" s="7" t="n">
        <v>0.69</v>
      </c>
      <c r="E21" s="11" t="n">
        <f aca="false">$B$5-B21*1000/$B$13</f>
        <v>4200</v>
      </c>
      <c r="F21" s="8" t="n">
        <f aca="false">$B$8*(B21*1000/$B$13)/1000</f>
        <v>1.5</v>
      </c>
      <c r="G21" s="11" t="n">
        <f aca="false">E21-C21</f>
        <v>3.60000000000036</v>
      </c>
    </row>
    <row r="22" customFormat="false" ht="15" hidden="false" customHeight="false" outlineLevel="0" collapsed="false">
      <c r="A22" s="0" t="n">
        <v>3</v>
      </c>
      <c r="B22" s="11" t="n">
        <f aca="false">1.2*A22</f>
        <v>3.6</v>
      </c>
      <c r="C22" s="6" t="n">
        <v>4077.5</v>
      </c>
      <c r="D22" s="7" t="n">
        <v>1.46</v>
      </c>
      <c r="E22" s="11" t="n">
        <f aca="false">$B$5-B22*1000/$B$13</f>
        <v>4050</v>
      </c>
      <c r="F22" s="8" t="n">
        <f aca="false">$B$8*(B22*1000/$B$13)/1000</f>
        <v>2.25</v>
      </c>
      <c r="G22" s="11" t="n">
        <f aca="false">E22-C22</f>
        <v>-27.5</v>
      </c>
    </row>
    <row r="23" customFormat="false" ht="15" hidden="false" customHeight="false" outlineLevel="0" collapsed="false">
      <c r="A23" s="0" t="n">
        <v>4</v>
      </c>
      <c r="B23" s="11" t="n">
        <f aca="false">1.2*A23</f>
        <v>4.8</v>
      </c>
      <c r="C23" s="6" t="n">
        <v>3933.9</v>
      </c>
      <c r="D23" s="7" t="n">
        <v>1.86</v>
      </c>
      <c r="E23" s="11" t="n">
        <f aca="false">$B$5-B23*1000/$B$13</f>
        <v>3900</v>
      </c>
      <c r="F23" s="8" t="n">
        <f aca="false">$B$8*(B23*1000/$B$13)/1000</f>
        <v>3</v>
      </c>
      <c r="G23" s="11" t="n">
        <f aca="false">E23-C23</f>
        <v>-33.9000000000001</v>
      </c>
    </row>
    <row r="24" customFormat="false" ht="15" hidden="false" customHeight="false" outlineLevel="0" collapsed="false">
      <c r="A24" s="0" t="n">
        <v>5</v>
      </c>
      <c r="B24" s="11" t="n">
        <f aca="false">1.2*A24</f>
        <v>6</v>
      </c>
      <c r="C24" s="6" t="n">
        <v>3760</v>
      </c>
      <c r="D24" s="7" t="n">
        <v>2.37</v>
      </c>
      <c r="E24" s="11" t="n">
        <f aca="false">$B$5-B24*1000/$B$13</f>
        <v>3750</v>
      </c>
      <c r="F24" s="8" t="n">
        <f aca="false">$B$8*(B24*1000/$B$13)/1000</f>
        <v>3.75</v>
      </c>
      <c r="G24" s="11" t="n">
        <f aca="false">E24-C24</f>
        <v>-10</v>
      </c>
    </row>
    <row r="25" customFormat="false" ht="15" hidden="false" customHeight="false" outlineLevel="0" collapsed="false">
      <c r="A25" s="0" t="n">
        <v>6</v>
      </c>
      <c r="B25" s="11" t="n">
        <f aca="false">1.2*A25</f>
        <v>7.2</v>
      </c>
      <c r="C25" s="6" t="n">
        <v>3581.5</v>
      </c>
      <c r="D25" s="7" t="n">
        <v>2.9</v>
      </c>
      <c r="E25" s="11" t="n">
        <f aca="false">$B$5-B25*1000/$B$13</f>
        <v>3600</v>
      </c>
      <c r="F25" s="8" t="n">
        <f aca="false">$B$8*(B25*1000/$B$13)/1000</f>
        <v>4.5</v>
      </c>
      <c r="G25" s="11" t="n">
        <f aca="false">E25-C25</f>
        <v>18.5</v>
      </c>
    </row>
    <row r="26" customFormat="false" ht="15" hidden="false" customHeight="false" outlineLevel="0" collapsed="false">
      <c r="A26" s="0" t="n">
        <v>7</v>
      </c>
      <c r="B26" s="11" t="n">
        <f aca="false">1.2*A26</f>
        <v>8.4</v>
      </c>
      <c r="C26" s="6" t="n">
        <v>3418.6</v>
      </c>
      <c r="D26" s="7" t="n">
        <v>3.32</v>
      </c>
      <c r="E26" s="11" t="n">
        <f aca="false">$B$5-B26*1000/$B$13</f>
        <v>3450</v>
      </c>
      <c r="F26" s="8" t="n">
        <f aca="false">$B$8*(B26*1000/$B$13)/1000</f>
        <v>5.25</v>
      </c>
      <c r="G26" s="11" t="n">
        <f aca="false">E26-C26</f>
        <v>31.4000000000001</v>
      </c>
    </row>
    <row r="27" customFormat="false" ht="15" hidden="false" customHeight="false" outlineLevel="0" collapsed="false">
      <c r="A27" s="0" t="n">
        <v>8</v>
      </c>
      <c r="B27" s="11" t="n">
        <f aca="false">1.2*A27</f>
        <v>9.6</v>
      </c>
      <c r="C27" s="6" t="n">
        <v>3317.4</v>
      </c>
      <c r="D27" s="7" t="n">
        <v>3.85</v>
      </c>
      <c r="E27" s="11" t="n">
        <f aca="false">$B$5-B27*1000/$B$13</f>
        <v>3300</v>
      </c>
      <c r="F27" s="8" t="n">
        <f aca="false">$B$8*(B27*1000/$B$13)/1000</f>
        <v>6</v>
      </c>
      <c r="G27" s="11" t="n">
        <f aca="false">E27-C27</f>
        <v>-17.4000000000001</v>
      </c>
    </row>
    <row r="28" customFormat="false" ht="15" hidden="false" customHeight="false" outlineLevel="0" collapsed="false">
      <c r="A28" s="0" t="n">
        <v>9</v>
      </c>
      <c r="B28" s="11" t="n">
        <f aca="false">1.2*A28</f>
        <v>10.8</v>
      </c>
      <c r="C28" s="6" t="n">
        <v>3139.7</v>
      </c>
      <c r="D28" s="7" t="n">
        <v>4.58</v>
      </c>
      <c r="E28" s="11" t="n">
        <f aca="false">$B$5-B28*1000/$B$13</f>
        <v>3150</v>
      </c>
      <c r="F28" s="8" t="n">
        <f aca="false">$B$8*(B28*1000/$B$13)/1000</f>
        <v>6.75</v>
      </c>
      <c r="G28" s="11" t="n">
        <f aca="false">E28-C28</f>
        <v>10.3000000000002</v>
      </c>
    </row>
    <row r="29" customFormat="false" ht="15" hidden="false" customHeight="false" outlineLevel="0" collapsed="false">
      <c r="A29" s="0" t="n">
        <v>10</v>
      </c>
      <c r="B29" s="11" t="n">
        <f aca="false">1.2*A29</f>
        <v>12</v>
      </c>
      <c r="C29" s="6" t="n">
        <v>3001.5</v>
      </c>
      <c r="D29" s="7" t="n">
        <v>4.73</v>
      </c>
      <c r="E29" s="11" t="n">
        <f aca="false">$B$5-B29*1000/$B$13</f>
        <v>3000</v>
      </c>
      <c r="F29" s="8" t="n">
        <f aca="false">$B$8*(B29*1000/$B$13)/1000</f>
        <v>7.5</v>
      </c>
      <c r="G29" s="11" t="n">
        <f aca="false">E29-C29</f>
        <v>-1.5</v>
      </c>
    </row>
    <row r="32" customFormat="false" ht="15" hidden="false" customHeight="false" outlineLevel="0" collapsed="false">
      <c r="A32" s="12" t="s">
        <v>28</v>
      </c>
    </row>
    <row r="33" customFormat="false" ht="15" hidden="false" customHeight="false" outlineLevel="0" collapsed="false">
      <c r="A33" s="3" t="s">
        <v>21</v>
      </c>
      <c r="B33" s="3" t="s">
        <v>22</v>
      </c>
      <c r="C33" s="3" t="s">
        <v>25</v>
      </c>
      <c r="D33" s="3" t="s">
        <v>26</v>
      </c>
    </row>
    <row r="34" customFormat="false" ht="15" hidden="false" customHeight="false" outlineLevel="0" collapsed="false">
      <c r="A34" s="0" t="n">
        <v>11</v>
      </c>
      <c r="B34" s="11" t="n">
        <f aca="false">1.2*A34</f>
        <v>13.2</v>
      </c>
      <c r="C34" s="11" t="n">
        <f aca="false">$B$5-B34*1000/$B$13</f>
        <v>2850</v>
      </c>
      <c r="D34" s="8" t="n">
        <f aca="false">$B$8*(B34*1000/$B$13)/1000</f>
        <v>8.25</v>
      </c>
    </row>
    <row r="35" customFormat="false" ht="15" hidden="false" customHeight="false" outlineLevel="0" collapsed="false">
      <c r="A35" s="0" t="n">
        <v>12</v>
      </c>
      <c r="B35" s="11" t="n">
        <f aca="false">1.2*A35</f>
        <v>14.4</v>
      </c>
      <c r="C35" s="11" t="n">
        <f aca="false">$B$5-B35*1000/$B$13</f>
        <v>2700</v>
      </c>
      <c r="D35" s="8" t="n">
        <f aca="false">$B$8*(B35*1000/$B$13)/1000</f>
        <v>9</v>
      </c>
    </row>
    <row r="36" customFormat="false" ht="15" hidden="false" customHeight="false" outlineLevel="0" collapsed="false">
      <c r="A36" s="0" t="n">
        <v>13</v>
      </c>
      <c r="B36" s="11" t="n">
        <f aca="false">1.2*A36</f>
        <v>15.6</v>
      </c>
      <c r="C36" s="11" t="n">
        <f aca="false">$B$5-B36*1000/$B$13</f>
        <v>2550</v>
      </c>
      <c r="D36" s="8" t="n">
        <f aca="false">$B$8*(B36*1000/$B$13)/1000</f>
        <v>9.75</v>
      </c>
    </row>
    <row r="37" customFormat="false" ht="15" hidden="false" customHeight="false" outlineLevel="0" collapsed="false">
      <c r="A37" s="0" t="n">
        <v>14</v>
      </c>
      <c r="B37" s="11" t="n">
        <f aca="false">1.2*A37</f>
        <v>16.8</v>
      </c>
      <c r="C37" s="11" t="n">
        <f aca="false">$B$5-B37*1000/$B$13</f>
        <v>2400</v>
      </c>
      <c r="D37" s="8" t="n">
        <f aca="false">$B$8*(B37*1000/$B$13)/1000</f>
        <v>10.5</v>
      </c>
    </row>
    <row r="38" customFormat="false" ht="15" hidden="false" customHeight="false" outlineLevel="0" collapsed="false">
      <c r="A38" s="0" t="n">
        <v>15</v>
      </c>
      <c r="B38" s="11" t="n">
        <f aca="false">1.2*A38</f>
        <v>18</v>
      </c>
      <c r="C38" s="11" t="n">
        <f aca="false">$B$5-B38*1000/$B$13</f>
        <v>2250</v>
      </c>
      <c r="D38" s="8" t="n">
        <f aca="false">$B$8*(B38*1000/$B$13)/1000</f>
        <v>11.25</v>
      </c>
    </row>
    <row r="39" customFormat="false" ht="15" hidden="false" customHeight="false" outlineLevel="0" collapsed="false">
      <c r="A39" s="0" t="n">
        <v>16</v>
      </c>
      <c r="B39" s="11" t="n">
        <f aca="false">1.2*A39</f>
        <v>19.2</v>
      </c>
      <c r="C39" s="11" t="n">
        <f aca="false">$B$5-B39*1000/$B$13</f>
        <v>2100</v>
      </c>
      <c r="D39" s="8" t="n">
        <f aca="false">$B$8*(B39*1000/$B$13)/1000</f>
        <v>12</v>
      </c>
    </row>
    <row r="40" customFormat="false" ht="15" hidden="false" customHeight="false" outlineLevel="0" collapsed="false">
      <c r="A40" s="0" t="n">
        <v>17</v>
      </c>
      <c r="B40" s="11" t="n">
        <f aca="false">1.2*A40</f>
        <v>20.4</v>
      </c>
      <c r="C40" s="11" t="n">
        <f aca="false">$B$5-B40*1000/$B$13</f>
        <v>1950</v>
      </c>
      <c r="D40" s="8" t="n">
        <f aca="false">$B$8*(B40*1000/$B$13)/1000</f>
        <v>12.75</v>
      </c>
    </row>
    <row r="41" customFormat="false" ht="15" hidden="false" customHeight="false" outlineLevel="0" collapsed="false">
      <c r="A41" s="0" t="n">
        <v>18</v>
      </c>
      <c r="B41" s="11" t="n">
        <f aca="false">1.2*A41</f>
        <v>21.6</v>
      </c>
      <c r="C41" s="11" t="n">
        <f aca="false">$B$5-B41*1000/$B$13</f>
        <v>1800</v>
      </c>
      <c r="D41" s="8" t="n">
        <f aca="false">$B$8*(B41*1000/$B$13)/1000</f>
        <v>13.5</v>
      </c>
    </row>
    <row r="42" customFormat="false" ht="15" hidden="false" customHeight="false" outlineLevel="0" collapsed="false">
      <c r="A42" s="0" t="n">
        <v>19</v>
      </c>
      <c r="B42" s="11" t="n">
        <f aca="false">1.2*A42</f>
        <v>22.8</v>
      </c>
      <c r="C42" s="11" t="n">
        <f aca="false">$B$5-B42*1000/$B$13</f>
        <v>1650</v>
      </c>
      <c r="D42" s="8" t="n">
        <f aca="false">$B$8*(B42*1000/$B$13)/1000</f>
        <v>14.25</v>
      </c>
    </row>
    <row r="43" customFormat="false" ht="15" hidden="false" customHeight="false" outlineLevel="0" collapsed="false">
      <c r="A43" s="0" t="n">
        <v>20</v>
      </c>
      <c r="B43" s="11" t="n">
        <f aca="false">1.2*A43</f>
        <v>24</v>
      </c>
      <c r="C43" s="11" t="n">
        <f aca="false">$B$5-B43*1000/$B$13</f>
        <v>1500</v>
      </c>
      <c r="D43" s="8" t="n">
        <f aca="false">$B$8*(B43*1000/$B$13)/1000</f>
        <v>15</v>
      </c>
    </row>
    <row r="46" customFormat="false" ht="15" hidden="false" customHeight="false" outlineLevel="0" collapsed="false">
      <c r="A46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7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12" t="s">
        <v>32</v>
      </c>
      <c r="B4" s="13" t="n">
        <v>100</v>
      </c>
      <c r="C4" s="13" t="n">
        <v>150</v>
      </c>
      <c r="D4" s="13" t="n">
        <v>200</v>
      </c>
      <c r="E4" s="13" t="n">
        <v>250</v>
      </c>
      <c r="F4" s="13" t="n">
        <v>300</v>
      </c>
      <c r="G4" s="13" t="n">
        <v>350</v>
      </c>
      <c r="H4" s="13" t="n">
        <v>400</v>
      </c>
      <c r="I4" s="13" t="n">
        <v>450</v>
      </c>
      <c r="J4" s="13" t="n">
        <v>500</v>
      </c>
      <c r="K4" s="13" t="n">
        <v>550</v>
      </c>
      <c r="L4" s="13" t="n">
        <v>600</v>
      </c>
      <c r="M4" s="13" t="n">
        <v>650</v>
      </c>
      <c r="N4" s="13" t="n">
        <v>700</v>
      </c>
      <c r="O4" s="13" t="n">
        <v>750</v>
      </c>
      <c r="P4" s="13" t="n">
        <v>800</v>
      </c>
    </row>
    <row r="5" customFormat="false" ht="15" hidden="false" customHeight="false" outlineLevel="0" collapsed="false">
      <c r="A5" s="13" t="n">
        <v>0</v>
      </c>
      <c r="B5" s="11" t="n">
        <f aca="false">SQRT(SUMPRODUCT(((Ajuste!$B$5-Ajuste!$B$19:$B$29*1000/(B$4*Ajuste!$B$6*1000+$A5)-Ajuste!$C$19:$C$29)/Ajuste!$B$10)^2)/11)</f>
        <v>201.153588310479</v>
      </c>
      <c r="C5" s="11" t="n">
        <f aca="false">SQRT(SUMPRODUCT(((Ajuste!$B$5-Ajuste!$B$19:$B$29*1000/(C$4*Ajuste!$B$6*1000+$A5)-Ajuste!$C$19:$C$29)/Ajuste!$B$10)^2)/11)</f>
        <v>122.273668999445</v>
      </c>
      <c r="D5" s="11" t="n">
        <f aca="false">SQRT(SUMPRODUCT(((Ajuste!$B$5-Ajuste!$B$19:$B$29*1000/(D$4*Ajuste!$B$6*1000+$A5)-Ajuste!$C$19:$C$29)/Ajuste!$B$10)^2)/11)</f>
        <v>82.834526723188</v>
      </c>
      <c r="E5" s="11" t="n">
        <f aca="false">SQRT(SUMPRODUCT(((Ajuste!$B$5-Ajuste!$B$19:$B$29*1000/(E$4*Ajuste!$B$6*1000+$A5)-Ajuste!$C$19:$C$29)/Ajuste!$B$10)^2)/11)</f>
        <v>59.1719305322134</v>
      </c>
      <c r="F5" s="11" t="n">
        <f aca="false">SQRT(SUMPRODUCT(((Ajuste!$B$5-Ajuste!$B$19:$B$29*1000/(F$4*Ajuste!$B$6*1000+$A5)-Ajuste!$C$19:$C$29)/Ajuste!$B$10)^2)/11)</f>
        <v>43.3979102657529</v>
      </c>
      <c r="G5" s="11" t="n">
        <f aca="false">SQRT(SUMPRODUCT(((Ajuste!$B$5-Ajuste!$B$19:$B$29*1000/(G$4*Ajuste!$B$6*1000+$A5)-Ajuste!$C$19:$C$29)/Ajuste!$B$10)^2)/11)</f>
        <v>32.1320709927903</v>
      </c>
      <c r="H5" s="11" t="n">
        <f aca="false">SQRT(SUMPRODUCT(((Ajuste!$B$5-Ajuste!$B$19:$B$29*1000/(H$4*Ajuste!$B$6*1000+$A5)-Ajuste!$C$19:$C$29)/Ajuste!$B$10)^2)/11)</f>
        <v>23.684492417844</v>
      </c>
      <c r="I5" s="11" t="n">
        <f aca="false">SQRT(SUMPRODUCT(((Ajuste!$B$5-Ajuste!$B$19:$B$29*1000/(I$4*Ajuste!$B$6*1000+$A5)-Ajuste!$C$19:$C$29)/Ajuste!$B$10)^2)/11)</f>
        <v>17.1168594028209</v>
      </c>
      <c r="J5" s="11" t="n">
        <f aca="false">SQRT(SUMPRODUCT(((Ajuste!$B$5-Ajuste!$B$19:$B$29*1000/(J$4*Ajuste!$B$6*1000+$A5)-Ajuste!$C$19:$C$29)/Ajuste!$B$10)^2)/11)</f>
        <v>11.8673692880175</v>
      </c>
      <c r="K5" s="11" t="n">
        <f aca="false">SQRT(SUMPRODUCT(((Ajuste!$B$5-Ajuste!$B$19:$B$29*1000/(K$4*Ajuste!$B$6*1000+$A5)-Ajuste!$C$19:$C$29)/Ajuste!$B$10)^2)/11)</f>
        <v>7.58187100047004</v>
      </c>
      <c r="L5" s="11" t="n">
        <f aca="false">SQRT(SUMPRODUCT(((Ajuste!$B$5-Ajuste!$B$19:$B$29*1000/(L$4*Ajuste!$B$6*1000+$A5)-Ajuste!$C$19:$C$29)/Ajuste!$B$10)^2)/11)</f>
        <v>4.03850523402564</v>
      </c>
      <c r="M5" s="11" t="n">
        <f aca="false">SQRT(SUMPRODUCT(((Ajuste!$B$5-Ajuste!$B$19:$B$29*1000/(M$4*Ajuste!$B$6*1000+$A5)-Ajuste!$C$19:$C$29)/Ajuste!$B$10)^2)/11)</f>
        <v>1.24555835897205</v>
      </c>
      <c r="N5" s="11" t="n">
        <f aca="false">SQRT(SUMPRODUCT(((Ajuste!$B$5-Ajuste!$B$19:$B$29*1000/(N$4*Ajuste!$B$6*1000+$A5)-Ajuste!$C$19:$C$29)/Ajuste!$B$10)^2)/11)</f>
        <v>1.88510547433046</v>
      </c>
      <c r="O5" s="11" t="n">
        <f aca="false">SQRT(SUMPRODUCT(((Ajuste!$B$5-Ajuste!$B$19:$B$29*1000/(O$4*Ajuste!$B$6*1000+$A5)-Ajuste!$C$19:$C$29)/Ajuste!$B$10)^2)/11)</f>
        <v>4.02852822712808</v>
      </c>
      <c r="P5" s="11" t="n">
        <f aca="false">SQRT(SUMPRODUCT(((Ajuste!$B$5-Ajuste!$B$19:$B$29*1000/(P$4*Ajuste!$B$6*1000+$A5)-Ajuste!$C$19:$C$29)/Ajuste!$B$10)^2)/11)</f>
        <v>5.97104370349866</v>
      </c>
    </row>
    <row r="6" customFormat="false" ht="15" hidden="false" customHeight="false" outlineLevel="0" collapsed="false">
      <c r="A6" s="13" t="n">
        <v>0.5</v>
      </c>
      <c r="B6" s="11" t="n">
        <f aca="false">SQRT(SUMPRODUCT(((Ajuste!$B$5-Ajuste!$B$19:$B$29*1000/(B$4*Ajuste!$B$6*1000+$A6)-Ajuste!$C$19:$C$29)/Ajuste!$B$10)^2)/11)</f>
        <v>131.553588271827</v>
      </c>
      <c r="C6" s="11" t="n">
        <f aca="false">SQRT(SUMPRODUCT(((Ajuste!$B$5-Ajuste!$B$19:$B$29*1000/(C$4*Ajuste!$B$6*1000+$A6)-Ajuste!$C$19:$C$29)/Ajuste!$B$10)^2)/11)</f>
        <v>87.978692016715</v>
      </c>
      <c r="D6" s="11" t="n">
        <f aca="false">SQRT(SUMPRODUCT(((Ajuste!$B$5-Ajuste!$B$19:$B$29*1000/(D$4*Ajuste!$B$6*1000+$A6)-Ajuste!$C$19:$C$29)/Ajuste!$B$10)^2)/11)</f>
        <v>62.4356592572642</v>
      </c>
      <c r="E6" s="11" t="n">
        <f aca="false">SQRT(SUMPRODUCT(((Ajuste!$B$5-Ajuste!$B$19:$B$29*1000/(E$4*Ajuste!$B$6*1000+$A6)-Ajuste!$C$19:$C$29)/Ajuste!$B$10)^2)/11)</f>
        <v>45.6512489614497</v>
      </c>
      <c r="F6" s="11" t="n">
        <f aca="false">SQRT(SUMPRODUCT(((Ajuste!$B$5-Ajuste!$B$19:$B$29*1000/(F$4*Ajuste!$B$6*1000+$A6)-Ajuste!$C$19:$C$29)/Ajuste!$B$10)^2)/11)</f>
        <v>33.7806102229901</v>
      </c>
      <c r="G6" s="11" t="n">
        <f aca="false">SQRT(SUMPRODUCT(((Ajuste!$B$5-Ajuste!$B$19:$B$29*1000/(G$4*Ajuste!$B$6*1000+$A6)-Ajuste!$C$19:$C$29)/Ajuste!$B$10)^2)/11)</f>
        <v>24.9424722079747</v>
      </c>
      <c r="H6" s="11" t="n">
        <f aca="false">SQRT(SUMPRODUCT(((Ajuste!$B$5-Ajuste!$B$19:$B$29*1000/(H$4*Ajuste!$B$6*1000+$A6)-Ajuste!$C$19:$C$29)/Ajuste!$B$10)^2)/11)</f>
        <v>18.1079310322417</v>
      </c>
      <c r="I6" s="11" t="n">
        <f aca="false">SQRT(SUMPRODUCT(((Ajuste!$B$5-Ajuste!$B$19:$B$29*1000/(I$4*Ajuste!$B$6*1000+$A6)-Ajuste!$C$19:$C$29)/Ajuste!$B$10)^2)/11)</f>
        <v>12.6676431436377</v>
      </c>
      <c r="J6" s="11" t="n">
        <f aca="false">SQRT(SUMPRODUCT(((Ajuste!$B$5-Ajuste!$B$19:$B$29*1000/(J$4*Ajuste!$B$6*1000+$A6)-Ajuste!$C$19:$C$29)/Ajuste!$B$10)^2)/11)</f>
        <v>8.24001812382784</v>
      </c>
      <c r="K6" s="11" t="n">
        <f aca="false">SQRT(SUMPRODUCT(((Ajuste!$B$5-Ajuste!$B$19:$B$29*1000/(K$4*Ajuste!$B$6*1000+$A6)-Ajuste!$C$19:$C$29)/Ajuste!$B$10)^2)/11)</f>
        <v>4.58318883057051</v>
      </c>
      <c r="L6" s="11" t="n">
        <f aca="false">SQRT(SUMPRODUCT(((Ajuste!$B$5-Ajuste!$B$19:$B$29*1000/(L$4*Ajuste!$B$6*1000+$A6)-Ajuste!$C$19:$C$29)/Ajuste!$B$10)^2)/11)</f>
        <v>1.62495241379784</v>
      </c>
      <c r="M6" s="11" t="n">
        <f aca="false">SQRT(SUMPRODUCT(((Ajuste!$B$5-Ajuste!$B$19:$B$29*1000/(M$4*Ajuste!$B$6*1000+$A6)-Ajuste!$C$19:$C$29)/Ajuste!$B$10)^2)/11)</f>
        <v>1.53190669382364</v>
      </c>
      <c r="N6" s="11" t="n">
        <f aca="false">SQRT(SUMPRODUCT(((Ajuste!$B$5-Ajuste!$B$19:$B$29*1000/(N$4*Ajuste!$B$6*1000+$A6)-Ajuste!$C$19:$C$29)/Ajuste!$B$10)^2)/11)</f>
        <v>3.68264011185358</v>
      </c>
      <c r="O6" s="11" t="n">
        <f aca="false">SQRT(SUMPRODUCT(((Ajuste!$B$5-Ajuste!$B$19:$B$29*1000/(O$4*Ajuste!$B$6*1000+$A6)-Ajuste!$C$19:$C$29)/Ajuste!$B$10)^2)/11)</f>
        <v>5.66297468869987</v>
      </c>
      <c r="P6" s="11" t="n">
        <f aca="false">SQRT(SUMPRODUCT(((Ajuste!$B$5-Ajuste!$B$19:$B$29*1000/(P$4*Ajuste!$B$6*1000+$A6)-Ajuste!$C$19:$C$29)/Ajuste!$B$10)^2)/11)</f>
        <v>7.42358078667475</v>
      </c>
    </row>
    <row r="7" customFormat="false" ht="15" hidden="false" customHeight="false" outlineLevel="0" collapsed="false">
      <c r="A7" s="13" t="n">
        <v>1</v>
      </c>
      <c r="B7" s="11" t="n">
        <f aca="false">SQRT(SUMPRODUCT(((Ajuste!$B$5-Ajuste!$B$19:$B$29*1000/(B$4*Ajuste!$B$6*1000+$A7)-Ajuste!$C$19:$C$29)/Ajuste!$B$10)^2)/11)</f>
        <v>93.5905402841424</v>
      </c>
      <c r="C7" s="11" t="n">
        <f aca="false">SQRT(SUMPRODUCT(((Ajuste!$B$5-Ajuste!$B$19:$B$29*1000/(C$4*Ajuste!$B$6*1000+$A7)-Ajuste!$C$19:$C$29)/Ajuste!$B$10)^2)/11)</f>
        <v>65.9325461030921</v>
      </c>
      <c r="D7" s="11" t="n">
        <f aca="false">SQRT(SUMPRODUCT(((Ajuste!$B$5-Ajuste!$B$19:$B$29*1000/(D$4*Ajuste!$B$6*1000+$A7)-Ajuste!$C$19:$C$29)/Ajuste!$B$10)^2)/11)</f>
        <v>48.0371785104783</v>
      </c>
      <c r="E7" s="11" t="n">
        <f aca="false">SQRT(SUMPRODUCT(((Ajuste!$B$5-Ajuste!$B$19:$B$29*1000/(E$4*Ajuste!$B$6*1000+$A7)-Ajuste!$C$19:$C$29)/Ajuste!$B$10)^2)/11)</f>
        <v>35.5116306069383</v>
      </c>
      <c r="F7" s="11" t="n">
        <f aca="false">SQRT(SUMPRODUCT(((Ajuste!$B$5-Ajuste!$B$19:$B$29*1000/(F$4*Ajuste!$B$6*1000+$A7)-Ajuste!$C$19:$C$29)/Ajuste!$B$10)^2)/11)</f>
        <v>26.2552245024457</v>
      </c>
      <c r="G7" s="11" t="n">
        <f aca="false">SQRT(SUMPRODUCT(((Ajuste!$B$5-Ajuste!$B$19:$B$29*1000/(G$4*Ajuste!$B$6*1000+$A7)-Ajuste!$C$19:$C$29)/Ajuste!$B$10)^2)/11)</f>
        <v>19.1372461788905</v>
      </c>
      <c r="H7" s="11" t="n">
        <f aca="false">SQRT(SUMPRODUCT(((Ajuste!$B$5-Ajuste!$B$19:$B$29*1000/(H$4*Ajuste!$B$6*1000+$A7)-Ajuste!$C$19:$C$29)/Ajuste!$B$10)^2)/11)</f>
        <v>13.4957508627441</v>
      </c>
      <c r="I7" s="11" t="n">
        <f aca="false">SQRT(SUMPRODUCT(((Ajuste!$B$5-Ajuste!$B$19:$B$29*1000/(I$4*Ajuste!$B$6*1000+$A7)-Ajuste!$C$19:$C$29)/Ajuste!$B$10)^2)/11)</f>
        <v>8.91932015346461</v>
      </c>
      <c r="J7" s="11" t="n">
        <f aca="false">SQRT(SUMPRODUCT(((Ajuste!$B$5-Ajuste!$B$19:$B$29*1000/(J$4*Ajuste!$B$6*1000+$A7)-Ajuste!$C$19:$C$29)/Ajuste!$B$10)^2)/11)</f>
        <v>5.14584808554241</v>
      </c>
      <c r="K7" s="11" t="n">
        <f aca="false">SQRT(SUMPRODUCT(((Ajuste!$B$5-Ajuste!$B$19:$B$29*1000/(K$4*Ajuste!$B$6*1000+$A7)-Ajuste!$C$19:$C$29)/Ajuste!$B$10)^2)/11)</f>
        <v>2.05501665578475</v>
      </c>
      <c r="L7" s="11" t="n">
        <f aca="false">SQRT(SUMPRODUCT(((Ajuste!$B$5-Ajuste!$B$19:$B$29*1000/(L$4*Ajuste!$B$6*1000+$A7)-Ajuste!$C$19:$C$29)/Ajuste!$B$10)^2)/11)</f>
        <v>1.20600442767589</v>
      </c>
      <c r="M7" s="11" t="n">
        <f aca="false">SQRT(SUMPRODUCT(((Ajuste!$B$5-Ajuste!$B$19:$B$29*1000/(M$4*Ajuste!$B$6*1000+$A7)-Ajuste!$C$19:$C$29)/Ajuste!$B$10)^2)/11)</f>
        <v>3.33076929043663</v>
      </c>
      <c r="N7" s="11" t="n">
        <f aca="false">SQRT(SUMPRODUCT(((Ajuste!$B$5-Ajuste!$B$19:$B$29*1000/(N$4*Ajuste!$B$6*1000+$A7)-Ajuste!$C$19:$C$29)/Ajuste!$B$10)^2)/11)</f>
        <v>5.34874591820997</v>
      </c>
      <c r="O7" s="11" t="n">
        <f aca="false">SQRT(SUMPRODUCT(((Ajuste!$B$5-Ajuste!$B$19:$B$29*1000/(O$4*Ajuste!$B$6*1000+$A7)-Ajuste!$C$19:$C$29)/Ajuste!$B$10)^2)/11)</f>
        <v>7.14431873461832</v>
      </c>
      <c r="P7" s="11" t="n">
        <f aca="false">SQRT(SUMPRODUCT(((Ajuste!$B$5-Ajuste!$B$19:$B$29*1000/(P$4*Ajuste!$B$6*1000+$A7)-Ajuste!$C$19:$C$29)/Ajuste!$B$10)^2)/11)</f>
        <v>8.74249542581321</v>
      </c>
    </row>
    <row r="8" customFormat="false" ht="15" hidden="false" customHeight="false" outlineLevel="0" collapsed="false">
      <c r="A8" s="13" t="n">
        <v>1.5</v>
      </c>
      <c r="B8" s="11" t="n">
        <f aca="false">SQRT(SUMPRODUCT(((Ajuste!$B$5-Ajuste!$B$19:$B$29*1000/(B$4*Ajuste!$B$6*1000+$A8)-Ajuste!$C$19:$C$29)/Ajuste!$B$10)^2)/11)</f>
        <v>69.6884954955656</v>
      </c>
      <c r="C8" s="11" t="n">
        <f aca="false">SQRT(SUMPRODUCT(((Ajuste!$B$5-Ajuste!$B$19:$B$29*1000/(C$4*Ajuste!$B$6*1000+$A8)-Ajuste!$C$19:$C$29)/Ajuste!$B$10)^2)/11)</f>
        <v>50.5677498990339</v>
      </c>
      <c r="D8" s="11" t="n">
        <f aca="false">SQRT(SUMPRODUCT(((Ajuste!$B$5-Ajuste!$B$19:$B$29*1000/(D$4*Ajuste!$B$6*1000+$A8)-Ajuste!$C$19:$C$29)/Ajuste!$B$10)^2)/11)</f>
        <v>37.3314727875614</v>
      </c>
      <c r="E8" s="11" t="n">
        <f aca="false">SQRT(SUMPRODUCT(((Ajuste!$B$5-Ajuste!$B$19:$B$29*1000/(E$4*Ajuste!$B$6*1000+$A8)-Ajuste!$C$19:$C$29)/Ajuste!$B$10)^2)/11)</f>
        <v>27.6263940053235</v>
      </c>
      <c r="F8" s="11" t="n">
        <f aca="false">SQRT(SUMPRODUCT(((Ajuste!$B$5-Ajuste!$B$19:$B$29*1000/(F$4*Ajuste!$B$6*1000+$A8)-Ajuste!$C$19:$C$29)/Ajuste!$B$10)^2)/11)</f>
        <v>20.2070412816962</v>
      </c>
      <c r="G8" s="11" t="n">
        <f aca="false">SQRT(SUMPRODUCT(((Ajuste!$B$5-Ajuste!$B$19:$B$29*1000/(G$4*Ajuste!$B$6*1000+$A8)-Ajuste!$C$19:$C$29)/Ajuste!$B$10)^2)/11)</f>
        <v>14.3531259541872</v>
      </c>
      <c r="H8" s="11" t="n">
        <f aca="false">SQRT(SUMPRODUCT(((Ajuste!$B$5-Ajuste!$B$19:$B$29*1000/(H$4*Ajuste!$B$6*1000+$A8)-Ajuste!$C$19:$C$29)/Ajuste!$B$10)^2)/11)</f>
        <v>9.62068032382418</v>
      </c>
      <c r="I8" s="11" t="n">
        <f aca="false">SQRT(SUMPRODUCT(((Ajuste!$B$5-Ajuste!$B$19:$B$29*1000/(I$4*Ajuste!$B$6*1000+$A8)-Ajuste!$C$19:$C$29)/Ajuste!$B$10)^2)/11)</f>
        <v>5.72661767415184</v>
      </c>
      <c r="J8" s="11" t="n">
        <f aca="false">SQRT(SUMPRODUCT(((Ajuste!$B$5-Ajuste!$B$19:$B$29*1000/(J$4*Ajuste!$B$6*1000+$A8)-Ajuste!$C$19:$C$29)/Ajuste!$B$10)^2)/11)</f>
        <v>2.517513058556</v>
      </c>
      <c r="K8" s="11" t="n">
        <f aca="false">SQRT(SUMPRODUCT(((Ajuste!$B$5-Ajuste!$B$19:$B$29*1000/(K$4*Ajuste!$B$6*1000+$A8)-Ajuste!$C$19:$C$29)/Ajuste!$B$10)^2)/11)</f>
        <v>0.949367716288459</v>
      </c>
      <c r="L8" s="11" t="n">
        <f aca="false">SQRT(SUMPRODUCT(((Ajuste!$B$5-Ajuste!$B$19:$B$29*1000/(L$4*Ajuste!$B$6*1000+$A8)-Ajuste!$C$19:$C$29)/Ajuste!$B$10)^2)/11)</f>
        <v>2.97347296681508</v>
      </c>
      <c r="M8" s="11" t="n">
        <f aca="false">SQRT(SUMPRODUCT(((Ajuste!$B$5-Ajuste!$B$19:$B$29*1000/(M$4*Ajuste!$B$6*1000+$A8)-Ajuste!$C$19:$C$29)/Ajuste!$B$10)^2)/11)</f>
        <v>5.02824882880342</v>
      </c>
      <c r="N8" s="11" t="n">
        <f aca="false">SQRT(SUMPRODUCT(((Ajuste!$B$5-Ajuste!$B$19:$B$29*1000/(N$4*Ajuste!$B$6*1000+$A8)-Ajuste!$C$19:$C$29)/Ajuste!$B$10)^2)/11)</f>
        <v>6.85957483737112</v>
      </c>
      <c r="O8" s="11" t="n">
        <f aca="false">SQRT(SUMPRODUCT(((Ajuste!$B$5-Ajuste!$B$19:$B$29*1000/(O$4*Ajuste!$B$6*1000+$A8)-Ajuste!$C$19:$C$29)/Ajuste!$B$10)^2)/11)</f>
        <v>8.48858434650869</v>
      </c>
      <c r="P8" s="11" t="n">
        <f aca="false">SQRT(SUMPRODUCT(((Ajuste!$B$5-Ajuste!$B$19:$B$29*1000/(P$4*Ajuste!$B$6*1000+$A8)-Ajuste!$C$19:$C$29)/Ajuste!$B$10)^2)/11)</f>
        <v>9.9442792911349</v>
      </c>
    </row>
    <row r="9" customFormat="false" ht="15" hidden="false" customHeight="false" outlineLevel="0" collapsed="false">
      <c r="A9" s="13" t="n">
        <v>2</v>
      </c>
      <c r="B9" s="11" t="n">
        <f aca="false">SQRT(SUMPRODUCT(((Ajuste!$B$5-Ajuste!$B$19:$B$29*1000/(B$4*Ajuste!$B$6*1000+$A9)-Ajuste!$C$19:$C$29)/Ajuste!$B$10)^2)/11)</f>
        <v>53.2565207206848</v>
      </c>
      <c r="C9" s="11" t="n">
        <f aca="false">SQRT(SUMPRODUCT(((Ajuste!$B$5-Ajuste!$B$19:$B$29*1000/(C$4*Ajuste!$B$6*1000+$A9)-Ajuste!$C$19:$C$29)/Ajuste!$B$10)^2)/11)</f>
        <v>39.2471452400917</v>
      </c>
      <c r="D9" s="11" t="n">
        <f aca="false">SQRT(SUMPRODUCT(((Ajuste!$B$5-Ajuste!$B$19:$B$29*1000/(D$4*Ajuste!$B$6*1000+$A9)-Ajuste!$C$19:$C$29)/Ajuste!$B$10)^2)/11)</f>
        <v>29.0599575275693</v>
      </c>
      <c r="E9" s="11" t="n">
        <f aca="false">SQRT(SUMPRODUCT(((Ajuste!$B$5-Ajuste!$B$19:$B$29*1000/(E$4*Ajuste!$B$6*1000+$A9)-Ajuste!$C$19:$C$29)/Ajuste!$B$10)^2)/11)</f>
        <v>21.3197334794871</v>
      </c>
      <c r="F9" s="11" t="n">
        <f aca="false">SQRT(SUMPRODUCT(((Ajuste!$B$5-Ajuste!$B$19:$B$29*1000/(F$4*Ajuste!$B$6*1000+$A9)-Ajuste!$C$19:$C$29)/Ajuste!$B$10)^2)/11)</f>
        <v>15.2413096141128</v>
      </c>
      <c r="G9" s="11" t="n">
        <f aca="false">SQRT(SUMPRODUCT(((Ajuste!$B$5-Ajuste!$B$19:$B$29*1000/(G$4*Ajuste!$B$6*1000+$A9)-Ajuste!$C$19:$C$29)/Ajuste!$B$10)^2)/11)</f>
        <v>10.3450833324086</v>
      </c>
      <c r="H9" s="11" t="n">
        <f aca="false">SQRT(SUMPRODUCT(((Ajuste!$B$5-Ajuste!$B$19:$B$29*1000/(H$4*Ajuste!$B$6*1000+$A9)-Ajuste!$C$19:$C$29)/Ajuste!$B$10)^2)/11)</f>
        <v>6.32585135054695</v>
      </c>
      <c r="I9" s="11" t="n">
        <f aca="false">SQRT(SUMPRODUCT(((Ajuste!$B$5-Ajuste!$B$19:$B$29*1000/(I$4*Ajuste!$B$6*1000+$A9)-Ajuste!$C$19:$C$29)/Ajuste!$B$10)^2)/11)</f>
        <v>3.0044152829643</v>
      </c>
      <c r="J9" s="11" t="n">
        <f aca="false">SQRT(SUMPRODUCT(((Ajuste!$B$5-Ajuste!$B$19:$B$29*1000/(J$4*Ajuste!$B$6*1000+$A9)-Ajuste!$C$19:$C$29)/Ajuste!$B$10)^2)/11)</f>
        <v>0.844823381219144</v>
      </c>
      <c r="K9" s="11" t="n">
        <f aca="false">SQRT(SUMPRODUCT(((Ajuste!$B$5-Ajuste!$B$19:$B$29*1000/(K$4*Ajuste!$B$6*1000+$A9)-Ajuste!$C$19:$C$29)/Ajuste!$B$10)^2)/11)</f>
        <v>2.61180070748916</v>
      </c>
      <c r="L9" s="11" t="n">
        <f aca="false">SQRT(SUMPRODUCT(((Ajuste!$B$5-Ajuste!$B$19:$B$29*1000/(L$4*Ajuste!$B$6*1000+$A9)-Ajuste!$C$19:$C$29)/Ajuste!$B$10)^2)/11)</f>
        <v>4.70139962209118</v>
      </c>
      <c r="M9" s="11" t="n">
        <f aca="false">SQRT(SUMPRODUCT(((Ajuste!$B$5-Ajuste!$B$19:$B$29*1000/(M$4*Ajuste!$B$6*1000+$A9)-Ajuste!$C$19:$C$29)/Ajuste!$B$10)^2)/11)</f>
        <v>6.56920786580069</v>
      </c>
      <c r="N9" s="11" t="n">
        <f aca="false">SQRT(SUMPRODUCT(((Ajuste!$B$5-Ajuste!$B$19:$B$29*1000/(N$4*Ajuste!$B$6*1000+$A9)-Ajuste!$C$19:$C$29)/Ajuste!$B$10)^2)/11)</f>
        <v>8.2298686406194</v>
      </c>
      <c r="O9" s="11" t="n">
        <f aca="false">SQRT(SUMPRODUCT(((Ajuste!$B$5-Ajuste!$B$19:$B$29*1000/(O$4*Ajuste!$B$6*1000+$A9)-Ajuste!$C$19:$C$29)/Ajuste!$B$10)^2)/11)</f>
        <v>9.71256701137312</v>
      </c>
      <c r="P9" s="11" t="n">
        <f aca="false">SQRT(SUMPRODUCT(((Ajuste!$B$5-Ajuste!$B$19:$B$29*1000/(P$4*Ajuste!$B$6*1000+$A9)-Ajuste!$C$19:$C$29)/Ajuste!$B$10)^2)/11)</f>
        <v>11.043407735999</v>
      </c>
    </row>
    <row r="10" customFormat="false" ht="15" hidden="false" customHeight="false" outlineLevel="0" collapsed="false">
      <c r="A10" s="13" t="n">
        <v>2.5</v>
      </c>
      <c r="B10" s="11" t="n">
        <f aca="false">SQRT(SUMPRODUCT(((Ajuste!$B$5-Ajuste!$B$19:$B$29*1000/(B$4*Ajuste!$B$6*1000+$A10)-Ajuste!$C$19:$C$29)/Ajuste!$B$10)^2)/11)</f>
        <v>41.2664144724711</v>
      </c>
      <c r="C10" s="11" t="n">
        <f aca="false">SQRT(SUMPRODUCT(((Ajuste!$B$5-Ajuste!$B$19:$B$29*1000/(C$4*Ajuste!$B$6*1000+$A10)-Ajuste!$C$19:$C$29)/Ajuste!$B$10)^2)/11)</f>
        <v>30.5602624979813</v>
      </c>
      <c r="D10" s="11" t="n">
        <f aca="false">SQRT(SUMPRODUCT(((Ajuste!$B$5-Ajuste!$B$19:$B$29*1000/(D$4*Ajuste!$B$6*1000+$A10)-Ajuste!$C$19:$C$29)/Ajuste!$B$10)^2)/11)</f>
        <v>22.4779387575042</v>
      </c>
      <c r="E10" s="11" t="n">
        <f aca="false">SQRT(SUMPRODUCT(((Ajuste!$B$5-Ajuste!$B$19:$B$29*1000/(E$4*Ajuste!$B$6*1000+$A10)-Ajuste!$C$19:$C$29)/Ajuste!$B$10)^2)/11)</f>
        <v>16.1619594467077</v>
      </c>
      <c r="F10" s="11" t="n">
        <f aca="false">SQRT(SUMPRODUCT(((Ajuste!$B$5-Ajuste!$B$19:$B$29*1000/(F$4*Ajuste!$B$6*1000+$A10)-Ajuste!$C$19:$C$29)/Ajuste!$B$10)^2)/11)</f>
        <v>11.0935959116381</v>
      </c>
      <c r="G10" s="11" t="n">
        <f aca="false">SQRT(SUMPRODUCT(((Ajuste!$B$5-Ajuste!$B$19:$B$29*1000/(G$4*Ajuste!$B$6*1000+$A10)-Ajuste!$C$19:$C$29)/Ajuste!$B$10)^2)/11)</f>
        <v>6.94405898485602</v>
      </c>
      <c r="H10" s="11" t="n">
        <f aca="false">SQRT(SUMPRODUCT(((Ajuste!$B$5-Ajuste!$B$19:$B$29*1000/(H$4*Ajuste!$B$6*1000+$A10)-Ajuste!$C$19:$C$29)/Ajuste!$B$10)^2)/11)</f>
        <v>3.51199653478116</v>
      </c>
      <c r="I10" s="11" t="n">
        <f aca="false">SQRT(SUMPRODUCT(((Ajuste!$B$5-Ajuste!$B$19:$B$29*1000/(I$4*Ajuste!$B$6*1000+$A10)-Ajuste!$C$19:$C$29)/Ajuste!$B$10)^2)/11)</f>
        <v>0.959271519473049</v>
      </c>
      <c r="J10" s="11" t="n">
        <f aca="false">SQRT(SUMPRODUCT(((Ajuste!$B$5-Ajuste!$B$19:$B$29*1000/(J$4*Ajuste!$B$6*1000+$A10)-Ajuste!$C$19:$C$29)/Ajuste!$B$10)^2)/11)</f>
        <v>2.24772848100384</v>
      </c>
      <c r="K10" s="11" t="n">
        <f aca="false">SQRT(SUMPRODUCT(((Ajuste!$B$5-Ajuste!$B$19:$B$29*1000/(K$4*Ajuste!$B$6*1000+$A10)-Ajuste!$C$19:$C$29)/Ajuste!$B$10)^2)/11)</f>
        <v>4.36815364598772</v>
      </c>
      <c r="L10" s="11" t="n">
        <f aca="false">SQRT(SUMPRODUCT(((Ajuste!$B$5-Ajuste!$B$19:$B$29*1000/(L$4*Ajuste!$B$6*1000+$A10)-Ajuste!$C$19:$C$29)/Ajuste!$B$10)^2)/11)</f>
        <v>6.27307698595503</v>
      </c>
      <c r="M10" s="11" t="n">
        <f aca="false">SQRT(SUMPRODUCT(((Ajuste!$B$5-Ajuste!$B$19:$B$29*1000/(M$4*Ajuste!$B$6*1000+$A10)-Ajuste!$C$19:$C$29)/Ajuste!$B$10)^2)/11)</f>
        <v>7.96621859612345</v>
      </c>
      <c r="N10" s="11" t="n">
        <f aca="false">SQRT(SUMPRODUCT(((Ajuste!$B$5-Ajuste!$B$19:$B$29*1000/(N$4*Ajuste!$B$6*1000+$A10)-Ajuste!$C$19:$C$29)/Ajuste!$B$10)^2)/11)</f>
        <v>9.47664647497672</v>
      </c>
      <c r="O10" s="11" t="n">
        <f aca="false">SQRT(SUMPRODUCT(((Ajuste!$B$5-Ajuste!$B$19:$B$29*1000/(O$4*Ajuste!$B$6*1000+$A10)-Ajuste!$C$19:$C$29)/Ajuste!$B$10)^2)/11)</f>
        <v>10.831171328333</v>
      </c>
      <c r="P10" s="11" t="n">
        <f aca="false">SQRT(SUMPRODUCT(((Ajuste!$B$5-Ajuste!$B$19:$B$29*1000/(P$4*Ajuste!$B$6*1000+$A10)-Ajuste!$C$19:$C$29)/Ajuste!$B$10)^2)/11)</f>
        <v>12.0522757895623</v>
      </c>
    </row>
    <row r="11" customFormat="false" ht="15" hidden="false" customHeight="false" outlineLevel="0" collapsed="false">
      <c r="A11" s="13" t="n">
        <v>3</v>
      </c>
      <c r="B11" s="11" t="n">
        <f aca="false">SQRT(SUMPRODUCT(((Ajuste!$B$5-Ajuste!$B$19:$B$29*1000/(B$4*Ajuste!$B$6*1000+$A11)-Ajuste!$C$19:$C$29)/Ajuste!$B$10)^2)/11)</f>
        <v>32.1320709927903</v>
      </c>
      <c r="C11" s="11" t="n">
        <f aca="false">SQRT(SUMPRODUCT(((Ajuste!$B$5-Ajuste!$B$19:$B$29*1000/(C$4*Ajuste!$B$6*1000+$A11)-Ajuste!$C$19:$C$29)/Ajuste!$B$10)^2)/11)</f>
        <v>23.684492417844</v>
      </c>
      <c r="D11" s="11" t="n">
        <f aca="false">SQRT(SUMPRODUCT(((Ajuste!$B$5-Ajuste!$B$19:$B$29*1000/(D$4*Ajuste!$B$6*1000+$A11)-Ajuste!$C$19:$C$29)/Ajuste!$B$10)^2)/11)</f>
        <v>17.1168594028209</v>
      </c>
      <c r="E11" s="11" t="n">
        <f aca="false">SQRT(SUMPRODUCT(((Ajuste!$B$5-Ajuste!$B$19:$B$29*1000/(E$4*Ajuste!$B$6*1000+$A11)-Ajuste!$C$19:$C$29)/Ajuste!$B$10)^2)/11)</f>
        <v>11.8673692880175</v>
      </c>
      <c r="F11" s="11" t="n">
        <f aca="false">SQRT(SUMPRODUCT(((Ajuste!$B$5-Ajuste!$B$19:$B$29*1000/(F$4*Ajuste!$B$6*1000+$A11)-Ajuste!$C$19:$C$29)/Ajuste!$B$10)^2)/11)</f>
        <v>7.58187100047004</v>
      </c>
      <c r="G11" s="11" t="n">
        <f aca="false">SQRT(SUMPRODUCT(((Ajuste!$B$5-Ajuste!$B$19:$B$29*1000/(G$4*Ajuste!$B$6*1000+$A11)-Ajuste!$C$19:$C$29)/Ajuste!$B$10)^2)/11)</f>
        <v>4.03850523402564</v>
      </c>
      <c r="H11" s="11" t="n">
        <f aca="false">SQRT(SUMPRODUCT(((Ajuste!$B$5-Ajuste!$B$19:$B$29*1000/(H$4*Ajuste!$B$6*1000+$A11)-Ajuste!$C$19:$C$29)/Ajuste!$B$10)^2)/11)</f>
        <v>1.24555835897205</v>
      </c>
      <c r="I11" s="11" t="n">
        <f aca="false">SQRT(SUMPRODUCT(((Ajuste!$B$5-Ajuste!$B$19:$B$29*1000/(I$4*Ajuste!$B$6*1000+$A11)-Ajuste!$C$19:$C$29)/Ajuste!$B$10)^2)/11)</f>
        <v>1.88510547433046</v>
      </c>
      <c r="J11" s="11" t="n">
        <f aca="false">SQRT(SUMPRODUCT(((Ajuste!$B$5-Ajuste!$B$19:$B$29*1000/(J$4*Ajuste!$B$6*1000+$A11)-Ajuste!$C$19:$C$29)/Ajuste!$B$10)^2)/11)</f>
        <v>4.02852822712808</v>
      </c>
      <c r="K11" s="11" t="n">
        <f aca="false">SQRT(SUMPRODUCT(((Ajuste!$B$5-Ajuste!$B$19:$B$29*1000/(K$4*Ajuste!$B$6*1000+$A11)-Ajuste!$C$19:$C$29)/Ajuste!$B$10)^2)/11)</f>
        <v>5.97104370349866</v>
      </c>
      <c r="L11" s="11" t="n">
        <f aca="false">SQRT(SUMPRODUCT(((Ajuste!$B$5-Ajuste!$B$19:$B$29*1000/(L$4*Ajuste!$B$6*1000+$A11)-Ajuste!$C$19:$C$29)/Ajuste!$B$10)^2)/11)</f>
        <v>7.69750127336222</v>
      </c>
      <c r="M11" s="11" t="n">
        <f aca="false">SQRT(SUMPRODUCT(((Ajuste!$B$5-Ajuste!$B$19:$B$29*1000/(M$4*Ajuste!$B$6*1000+$A11)-Ajuste!$C$19:$C$29)/Ajuste!$B$10)^2)/11)</f>
        <v>9.23640544693914</v>
      </c>
      <c r="N11" s="11" t="n">
        <f aca="false">SQRT(SUMPRODUCT(((Ajuste!$B$5-Ajuste!$B$19:$B$29*1000/(N$4*Ajuste!$B$6*1000+$A11)-Ajuste!$C$19:$C$29)/Ajuste!$B$10)^2)/11)</f>
        <v>10.6152376202122</v>
      </c>
      <c r="O11" s="11" t="n">
        <f aca="false">SQRT(SUMPRODUCT(((Ajuste!$B$5-Ajuste!$B$19:$B$29*1000/(O$4*Ajuste!$B$6*1000+$A11)-Ajuste!$C$19:$C$29)/Ajuste!$B$10)^2)/11)</f>
        <v>11.8571918797297</v>
      </c>
      <c r="P11" s="11" t="n">
        <f aca="false">SQRT(SUMPRODUCT(((Ajuste!$B$5-Ajuste!$B$19:$B$29*1000/(P$4*Ajuste!$B$6*1000+$A11)-Ajuste!$C$19:$C$29)/Ajuste!$B$10)^2)/11)</f>
        <v>12.9814486623696</v>
      </c>
    </row>
    <row r="12" customFormat="false" ht="15" hidden="false" customHeight="false" outlineLevel="0" collapsed="false">
      <c r="A12" s="13" t="n">
        <v>3.5</v>
      </c>
      <c r="B12" s="11" t="n">
        <f aca="false">SQRT(SUMPRODUCT(((Ajuste!$B$5-Ajuste!$B$19:$B$29*1000/(B$4*Ajuste!$B$6*1000+$A12)-Ajuste!$C$19:$C$29)/Ajuste!$B$10)^2)/11)</f>
        <v>24.9424722079747</v>
      </c>
      <c r="C12" s="11" t="n">
        <f aca="false">SQRT(SUMPRODUCT(((Ajuste!$B$5-Ajuste!$B$19:$B$29*1000/(C$4*Ajuste!$B$6*1000+$A12)-Ajuste!$C$19:$C$29)/Ajuste!$B$10)^2)/11)</f>
        <v>18.1079310322417</v>
      </c>
      <c r="D12" s="11" t="n">
        <f aca="false">SQRT(SUMPRODUCT(((Ajuste!$B$5-Ajuste!$B$19:$B$29*1000/(D$4*Ajuste!$B$6*1000+$A12)-Ajuste!$C$19:$C$29)/Ajuste!$B$10)^2)/11)</f>
        <v>12.6676431436377</v>
      </c>
      <c r="E12" s="11" t="n">
        <f aca="false">SQRT(SUMPRODUCT(((Ajuste!$B$5-Ajuste!$B$19:$B$29*1000/(E$4*Ajuste!$B$6*1000+$A12)-Ajuste!$C$19:$C$29)/Ajuste!$B$10)^2)/11)</f>
        <v>8.24001812382784</v>
      </c>
      <c r="F12" s="11" t="n">
        <f aca="false">SQRT(SUMPRODUCT(((Ajuste!$B$5-Ajuste!$B$19:$B$29*1000/(F$4*Ajuste!$B$6*1000+$A12)-Ajuste!$C$19:$C$29)/Ajuste!$B$10)^2)/11)</f>
        <v>4.58318883057051</v>
      </c>
      <c r="G12" s="11" t="n">
        <f aca="false">SQRT(SUMPRODUCT(((Ajuste!$B$5-Ajuste!$B$19:$B$29*1000/(G$4*Ajuste!$B$6*1000+$A12)-Ajuste!$C$19:$C$29)/Ajuste!$B$10)^2)/11)</f>
        <v>1.62495241379784</v>
      </c>
      <c r="H12" s="11" t="n">
        <f aca="false">SQRT(SUMPRODUCT(((Ajuste!$B$5-Ajuste!$B$19:$B$29*1000/(H$4*Ajuste!$B$6*1000+$A12)-Ajuste!$C$19:$C$29)/Ajuste!$B$10)^2)/11)</f>
        <v>1.53190669382364</v>
      </c>
      <c r="I12" s="11" t="n">
        <f aca="false">SQRT(SUMPRODUCT(((Ajuste!$B$5-Ajuste!$B$19:$B$29*1000/(I$4*Ajuste!$B$6*1000+$A12)-Ajuste!$C$19:$C$29)/Ajuste!$B$10)^2)/11)</f>
        <v>3.68264011185358</v>
      </c>
      <c r="J12" s="11" t="n">
        <f aca="false">SQRT(SUMPRODUCT(((Ajuste!$B$5-Ajuste!$B$19:$B$29*1000/(J$4*Ajuste!$B$6*1000+$A12)-Ajuste!$C$19:$C$29)/Ajuste!$B$10)^2)/11)</f>
        <v>5.66297468869986</v>
      </c>
      <c r="K12" s="11" t="n">
        <f aca="false">SQRT(SUMPRODUCT(((Ajuste!$B$5-Ajuste!$B$19:$B$29*1000/(K$4*Ajuste!$B$6*1000+$A12)-Ajuste!$C$19:$C$29)/Ajuste!$B$10)^2)/11)</f>
        <v>7.42358078667475</v>
      </c>
      <c r="L12" s="11" t="n">
        <f aca="false">SQRT(SUMPRODUCT(((Ajuste!$B$5-Ajuste!$B$19:$B$29*1000/(L$4*Ajuste!$B$6*1000+$A12)-Ajuste!$C$19:$C$29)/Ajuste!$B$10)^2)/11)</f>
        <v>8.99172818864735</v>
      </c>
      <c r="M12" s="11" t="n">
        <f aca="false">SQRT(SUMPRODUCT(((Ajuste!$B$5-Ajuste!$B$19:$B$29*1000/(M$4*Ajuste!$B$6*1000+$A12)-Ajuste!$C$19:$C$29)/Ajuste!$B$10)^2)/11)</f>
        <v>10.3955108410507</v>
      </c>
      <c r="N12" s="11" t="n">
        <f aca="false">SQRT(SUMPRODUCT(((Ajuste!$B$5-Ajuste!$B$19:$B$29*1000/(N$4*Ajuste!$B$6*1000+$A12)-Ajuste!$C$19:$C$29)/Ajuste!$B$10)^2)/11)</f>
        <v>11.6588460483633</v>
      </c>
      <c r="O12" s="11" t="n">
        <f aca="false">SQRT(SUMPRODUCT(((Ajuste!$B$5-Ajuste!$B$19:$B$29*1000/(O$4*Ajuste!$B$6*1000+$A12)-Ajuste!$C$19:$C$29)/Ajuste!$B$10)^2)/11)</f>
        <v>12.8015366691233</v>
      </c>
      <c r="P12" s="11" t="n">
        <f aca="false">SQRT(SUMPRODUCT(((Ajuste!$B$5-Ajuste!$B$19:$B$29*1000/(P$4*Ajuste!$B$6*1000+$A12)-Ajuste!$C$19:$C$29)/Ajuste!$B$10)^2)/11)</f>
        <v>13.8399462815895</v>
      </c>
    </row>
    <row r="13" customFormat="false" ht="15" hidden="false" customHeight="false" outlineLevel="0" collapsed="false">
      <c r="A13" s="13" t="n">
        <v>4</v>
      </c>
      <c r="B13" s="11" t="n">
        <f aca="false">SQRT(SUMPRODUCT(((Ajuste!$B$5-Ajuste!$B$19:$B$29*1000/(B$4*Ajuste!$B$6*1000+$A13)-Ajuste!$C$19:$C$29)/Ajuste!$B$10)^2)/11)</f>
        <v>19.1372461788905</v>
      </c>
      <c r="C13" s="11" t="n">
        <f aca="false">SQRT(SUMPRODUCT(((Ajuste!$B$5-Ajuste!$B$19:$B$29*1000/(C$4*Ajuste!$B$6*1000+$A13)-Ajuste!$C$19:$C$29)/Ajuste!$B$10)^2)/11)</f>
        <v>13.4957508627442</v>
      </c>
      <c r="D13" s="11" t="n">
        <f aca="false">SQRT(SUMPRODUCT(((Ajuste!$B$5-Ajuste!$B$19:$B$29*1000/(D$4*Ajuste!$B$6*1000+$A13)-Ajuste!$C$19:$C$29)/Ajuste!$B$10)^2)/11)</f>
        <v>8.91932015346461</v>
      </c>
      <c r="E13" s="11" t="n">
        <f aca="false">SQRT(SUMPRODUCT(((Ajuste!$B$5-Ajuste!$B$19:$B$29*1000/(E$4*Ajuste!$B$6*1000+$A13)-Ajuste!$C$19:$C$29)/Ajuste!$B$10)^2)/11)</f>
        <v>5.14584808554241</v>
      </c>
      <c r="F13" s="11" t="n">
        <f aca="false">SQRT(SUMPRODUCT(((Ajuste!$B$5-Ajuste!$B$19:$B$29*1000/(F$4*Ajuste!$B$6*1000+$A13)-Ajuste!$C$19:$C$29)/Ajuste!$B$10)^2)/11)</f>
        <v>2.05501665578475</v>
      </c>
      <c r="G13" s="11" t="n">
        <f aca="false">SQRT(SUMPRODUCT(((Ajuste!$B$5-Ajuste!$B$19:$B$29*1000/(G$4*Ajuste!$B$6*1000+$A13)-Ajuste!$C$19:$C$29)/Ajuste!$B$10)^2)/11)</f>
        <v>1.20600442767589</v>
      </c>
      <c r="H13" s="11" t="n">
        <f aca="false">SQRT(SUMPRODUCT(((Ajuste!$B$5-Ajuste!$B$19:$B$29*1000/(H$4*Ajuste!$B$6*1000+$A13)-Ajuste!$C$19:$C$29)/Ajuste!$B$10)^2)/11)</f>
        <v>3.33076929043663</v>
      </c>
      <c r="I13" s="11" t="n">
        <f aca="false">SQRT(SUMPRODUCT(((Ajuste!$B$5-Ajuste!$B$19:$B$29*1000/(I$4*Ajuste!$B$6*1000+$A13)-Ajuste!$C$19:$C$29)/Ajuste!$B$10)^2)/11)</f>
        <v>5.34874591820997</v>
      </c>
      <c r="J13" s="11" t="n">
        <f aca="false">SQRT(SUMPRODUCT(((Ajuste!$B$5-Ajuste!$B$19:$B$29*1000/(J$4*Ajuste!$B$6*1000+$A13)-Ajuste!$C$19:$C$29)/Ajuste!$B$10)^2)/11)</f>
        <v>7.14431873461831</v>
      </c>
      <c r="K13" s="11" t="n">
        <f aca="false">SQRT(SUMPRODUCT(((Ajuste!$B$5-Ajuste!$B$19:$B$29*1000/(K$4*Ajuste!$B$6*1000+$A13)-Ajuste!$C$19:$C$29)/Ajuste!$B$10)^2)/11)</f>
        <v>8.7424954258132</v>
      </c>
      <c r="L13" s="11" t="n">
        <f aca="false">SQRT(SUMPRODUCT(((Ajuste!$B$5-Ajuste!$B$19:$B$29*1000/(L$4*Ajuste!$B$6*1000+$A13)-Ajuste!$C$19:$C$29)/Ajuste!$B$10)^2)/11)</f>
        <v>10.171892099463</v>
      </c>
      <c r="M13" s="11" t="n">
        <f aca="false">SQRT(SUMPRODUCT(((Ajuste!$B$5-Ajuste!$B$19:$B$29*1000/(M$4*Ajuste!$B$6*1000+$A13)-Ajuste!$C$19:$C$29)/Ajuste!$B$10)^2)/11)</f>
        <v>11.457156698378</v>
      </c>
      <c r="N13" s="11" t="n">
        <f aca="false">SQRT(SUMPRODUCT(((Ajuste!$B$5-Ajuste!$B$19:$B$29*1000/(N$4*Ajuste!$B$6*1000+$A13)-Ajuste!$C$19:$C$29)/Ajuste!$B$10)^2)/11)</f>
        <v>12.6187342024546</v>
      </c>
      <c r="O13" s="11" t="n">
        <f aca="false">SQRT(SUMPRODUCT(((Ajuste!$B$5-Ajuste!$B$19:$B$29*1000/(O$4*Ajuste!$B$6*1000+$A13)-Ajuste!$C$19:$C$29)/Ajuste!$B$10)^2)/11)</f>
        <v>13.673513023014</v>
      </c>
      <c r="P13" s="11" t="n">
        <f aca="false">SQRT(SUMPRODUCT(((Ajuste!$B$5-Ajuste!$B$19:$B$29*1000/(P$4*Ajuste!$B$6*1000+$A13)-Ajuste!$C$19:$C$29)/Ajuste!$B$10)^2)/11)</f>
        <v>14.6354983122781</v>
      </c>
    </row>
    <row r="14" customFormat="false" ht="15" hidden="false" customHeight="false" outlineLevel="0" collapsed="false">
      <c r="A14" s="13" t="n">
        <v>4.5</v>
      </c>
      <c r="B14" s="11" t="n">
        <f aca="false">SQRT(SUMPRODUCT(((Ajuste!$B$5-Ajuste!$B$19:$B$29*1000/(B$4*Ajuste!$B$6*1000+$A14)-Ajuste!$C$19:$C$29)/Ajuste!$B$10)^2)/11)</f>
        <v>14.3531259541872</v>
      </c>
      <c r="C14" s="11" t="n">
        <f aca="false">SQRT(SUMPRODUCT(((Ajuste!$B$5-Ajuste!$B$19:$B$29*1000/(C$4*Ajuste!$B$6*1000+$A14)-Ajuste!$C$19:$C$29)/Ajuste!$B$10)^2)/11)</f>
        <v>9.62068032382418</v>
      </c>
      <c r="D14" s="11" t="n">
        <f aca="false">SQRT(SUMPRODUCT(((Ajuste!$B$5-Ajuste!$B$19:$B$29*1000/(D$4*Ajuste!$B$6*1000+$A14)-Ajuste!$C$19:$C$29)/Ajuste!$B$10)^2)/11)</f>
        <v>5.72661767415184</v>
      </c>
      <c r="E14" s="11" t="n">
        <f aca="false">SQRT(SUMPRODUCT(((Ajuste!$B$5-Ajuste!$B$19:$B$29*1000/(E$4*Ajuste!$B$6*1000+$A14)-Ajuste!$C$19:$C$29)/Ajuste!$B$10)^2)/11)</f>
        <v>2.517513058556</v>
      </c>
      <c r="F14" s="11" t="n">
        <f aca="false">SQRT(SUMPRODUCT(((Ajuste!$B$5-Ajuste!$B$19:$B$29*1000/(F$4*Ajuste!$B$6*1000+$A14)-Ajuste!$C$19:$C$29)/Ajuste!$B$10)^2)/11)</f>
        <v>0.949367716288459</v>
      </c>
      <c r="G14" s="11" t="n">
        <f aca="false">SQRT(SUMPRODUCT(((Ajuste!$B$5-Ajuste!$B$19:$B$29*1000/(G$4*Ajuste!$B$6*1000+$A14)-Ajuste!$C$19:$C$29)/Ajuste!$B$10)^2)/11)</f>
        <v>2.97347296681508</v>
      </c>
      <c r="H14" s="11" t="n">
        <f aca="false">SQRT(SUMPRODUCT(((Ajuste!$B$5-Ajuste!$B$19:$B$29*1000/(H$4*Ajuste!$B$6*1000+$A14)-Ajuste!$C$19:$C$29)/Ajuste!$B$10)^2)/11)</f>
        <v>5.02824882880342</v>
      </c>
      <c r="I14" s="11" t="n">
        <f aca="false">SQRT(SUMPRODUCT(((Ajuste!$B$5-Ajuste!$B$19:$B$29*1000/(I$4*Ajuste!$B$6*1000+$A14)-Ajuste!$C$19:$C$29)/Ajuste!$B$10)^2)/11)</f>
        <v>6.85957483737112</v>
      </c>
      <c r="J14" s="11" t="n">
        <f aca="false">SQRT(SUMPRODUCT(((Ajuste!$B$5-Ajuste!$B$19:$B$29*1000/(J$4*Ajuste!$B$6*1000+$A14)-Ajuste!$C$19:$C$29)/Ajuste!$B$10)^2)/11)</f>
        <v>8.48858434650868</v>
      </c>
      <c r="K14" s="11" t="n">
        <f aca="false">SQRT(SUMPRODUCT(((Ajuste!$B$5-Ajuste!$B$19:$B$29*1000/(K$4*Ajuste!$B$6*1000+$A14)-Ajuste!$C$19:$C$29)/Ajuste!$B$10)^2)/11)</f>
        <v>9.9442792911349</v>
      </c>
      <c r="L14" s="11" t="n">
        <f aca="false">SQRT(SUMPRODUCT(((Ajuste!$B$5-Ajuste!$B$19:$B$29*1000/(L$4*Ajuste!$B$6*1000+$A14)-Ajuste!$C$19:$C$29)/Ajuste!$B$10)^2)/11)</f>
        <v>11.2520395878108</v>
      </c>
      <c r="M14" s="11" t="n">
        <f aca="false">SQRT(SUMPRODUCT(((Ajuste!$B$5-Ajuste!$B$19:$B$29*1000/(M$4*Ajuste!$B$6*1000+$A14)-Ajuste!$C$19:$C$29)/Ajuste!$B$10)^2)/11)</f>
        <v>12.4329715579786</v>
      </c>
      <c r="N14" s="11" t="n">
        <f aca="false">SQRT(SUMPRODUCT(((Ajuste!$B$5-Ajuste!$B$19:$B$29*1000/(N$4*Ajuste!$B$6*1000+$A14)-Ajuste!$C$19:$C$29)/Ajuste!$B$10)^2)/11)</f>
        <v>13.5045073504044</v>
      </c>
      <c r="O14" s="11" t="n">
        <f aca="false">SQRT(SUMPRODUCT(((Ajuste!$B$5-Ajuste!$B$19:$B$29*1000/(O$4*Ajuste!$B$6*1000+$A14)-Ajuste!$C$19:$C$29)/Ajuste!$B$10)^2)/11)</f>
        <v>14.4810902027104</v>
      </c>
      <c r="P14" s="11" t="n">
        <f aca="false">SQRT(SUMPRODUCT(((Ajuste!$B$5-Ajuste!$B$19:$B$29*1000/(P$4*Ajuste!$B$6*1000+$A14)-Ajuste!$C$19:$C$29)/Ajuste!$B$10)^2)/11)</f>
        <v>15.3747586531717</v>
      </c>
    </row>
    <row r="15" customFormat="false" ht="15" hidden="false" customHeight="false" outlineLevel="0" collapsed="false">
      <c r="A15" s="13" t="n">
        <v>5</v>
      </c>
      <c r="B15" s="11" t="n">
        <f aca="false">SQRT(SUMPRODUCT(((Ajuste!$B$5-Ajuste!$B$19:$B$29*1000/(B$4*Ajuste!$B$6*1000+$A15)-Ajuste!$C$19:$C$29)/Ajuste!$B$10)^2)/11)</f>
        <v>10.3450833324086</v>
      </c>
      <c r="C15" s="11" t="n">
        <f aca="false">SQRT(SUMPRODUCT(((Ajuste!$B$5-Ajuste!$B$19:$B$29*1000/(C$4*Ajuste!$B$6*1000+$A15)-Ajuste!$C$19:$C$29)/Ajuste!$B$10)^2)/11)</f>
        <v>6.32585135054696</v>
      </c>
      <c r="D15" s="11" t="n">
        <f aca="false">SQRT(SUMPRODUCT(((Ajuste!$B$5-Ajuste!$B$19:$B$29*1000/(D$4*Ajuste!$B$6*1000+$A15)-Ajuste!$C$19:$C$29)/Ajuste!$B$10)^2)/11)</f>
        <v>3.0044152829643</v>
      </c>
      <c r="E15" s="11" t="n">
        <f aca="false">SQRT(SUMPRODUCT(((Ajuste!$B$5-Ajuste!$B$19:$B$29*1000/(E$4*Ajuste!$B$6*1000+$A15)-Ajuste!$C$19:$C$29)/Ajuste!$B$10)^2)/11)</f>
        <v>0.844823381219144</v>
      </c>
      <c r="F15" s="11" t="n">
        <f aca="false">SQRT(SUMPRODUCT(((Ajuste!$B$5-Ajuste!$B$19:$B$29*1000/(F$4*Ajuste!$B$6*1000+$A15)-Ajuste!$C$19:$C$29)/Ajuste!$B$10)^2)/11)</f>
        <v>2.61180070748916</v>
      </c>
      <c r="G15" s="11" t="n">
        <f aca="false">SQRT(SUMPRODUCT(((Ajuste!$B$5-Ajuste!$B$19:$B$29*1000/(G$4*Ajuste!$B$6*1000+$A15)-Ajuste!$C$19:$C$29)/Ajuste!$B$10)^2)/11)</f>
        <v>4.70139962209118</v>
      </c>
      <c r="H15" s="11" t="n">
        <f aca="false">SQRT(SUMPRODUCT(((Ajuste!$B$5-Ajuste!$B$19:$B$29*1000/(H$4*Ajuste!$B$6*1000+$A15)-Ajuste!$C$19:$C$29)/Ajuste!$B$10)^2)/11)</f>
        <v>6.56920786580069</v>
      </c>
      <c r="I15" s="11" t="n">
        <f aca="false">SQRT(SUMPRODUCT(((Ajuste!$B$5-Ajuste!$B$19:$B$29*1000/(I$4*Ajuste!$B$6*1000+$A15)-Ajuste!$C$19:$C$29)/Ajuste!$B$10)^2)/11)</f>
        <v>8.2298686406194</v>
      </c>
      <c r="J15" s="11" t="n">
        <f aca="false">SQRT(SUMPRODUCT(((Ajuste!$B$5-Ajuste!$B$19:$B$29*1000/(J$4*Ajuste!$B$6*1000+$A15)-Ajuste!$C$19:$C$29)/Ajuste!$B$10)^2)/11)</f>
        <v>9.71256701137311</v>
      </c>
      <c r="K15" s="11" t="n">
        <f aca="false">SQRT(SUMPRODUCT(((Ajuste!$B$5-Ajuste!$B$19:$B$29*1000/(K$4*Ajuste!$B$6*1000+$A15)-Ajuste!$C$19:$C$29)/Ajuste!$B$10)^2)/11)</f>
        <v>11.043407735999</v>
      </c>
      <c r="L15" s="11" t="n">
        <f aca="false">SQRT(SUMPRODUCT(((Ajuste!$B$5-Ajuste!$B$19:$B$29*1000/(L$4*Ajuste!$B$6*1000+$A15)-Ajuste!$C$19:$C$29)/Ajuste!$B$10)^2)/11)</f>
        <v>12.2441768220048</v>
      </c>
      <c r="M15" s="11" t="n">
        <f aca="false">SQRT(SUMPRODUCT(((Ajuste!$B$5-Ajuste!$B$19:$B$29*1000/(M$4*Ajuste!$B$6*1000+$A15)-Ajuste!$C$19:$C$29)/Ajuste!$B$10)^2)/11)</f>
        <v>13.3328694722343</v>
      </c>
      <c r="N15" s="11" t="n">
        <f aca="false">SQRT(SUMPRODUCT(((Ajuste!$B$5-Ajuste!$B$19:$B$29*1000/(N$4*Ajuste!$B$6*1000+$A15)-Ajuste!$C$19:$C$29)/Ajuste!$B$10)^2)/11)</f>
        <v>14.324383244914</v>
      </c>
      <c r="O15" s="11" t="n">
        <f aca="false">SQRT(SUMPRODUCT(((Ajuste!$B$5-Ajuste!$B$19:$B$29*1000/(O$4*Ajuste!$B$6*1000+$A15)-Ajuste!$C$19:$C$29)/Ajuste!$B$10)^2)/11)</f>
        <v>15.2311219939572</v>
      </c>
      <c r="P15" s="11" t="n">
        <f aca="false">SQRT(SUMPRODUCT(((Ajuste!$B$5-Ajuste!$B$19:$B$29*1000/(P$4*Ajuste!$B$6*1000+$A15)-Ajuste!$C$19:$C$29)/Ajuste!$B$10)^2)/11)</f>
        <v>16.0634821085534</v>
      </c>
    </row>
    <row r="16" customFormat="false" ht="15" hidden="false" customHeight="false" outlineLevel="0" collapsed="false">
      <c r="A16" s="13" t="n">
        <v>5.5</v>
      </c>
      <c r="B16" s="11" t="n">
        <f aca="false">SQRT(SUMPRODUCT(((Ajuste!$B$5-Ajuste!$B$19:$B$29*1000/(B$4*Ajuste!$B$6*1000+$A16)-Ajuste!$C$19:$C$29)/Ajuste!$B$10)^2)/11)</f>
        <v>6.94405898485602</v>
      </c>
      <c r="C16" s="11" t="n">
        <f aca="false">SQRT(SUMPRODUCT(((Ajuste!$B$5-Ajuste!$B$19:$B$29*1000/(C$4*Ajuste!$B$6*1000+$A16)-Ajuste!$C$19:$C$29)/Ajuste!$B$10)^2)/11)</f>
        <v>3.51199653478117</v>
      </c>
      <c r="D16" s="11" t="n">
        <f aca="false">SQRT(SUMPRODUCT(((Ajuste!$B$5-Ajuste!$B$19:$B$29*1000/(D$4*Ajuste!$B$6*1000+$A16)-Ajuste!$C$19:$C$29)/Ajuste!$B$10)^2)/11)</f>
        <v>0.959271519473049</v>
      </c>
      <c r="E16" s="11" t="n">
        <f aca="false">SQRT(SUMPRODUCT(((Ajuste!$B$5-Ajuste!$B$19:$B$29*1000/(E$4*Ajuste!$B$6*1000+$A16)-Ajuste!$C$19:$C$29)/Ajuste!$B$10)^2)/11)</f>
        <v>2.24772848100384</v>
      </c>
      <c r="F16" s="11" t="n">
        <f aca="false">SQRT(SUMPRODUCT(((Ajuste!$B$5-Ajuste!$B$19:$B$29*1000/(F$4*Ajuste!$B$6*1000+$A16)-Ajuste!$C$19:$C$29)/Ajuste!$B$10)^2)/11)</f>
        <v>4.36815364598772</v>
      </c>
      <c r="G16" s="11" t="n">
        <f aca="false">SQRT(SUMPRODUCT(((Ajuste!$B$5-Ajuste!$B$19:$B$29*1000/(G$4*Ajuste!$B$6*1000+$A16)-Ajuste!$C$19:$C$29)/Ajuste!$B$10)^2)/11)</f>
        <v>6.27307698595503</v>
      </c>
      <c r="H16" s="11" t="n">
        <f aca="false">SQRT(SUMPRODUCT(((Ajuste!$B$5-Ajuste!$B$19:$B$29*1000/(H$4*Ajuste!$B$6*1000+$A16)-Ajuste!$C$19:$C$29)/Ajuste!$B$10)^2)/11)</f>
        <v>7.96621859612345</v>
      </c>
      <c r="I16" s="11" t="n">
        <f aca="false">SQRT(SUMPRODUCT(((Ajuste!$B$5-Ajuste!$B$19:$B$29*1000/(I$4*Ajuste!$B$6*1000+$A16)-Ajuste!$C$19:$C$29)/Ajuste!$B$10)^2)/11)</f>
        <v>9.47664647497672</v>
      </c>
      <c r="J16" s="11" t="n">
        <f aca="false">SQRT(SUMPRODUCT(((Ajuste!$B$5-Ajuste!$B$19:$B$29*1000/(J$4*Ajuste!$B$6*1000+$A16)-Ajuste!$C$19:$C$29)/Ajuste!$B$10)^2)/11)</f>
        <v>10.831171328333</v>
      </c>
      <c r="K16" s="11" t="n">
        <f aca="false">SQRT(SUMPRODUCT(((Ajuste!$B$5-Ajuste!$B$19:$B$29*1000/(K$4*Ajuste!$B$6*1000+$A16)-Ajuste!$C$19:$C$29)/Ajuste!$B$10)^2)/11)</f>
        <v>12.0522757895623</v>
      </c>
      <c r="L16" s="11" t="n">
        <f aca="false">SQRT(SUMPRODUCT(((Ajuste!$B$5-Ajuste!$B$19:$B$29*1000/(L$4*Ajuste!$B$6*1000+$A16)-Ajuste!$C$19:$C$29)/Ajuste!$B$10)^2)/11)</f>
        <v>13.1585377565034</v>
      </c>
      <c r="M16" s="11" t="n">
        <f aca="false">SQRT(SUMPRODUCT(((Ajuste!$B$5-Ajuste!$B$19:$B$29*1000/(M$4*Ajuste!$B$6*1000+$A16)-Ajuste!$C$19:$C$29)/Ajuste!$B$10)^2)/11)</f>
        <v>14.165325912493</v>
      </c>
      <c r="N16" s="11" t="n">
        <f aca="false">SQRT(SUMPRODUCT(((Ajuste!$B$5-Ajuste!$B$19:$B$29*1000/(N$4*Ajuste!$B$6*1000+$A16)-Ajuste!$C$19:$C$29)/Ajuste!$B$10)^2)/11)</f>
        <v>15.0854228918373</v>
      </c>
      <c r="O16" s="11" t="n">
        <f aca="false">SQRT(SUMPRODUCT(((Ajuste!$B$5-Ajuste!$B$19:$B$29*1000/(O$4*Ajuste!$B$6*1000+$A16)-Ajuste!$C$19:$C$29)/Ajuste!$B$10)^2)/11)</f>
        <v>15.929530511158</v>
      </c>
      <c r="P16" s="11" t="n">
        <f aca="false">SQRT(SUMPRODUCT(((Ajuste!$B$5-Ajuste!$B$19:$B$29*1000/(P$4*Ajuste!$B$6*1000+$A16)-Ajuste!$C$19:$C$29)/Ajuste!$B$10)^2)/11)</f>
        <v>16.7066690314735</v>
      </c>
    </row>
    <row r="17" customFormat="false" ht="15" hidden="false" customHeight="false" outlineLevel="0" collapsed="false">
      <c r="A17" s="13" t="n">
        <v>6</v>
      </c>
      <c r="B17" s="11" t="n">
        <f aca="false">SQRT(SUMPRODUCT(((Ajuste!$B$5-Ajuste!$B$19:$B$29*1000/(B$4*Ajuste!$B$6*1000+$A17)-Ajuste!$C$19:$C$29)/Ajuste!$B$10)^2)/11)</f>
        <v>4.03850523402564</v>
      </c>
      <c r="C17" s="11" t="n">
        <f aca="false">SQRT(SUMPRODUCT(((Ajuste!$B$5-Ajuste!$B$19:$B$29*1000/(C$4*Ajuste!$B$6*1000+$A17)-Ajuste!$C$19:$C$29)/Ajuste!$B$10)^2)/11)</f>
        <v>1.24555835897206</v>
      </c>
      <c r="D17" s="11" t="n">
        <f aca="false">SQRT(SUMPRODUCT(((Ajuste!$B$5-Ajuste!$B$19:$B$29*1000/(D$4*Ajuste!$B$6*1000+$A17)-Ajuste!$C$19:$C$29)/Ajuste!$B$10)^2)/11)</f>
        <v>1.88510547433046</v>
      </c>
      <c r="E17" s="11" t="n">
        <f aca="false">SQRT(SUMPRODUCT(((Ajuste!$B$5-Ajuste!$B$19:$B$29*1000/(E$4*Ajuste!$B$6*1000+$A17)-Ajuste!$C$19:$C$29)/Ajuste!$B$10)^2)/11)</f>
        <v>4.02852822712808</v>
      </c>
      <c r="F17" s="11" t="n">
        <f aca="false">SQRT(SUMPRODUCT(((Ajuste!$B$5-Ajuste!$B$19:$B$29*1000/(F$4*Ajuste!$B$6*1000+$A17)-Ajuste!$C$19:$C$29)/Ajuste!$B$10)^2)/11)</f>
        <v>5.97104370349866</v>
      </c>
      <c r="G17" s="11" t="n">
        <f aca="false">SQRT(SUMPRODUCT(((Ajuste!$B$5-Ajuste!$B$19:$B$29*1000/(G$4*Ajuste!$B$6*1000+$A17)-Ajuste!$C$19:$C$29)/Ajuste!$B$10)^2)/11)</f>
        <v>7.69750127336222</v>
      </c>
      <c r="H17" s="11" t="n">
        <f aca="false">SQRT(SUMPRODUCT(((Ajuste!$B$5-Ajuste!$B$19:$B$29*1000/(H$4*Ajuste!$B$6*1000+$A17)-Ajuste!$C$19:$C$29)/Ajuste!$B$10)^2)/11)</f>
        <v>9.23640544693914</v>
      </c>
      <c r="I17" s="11" t="n">
        <f aca="false">SQRT(SUMPRODUCT(((Ajuste!$B$5-Ajuste!$B$19:$B$29*1000/(I$4*Ajuste!$B$6*1000+$A17)-Ajuste!$C$19:$C$29)/Ajuste!$B$10)^2)/11)</f>
        <v>10.6152376202122</v>
      </c>
      <c r="J17" s="11" t="n">
        <f aca="false">SQRT(SUMPRODUCT(((Ajuste!$B$5-Ajuste!$B$19:$B$29*1000/(J$4*Ajuste!$B$6*1000+$A17)-Ajuste!$C$19:$C$29)/Ajuste!$B$10)^2)/11)</f>
        <v>11.8571918797297</v>
      </c>
      <c r="K17" s="11" t="n">
        <f aca="false">SQRT(SUMPRODUCT(((Ajuste!$B$5-Ajuste!$B$19:$B$29*1000/(K$4*Ajuste!$B$6*1000+$A17)-Ajuste!$C$19:$C$29)/Ajuste!$B$10)^2)/11)</f>
        <v>12.9814486623696</v>
      </c>
      <c r="L17" s="11" t="n">
        <f aca="false">SQRT(SUMPRODUCT(((Ajuste!$B$5-Ajuste!$B$19:$B$29*1000/(L$4*Ajuste!$B$6*1000+$A17)-Ajuste!$C$19:$C$29)/Ajuste!$B$10)^2)/11)</f>
        <v>14.0038651429578</v>
      </c>
      <c r="M17" s="11" t="n">
        <f aca="false">SQRT(SUMPRODUCT(((Ajuste!$B$5-Ajuste!$B$19:$B$29*1000/(M$4*Ajuste!$B$6*1000+$A17)-Ajuste!$C$19:$C$29)/Ajuste!$B$10)^2)/11)</f>
        <v>14.9376167332808</v>
      </c>
      <c r="N17" s="11" t="n">
        <f aca="false">SQRT(SUMPRODUCT(((Ajuste!$B$5-Ajuste!$B$19:$B$29*1000/(N$4*Ajuste!$B$6*1000+$A17)-Ajuste!$C$19:$C$29)/Ajuste!$B$10)^2)/11)</f>
        <v>15.7937217190051</v>
      </c>
      <c r="O17" s="11" t="n">
        <f aca="false">SQRT(SUMPRODUCT(((Ajuste!$B$5-Ajuste!$B$19:$B$29*1000/(O$4*Ajuste!$B$6*1000+$A17)-Ajuste!$C$19:$C$29)/Ajuste!$B$10)^2)/11)</f>
        <v>16.5814567624089</v>
      </c>
      <c r="P17" s="11" t="n">
        <f aca="false">SQRT(SUMPRODUCT(((Ajuste!$B$5-Ajuste!$B$19:$B$29*1000/(P$4*Ajuste!$B$6*1000+$A17)-Ajuste!$C$19:$C$29)/Ajuste!$B$10)^2)/11)</f>
        <v>17.3086837578967</v>
      </c>
    </row>
    <row r="18" customFormat="false" ht="15" hidden="false" customHeight="false" outlineLevel="0" collapsed="false">
      <c r="A18" s="13" t="n">
        <v>6.5</v>
      </c>
      <c r="B18" s="11" t="n">
        <f aca="false">SQRT(SUMPRODUCT(((Ajuste!$B$5-Ajuste!$B$19:$B$29*1000/(B$4*Ajuste!$B$6*1000+$A18)-Ajuste!$C$19:$C$29)/Ajuste!$B$10)^2)/11)</f>
        <v>1.62495241379784</v>
      </c>
      <c r="C18" s="11" t="n">
        <f aca="false">SQRT(SUMPRODUCT(((Ajuste!$B$5-Ajuste!$B$19:$B$29*1000/(C$4*Ajuste!$B$6*1000+$A18)-Ajuste!$C$19:$C$29)/Ajuste!$B$10)^2)/11)</f>
        <v>1.53190669382364</v>
      </c>
      <c r="D18" s="11" t="n">
        <f aca="false">SQRT(SUMPRODUCT(((Ajuste!$B$5-Ajuste!$B$19:$B$29*1000/(D$4*Ajuste!$B$6*1000+$A18)-Ajuste!$C$19:$C$29)/Ajuste!$B$10)^2)/11)</f>
        <v>3.68264011185358</v>
      </c>
      <c r="E18" s="11" t="n">
        <f aca="false">SQRT(SUMPRODUCT(((Ajuste!$B$5-Ajuste!$B$19:$B$29*1000/(E$4*Ajuste!$B$6*1000+$A18)-Ajuste!$C$19:$C$29)/Ajuste!$B$10)^2)/11)</f>
        <v>5.66297468869986</v>
      </c>
      <c r="F18" s="11" t="n">
        <f aca="false">SQRT(SUMPRODUCT(((Ajuste!$B$5-Ajuste!$B$19:$B$29*1000/(F$4*Ajuste!$B$6*1000+$A18)-Ajuste!$C$19:$C$29)/Ajuste!$B$10)^2)/11)</f>
        <v>7.42358078667475</v>
      </c>
      <c r="G18" s="11" t="n">
        <f aca="false">SQRT(SUMPRODUCT(((Ajuste!$B$5-Ajuste!$B$19:$B$29*1000/(G$4*Ajuste!$B$6*1000+$A18)-Ajuste!$C$19:$C$29)/Ajuste!$B$10)^2)/11)</f>
        <v>8.99172818864735</v>
      </c>
      <c r="H18" s="11" t="n">
        <f aca="false">SQRT(SUMPRODUCT(((Ajuste!$B$5-Ajuste!$B$19:$B$29*1000/(H$4*Ajuste!$B$6*1000+$A18)-Ajuste!$C$19:$C$29)/Ajuste!$B$10)^2)/11)</f>
        <v>10.3955108410507</v>
      </c>
      <c r="I18" s="11" t="n">
        <f aca="false">SQRT(SUMPRODUCT(((Ajuste!$B$5-Ajuste!$B$19:$B$29*1000/(I$4*Ajuste!$B$6*1000+$A18)-Ajuste!$C$19:$C$29)/Ajuste!$B$10)^2)/11)</f>
        <v>11.6588460483633</v>
      </c>
      <c r="J18" s="11" t="n">
        <f aca="false">SQRT(SUMPRODUCT(((Ajuste!$B$5-Ajuste!$B$19:$B$29*1000/(J$4*Ajuste!$B$6*1000+$A18)-Ajuste!$C$19:$C$29)/Ajuste!$B$10)^2)/11)</f>
        <v>12.8015366691233</v>
      </c>
      <c r="K18" s="11" t="n">
        <f aca="false">SQRT(SUMPRODUCT(((Ajuste!$B$5-Ajuste!$B$19:$B$29*1000/(K$4*Ajuste!$B$6*1000+$A18)-Ajuste!$C$19:$C$29)/Ajuste!$B$10)^2)/11)</f>
        <v>13.8399462815895</v>
      </c>
      <c r="L18" s="11" t="n">
        <f aca="false">SQRT(SUMPRODUCT(((Ajuste!$B$5-Ajuste!$B$19:$B$29*1000/(L$4*Ajuste!$B$6*1000+$A18)-Ajuste!$C$19:$C$29)/Ajuste!$B$10)^2)/11)</f>
        <v>14.7876576178466</v>
      </c>
      <c r="M18" s="11" t="n">
        <f aca="false">SQRT(SUMPRODUCT(((Ajuste!$B$5-Ajuste!$B$19:$B$29*1000/(M$4*Ajuste!$B$6*1000+$A18)-Ajuste!$C$19:$C$29)/Ajuste!$B$10)^2)/11)</f>
        <v>15.6560169253062</v>
      </c>
      <c r="N18" s="11" t="n">
        <f aca="false">SQRT(SUMPRODUCT(((Ajuste!$B$5-Ajuste!$B$19:$B$29*1000/(N$4*Ajuste!$B$6*1000+$A18)-Ajuste!$C$19:$C$29)/Ajuste!$B$10)^2)/11)</f>
        <v>16.4545663026313</v>
      </c>
      <c r="O18" s="11" t="n">
        <f aca="false">SQRT(SUMPRODUCT(((Ajuste!$B$5-Ajuste!$B$19:$B$29*1000/(O$4*Ajuste!$B$6*1000+$A18)-Ajuste!$C$19:$C$29)/Ajuste!$B$10)^2)/11)</f>
        <v>17.191383894039</v>
      </c>
      <c r="P18" s="11" t="n">
        <f aca="false">SQRT(SUMPRODUCT(((Ajuste!$B$5-Ajuste!$B$19:$B$29*1000/(P$4*Ajuste!$B$6*1000+$A18)-Ajuste!$C$19:$C$29)/Ajuste!$B$10)^2)/11)</f>
        <v>17.8733518578723</v>
      </c>
    </row>
    <row r="19" customFormat="false" ht="15" hidden="false" customHeight="false" outlineLevel="0" collapsed="false">
      <c r="A19" s="13" t="n">
        <v>7</v>
      </c>
      <c r="B19" s="11" t="n">
        <f aca="false">SQRT(SUMPRODUCT(((Ajuste!$B$5-Ajuste!$B$19:$B$29*1000/(B$4*Ajuste!$B$6*1000+$A19)-Ajuste!$C$19:$C$29)/Ajuste!$B$10)^2)/11)</f>
        <v>1.20600442767589</v>
      </c>
      <c r="C19" s="11" t="n">
        <f aca="false">SQRT(SUMPRODUCT(((Ajuste!$B$5-Ajuste!$B$19:$B$29*1000/(C$4*Ajuste!$B$6*1000+$A19)-Ajuste!$C$19:$C$29)/Ajuste!$B$10)^2)/11)</f>
        <v>3.33076929043663</v>
      </c>
      <c r="D19" s="11" t="n">
        <f aca="false">SQRT(SUMPRODUCT(((Ajuste!$B$5-Ajuste!$B$19:$B$29*1000/(D$4*Ajuste!$B$6*1000+$A19)-Ajuste!$C$19:$C$29)/Ajuste!$B$10)^2)/11)</f>
        <v>5.34874591820997</v>
      </c>
      <c r="E19" s="11" t="n">
        <f aca="false">SQRT(SUMPRODUCT(((Ajuste!$B$5-Ajuste!$B$19:$B$29*1000/(E$4*Ajuste!$B$6*1000+$A19)-Ajuste!$C$19:$C$29)/Ajuste!$B$10)^2)/11)</f>
        <v>7.14431873461831</v>
      </c>
      <c r="F19" s="11" t="n">
        <f aca="false">SQRT(SUMPRODUCT(((Ajuste!$B$5-Ajuste!$B$19:$B$29*1000/(F$4*Ajuste!$B$6*1000+$A19)-Ajuste!$C$19:$C$29)/Ajuste!$B$10)^2)/11)</f>
        <v>8.7424954258132</v>
      </c>
      <c r="G19" s="11" t="n">
        <f aca="false">SQRT(SUMPRODUCT(((Ajuste!$B$5-Ajuste!$B$19:$B$29*1000/(G$4*Ajuste!$B$6*1000+$A19)-Ajuste!$C$19:$C$29)/Ajuste!$B$10)^2)/11)</f>
        <v>10.171892099463</v>
      </c>
      <c r="H19" s="11" t="n">
        <f aca="false">SQRT(SUMPRODUCT(((Ajuste!$B$5-Ajuste!$B$19:$B$29*1000/(H$4*Ajuste!$B$6*1000+$A19)-Ajuste!$C$19:$C$29)/Ajuste!$B$10)^2)/11)</f>
        <v>11.457156698378</v>
      </c>
      <c r="I19" s="11" t="n">
        <f aca="false">SQRT(SUMPRODUCT(((Ajuste!$B$5-Ajuste!$B$19:$B$29*1000/(I$4*Ajuste!$B$6*1000+$A19)-Ajuste!$C$19:$C$29)/Ajuste!$B$10)^2)/11)</f>
        <v>12.6187342024546</v>
      </c>
      <c r="J19" s="11" t="n">
        <f aca="false">SQRT(SUMPRODUCT(((Ajuste!$B$5-Ajuste!$B$19:$B$29*1000/(J$4*Ajuste!$B$6*1000+$A19)-Ajuste!$C$19:$C$29)/Ajuste!$B$10)^2)/11)</f>
        <v>13.673513023014</v>
      </c>
      <c r="K19" s="11" t="n">
        <f aca="false">SQRT(SUMPRODUCT(((Ajuste!$B$5-Ajuste!$B$19:$B$29*1000/(K$4*Ajuste!$B$6*1000+$A19)-Ajuste!$C$19:$C$29)/Ajuste!$B$10)^2)/11)</f>
        <v>14.6354983122781</v>
      </c>
      <c r="L19" s="11" t="n">
        <f aca="false">SQRT(SUMPRODUCT(((Ajuste!$B$5-Ajuste!$B$19:$B$29*1000/(L$4*Ajuste!$B$6*1000+$A19)-Ajuste!$C$19:$C$29)/Ajuste!$B$10)^2)/11)</f>
        <v>15.5163762401992</v>
      </c>
      <c r="M19" s="11" t="n">
        <f aca="false">SQRT(SUMPRODUCT(((Ajuste!$B$5-Ajuste!$B$19:$B$29*1000/(M$4*Ajuste!$B$6*1000+$A19)-Ajuste!$C$19:$C$29)/Ajuste!$B$10)^2)/11)</f>
        <v>16.3259637461434</v>
      </c>
      <c r="N19" s="11" t="n">
        <f aca="false">SQRT(SUMPRODUCT(((Ajuste!$B$5-Ajuste!$B$19:$B$29*1000/(N$4*Ajuste!$B$6*1000+$A19)-Ajuste!$C$19:$C$29)/Ajuste!$B$10)^2)/11)</f>
        <v>17.0725626309088</v>
      </c>
      <c r="O19" s="11" t="n">
        <f aca="false">SQRT(SUMPRODUCT(((Ajuste!$B$5-Ajuste!$B$19:$B$29*1000/(O$4*Ajuste!$B$6*1000+$A19)-Ajuste!$C$19:$C$29)/Ajuste!$B$10)^2)/11)</f>
        <v>17.7632383206544</v>
      </c>
      <c r="P19" s="11" t="n">
        <f aca="false">SQRT(SUMPRODUCT(((Ajuste!$B$5-Ajuste!$B$19:$B$29*1000/(P$4*Ajuste!$B$6*1000+$A19)-Ajuste!$C$19:$C$29)/Ajuste!$B$10)^2)/11)</f>
        <v>18.4040403210741</v>
      </c>
    </row>
    <row r="20" customFormat="false" ht="15" hidden="false" customHeight="false" outlineLevel="0" collapsed="false">
      <c r="A20" s="13" t="n">
        <v>7.5</v>
      </c>
      <c r="B20" s="11" t="n">
        <f aca="false">SQRT(SUMPRODUCT(((Ajuste!$B$5-Ajuste!$B$19:$B$29*1000/(B$4*Ajuste!$B$6*1000+$A20)-Ajuste!$C$19:$C$29)/Ajuste!$B$10)^2)/11)</f>
        <v>2.97347296681508</v>
      </c>
      <c r="C20" s="11" t="n">
        <f aca="false">SQRT(SUMPRODUCT(((Ajuste!$B$5-Ajuste!$B$19:$B$29*1000/(C$4*Ajuste!$B$6*1000+$A20)-Ajuste!$C$19:$C$29)/Ajuste!$B$10)^2)/11)</f>
        <v>5.02824882880342</v>
      </c>
      <c r="D20" s="11" t="n">
        <f aca="false">SQRT(SUMPRODUCT(((Ajuste!$B$5-Ajuste!$B$19:$B$29*1000/(D$4*Ajuste!$B$6*1000+$A20)-Ajuste!$C$19:$C$29)/Ajuste!$B$10)^2)/11)</f>
        <v>6.85957483737112</v>
      </c>
      <c r="E20" s="11" t="n">
        <f aca="false">SQRT(SUMPRODUCT(((Ajuste!$B$5-Ajuste!$B$19:$B$29*1000/(E$4*Ajuste!$B$6*1000+$A20)-Ajuste!$C$19:$C$29)/Ajuste!$B$10)^2)/11)</f>
        <v>8.48858434650868</v>
      </c>
      <c r="F20" s="11" t="n">
        <f aca="false">SQRT(SUMPRODUCT(((Ajuste!$B$5-Ajuste!$B$19:$B$29*1000/(F$4*Ajuste!$B$6*1000+$A20)-Ajuste!$C$19:$C$29)/Ajuste!$B$10)^2)/11)</f>
        <v>9.9442792911349</v>
      </c>
      <c r="G20" s="11" t="n">
        <f aca="false">SQRT(SUMPRODUCT(((Ajuste!$B$5-Ajuste!$B$19:$B$29*1000/(G$4*Ajuste!$B$6*1000+$A20)-Ajuste!$C$19:$C$29)/Ajuste!$B$10)^2)/11)</f>
        <v>11.2520395878108</v>
      </c>
      <c r="H20" s="11" t="n">
        <f aca="false">SQRT(SUMPRODUCT(((Ajuste!$B$5-Ajuste!$B$19:$B$29*1000/(H$4*Ajuste!$B$6*1000+$A20)-Ajuste!$C$19:$C$29)/Ajuste!$B$10)^2)/11)</f>
        <v>12.4329715579786</v>
      </c>
      <c r="I20" s="11" t="n">
        <f aca="false">SQRT(SUMPRODUCT(((Ajuste!$B$5-Ajuste!$B$19:$B$29*1000/(I$4*Ajuste!$B$6*1000+$A20)-Ajuste!$C$19:$C$29)/Ajuste!$B$10)^2)/11)</f>
        <v>13.5045073504044</v>
      </c>
      <c r="J20" s="11" t="n">
        <f aca="false">SQRT(SUMPRODUCT(((Ajuste!$B$5-Ajuste!$B$19:$B$29*1000/(J$4*Ajuste!$B$6*1000+$A20)-Ajuste!$C$19:$C$29)/Ajuste!$B$10)^2)/11)</f>
        <v>14.4810902027104</v>
      </c>
      <c r="K20" s="11" t="n">
        <f aca="false">SQRT(SUMPRODUCT(((Ajuste!$B$5-Ajuste!$B$19:$B$29*1000/(K$4*Ajuste!$B$6*1000+$A20)-Ajuste!$C$19:$C$29)/Ajuste!$B$10)^2)/11)</f>
        <v>15.3747586531717</v>
      </c>
      <c r="L20" s="11" t="n">
        <f aca="false">SQRT(SUMPRODUCT(((Ajuste!$B$5-Ajuste!$B$19:$B$29*1000/(L$4*Ajuste!$B$6*1000+$A20)-Ajuste!$C$19:$C$29)/Ajuste!$B$10)^2)/11)</f>
        <v>16.1956142710207</v>
      </c>
      <c r="M20" s="11" t="n">
        <f aca="false">SQRT(SUMPRODUCT(((Ajuste!$B$5-Ajuste!$B$19:$B$29*1000/(M$4*Ajuste!$B$6*1000+$A20)-Ajuste!$C$19:$C$29)/Ajuste!$B$10)^2)/11)</f>
        <v>16.9521902187747</v>
      </c>
      <c r="N20" s="11" t="n">
        <f aca="false">SQRT(SUMPRODUCT(((Ajuste!$B$5-Ajuste!$B$19:$B$29*1000/(N$4*Ajuste!$B$6*1000+$A20)-Ajuste!$C$19:$C$29)/Ajuste!$B$10)^2)/11)</f>
        <v>17.6517412844205</v>
      </c>
      <c r="O20" s="11" t="n">
        <f aca="false">SQRT(SUMPRODUCT(((Ajuste!$B$5-Ajuste!$B$19:$B$29*1000/(O$4*Ajuste!$B$6*1000+$A20)-Ajuste!$C$19:$C$29)/Ajuste!$B$10)^2)/11)</f>
        <v>18.3004730354796</v>
      </c>
      <c r="P20" s="11" t="n">
        <f aca="false">SQRT(SUMPRODUCT(((Ajuste!$B$5-Ajuste!$B$19:$B$29*1000/(P$4*Ajuste!$B$6*1000+$A20)-Ajuste!$C$19:$C$29)/Ajuste!$B$10)^2)/11)</f>
        <v>18.9037239795829</v>
      </c>
    </row>
    <row r="21" customFormat="false" ht="15" hidden="false" customHeight="false" outlineLevel="0" collapsed="false">
      <c r="A21" s="13" t="n">
        <v>8</v>
      </c>
      <c r="B21" s="11" t="n">
        <f aca="false">SQRT(SUMPRODUCT(((Ajuste!$B$5-Ajuste!$B$19:$B$29*1000/(B$4*Ajuste!$B$6*1000+$A21)-Ajuste!$C$19:$C$29)/Ajuste!$B$10)^2)/11)</f>
        <v>4.70139962209118</v>
      </c>
      <c r="C21" s="11" t="n">
        <f aca="false">SQRT(SUMPRODUCT(((Ajuste!$B$5-Ajuste!$B$19:$B$29*1000/(C$4*Ajuste!$B$6*1000+$A21)-Ajuste!$C$19:$C$29)/Ajuste!$B$10)^2)/11)</f>
        <v>6.56920786580069</v>
      </c>
      <c r="D21" s="11" t="n">
        <f aca="false">SQRT(SUMPRODUCT(((Ajuste!$B$5-Ajuste!$B$19:$B$29*1000/(D$4*Ajuste!$B$6*1000+$A21)-Ajuste!$C$19:$C$29)/Ajuste!$B$10)^2)/11)</f>
        <v>8.2298686406194</v>
      </c>
      <c r="E21" s="11" t="n">
        <f aca="false">SQRT(SUMPRODUCT(((Ajuste!$B$5-Ajuste!$B$19:$B$29*1000/(E$4*Ajuste!$B$6*1000+$A21)-Ajuste!$C$19:$C$29)/Ajuste!$B$10)^2)/11)</f>
        <v>9.71256701137311</v>
      </c>
      <c r="F21" s="11" t="n">
        <f aca="false">SQRT(SUMPRODUCT(((Ajuste!$B$5-Ajuste!$B$19:$B$29*1000/(F$4*Ajuste!$B$6*1000+$A21)-Ajuste!$C$19:$C$29)/Ajuste!$B$10)^2)/11)</f>
        <v>11.043407735999</v>
      </c>
      <c r="G21" s="11" t="n">
        <f aca="false">SQRT(SUMPRODUCT(((Ajuste!$B$5-Ajuste!$B$19:$B$29*1000/(G$4*Ajuste!$B$6*1000+$A21)-Ajuste!$C$19:$C$29)/Ajuste!$B$10)^2)/11)</f>
        <v>12.2441768220048</v>
      </c>
      <c r="H21" s="11" t="n">
        <f aca="false">SQRT(SUMPRODUCT(((Ajuste!$B$5-Ajuste!$B$19:$B$29*1000/(H$4*Ajuste!$B$6*1000+$A21)-Ajuste!$C$19:$C$29)/Ajuste!$B$10)^2)/11)</f>
        <v>13.3328694722343</v>
      </c>
      <c r="I21" s="11" t="n">
        <f aca="false">SQRT(SUMPRODUCT(((Ajuste!$B$5-Ajuste!$B$19:$B$29*1000/(I$4*Ajuste!$B$6*1000+$A21)-Ajuste!$C$19:$C$29)/Ajuste!$B$10)^2)/11)</f>
        <v>14.324383244914</v>
      </c>
      <c r="J21" s="11" t="n">
        <f aca="false">SQRT(SUMPRODUCT(((Ajuste!$B$5-Ajuste!$B$19:$B$29*1000/(J$4*Ajuste!$B$6*1000+$A21)-Ajuste!$C$19:$C$29)/Ajuste!$B$10)^2)/11)</f>
        <v>15.2311219939572</v>
      </c>
      <c r="K21" s="11" t="n">
        <f aca="false">SQRT(SUMPRODUCT(((Ajuste!$B$5-Ajuste!$B$19:$B$29*1000/(K$4*Ajuste!$B$6*1000+$A21)-Ajuste!$C$19:$C$29)/Ajuste!$B$10)^2)/11)</f>
        <v>16.0634821085534</v>
      </c>
      <c r="L21" s="11" t="n">
        <f aca="false">SQRT(SUMPRODUCT(((Ajuste!$B$5-Ajuste!$B$19:$B$29*1000/(L$4*Ajuste!$B$6*1000+$A21)-Ajuste!$C$19:$C$29)/Ajuste!$B$10)^2)/11)</f>
        <v>16.830236129576</v>
      </c>
      <c r="M21" s="11" t="n">
        <f aca="false">SQRT(SUMPRODUCT(((Ajuste!$B$5-Ajuste!$B$19:$B$29*1000/(M$4*Ajuste!$B$6*1000+$A21)-Ajuste!$C$19:$C$29)/Ajuste!$B$10)^2)/11)</f>
        <v>17.5388345411749</v>
      </c>
      <c r="N21" s="11" t="n">
        <f aca="false">SQRT(SUMPRODUCT(((Ajuste!$B$5-Ajuste!$B$19:$B$29*1000/(N$4*Ajuste!$B$6*1000+$A21)-Ajuste!$C$19:$C$29)/Ajuste!$B$10)^2)/11)</f>
        <v>18.1956440090124</v>
      </c>
      <c r="O21" s="11" t="n">
        <f aca="false">SQRT(SUMPRODUCT(((Ajuste!$B$5-Ajuste!$B$19:$B$29*1000/(O$4*Ajuste!$B$6*1000+$A21)-Ajuste!$C$19:$C$29)/Ajuste!$B$10)^2)/11)</f>
        <v>18.8061365558501</v>
      </c>
      <c r="P21" s="11" t="n">
        <f aca="false">SQRT(SUMPRODUCT(((Ajuste!$B$5-Ajuste!$B$19:$B$29*1000/(P$4*Ajuste!$B$6*1000+$A21)-Ajuste!$C$19:$C$29)/Ajuste!$B$10)^2)/11)</f>
        <v>19.3750407969712</v>
      </c>
    </row>
  </sheetData>
  <conditionalFormatting sqref="B5:P21">
    <cfRule type="cellIs" priority="2" operator="lessThan" aboveAverage="0" equalAverage="0" bottom="0" percent="0" rank="0" text="" dxfId="0">
      <formula>1.5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8"/>
    <col collapsed="false" customWidth="true" hidden="false" outlineLevel="0" max="7" min="5" style="0" width="10"/>
    <col collapsed="false" customWidth="true" hidden="false" outlineLevel="0" max="11" min="8" style="0" width="3"/>
    <col collapsed="false" customWidth="true" hidden="false" outlineLevel="0" max="12" min="12" style="0" width="8"/>
    <col collapsed="false" customWidth="true" hidden="false" outlineLevel="0" max="32" min="13" style="0" width="7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2</v>
      </c>
      <c r="B4" s="3" t="s">
        <v>3</v>
      </c>
      <c r="D4" s="13" t="s">
        <v>35</v>
      </c>
      <c r="E4" s="13" t="s">
        <v>36</v>
      </c>
      <c r="F4" s="13" t="s">
        <v>37</v>
      </c>
      <c r="G4" s="13" t="s">
        <v>38</v>
      </c>
    </row>
    <row r="5" customFormat="false" ht="15" hidden="false" customHeight="false" outlineLevel="0" collapsed="false">
      <c r="A5" s="0" t="s">
        <v>39</v>
      </c>
      <c r="B5" s="6" t="n">
        <v>2</v>
      </c>
      <c r="L5" s="2" t="s">
        <v>40</v>
      </c>
    </row>
    <row r="6" customFormat="false" ht="15" hidden="false" customHeight="false" outlineLevel="0" collapsed="false">
      <c r="A6" s="0" t="n">
        <v>0.01</v>
      </c>
      <c r="B6" s="7" t="n">
        <v>0.8</v>
      </c>
      <c r="D6" s="14" t="n">
        <f aca="false">A6</f>
        <v>0.01</v>
      </c>
      <c r="E6" s="14" t="n">
        <f aca="false">(G6-0)/(A6-0)</f>
        <v>0.0204019177802713</v>
      </c>
      <c r="F6" s="14" t="n">
        <f aca="false">G6/A6</f>
        <v>0.0204019177802713</v>
      </c>
      <c r="G6" s="14" t="n">
        <f aca="false">A6^2/(A6^2+(1-A6)^2/$B$5)</f>
        <v>0.000204019177802713</v>
      </c>
      <c r="L6" s="14" t="s">
        <v>41</v>
      </c>
      <c r="M6" s="13" t="n">
        <v>1</v>
      </c>
      <c r="N6" s="13" t="n">
        <v>2</v>
      </c>
      <c r="O6" s="13" t="n">
        <v>3</v>
      </c>
      <c r="P6" s="13" t="n">
        <v>4</v>
      </c>
      <c r="Q6" s="13" t="n">
        <v>5</v>
      </c>
      <c r="R6" s="13" t="n">
        <v>6</v>
      </c>
      <c r="S6" s="13" t="n">
        <v>7</v>
      </c>
      <c r="T6" s="13" t="n">
        <v>8</v>
      </c>
      <c r="U6" s="13" t="n">
        <v>9</v>
      </c>
      <c r="V6" s="13" t="n">
        <v>10</v>
      </c>
      <c r="W6" s="13" t="n">
        <v>11</v>
      </c>
      <c r="X6" s="13" t="n">
        <v>12</v>
      </c>
      <c r="Y6" s="13" t="n">
        <v>13</v>
      </c>
      <c r="Z6" s="13" t="n">
        <v>14</v>
      </c>
      <c r="AA6" s="13" t="n">
        <v>15</v>
      </c>
      <c r="AB6" s="13" t="n">
        <v>16</v>
      </c>
      <c r="AC6" s="13" t="n">
        <v>17</v>
      </c>
      <c r="AD6" s="13" t="n">
        <v>18</v>
      </c>
      <c r="AE6" s="13" t="n">
        <v>19</v>
      </c>
      <c r="AF6" s="13" t="n">
        <v>20</v>
      </c>
    </row>
    <row r="7" customFormat="false" ht="15" hidden="false" customHeight="false" outlineLevel="0" collapsed="false">
      <c r="A7" s="0" t="n">
        <v>0.02</v>
      </c>
      <c r="B7" s="7" t="n">
        <v>0.4</v>
      </c>
      <c r="D7" s="14" t="n">
        <f aca="false">A7</f>
        <v>0.02</v>
      </c>
      <c r="E7" s="14" t="n">
        <f aca="false">(G7-G6)/(A7-A6)</f>
        <v>0.0628273789321714</v>
      </c>
      <c r="F7" s="14" t="n">
        <f aca="false">G7/A7</f>
        <v>0.0416146483562214</v>
      </c>
      <c r="G7" s="14" t="n">
        <f aca="false">A7^2/(A7^2+(1-A7)^2/$B$5)</f>
        <v>0.000832292967124428</v>
      </c>
      <c r="L7" s="14" t="s">
        <v>42</v>
      </c>
      <c r="M7" s="8" t="n">
        <f aca="false">INDEX(M10:M259,MIN($B$12,250)+1)</f>
        <v>0.882166269218779</v>
      </c>
      <c r="N7" s="8" t="n">
        <f aca="false">INDEX(N10:N259,MIN($B$12,250)+1)</f>
        <v>0.828793306926286</v>
      </c>
      <c r="O7" s="8" t="n">
        <f aca="false">INDEX(O10:O259,MIN($B$12,250)+1)</f>
        <v>0.787150942726482</v>
      </c>
      <c r="P7" s="8" t="n">
        <f aca="false">INDEX(P10:P259,MIN($B$12,250)+1)</f>
        <v>0.751886692387624</v>
      </c>
      <c r="Q7" s="8" t="n">
        <f aca="false">INDEX(Q10:Q259,MIN($B$12,250)+1)</f>
        <v>0.720621892996873</v>
      </c>
      <c r="R7" s="8" t="n">
        <f aca="false">INDEX(R10:R259,MIN($B$12,250)+1)</f>
        <v>0.69192396035492</v>
      </c>
      <c r="S7" s="8" t="n">
        <f aca="false">INDEX(S10:S259,MIN($B$12,250)+1)</f>
        <v>0.664706096361754</v>
      </c>
      <c r="T7" s="8" t="n">
        <f aca="false">INDEX(T10:T259,MIN($B$12,250)+1)</f>
        <v>0.637886404232695</v>
      </c>
      <c r="U7" s="8" t="n">
        <f aca="false">INDEX(U10:U259,MIN($B$12,250)+1)</f>
        <v>0.609947881859981</v>
      </c>
      <c r="V7" s="8" t="n">
        <f aca="false">INDEX(V10:V259,MIN($B$12,250)+1)</f>
        <v>0.577730860242816</v>
      </c>
      <c r="W7" s="8" t="n">
        <f aca="false">INDEX(W10:W259,MIN($B$12,250)+1)</f>
        <v>0.530472045494783</v>
      </c>
      <c r="X7" s="8" t="n">
        <f aca="false">INDEX(X10:X259,MIN($B$12,250)+1)</f>
        <v>0.369774140197992</v>
      </c>
      <c r="Y7" s="8" t="n">
        <f aca="false">INDEX(Y10:Y259,MIN($B$12,250)+1)</f>
        <v>0.0220985784632466</v>
      </c>
      <c r="Z7" s="8" t="n">
        <f aca="false">INDEX(Z10:Z259,MIN($B$12,250)+1)</f>
        <v>1.60805083468382E-008</v>
      </c>
      <c r="AA7" s="8" t="n">
        <f aca="false">INDEX(AA10:AA259,MIN($B$12,250)+1)</f>
        <v>0</v>
      </c>
      <c r="AB7" s="8" t="n">
        <f aca="false">INDEX(AB10:AB259,MIN($B$12,250)+1)</f>
        <v>0</v>
      </c>
      <c r="AC7" s="8" t="n">
        <f aca="false">INDEX(AC10:AC259,MIN($B$12,250)+1)</f>
        <v>0</v>
      </c>
      <c r="AD7" s="8" t="n">
        <f aca="false">INDEX(AD10:AD259,MIN($B$12,250)+1)</f>
        <v>0</v>
      </c>
      <c r="AE7" s="8" t="n">
        <f aca="false">INDEX(AE10:AE259,MIN($B$12,250)+1)</f>
        <v>0</v>
      </c>
      <c r="AF7" s="8" t="n">
        <f aca="false">INDEX(AF10:AF259,MIN($B$12,250)+1)</f>
        <v>0</v>
      </c>
    </row>
    <row r="8" customFormat="false" ht="15" hidden="false" customHeight="false" outlineLevel="0" collapsed="false">
      <c r="A8" s="0" t="n">
        <v>0.03</v>
      </c>
      <c r="B8" s="4" t="n">
        <v>20</v>
      </c>
      <c r="D8" s="14" t="n">
        <f aca="false">A8</f>
        <v>0.03</v>
      </c>
      <c r="E8" s="14" t="n">
        <f aca="false">(G8-G7)/(A8-A7)</f>
        <v>0.107711617682381</v>
      </c>
      <c r="F8" s="14" t="n">
        <f aca="false">G8/A8</f>
        <v>0.0636469714649411</v>
      </c>
      <c r="G8" s="14" t="n">
        <f aca="false">A8^2/(A8^2+(1-A8)^2/$B$5)</f>
        <v>0.00190940914394823</v>
      </c>
    </row>
    <row r="9" customFormat="false" ht="15" hidden="false" customHeight="false" outlineLevel="0" collapsed="false">
      <c r="A9" s="0" t="n">
        <v>0.04</v>
      </c>
      <c r="B9" s="15" t="n">
        <f aca="false">1/B8</f>
        <v>0.05</v>
      </c>
      <c r="D9" s="14" t="n">
        <f aca="false">A9</f>
        <v>0.04</v>
      </c>
      <c r="E9" s="14" t="n">
        <f aca="false">(G9-G8)/(A9-A8)</f>
        <v>0.155079846850851</v>
      </c>
      <c r="F9" s="14" t="n">
        <f aca="false">G9/A9</f>
        <v>0.0865051903114187</v>
      </c>
      <c r="G9" s="14" t="n">
        <f aca="false">A9^2/(A9^2+(1-A9)^2/$B$5)</f>
        <v>0.00346020761245675</v>
      </c>
      <c r="L9" s="14" t="s">
        <v>43</v>
      </c>
      <c r="M9" s="14" t="s">
        <v>44</v>
      </c>
      <c r="N9" s="14" t="s">
        <v>45</v>
      </c>
      <c r="O9" s="14" t="s">
        <v>46</v>
      </c>
      <c r="P9" s="14" t="s">
        <v>47</v>
      </c>
      <c r="Q9" s="14" t="s">
        <v>48</v>
      </c>
      <c r="R9" s="14" t="s">
        <v>49</v>
      </c>
      <c r="S9" s="14" t="s">
        <v>50</v>
      </c>
      <c r="T9" s="14" t="s">
        <v>51</v>
      </c>
      <c r="U9" s="14" t="s">
        <v>52</v>
      </c>
      <c r="V9" s="14" t="s">
        <v>53</v>
      </c>
      <c r="W9" s="14" t="s">
        <v>54</v>
      </c>
      <c r="X9" s="14" t="s">
        <v>55</v>
      </c>
      <c r="Y9" s="14" t="s">
        <v>56</v>
      </c>
      <c r="Z9" s="14" t="s">
        <v>57</v>
      </c>
      <c r="AA9" s="14" t="s">
        <v>58</v>
      </c>
      <c r="AB9" s="14" t="s">
        <v>59</v>
      </c>
      <c r="AC9" s="14" t="s">
        <v>60</v>
      </c>
      <c r="AD9" s="14" t="s">
        <v>61</v>
      </c>
      <c r="AE9" s="14" t="s">
        <v>62</v>
      </c>
      <c r="AF9" s="14" t="s">
        <v>63</v>
      </c>
    </row>
    <row r="10" customFormat="false" ht="15" hidden="false" customHeight="false" outlineLevel="0" collapsed="false">
      <c r="A10" s="0" t="n">
        <v>0.05</v>
      </c>
      <c r="B10" s="8" t="n">
        <f aca="false">MAX(E6:E105)</f>
        <v>2.08045436842264</v>
      </c>
      <c r="D10" s="14" t="n">
        <f aca="false">A10</f>
        <v>0.05</v>
      </c>
      <c r="E10" s="14" t="n">
        <f aca="false">(G10-G9)/(A10-A9)</f>
        <v>0.204943426082149</v>
      </c>
      <c r="F10" s="14" t="n">
        <f aca="false">G10/A10</f>
        <v>0.110192837465565</v>
      </c>
      <c r="G10" s="14" t="n">
        <f aca="false">A10^2/(A10^2+(1-A10)^2/$B$5)</f>
        <v>0.00550964187327824</v>
      </c>
      <c r="L10" s="0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</row>
    <row r="11" customFormat="false" ht="15" hidden="false" customHeight="false" outlineLevel="0" collapsed="false">
      <c r="A11" s="0" t="n">
        <v>0.06</v>
      </c>
      <c r="B11" s="17" t="n">
        <f aca="false">B6*B9/B10</f>
        <v>0.0192265692567568</v>
      </c>
      <c r="D11" s="14" t="n">
        <f aca="false">A11</f>
        <v>0.06</v>
      </c>
      <c r="E11" s="14" t="n">
        <f aca="false">(G11-G10)/(A11-A10)</f>
        <v>0.257298048864363</v>
      </c>
      <c r="F11" s="14" t="n">
        <f aca="false">G11/A11</f>
        <v>0.134710372698698</v>
      </c>
      <c r="G11" s="14" t="n">
        <f aca="false">A11^2/(A11^2+(1-A11)^2/$B$5)</f>
        <v>0.00808262236192187</v>
      </c>
      <c r="L11" s="0" t="n">
        <v>1</v>
      </c>
      <c r="M11" s="16" t="n">
        <f aca="false">IF(ABS(M10-$B$11/$B$9*((MAX(0,MIN(1,M10))^2/(MAX(0,MIN(1,M10))^2+(1-MAX(0,MIN(1,M10)))^2/$B$5))-(MAX(0,MIN(1,1))^2/(MAX(0,MIN(1,1))^2+(1-MAX(0,MIN(1,1)))^2/$B$5))))&lt;0.000000001,0,M10-$B$11/$B$9*((MAX(0,MIN(1,M10))^2/(MAX(0,MIN(1,M10))^2+(1-MAX(0,MIN(1,M10)))^2/$B$5))-(MAX(0,MIN(1,1))^2/(MAX(0,MIN(1,1))^2+(1-MAX(0,MIN(1,1)))^2/$B$5))))</f>
        <v>0.384531385135135</v>
      </c>
      <c r="N11" s="16" t="n">
        <f aca="false">IF(ABS(N10-$B$11/$B$9*((MAX(0,MIN(1,N10))^2/(MAX(0,MIN(1,N10))^2+(1-MAX(0,MIN(1,N10)))^2/$B$5))-(MAX(0,MIN(1,M10))^2/(MAX(0,MIN(1,M10))^2+(1-MAX(0,MIN(1,M10)))^2/$B$5))))&lt;0.000000001,0,N10-$B$11/$B$9*((MAX(0,MIN(1,N10))^2/(MAX(0,MIN(1,N10))^2+(1-MAX(0,MIN(1,N10)))^2/$B$5))-(MAX(0,MIN(1,M10))^2/(MAX(0,MIN(1,M10))^2+(1-MAX(0,MIN(1,M10)))^2/$B$5))))</f>
        <v>0</v>
      </c>
      <c r="O11" s="16" t="n">
        <f aca="false">IF(ABS(O10-$B$11/$B$9*((MAX(0,MIN(1,O10))^2/(MAX(0,MIN(1,O10))^2+(1-MAX(0,MIN(1,O10)))^2/$B$5))-(MAX(0,MIN(1,N10))^2/(MAX(0,MIN(1,N10))^2+(1-MAX(0,MIN(1,N10)))^2/$B$5))))&lt;0.000000001,0,O10-$B$11/$B$9*((MAX(0,MIN(1,O10))^2/(MAX(0,MIN(1,O10))^2+(1-MAX(0,MIN(1,O10)))^2/$B$5))-(MAX(0,MIN(1,N10))^2/(MAX(0,MIN(1,N10))^2+(1-MAX(0,MIN(1,N10)))^2/$B$5))))</f>
        <v>0</v>
      </c>
      <c r="P11" s="16" t="n">
        <f aca="false">IF(ABS(P10-$B$11/$B$9*((MAX(0,MIN(1,P10))^2/(MAX(0,MIN(1,P10))^2+(1-MAX(0,MIN(1,P10)))^2/$B$5))-(MAX(0,MIN(1,O10))^2/(MAX(0,MIN(1,O10))^2+(1-MAX(0,MIN(1,O10)))^2/$B$5))))&lt;0.000000001,0,P10-$B$11/$B$9*((MAX(0,MIN(1,P10))^2/(MAX(0,MIN(1,P10))^2+(1-MAX(0,MIN(1,P10)))^2/$B$5))-(MAX(0,MIN(1,O10))^2/(MAX(0,MIN(1,O10))^2+(1-MAX(0,MIN(1,O10)))^2/$B$5))))</f>
        <v>0</v>
      </c>
      <c r="Q11" s="16" t="n">
        <f aca="false">IF(ABS(Q10-$B$11/$B$9*((MAX(0,MIN(1,Q10))^2/(MAX(0,MIN(1,Q10))^2+(1-MAX(0,MIN(1,Q10)))^2/$B$5))-(MAX(0,MIN(1,P10))^2/(MAX(0,MIN(1,P10))^2+(1-MAX(0,MIN(1,P10)))^2/$B$5))))&lt;0.000000001,0,Q10-$B$11/$B$9*((MAX(0,MIN(1,Q10))^2/(MAX(0,MIN(1,Q10))^2+(1-MAX(0,MIN(1,Q10)))^2/$B$5))-(MAX(0,MIN(1,P10))^2/(MAX(0,MIN(1,P10))^2+(1-MAX(0,MIN(1,P10)))^2/$B$5))))</f>
        <v>0</v>
      </c>
      <c r="R11" s="16" t="n">
        <f aca="false">IF(ABS(R10-$B$11/$B$9*((MAX(0,MIN(1,R10))^2/(MAX(0,MIN(1,R10))^2+(1-MAX(0,MIN(1,R10)))^2/$B$5))-(MAX(0,MIN(1,Q10))^2/(MAX(0,MIN(1,Q10))^2+(1-MAX(0,MIN(1,Q10)))^2/$B$5))))&lt;0.000000001,0,R10-$B$11/$B$9*((MAX(0,MIN(1,R10))^2/(MAX(0,MIN(1,R10))^2+(1-MAX(0,MIN(1,R10)))^2/$B$5))-(MAX(0,MIN(1,Q10))^2/(MAX(0,MIN(1,Q10))^2+(1-MAX(0,MIN(1,Q10)))^2/$B$5))))</f>
        <v>0</v>
      </c>
      <c r="S11" s="16" t="n">
        <f aca="false">IF(ABS(S10-$B$11/$B$9*((MAX(0,MIN(1,S10))^2/(MAX(0,MIN(1,S10))^2+(1-MAX(0,MIN(1,S10)))^2/$B$5))-(MAX(0,MIN(1,R10))^2/(MAX(0,MIN(1,R10))^2+(1-MAX(0,MIN(1,R10)))^2/$B$5))))&lt;0.000000001,0,S10-$B$11/$B$9*((MAX(0,MIN(1,S10))^2/(MAX(0,MIN(1,S10))^2+(1-MAX(0,MIN(1,S10)))^2/$B$5))-(MAX(0,MIN(1,R10))^2/(MAX(0,MIN(1,R10))^2+(1-MAX(0,MIN(1,R10)))^2/$B$5))))</f>
        <v>0</v>
      </c>
      <c r="T11" s="16" t="n">
        <f aca="false">IF(ABS(T10-$B$11/$B$9*((MAX(0,MIN(1,T10))^2/(MAX(0,MIN(1,T10))^2+(1-MAX(0,MIN(1,T10)))^2/$B$5))-(MAX(0,MIN(1,S10))^2/(MAX(0,MIN(1,S10))^2+(1-MAX(0,MIN(1,S10)))^2/$B$5))))&lt;0.000000001,0,T10-$B$11/$B$9*((MAX(0,MIN(1,T10))^2/(MAX(0,MIN(1,T10))^2+(1-MAX(0,MIN(1,T10)))^2/$B$5))-(MAX(0,MIN(1,S10))^2/(MAX(0,MIN(1,S10))^2+(1-MAX(0,MIN(1,S10)))^2/$B$5))))</f>
        <v>0</v>
      </c>
      <c r="U11" s="16" t="n">
        <f aca="false">IF(ABS(U10-$B$11/$B$9*((MAX(0,MIN(1,U10))^2/(MAX(0,MIN(1,U10))^2+(1-MAX(0,MIN(1,U10)))^2/$B$5))-(MAX(0,MIN(1,T10))^2/(MAX(0,MIN(1,T10))^2+(1-MAX(0,MIN(1,T10)))^2/$B$5))))&lt;0.000000001,0,U10-$B$11/$B$9*((MAX(0,MIN(1,U10))^2/(MAX(0,MIN(1,U10))^2+(1-MAX(0,MIN(1,U10)))^2/$B$5))-(MAX(0,MIN(1,T10))^2/(MAX(0,MIN(1,T10))^2+(1-MAX(0,MIN(1,T10)))^2/$B$5))))</f>
        <v>0</v>
      </c>
      <c r="V11" s="16" t="n">
        <f aca="false">IF(ABS(V10-$B$11/$B$9*((MAX(0,MIN(1,V10))^2/(MAX(0,MIN(1,V10))^2+(1-MAX(0,MIN(1,V10)))^2/$B$5))-(MAX(0,MIN(1,U10))^2/(MAX(0,MIN(1,U10))^2+(1-MAX(0,MIN(1,U10)))^2/$B$5))))&lt;0.000000001,0,V10-$B$11/$B$9*((MAX(0,MIN(1,V10))^2/(MAX(0,MIN(1,V10))^2+(1-MAX(0,MIN(1,V10)))^2/$B$5))-(MAX(0,MIN(1,U10))^2/(MAX(0,MIN(1,U10))^2+(1-MAX(0,MIN(1,U10)))^2/$B$5))))</f>
        <v>0</v>
      </c>
      <c r="W11" s="16" t="n">
        <f aca="false">IF(ABS(W10-$B$11/$B$9*((MAX(0,MIN(1,W10))^2/(MAX(0,MIN(1,W10))^2+(1-MAX(0,MIN(1,W10)))^2/$B$5))-(MAX(0,MIN(1,V10))^2/(MAX(0,MIN(1,V10))^2+(1-MAX(0,MIN(1,V10)))^2/$B$5))))&lt;0.000000001,0,W10-$B$11/$B$9*((MAX(0,MIN(1,W10))^2/(MAX(0,MIN(1,W10))^2+(1-MAX(0,MIN(1,W10)))^2/$B$5))-(MAX(0,MIN(1,V10))^2/(MAX(0,MIN(1,V10))^2+(1-MAX(0,MIN(1,V10)))^2/$B$5))))</f>
        <v>0</v>
      </c>
      <c r="X11" s="16" t="n">
        <f aca="false">IF(ABS(X10-$B$11/$B$9*((MAX(0,MIN(1,X10))^2/(MAX(0,MIN(1,X10))^2+(1-MAX(0,MIN(1,X10)))^2/$B$5))-(MAX(0,MIN(1,W10))^2/(MAX(0,MIN(1,W10))^2+(1-MAX(0,MIN(1,W10)))^2/$B$5))))&lt;0.000000001,0,X10-$B$11/$B$9*((MAX(0,MIN(1,X10))^2/(MAX(0,MIN(1,X10))^2+(1-MAX(0,MIN(1,X10)))^2/$B$5))-(MAX(0,MIN(1,W10))^2/(MAX(0,MIN(1,W10))^2+(1-MAX(0,MIN(1,W10)))^2/$B$5))))</f>
        <v>0</v>
      </c>
      <c r="Y11" s="16" t="n">
        <f aca="false">IF(ABS(Y10-$B$11/$B$9*((MAX(0,MIN(1,Y10))^2/(MAX(0,MIN(1,Y10))^2+(1-MAX(0,MIN(1,Y10)))^2/$B$5))-(MAX(0,MIN(1,X10))^2/(MAX(0,MIN(1,X10))^2+(1-MAX(0,MIN(1,X10)))^2/$B$5))))&lt;0.000000001,0,Y10-$B$11/$B$9*((MAX(0,MIN(1,Y10))^2/(MAX(0,MIN(1,Y10))^2+(1-MAX(0,MIN(1,Y10)))^2/$B$5))-(MAX(0,MIN(1,X10))^2/(MAX(0,MIN(1,X10))^2+(1-MAX(0,MIN(1,X10)))^2/$B$5))))</f>
        <v>0</v>
      </c>
      <c r="Z11" s="16" t="n">
        <f aca="false">IF(ABS(Z10-$B$11/$B$9*((MAX(0,MIN(1,Z10))^2/(MAX(0,MIN(1,Z10))^2+(1-MAX(0,MIN(1,Z10)))^2/$B$5))-(MAX(0,MIN(1,Y10))^2/(MAX(0,MIN(1,Y10))^2+(1-MAX(0,MIN(1,Y10)))^2/$B$5))))&lt;0.000000001,0,Z10-$B$11/$B$9*((MAX(0,MIN(1,Z10))^2/(MAX(0,MIN(1,Z10))^2+(1-MAX(0,MIN(1,Z10)))^2/$B$5))-(MAX(0,MIN(1,Y10))^2/(MAX(0,MIN(1,Y10))^2+(1-MAX(0,MIN(1,Y10)))^2/$B$5))))</f>
        <v>0</v>
      </c>
      <c r="AA11" s="16" t="n">
        <f aca="false">IF(ABS(AA10-$B$11/$B$9*((MAX(0,MIN(1,AA10))^2/(MAX(0,MIN(1,AA10))^2+(1-MAX(0,MIN(1,AA10)))^2/$B$5))-(MAX(0,MIN(1,Z10))^2/(MAX(0,MIN(1,Z10))^2+(1-MAX(0,MIN(1,Z10)))^2/$B$5))))&lt;0.000000001,0,AA10-$B$11/$B$9*((MAX(0,MIN(1,AA10))^2/(MAX(0,MIN(1,AA10))^2+(1-MAX(0,MIN(1,AA10)))^2/$B$5))-(MAX(0,MIN(1,Z10))^2/(MAX(0,MIN(1,Z10))^2+(1-MAX(0,MIN(1,Z10)))^2/$B$5))))</f>
        <v>0</v>
      </c>
      <c r="AB11" s="16" t="n">
        <f aca="false">IF(ABS(AB10-$B$11/$B$9*((MAX(0,MIN(1,AB10))^2/(MAX(0,MIN(1,AB10))^2+(1-MAX(0,MIN(1,AB10)))^2/$B$5))-(MAX(0,MIN(1,AA10))^2/(MAX(0,MIN(1,AA10))^2+(1-MAX(0,MIN(1,AA10)))^2/$B$5))))&lt;0.000000001,0,AB10-$B$11/$B$9*((MAX(0,MIN(1,AB10))^2/(MAX(0,MIN(1,AB10))^2+(1-MAX(0,MIN(1,AB10)))^2/$B$5))-(MAX(0,MIN(1,AA10))^2/(MAX(0,MIN(1,AA10))^2+(1-MAX(0,MIN(1,AA10)))^2/$B$5))))</f>
        <v>0</v>
      </c>
      <c r="AC11" s="16" t="n">
        <f aca="false">IF(ABS(AC10-$B$11/$B$9*((MAX(0,MIN(1,AC10))^2/(MAX(0,MIN(1,AC10))^2+(1-MAX(0,MIN(1,AC10)))^2/$B$5))-(MAX(0,MIN(1,AB10))^2/(MAX(0,MIN(1,AB10))^2+(1-MAX(0,MIN(1,AB10)))^2/$B$5))))&lt;0.000000001,0,AC10-$B$11/$B$9*((MAX(0,MIN(1,AC10))^2/(MAX(0,MIN(1,AC10))^2+(1-MAX(0,MIN(1,AC10)))^2/$B$5))-(MAX(0,MIN(1,AB10))^2/(MAX(0,MIN(1,AB10))^2+(1-MAX(0,MIN(1,AB10)))^2/$B$5))))</f>
        <v>0</v>
      </c>
      <c r="AD11" s="16" t="n">
        <f aca="false">IF(ABS(AD10-$B$11/$B$9*((MAX(0,MIN(1,AD10))^2/(MAX(0,MIN(1,AD10))^2+(1-MAX(0,MIN(1,AD10)))^2/$B$5))-(MAX(0,MIN(1,AC10))^2/(MAX(0,MIN(1,AC10))^2+(1-MAX(0,MIN(1,AC10)))^2/$B$5))))&lt;0.000000001,0,AD10-$B$11/$B$9*((MAX(0,MIN(1,AD10))^2/(MAX(0,MIN(1,AD10))^2+(1-MAX(0,MIN(1,AD10)))^2/$B$5))-(MAX(0,MIN(1,AC10))^2/(MAX(0,MIN(1,AC10))^2+(1-MAX(0,MIN(1,AC10)))^2/$B$5))))</f>
        <v>0</v>
      </c>
      <c r="AE11" s="16" t="n">
        <f aca="false">IF(ABS(AE10-$B$11/$B$9*((MAX(0,MIN(1,AE10))^2/(MAX(0,MIN(1,AE10))^2+(1-MAX(0,MIN(1,AE10)))^2/$B$5))-(MAX(0,MIN(1,AD10))^2/(MAX(0,MIN(1,AD10))^2+(1-MAX(0,MIN(1,AD10)))^2/$B$5))))&lt;0.000000001,0,AE10-$B$11/$B$9*((MAX(0,MIN(1,AE10))^2/(MAX(0,MIN(1,AE10))^2+(1-MAX(0,MIN(1,AE10)))^2/$B$5))-(MAX(0,MIN(1,AD10))^2/(MAX(0,MIN(1,AD10))^2+(1-MAX(0,MIN(1,AD10)))^2/$B$5))))</f>
        <v>0</v>
      </c>
      <c r="AF11" s="16" t="n">
        <f aca="false">IF(ABS(AF10-$B$11/$B$9*((MAX(0,MIN(1,AF10))^2/(MAX(0,MIN(1,AF10))^2+(1-MAX(0,MIN(1,AF10)))^2/$B$5))-(MAX(0,MIN(1,AE10))^2/(MAX(0,MIN(1,AE10))^2+(1-MAX(0,MIN(1,AE10)))^2/$B$5))))&lt;0.000000001,0,AF10-$B$11/$B$9*((MAX(0,MIN(1,AF10))^2/(MAX(0,MIN(1,AF10))^2+(1-MAX(0,MIN(1,AF10)))^2/$B$5))-(MAX(0,MIN(1,AE10))^2/(MAX(0,MIN(1,AE10))^2+(1-MAX(0,MIN(1,AE10)))^2/$B$5))))</f>
        <v>0</v>
      </c>
    </row>
    <row r="12" customFormat="false" ht="15" hidden="false" customHeight="false" outlineLevel="0" collapsed="false">
      <c r="A12" s="0" t="n">
        <v>0.07</v>
      </c>
      <c r="B12" s="18" t="n">
        <f aca="false">ROUND(B7/B11,0)</f>
        <v>21</v>
      </c>
      <c r="D12" s="14" t="n">
        <f aca="false">A12</f>
        <v>0.07</v>
      </c>
      <c r="E12" s="14" t="n">
        <f aca="false">(G12-G11)/(A12-A11)</f>
        <v>0.312121895510111</v>
      </c>
      <c r="F12" s="14" t="n">
        <f aca="false">G12/A12</f>
        <v>0.160054875957471</v>
      </c>
      <c r="G12" s="14" t="n">
        <f aca="false">A12^2/(A12^2+(1-A12)^2/$B$5)</f>
        <v>0.011203841317023</v>
      </c>
      <c r="L12" s="0" t="n">
        <v>2</v>
      </c>
      <c r="M12" s="16" t="n">
        <f aca="false">IF(ABS(M11-$B$11/$B$9*((MAX(0,MIN(1,M11))^2/(MAX(0,MIN(1,M11))^2+(1-MAX(0,MIN(1,M11)))^2/$B$5))-(MAX(0,MIN(1,1))^2/(MAX(0,MIN(1,1))^2+(1-MAX(0,MIN(1,1)))^2/$B$5))))&lt;0.000000001,0,M11-$B$11/$B$9*((MAX(0,MIN(1,M11))^2/(MAX(0,MIN(1,M11))^2+(1-MAX(0,MIN(1,M11)))^2/$B$5))-(MAX(0,MIN(1,1))^2/(MAX(0,MIN(1,1))^2+(1-MAX(0,MIN(1,1)))^2/$B$5))))</f>
        <v>0.600475859390325</v>
      </c>
      <c r="N12" s="16" t="n">
        <f aca="false">IF(ABS(N11-$B$11/$B$9*((MAX(0,MIN(1,N11))^2/(MAX(0,MIN(1,N11))^2+(1-MAX(0,MIN(1,N11)))^2/$B$5))-(MAX(0,MIN(1,M11))^2/(MAX(0,MIN(1,M11))^2+(1-MAX(0,MIN(1,M11)))^2/$B$5))))&lt;0.000000001,0,N11-$B$11/$B$9*((MAX(0,MIN(1,N11))^2/(MAX(0,MIN(1,N11))^2+(1-MAX(0,MIN(1,N11)))^2/$B$5))-(MAX(0,MIN(1,M11))^2/(MAX(0,MIN(1,M11))^2+(1-MAX(0,MIN(1,M11)))^2/$B$5))))</f>
        <v>0.168586910879945</v>
      </c>
      <c r="O12" s="16" t="n">
        <f aca="false">IF(ABS(O11-$B$11/$B$9*((MAX(0,MIN(1,O11))^2/(MAX(0,MIN(1,O11))^2+(1-MAX(0,MIN(1,O11)))^2/$B$5))-(MAX(0,MIN(1,N11))^2/(MAX(0,MIN(1,N11))^2+(1-MAX(0,MIN(1,N11)))^2/$B$5))))&lt;0.000000001,0,O11-$B$11/$B$9*((MAX(0,MIN(1,O11))^2/(MAX(0,MIN(1,O11))^2+(1-MAX(0,MIN(1,O11)))^2/$B$5))-(MAX(0,MIN(1,N11))^2/(MAX(0,MIN(1,N11))^2+(1-MAX(0,MIN(1,N11)))^2/$B$5))))</f>
        <v>0</v>
      </c>
      <c r="P12" s="16" t="n">
        <f aca="false">IF(ABS(P11-$B$11/$B$9*((MAX(0,MIN(1,P11))^2/(MAX(0,MIN(1,P11))^2+(1-MAX(0,MIN(1,P11)))^2/$B$5))-(MAX(0,MIN(1,O11))^2/(MAX(0,MIN(1,O11))^2+(1-MAX(0,MIN(1,O11)))^2/$B$5))))&lt;0.000000001,0,P11-$B$11/$B$9*((MAX(0,MIN(1,P11))^2/(MAX(0,MIN(1,P11))^2+(1-MAX(0,MIN(1,P11)))^2/$B$5))-(MAX(0,MIN(1,O11))^2/(MAX(0,MIN(1,O11))^2+(1-MAX(0,MIN(1,O11)))^2/$B$5))))</f>
        <v>0</v>
      </c>
      <c r="Q12" s="16" t="n">
        <f aca="false">IF(ABS(Q11-$B$11/$B$9*((MAX(0,MIN(1,Q11))^2/(MAX(0,MIN(1,Q11))^2+(1-MAX(0,MIN(1,Q11)))^2/$B$5))-(MAX(0,MIN(1,P11))^2/(MAX(0,MIN(1,P11))^2+(1-MAX(0,MIN(1,P11)))^2/$B$5))))&lt;0.000000001,0,Q11-$B$11/$B$9*((MAX(0,MIN(1,Q11))^2/(MAX(0,MIN(1,Q11))^2+(1-MAX(0,MIN(1,Q11)))^2/$B$5))-(MAX(0,MIN(1,P11))^2/(MAX(0,MIN(1,P11))^2+(1-MAX(0,MIN(1,P11)))^2/$B$5))))</f>
        <v>0</v>
      </c>
      <c r="R12" s="16" t="n">
        <f aca="false">IF(ABS(R11-$B$11/$B$9*((MAX(0,MIN(1,R11))^2/(MAX(0,MIN(1,R11))^2+(1-MAX(0,MIN(1,R11)))^2/$B$5))-(MAX(0,MIN(1,Q11))^2/(MAX(0,MIN(1,Q11))^2+(1-MAX(0,MIN(1,Q11)))^2/$B$5))))&lt;0.000000001,0,R11-$B$11/$B$9*((MAX(0,MIN(1,R11))^2/(MAX(0,MIN(1,R11))^2+(1-MAX(0,MIN(1,R11)))^2/$B$5))-(MAX(0,MIN(1,Q11))^2/(MAX(0,MIN(1,Q11))^2+(1-MAX(0,MIN(1,Q11)))^2/$B$5))))</f>
        <v>0</v>
      </c>
      <c r="S12" s="16" t="n">
        <f aca="false">IF(ABS(S11-$B$11/$B$9*((MAX(0,MIN(1,S11))^2/(MAX(0,MIN(1,S11))^2+(1-MAX(0,MIN(1,S11)))^2/$B$5))-(MAX(0,MIN(1,R11))^2/(MAX(0,MIN(1,R11))^2+(1-MAX(0,MIN(1,R11)))^2/$B$5))))&lt;0.000000001,0,S11-$B$11/$B$9*((MAX(0,MIN(1,S11))^2/(MAX(0,MIN(1,S11))^2+(1-MAX(0,MIN(1,S11)))^2/$B$5))-(MAX(0,MIN(1,R11))^2/(MAX(0,MIN(1,R11))^2+(1-MAX(0,MIN(1,R11)))^2/$B$5))))</f>
        <v>0</v>
      </c>
      <c r="T12" s="16" t="n">
        <f aca="false">IF(ABS(T11-$B$11/$B$9*((MAX(0,MIN(1,T11))^2/(MAX(0,MIN(1,T11))^2+(1-MAX(0,MIN(1,T11)))^2/$B$5))-(MAX(0,MIN(1,S11))^2/(MAX(0,MIN(1,S11))^2+(1-MAX(0,MIN(1,S11)))^2/$B$5))))&lt;0.000000001,0,T11-$B$11/$B$9*((MAX(0,MIN(1,T11))^2/(MAX(0,MIN(1,T11))^2+(1-MAX(0,MIN(1,T11)))^2/$B$5))-(MAX(0,MIN(1,S11))^2/(MAX(0,MIN(1,S11))^2+(1-MAX(0,MIN(1,S11)))^2/$B$5))))</f>
        <v>0</v>
      </c>
      <c r="U12" s="16" t="n">
        <f aca="false">IF(ABS(U11-$B$11/$B$9*((MAX(0,MIN(1,U11))^2/(MAX(0,MIN(1,U11))^2+(1-MAX(0,MIN(1,U11)))^2/$B$5))-(MAX(0,MIN(1,T11))^2/(MAX(0,MIN(1,T11))^2+(1-MAX(0,MIN(1,T11)))^2/$B$5))))&lt;0.000000001,0,U11-$B$11/$B$9*((MAX(0,MIN(1,U11))^2/(MAX(0,MIN(1,U11))^2+(1-MAX(0,MIN(1,U11)))^2/$B$5))-(MAX(0,MIN(1,T11))^2/(MAX(0,MIN(1,T11))^2+(1-MAX(0,MIN(1,T11)))^2/$B$5))))</f>
        <v>0</v>
      </c>
      <c r="V12" s="16" t="n">
        <f aca="false">IF(ABS(V11-$B$11/$B$9*((MAX(0,MIN(1,V11))^2/(MAX(0,MIN(1,V11))^2+(1-MAX(0,MIN(1,V11)))^2/$B$5))-(MAX(0,MIN(1,U11))^2/(MAX(0,MIN(1,U11))^2+(1-MAX(0,MIN(1,U11)))^2/$B$5))))&lt;0.000000001,0,V11-$B$11/$B$9*((MAX(0,MIN(1,V11))^2/(MAX(0,MIN(1,V11))^2+(1-MAX(0,MIN(1,V11)))^2/$B$5))-(MAX(0,MIN(1,U11))^2/(MAX(0,MIN(1,U11))^2+(1-MAX(0,MIN(1,U11)))^2/$B$5))))</f>
        <v>0</v>
      </c>
      <c r="W12" s="16" t="n">
        <f aca="false">IF(ABS(W11-$B$11/$B$9*((MAX(0,MIN(1,W11))^2/(MAX(0,MIN(1,W11))^2+(1-MAX(0,MIN(1,W11)))^2/$B$5))-(MAX(0,MIN(1,V11))^2/(MAX(0,MIN(1,V11))^2+(1-MAX(0,MIN(1,V11)))^2/$B$5))))&lt;0.000000001,0,W11-$B$11/$B$9*((MAX(0,MIN(1,W11))^2/(MAX(0,MIN(1,W11))^2+(1-MAX(0,MIN(1,W11)))^2/$B$5))-(MAX(0,MIN(1,V11))^2/(MAX(0,MIN(1,V11))^2+(1-MAX(0,MIN(1,V11)))^2/$B$5))))</f>
        <v>0</v>
      </c>
      <c r="X12" s="16" t="n">
        <f aca="false">IF(ABS(X11-$B$11/$B$9*((MAX(0,MIN(1,X11))^2/(MAX(0,MIN(1,X11))^2+(1-MAX(0,MIN(1,X11)))^2/$B$5))-(MAX(0,MIN(1,W11))^2/(MAX(0,MIN(1,W11))^2+(1-MAX(0,MIN(1,W11)))^2/$B$5))))&lt;0.000000001,0,X11-$B$11/$B$9*((MAX(0,MIN(1,X11))^2/(MAX(0,MIN(1,X11))^2+(1-MAX(0,MIN(1,X11)))^2/$B$5))-(MAX(0,MIN(1,W11))^2/(MAX(0,MIN(1,W11))^2+(1-MAX(0,MIN(1,W11)))^2/$B$5))))</f>
        <v>0</v>
      </c>
      <c r="Y12" s="16" t="n">
        <f aca="false">IF(ABS(Y11-$B$11/$B$9*((MAX(0,MIN(1,Y11))^2/(MAX(0,MIN(1,Y11))^2+(1-MAX(0,MIN(1,Y11)))^2/$B$5))-(MAX(0,MIN(1,X11))^2/(MAX(0,MIN(1,X11))^2+(1-MAX(0,MIN(1,X11)))^2/$B$5))))&lt;0.000000001,0,Y11-$B$11/$B$9*((MAX(0,MIN(1,Y11))^2/(MAX(0,MIN(1,Y11))^2+(1-MAX(0,MIN(1,Y11)))^2/$B$5))-(MAX(0,MIN(1,X11))^2/(MAX(0,MIN(1,X11))^2+(1-MAX(0,MIN(1,X11)))^2/$B$5))))</f>
        <v>0</v>
      </c>
      <c r="Z12" s="16" t="n">
        <f aca="false">IF(ABS(Z11-$B$11/$B$9*((MAX(0,MIN(1,Z11))^2/(MAX(0,MIN(1,Z11))^2+(1-MAX(0,MIN(1,Z11)))^2/$B$5))-(MAX(0,MIN(1,Y11))^2/(MAX(0,MIN(1,Y11))^2+(1-MAX(0,MIN(1,Y11)))^2/$B$5))))&lt;0.000000001,0,Z11-$B$11/$B$9*((MAX(0,MIN(1,Z11))^2/(MAX(0,MIN(1,Z11))^2+(1-MAX(0,MIN(1,Z11)))^2/$B$5))-(MAX(0,MIN(1,Y11))^2/(MAX(0,MIN(1,Y11))^2+(1-MAX(0,MIN(1,Y11)))^2/$B$5))))</f>
        <v>0</v>
      </c>
      <c r="AA12" s="16" t="n">
        <f aca="false">IF(ABS(AA11-$B$11/$B$9*((MAX(0,MIN(1,AA11))^2/(MAX(0,MIN(1,AA11))^2+(1-MAX(0,MIN(1,AA11)))^2/$B$5))-(MAX(0,MIN(1,Z11))^2/(MAX(0,MIN(1,Z11))^2+(1-MAX(0,MIN(1,Z11)))^2/$B$5))))&lt;0.000000001,0,AA11-$B$11/$B$9*((MAX(0,MIN(1,AA11))^2/(MAX(0,MIN(1,AA11))^2+(1-MAX(0,MIN(1,AA11)))^2/$B$5))-(MAX(0,MIN(1,Z11))^2/(MAX(0,MIN(1,Z11))^2+(1-MAX(0,MIN(1,Z11)))^2/$B$5))))</f>
        <v>0</v>
      </c>
      <c r="AB12" s="16" t="n">
        <f aca="false">IF(ABS(AB11-$B$11/$B$9*((MAX(0,MIN(1,AB11))^2/(MAX(0,MIN(1,AB11))^2+(1-MAX(0,MIN(1,AB11)))^2/$B$5))-(MAX(0,MIN(1,AA11))^2/(MAX(0,MIN(1,AA11))^2+(1-MAX(0,MIN(1,AA11)))^2/$B$5))))&lt;0.000000001,0,AB11-$B$11/$B$9*((MAX(0,MIN(1,AB11))^2/(MAX(0,MIN(1,AB11))^2+(1-MAX(0,MIN(1,AB11)))^2/$B$5))-(MAX(0,MIN(1,AA11))^2/(MAX(0,MIN(1,AA11))^2+(1-MAX(0,MIN(1,AA11)))^2/$B$5))))</f>
        <v>0</v>
      </c>
      <c r="AC12" s="16" t="n">
        <f aca="false">IF(ABS(AC11-$B$11/$B$9*((MAX(0,MIN(1,AC11))^2/(MAX(0,MIN(1,AC11))^2+(1-MAX(0,MIN(1,AC11)))^2/$B$5))-(MAX(0,MIN(1,AB11))^2/(MAX(0,MIN(1,AB11))^2+(1-MAX(0,MIN(1,AB11)))^2/$B$5))))&lt;0.000000001,0,AC11-$B$11/$B$9*((MAX(0,MIN(1,AC11))^2/(MAX(0,MIN(1,AC11))^2+(1-MAX(0,MIN(1,AC11)))^2/$B$5))-(MAX(0,MIN(1,AB11))^2/(MAX(0,MIN(1,AB11))^2+(1-MAX(0,MIN(1,AB11)))^2/$B$5))))</f>
        <v>0</v>
      </c>
      <c r="AD12" s="16" t="n">
        <f aca="false">IF(ABS(AD11-$B$11/$B$9*((MAX(0,MIN(1,AD11))^2/(MAX(0,MIN(1,AD11))^2+(1-MAX(0,MIN(1,AD11)))^2/$B$5))-(MAX(0,MIN(1,AC11))^2/(MAX(0,MIN(1,AC11))^2+(1-MAX(0,MIN(1,AC11)))^2/$B$5))))&lt;0.000000001,0,AD11-$B$11/$B$9*((MAX(0,MIN(1,AD11))^2/(MAX(0,MIN(1,AD11))^2+(1-MAX(0,MIN(1,AD11)))^2/$B$5))-(MAX(0,MIN(1,AC11))^2/(MAX(0,MIN(1,AC11))^2+(1-MAX(0,MIN(1,AC11)))^2/$B$5))))</f>
        <v>0</v>
      </c>
      <c r="AE12" s="16" t="n">
        <f aca="false">IF(ABS(AE11-$B$11/$B$9*((MAX(0,MIN(1,AE11))^2/(MAX(0,MIN(1,AE11))^2+(1-MAX(0,MIN(1,AE11)))^2/$B$5))-(MAX(0,MIN(1,AD11))^2/(MAX(0,MIN(1,AD11))^2+(1-MAX(0,MIN(1,AD11)))^2/$B$5))))&lt;0.000000001,0,AE11-$B$11/$B$9*((MAX(0,MIN(1,AE11))^2/(MAX(0,MIN(1,AE11))^2+(1-MAX(0,MIN(1,AE11)))^2/$B$5))-(MAX(0,MIN(1,AD11))^2/(MAX(0,MIN(1,AD11))^2+(1-MAX(0,MIN(1,AD11)))^2/$B$5))))</f>
        <v>0</v>
      </c>
      <c r="AF12" s="16" t="n">
        <f aca="false">IF(ABS(AF11-$B$11/$B$9*((MAX(0,MIN(1,AF11))^2/(MAX(0,MIN(1,AF11))^2+(1-MAX(0,MIN(1,AF11)))^2/$B$5))-(MAX(0,MIN(1,AE11))^2/(MAX(0,MIN(1,AE11))^2+(1-MAX(0,MIN(1,AE11)))^2/$B$5))))&lt;0.000000001,0,AF11-$B$11/$B$9*((MAX(0,MIN(1,AF11))^2/(MAX(0,MIN(1,AF11))^2+(1-MAX(0,MIN(1,AF11)))^2/$B$5))-(MAX(0,MIN(1,AE11))^2/(MAX(0,MIN(1,AE11))^2+(1-MAX(0,MIN(1,AE11)))^2/$B$5))))</f>
        <v>0</v>
      </c>
    </row>
    <row r="13" customFormat="false" ht="15" hidden="false" customHeight="false" outlineLevel="0" collapsed="false">
      <c r="A13" s="0" t="n">
        <v>0.08</v>
      </c>
      <c r="B13" s="8" t="n">
        <f aca="false">INDEX(A6:A105,MATCH(MAX(F6:F105),F6:F105,0))</f>
        <v>0.58</v>
      </c>
      <c r="D13" s="14" t="n">
        <f aca="false">A13</f>
        <v>0.08</v>
      </c>
      <c r="E13" s="14" t="n">
        <f aca="false">(G13-G12)/(A13-A12)</f>
        <v>0.369373782636622</v>
      </c>
      <c r="F13" s="14" t="n">
        <f aca="false">G13/A13</f>
        <v>0.186219739292365</v>
      </c>
      <c r="G13" s="14" t="n">
        <f aca="false">A13^2/(A13^2+(1-A13)^2/$B$5)</f>
        <v>0.0148975791433892</v>
      </c>
      <c r="L13" s="0" t="n">
        <v>3</v>
      </c>
      <c r="M13" s="16" t="n">
        <f aca="false">IF(ABS(M12-$B$11/$B$9*((MAX(0,MIN(1,M12))^2/(MAX(0,MIN(1,M12))^2+(1-MAX(0,MIN(1,M12)))^2/$B$5))-(MAX(0,MIN(1,1))^2/(MAX(0,MIN(1,1))^2+(1-MAX(0,MIN(1,1)))^2/$B$5))))&lt;0.000000001,0,M12-$B$11/$B$9*((MAX(0,MIN(1,M12))^2/(MAX(0,MIN(1,M12))^2+(1-MAX(0,MIN(1,M12)))^2/$B$5))-(MAX(0,MIN(1,1))^2/(MAX(0,MIN(1,1))^2+(1-MAX(0,MIN(1,1)))^2/$B$5))))</f>
        <v>0.670164059621174</v>
      </c>
      <c r="N13" s="16" t="n">
        <f aca="false">IF(ABS(N12-$B$11/$B$9*((MAX(0,MIN(1,N12))^2/(MAX(0,MIN(1,N12))^2+(1-MAX(0,MIN(1,N12)))^2/$B$5))-(MAX(0,MIN(1,M12))^2/(MAX(0,MIN(1,M12))^2+(1-MAX(0,MIN(1,M12)))^2/$B$5))))&lt;0.000000001,0,N12-$B$11/$B$9*((MAX(0,MIN(1,N12))^2/(MAX(0,MIN(1,N12))^2+(1-MAX(0,MIN(1,N12)))^2/$B$5))-(MAX(0,MIN(1,M12))^2/(MAX(0,MIN(1,M12))^2+(1-MAX(0,MIN(1,M12)))^2/$B$5))))</f>
        <v>0.45421178059846</v>
      </c>
      <c r="O13" s="16" t="n">
        <f aca="false">IF(ABS(O12-$B$11/$B$9*((MAX(0,MIN(1,O12))^2/(MAX(0,MIN(1,O12))^2+(1-MAX(0,MIN(1,O12)))^2/$B$5))-(MAX(0,MIN(1,N12))^2/(MAX(0,MIN(1,N12))^2+(1-MAX(0,MIN(1,N12)))^2/$B$5))))&lt;0.000000001,0,O12-$B$11/$B$9*((MAX(0,MIN(1,O12))^2/(MAX(0,MIN(1,O12))^2+(1-MAX(0,MIN(1,O12)))^2/$B$5))-(MAX(0,MIN(1,N12))^2/(MAX(0,MIN(1,N12))^2+(1-MAX(0,MIN(1,N12)))^2/$B$5))))</f>
        <v>0.029218315185772</v>
      </c>
      <c r="P13" s="16" t="n">
        <f aca="false">IF(ABS(P12-$B$11/$B$9*((MAX(0,MIN(1,P12))^2/(MAX(0,MIN(1,P12))^2+(1-MAX(0,MIN(1,P12)))^2/$B$5))-(MAX(0,MIN(1,O12))^2/(MAX(0,MIN(1,O12))^2+(1-MAX(0,MIN(1,O12)))^2/$B$5))))&lt;0.000000001,0,P12-$B$11/$B$9*((MAX(0,MIN(1,P12))^2/(MAX(0,MIN(1,P12))^2+(1-MAX(0,MIN(1,P12)))^2/$B$5))-(MAX(0,MIN(1,O12))^2/(MAX(0,MIN(1,O12))^2+(1-MAX(0,MIN(1,O12)))^2/$B$5))))</f>
        <v>0</v>
      </c>
      <c r="Q13" s="16" t="n">
        <f aca="false">IF(ABS(Q12-$B$11/$B$9*((MAX(0,MIN(1,Q12))^2/(MAX(0,MIN(1,Q12))^2+(1-MAX(0,MIN(1,Q12)))^2/$B$5))-(MAX(0,MIN(1,P12))^2/(MAX(0,MIN(1,P12))^2+(1-MAX(0,MIN(1,P12)))^2/$B$5))))&lt;0.000000001,0,Q12-$B$11/$B$9*((MAX(0,MIN(1,Q12))^2/(MAX(0,MIN(1,Q12))^2+(1-MAX(0,MIN(1,Q12)))^2/$B$5))-(MAX(0,MIN(1,P12))^2/(MAX(0,MIN(1,P12))^2+(1-MAX(0,MIN(1,P12)))^2/$B$5))))</f>
        <v>0</v>
      </c>
      <c r="R13" s="16" t="n">
        <f aca="false">IF(ABS(R12-$B$11/$B$9*((MAX(0,MIN(1,R12))^2/(MAX(0,MIN(1,R12))^2+(1-MAX(0,MIN(1,R12)))^2/$B$5))-(MAX(0,MIN(1,Q12))^2/(MAX(0,MIN(1,Q12))^2+(1-MAX(0,MIN(1,Q12)))^2/$B$5))))&lt;0.000000001,0,R12-$B$11/$B$9*((MAX(0,MIN(1,R12))^2/(MAX(0,MIN(1,R12))^2+(1-MAX(0,MIN(1,R12)))^2/$B$5))-(MAX(0,MIN(1,Q12))^2/(MAX(0,MIN(1,Q12))^2+(1-MAX(0,MIN(1,Q12)))^2/$B$5))))</f>
        <v>0</v>
      </c>
      <c r="S13" s="16" t="n">
        <f aca="false">IF(ABS(S12-$B$11/$B$9*((MAX(0,MIN(1,S12))^2/(MAX(0,MIN(1,S12))^2+(1-MAX(0,MIN(1,S12)))^2/$B$5))-(MAX(0,MIN(1,R12))^2/(MAX(0,MIN(1,R12))^2+(1-MAX(0,MIN(1,R12)))^2/$B$5))))&lt;0.000000001,0,S12-$B$11/$B$9*((MAX(0,MIN(1,S12))^2/(MAX(0,MIN(1,S12))^2+(1-MAX(0,MIN(1,S12)))^2/$B$5))-(MAX(0,MIN(1,R12))^2/(MAX(0,MIN(1,R12))^2+(1-MAX(0,MIN(1,R12)))^2/$B$5))))</f>
        <v>0</v>
      </c>
      <c r="T13" s="16" t="n">
        <f aca="false">IF(ABS(T12-$B$11/$B$9*((MAX(0,MIN(1,T12))^2/(MAX(0,MIN(1,T12))^2+(1-MAX(0,MIN(1,T12)))^2/$B$5))-(MAX(0,MIN(1,S12))^2/(MAX(0,MIN(1,S12))^2+(1-MAX(0,MIN(1,S12)))^2/$B$5))))&lt;0.000000001,0,T12-$B$11/$B$9*((MAX(0,MIN(1,T12))^2/(MAX(0,MIN(1,T12))^2+(1-MAX(0,MIN(1,T12)))^2/$B$5))-(MAX(0,MIN(1,S12))^2/(MAX(0,MIN(1,S12))^2+(1-MAX(0,MIN(1,S12)))^2/$B$5))))</f>
        <v>0</v>
      </c>
      <c r="U13" s="16" t="n">
        <f aca="false">IF(ABS(U12-$B$11/$B$9*((MAX(0,MIN(1,U12))^2/(MAX(0,MIN(1,U12))^2+(1-MAX(0,MIN(1,U12)))^2/$B$5))-(MAX(0,MIN(1,T12))^2/(MAX(0,MIN(1,T12))^2+(1-MAX(0,MIN(1,T12)))^2/$B$5))))&lt;0.000000001,0,U12-$B$11/$B$9*((MAX(0,MIN(1,U12))^2/(MAX(0,MIN(1,U12))^2+(1-MAX(0,MIN(1,U12)))^2/$B$5))-(MAX(0,MIN(1,T12))^2/(MAX(0,MIN(1,T12))^2+(1-MAX(0,MIN(1,T12)))^2/$B$5))))</f>
        <v>0</v>
      </c>
      <c r="V13" s="16" t="n">
        <f aca="false">IF(ABS(V12-$B$11/$B$9*((MAX(0,MIN(1,V12))^2/(MAX(0,MIN(1,V12))^2+(1-MAX(0,MIN(1,V12)))^2/$B$5))-(MAX(0,MIN(1,U12))^2/(MAX(0,MIN(1,U12))^2+(1-MAX(0,MIN(1,U12)))^2/$B$5))))&lt;0.000000001,0,V12-$B$11/$B$9*((MAX(0,MIN(1,V12))^2/(MAX(0,MIN(1,V12))^2+(1-MAX(0,MIN(1,V12)))^2/$B$5))-(MAX(0,MIN(1,U12))^2/(MAX(0,MIN(1,U12))^2+(1-MAX(0,MIN(1,U12)))^2/$B$5))))</f>
        <v>0</v>
      </c>
      <c r="W13" s="16" t="n">
        <f aca="false">IF(ABS(W12-$B$11/$B$9*((MAX(0,MIN(1,W12))^2/(MAX(0,MIN(1,W12))^2+(1-MAX(0,MIN(1,W12)))^2/$B$5))-(MAX(0,MIN(1,V12))^2/(MAX(0,MIN(1,V12))^2+(1-MAX(0,MIN(1,V12)))^2/$B$5))))&lt;0.000000001,0,W12-$B$11/$B$9*((MAX(0,MIN(1,W12))^2/(MAX(0,MIN(1,W12))^2+(1-MAX(0,MIN(1,W12)))^2/$B$5))-(MAX(0,MIN(1,V12))^2/(MAX(0,MIN(1,V12))^2+(1-MAX(0,MIN(1,V12)))^2/$B$5))))</f>
        <v>0</v>
      </c>
      <c r="X13" s="16" t="n">
        <f aca="false">IF(ABS(X12-$B$11/$B$9*((MAX(0,MIN(1,X12))^2/(MAX(0,MIN(1,X12))^2+(1-MAX(0,MIN(1,X12)))^2/$B$5))-(MAX(0,MIN(1,W12))^2/(MAX(0,MIN(1,W12))^2+(1-MAX(0,MIN(1,W12)))^2/$B$5))))&lt;0.000000001,0,X12-$B$11/$B$9*((MAX(0,MIN(1,X12))^2/(MAX(0,MIN(1,X12))^2+(1-MAX(0,MIN(1,X12)))^2/$B$5))-(MAX(0,MIN(1,W12))^2/(MAX(0,MIN(1,W12))^2+(1-MAX(0,MIN(1,W12)))^2/$B$5))))</f>
        <v>0</v>
      </c>
      <c r="Y13" s="16" t="n">
        <f aca="false">IF(ABS(Y12-$B$11/$B$9*((MAX(0,MIN(1,Y12))^2/(MAX(0,MIN(1,Y12))^2+(1-MAX(0,MIN(1,Y12)))^2/$B$5))-(MAX(0,MIN(1,X12))^2/(MAX(0,MIN(1,X12))^2+(1-MAX(0,MIN(1,X12)))^2/$B$5))))&lt;0.000000001,0,Y12-$B$11/$B$9*((MAX(0,MIN(1,Y12))^2/(MAX(0,MIN(1,Y12))^2+(1-MAX(0,MIN(1,Y12)))^2/$B$5))-(MAX(0,MIN(1,X12))^2/(MAX(0,MIN(1,X12))^2+(1-MAX(0,MIN(1,X12)))^2/$B$5))))</f>
        <v>0</v>
      </c>
      <c r="Z13" s="16" t="n">
        <f aca="false">IF(ABS(Z12-$B$11/$B$9*((MAX(0,MIN(1,Z12))^2/(MAX(0,MIN(1,Z12))^2+(1-MAX(0,MIN(1,Z12)))^2/$B$5))-(MAX(0,MIN(1,Y12))^2/(MAX(0,MIN(1,Y12))^2+(1-MAX(0,MIN(1,Y12)))^2/$B$5))))&lt;0.000000001,0,Z12-$B$11/$B$9*((MAX(0,MIN(1,Z12))^2/(MAX(0,MIN(1,Z12))^2+(1-MAX(0,MIN(1,Z12)))^2/$B$5))-(MAX(0,MIN(1,Y12))^2/(MAX(0,MIN(1,Y12))^2+(1-MAX(0,MIN(1,Y12)))^2/$B$5))))</f>
        <v>0</v>
      </c>
      <c r="AA13" s="16" t="n">
        <f aca="false">IF(ABS(AA12-$B$11/$B$9*((MAX(0,MIN(1,AA12))^2/(MAX(0,MIN(1,AA12))^2+(1-MAX(0,MIN(1,AA12)))^2/$B$5))-(MAX(0,MIN(1,Z12))^2/(MAX(0,MIN(1,Z12))^2+(1-MAX(0,MIN(1,Z12)))^2/$B$5))))&lt;0.000000001,0,AA12-$B$11/$B$9*((MAX(0,MIN(1,AA12))^2/(MAX(0,MIN(1,AA12))^2+(1-MAX(0,MIN(1,AA12)))^2/$B$5))-(MAX(0,MIN(1,Z12))^2/(MAX(0,MIN(1,Z12))^2+(1-MAX(0,MIN(1,Z12)))^2/$B$5))))</f>
        <v>0</v>
      </c>
      <c r="AB13" s="16" t="n">
        <f aca="false">IF(ABS(AB12-$B$11/$B$9*((MAX(0,MIN(1,AB12))^2/(MAX(0,MIN(1,AB12))^2+(1-MAX(0,MIN(1,AB12)))^2/$B$5))-(MAX(0,MIN(1,AA12))^2/(MAX(0,MIN(1,AA12))^2+(1-MAX(0,MIN(1,AA12)))^2/$B$5))))&lt;0.000000001,0,AB12-$B$11/$B$9*((MAX(0,MIN(1,AB12))^2/(MAX(0,MIN(1,AB12))^2+(1-MAX(0,MIN(1,AB12)))^2/$B$5))-(MAX(0,MIN(1,AA12))^2/(MAX(0,MIN(1,AA12))^2+(1-MAX(0,MIN(1,AA12)))^2/$B$5))))</f>
        <v>0</v>
      </c>
      <c r="AC13" s="16" t="n">
        <f aca="false">IF(ABS(AC12-$B$11/$B$9*((MAX(0,MIN(1,AC12))^2/(MAX(0,MIN(1,AC12))^2+(1-MAX(0,MIN(1,AC12)))^2/$B$5))-(MAX(0,MIN(1,AB12))^2/(MAX(0,MIN(1,AB12))^2+(1-MAX(0,MIN(1,AB12)))^2/$B$5))))&lt;0.000000001,0,AC12-$B$11/$B$9*((MAX(0,MIN(1,AC12))^2/(MAX(0,MIN(1,AC12))^2+(1-MAX(0,MIN(1,AC12)))^2/$B$5))-(MAX(0,MIN(1,AB12))^2/(MAX(0,MIN(1,AB12))^2+(1-MAX(0,MIN(1,AB12)))^2/$B$5))))</f>
        <v>0</v>
      </c>
      <c r="AD13" s="16" t="n">
        <f aca="false">IF(ABS(AD12-$B$11/$B$9*((MAX(0,MIN(1,AD12))^2/(MAX(0,MIN(1,AD12))^2+(1-MAX(0,MIN(1,AD12)))^2/$B$5))-(MAX(0,MIN(1,AC12))^2/(MAX(0,MIN(1,AC12))^2+(1-MAX(0,MIN(1,AC12)))^2/$B$5))))&lt;0.000000001,0,AD12-$B$11/$B$9*((MAX(0,MIN(1,AD12))^2/(MAX(0,MIN(1,AD12))^2+(1-MAX(0,MIN(1,AD12)))^2/$B$5))-(MAX(0,MIN(1,AC12))^2/(MAX(0,MIN(1,AC12))^2+(1-MAX(0,MIN(1,AC12)))^2/$B$5))))</f>
        <v>0</v>
      </c>
      <c r="AE13" s="16" t="n">
        <f aca="false">IF(ABS(AE12-$B$11/$B$9*((MAX(0,MIN(1,AE12))^2/(MAX(0,MIN(1,AE12))^2+(1-MAX(0,MIN(1,AE12)))^2/$B$5))-(MAX(0,MIN(1,AD12))^2/(MAX(0,MIN(1,AD12))^2+(1-MAX(0,MIN(1,AD12)))^2/$B$5))))&lt;0.000000001,0,AE12-$B$11/$B$9*((MAX(0,MIN(1,AE12))^2/(MAX(0,MIN(1,AE12))^2+(1-MAX(0,MIN(1,AE12)))^2/$B$5))-(MAX(0,MIN(1,AD12))^2/(MAX(0,MIN(1,AD12))^2+(1-MAX(0,MIN(1,AD12)))^2/$B$5))))</f>
        <v>0</v>
      </c>
      <c r="AF13" s="16" t="n">
        <f aca="false">IF(ABS(AF12-$B$11/$B$9*((MAX(0,MIN(1,AF12))^2/(MAX(0,MIN(1,AF12))^2+(1-MAX(0,MIN(1,AF12)))^2/$B$5))-(MAX(0,MIN(1,AE12))^2/(MAX(0,MIN(1,AE12))^2+(1-MAX(0,MIN(1,AE12)))^2/$B$5))))&lt;0.000000001,0,AF12-$B$11/$B$9*((MAX(0,MIN(1,AF12))^2/(MAX(0,MIN(1,AF12))^2+(1-MAX(0,MIN(1,AF12)))^2/$B$5))-(MAX(0,MIN(1,AE12))^2/(MAX(0,MIN(1,AE12))^2+(1-MAX(0,MIN(1,AE12)))^2/$B$5))))</f>
        <v>0</v>
      </c>
    </row>
    <row r="14" customFormat="false" ht="15" hidden="false" customHeight="false" outlineLevel="0" collapsed="false">
      <c r="A14" s="0" t="n">
        <v>0.09</v>
      </c>
      <c r="B14" s="9" t="n">
        <f aca="false">MIN(1,B7*MAX(F6:F105))</f>
        <v>0.546396608572774</v>
      </c>
      <c r="D14" s="14" t="n">
        <f aca="false">A14</f>
        <v>0.09</v>
      </c>
      <c r="E14" s="14" t="n">
        <f aca="false">(G14-G13)/(A14-A13)</f>
        <v>0.428991345402878</v>
      </c>
      <c r="F14" s="14" t="n">
        <f aca="false">G14/A14</f>
        <v>0.213194362193533</v>
      </c>
      <c r="G14" s="14" t="n">
        <f aca="false">A14^2/(A14^2+(1-A14)^2/$B$5)</f>
        <v>0.019187492597418</v>
      </c>
      <c r="L14" s="0" t="n">
        <v>4</v>
      </c>
      <c r="M14" s="16" t="n">
        <f aca="false">IF(ABS(M13-$B$11/$B$9*((MAX(0,MIN(1,M13))^2/(MAX(0,MIN(1,M13))^2+(1-MAX(0,MIN(1,M13)))^2/$B$5))-(MAX(0,MIN(1,1))^2/(MAX(0,MIN(1,1))^2+(1-MAX(0,MIN(1,1)))^2/$B$5))))&lt;0.000000001,0,M13-$B$11/$B$9*((MAX(0,MIN(1,M13))^2/(MAX(0,MIN(1,M13))^2+(1-MAX(0,MIN(1,M13)))^2/$B$5))-(MAX(0,MIN(1,1))^2/(MAX(0,MIN(1,1))^2+(1-MAX(0,MIN(1,1)))^2/$B$5))))</f>
        <v>0.711705801030873</v>
      </c>
      <c r="N14" s="16" t="n">
        <f aca="false">IF(ABS(N13-$B$11/$B$9*((MAX(0,MIN(1,N13))^2/(MAX(0,MIN(1,N13))^2+(1-MAX(0,MIN(1,N13)))^2/$B$5))-(MAX(0,MIN(1,M13))^2/(MAX(0,MIN(1,M13))^2+(1-MAX(0,MIN(1,M13)))^2/$B$5))))&lt;0.000000001,0,N13-$B$11/$B$9*((MAX(0,MIN(1,N13))^2/(MAX(0,MIN(1,N13))^2+(1-MAX(0,MIN(1,N13)))^2/$B$5))-(MAX(0,MIN(1,M13))^2/(MAX(0,MIN(1,M13))^2+(1-MAX(0,MIN(1,M13)))^2/$B$5))))</f>
        <v>0.573888633496471</v>
      </c>
      <c r="O14" s="16" t="n">
        <f aca="false">IF(ABS(O13-$B$11/$B$9*((MAX(0,MIN(1,O13))^2/(MAX(0,MIN(1,O13))^2+(1-MAX(0,MIN(1,O13)))^2/$B$5))-(MAX(0,MIN(1,N13))^2/(MAX(0,MIN(1,N13))^2+(1-MAX(0,MIN(1,N13)))^2/$B$5))))&lt;0.000000001,0,O13-$B$11/$B$9*((MAX(0,MIN(1,O13))^2/(MAX(0,MIN(1,O13))^2+(1-MAX(0,MIN(1,O13)))^2/$B$5))-(MAX(0,MIN(1,N13))^2/(MAX(0,MIN(1,N13))^2+(1-MAX(0,MIN(1,N13)))^2/$B$5))))</f>
        <v>0.251835692925614</v>
      </c>
      <c r="P14" s="16" t="n">
        <f aca="false">IF(ABS(P13-$B$11/$B$9*((MAX(0,MIN(1,P13))^2/(MAX(0,MIN(1,P13))^2+(1-MAX(0,MIN(1,P13)))^2/$B$5))-(MAX(0,MIN(1,O13))^2/(MAX(0,MIN(1,O13))^2+(1-MAX(0,MIN(1,O13)))^2/$B$5))))&lt;0.000000001,0,P13-$B$11/$B$9*((MAX(0,MIN(1,P13))^2/(MAX(0,MIN(1,P13))^2+(1-MAX(0,MIN(1,P13)))^2/$B$5))-(MAX(0,MIN(1,O13))^2/(MAX(0,MIN(1,O13))^2+(1-MAX(0,MIN(1,O13)))^2/$B$5))))</f>
        <v>0.000695413087582748</v>
      </c>
      <c r="Q14" s="16" t="n">
        <f aca="false">IF(ABS(Q13-$B$11/$B$9*((MAX(0,MIN(1,Q13))^2/(MAX(0,MIN(1,Q13))^2+(1-MAX(0,MIN(1,Q13)))^2/$B$5))-(MAX(0,MIN(1,P13))^2/(MAX(0,MIN(1,P13))^2+(1-MAX(0,MIN(1,P13)))^2/$B$5))))&lt;0.000000001,0,Q13-$B$11/$B$9*((MAX(0,MIN(1,Q13))^2/(MAX(0,MIN(1,Q13))^2+(1-MAX(0,MIN(1,Q13)))^2/$B$5))-(MAX(0,MIN(1,P13))^2/(MAX(0,MIN(1,P13))^2+(1-MAX(0,MIN(1,P13)))^2/$B$5))))</f>
        <v>0</v>
      </c>
      <c r="R14" s="16" t="n">
        <f aca="false">IF(ABS(R13-$B$11/$B$9*((MAX(0,MIN(1,R13))^2/(MAX(0,MIN(1,R13))^2+(1-MAX(0,MIN(1,R13)))^2/$B$5))-(MAX(0,MIN(1,Q13))^2/(MAX(0,MIN(1,Q13))^2+(1-MAX(0,MIN(1,Q13)))^2/$B$5))))&lt;0.000000001,0,R13-$B$11/$B$9*((MAX(0,MIN(1,R13))^2/(MAX(0,MIN(1,R13))^2+(1-MAX(0,MIN(1,R13)))^2/$B$5))-(MAX(0,MIN(1,Q13))^2/(MAX(0,MIN(1,Q13))^2+(1-MAX(0,MIN(1,Q13)))^2/$B$5))))</f>
        <v>0</v>
      </c>
      <c r="S14" s="16" t="n">
        <f aca="false">IF(ABS(S13-$B$11/$B$9*((MAX(0,MIN(1,S13))^2/(MAX(0,MIN(1,S13))^2+(1-MAX(0,MIN(1,S13)))^2/$B$5))-(MAX(0,MIN(1,R13))^2/(MAX(0,MIN(1,R13))^2+(1-MAX(0,MIN(1,R13)))^2/$B$5))))&lt;0.000000001,0,S13-$B$11/$B$9*((MAX(0,MIN(1,S13))^2/(MAX(0,MIN(1,S13))^2+(1-MAX(0,MIN(1,S13)))^2/$B$5))-(MAX(0,MIN(1,R13))^2/(MAX(0,MIN(1,R13))^2+(1-MAX(0,MIN(1,R13)))^2/$B$5))))</f>
        <v>0</v>
      </c>
      <c r="T14" s="16" t="n">
        <f aca="false">IF(ABS(T13-$B$11/$B$9*((MAX(0,MIN(1,T13))^2/(MAX(0,MIN(1,T13))^2+(1-MAX(0,MIN(1,T13)))^2/$B$5))-(MAX(0,MIN(1,S13))^2/(MAX(0,MIN(1,S13))^2+(1-MAX(0,MIN(1,S13)))^2/$B$5))))&lt;0.000000001,0,T13-$B$11/$B$9*((MAX(0,MIN(1,T13))^2/(MAX(0,MIN(1,T13))^2+(1-MAX(0,MIN(1,T13)))^2/$B$5))-(MAX(0,MIN(1,S13))^2/(MAX(0,MIN(1,S13))^2+(1-MAX(0,MIN(1,S13)))^2/$B$5))))</f>
        <v>0</v>
      </c>
      <c r="U14" s="16" t="n">
        <f aca="false">IF(ABS(U13-$B$11/$B$9*((MAX(0,MIN(1,U13))^2/(MAX(0,MIN(1,U13))^2+(1-MAX(0,MIN(1,U13)))^2/$B$5))-(MAX(0,MIN(1,T13))^2/(MAX(0,MIN(1,T13))^2+(1-MAX(0,MIN(1,T13)))^2/$B$5))))&lt;0.000000001,0,U13-$B$11/$B$9*((MAX(0,MIN(1,U13))^2/(MAX(0,MIN(1,U13))^2+(1-MAX(0,MIN(1,U13)))^2/$B$5))-(MAX(0,MIN(1,T13))^2/(MAX(0,MIN(1,T13))^2+(1-MAX(0,MIN(1,T13)))^2/$B$5))))</f>
        <v>0</v>
      </c>
      <c r="V14" s="16" t="n">
        <f aca="false">IF(ABS(V13-$B$11/$B$9*((MAX(0,MIN(1,V13))^2/(MAX(0,MIN(1,V13))^2+(1-MAX(0,MIN(1,V13)))^2/$B$5))-(MAX(0,MIN(1,U13))^2/(MAX(0,MIN(1,U13))^2+(1-MAX(0,MIN(1,U13)))^2/$B$5))))&lt;0.000000001,0,V13-$B$11/$B$9*((MAX(0,MIN(1,V13))^2/(MAX(0,MIN(1,V13))^2+(1-MAX(0,MIN(1,V13)))^2/$B$5))-(MAX(0,MIN(1,U13))^2/(MAX(0,MIN(1,U13))^2+(1-MAX(0,MIN(1,U13)))^2/$B$5))))</f>
        <v>0</v>
      </c>
      <c r="W14" s="16" t="n">
        <f aca="false">IF(ABS(W13-$B$11/$B$9*((MAX(0,MIN(1,W13))^2/(MAX(0,MIN(1,W13))^2+(1-MAX(0,MIN(1,W13)))^2/$B$5))-(MAX(0,MIN(1,V13))^2/(MAX(0,MIN(1,V13))^2+(1-MAX(0,MIN(1,V13)))^2/$B$5))))&lt;0.000000001,0,W13-$B$11/$B$9*((MAX(0,MIN(1,W13))^2/(MAX(0,MIN(1,W13))^2+(1-MAX(0,MIN(1,W13)))^2/$B$5))-(MAX(0,MIN(1,V13))^2/(MAX(0,MIN(1,V13))^2+(1-MAX(0,MIN(1,V13)))^2/$B$5))))</f>
        <v>0</v>
      </c>
      <c r="X14" s="16" t="n">
        <f aca="false">IF(ABS(X13-$B$11/$B$9*((MAX(0,MIN(1,X13))^2/(MAX(0,MIN(1,X13))^2+(1-MAX(0,MIN(1,X13)))^2/$B$5))-(MAX(0,MIN(1,W13))^2/(MAX(0,MIN(1,W13))^2+(1-MAX(0,MIN(1,W13)))^2/$B$5))))&lt;0.000000001,0,X13-$B$11/$B$9*((MAX(0,MIN(1,X13))^2/(MAX(0,MIN(1,X13))^2+(1-MAX(0,MIN(1,X13)))^2/$B$5))-(MAX(0,MIN(1,W13))^2/(MAX(0,MIN(1,W13))^2+(1-MAX(0,MIN(1,W13)))^2/$B$5))))</f>
        <v>0</v>
      </c>
      <c r="Y14" s="16" t="n">
        <f aca="false">IF(ABS(Y13-$B$11/$B$9*((MAX(0,MIN(1,Y13))^2/(MAX(0,MIN(1,Y13))^2+(1-MAX(0,MIN(1,Y13)))^2/$B$5))-(MAX(0,MIN(1,X13))^2/(MAX(0,MIN(1,X13))^2+(1-MAX(0,MIN(1,X13)))^2/$B$5))))&lt;0.000000001,0,Y13-$B$11/$B$9*((MAX(0,MIN(1,Y13))^2/(MAX(0,MIN(1,Y13))^2+(1-MAX(0,MIN(1,Y13)))^2/$B$5))-(MAX(0,MIN(1,X13))^2/(MAX(0,MIN(1,X13))^2+(1-MAX(0,MIN(1,X13)))^2/$B$5))))</f>
        <v>0</v>
      </c>
      <c r="Z14" s="16" t="n">
        <f aca="false">IF(ABS(Z13-$B$11/$B$9*((MAX(0,MIN(1,Z13))^2/(MAX(0,MIN(1,Z13))^2+(1-MAX(0,MIN(1,Z13)))^2/$B$5))-(MAX(0,MIN(1,Y13))^2/(MAX(0,MIN(1,Y13))^2+(1-MAX(0,MIN(1,Y13)))^2/$B$5))))&lt;0.000000001,0,Z13-$B$11/$B$9*((MAX(0,MIN(1,Z13))^2/(MAX(0,MIN(1,Z13))^2+(1-MAX(0,MIN(1,Z13)))^2/$B$5))-(MAX(0,MIN(1,Y13))^2/(MAX(0,MIN(1,Y13))^2+(1-MAX(0,MIN(1,Y13)))^2/$B$5))))</f>
        <v>0</v>
      </c>
      <c r="AA14" s="16" t="n">
        <f aca="false">IF(ABS(AA13-$B$11/$B$9*((MAX(0,MIN(1,AA13))^2/(MAX(0,MIN(1,AA13))^2+(1-MAX(0,MIN(1,AA13)))^2/$B$5))-(MAX(0,MIN(1,Z13))^2/(MAX(0,MIN(1,Z13))^2+(1-MAX(0,MIN(1,Z13)))^2/$B$5))))&lt;0.000000001,0,AA13-$B$11/$B$9*((MAX(0,MIN(1,AA13))^2/(MAX(0,MIN(1,AA13))^2+(1-MAX(0,MIN(1,AA13)))^2/$B$5))-(MAX(0,MIN(1,Z13))^2/(MAX(0,MIN(1,Z13))^2+(1-MAX(0,MIN(1,Z13)))^2/$B$5))))</f>
        <v>0</v>
      </c>
      <c r="AB14" s="16" t="n">
        <f aca="false">IF(ABS(AB13-$B$11/$B$9*((MAX(0,MIN(1,AB13))^2/(MAX(0,MIN(1,AB13))^2+(1-MAX(0,MIN(1,AB13)))^2/$B$5))-(MAX(0,MIN(1,AA13))^2/(MAX(0,MIN(1,AA13))^2+(1-MAX(0,MIN(1,AA13)))^2/$B$5))))&lt;0.000000001,0,AB13-$B$11/$B$9*((MAX(0,MIN(1,AB13))^2/(MAX(0,MIN(1,AB13))^2+(1-MAX(0,MIN(1,AB13)))^2/$B$5))-(MAX(0,MIN(1,AA13))^2/(MAX(0,MIN(1,AA13))^2+(1-MAX(0,MIN(1,AA13)))^2/$B$5))))</f>
        <v>0</v>
      </c>
      <c r="AC14" s="16" t="n">
        <f aca="false">IF(ABS(AC13-$B$11/$B$9*((MAX(0,MIN(1,AC13))^2/(MAX(0,MIN(1,AC13))^2+(1-MAX(0,MIN(1,AC13)))^2/$B$5))-(MAX(0,MIN(1,AB13))^2/(MAX(0,MIN(1,AB13))^2+(1-MAX(0,MIN(1,AB13)))^2/$B$5))))&lt;0.000000001,0,AC13-$B$11/$B$9*((MAX(0,MIN(1,AC13))^2/(MAX(0,MIN(1,AC13))^2+(1-MAX(0,MIN(1,AC13)))^2/$B$5))-(MAX(0,MIN(1,AB13))^2/(MAX(0,MIN(1,AB13))^2+(1-MAX(0,MIN(1,AB13)))^2/$B$5))))</f>
        <v>0</v>
      </c>
      <c r="AD14" s="16" t="n">
        <f aca="false">IF(ABS(AD13-$B$11/$B$9*((MAX(0,MIN(1,AD13))^2/(MAX(0,MIN(1,AD13))^2+(1-MAX(0,MIN(1,AD13)))^2/$B$5))-(MAX(0,MIN(1,AC13))^2/(MAX(0,MIN(1,AC13))^2+(1-MAX(0,MIN(1,AC13)))^2/$B$5))))&lt;0.000000001,0,AD13-$B$11/$B$9*((MAX(0,MIN(1,AD13))^2/(MAX(0,MIN(1,AD13))^2+(1-MAX(0,MIN(1,AD13)))^2/$B$5))-(MAX(0,MIN(1,AC13))^2/(MAX(0,MIN(1,AC13))^2+(1-MAX(0,MIN(1,AC13)))^2/$B$5))))</f>
        <v>0</v>
      </c>
      <c r="AE14" s="16" t="n">
        <f aca="false">IF(ABS(AE13-$B$11/$B$9*((MAX(0,MIN(1,AE13))^2/(MAX(0,MIN(1,AE13))^2+(1-MAX(0,MIN(1,AE13)))^2/$B$5))-(MAX(0,MIN(1,AD13))^2/(MAX(0,MIN(1,AD13))^2+(1-MAX(0,MIN(1,AD13)))^2/$B$5))))&lt;0.000000001,0,AE13-$B$11/$B$9*((MAX(0,MIN(1,AE13))^2/(MAX(0,MIN(1,AE13))^2+(1-MAX(0,MIN(1,AE13)))^2/$B$5))-(MAX(0,MIN(1,AD13))^2/(MAX(0,MIN(1,AD13))^2+(1-MAX(0,MIN(1,AD13)))^2/$B$5))))</f>
        <v>0</v>
      </c>
      <c r="AF14" s="16" t="n">
        <f aca="false">IF(ABS(AF13-$B$11/$B$9*((MAX(0,MIN(1,AF13))^2/(MAX(0,MIN(1,AF13))^2+(1-MAX(0,MIN(1,AF13)))^2/$B$5))-(MAX(0,MIN(1,AE13))^2/(MAX(0,MIN(1,AE13))^2+(1-MAX(0,MIN(1,AE13)))^2/$B$5))))&lt;0.000000001,0,AF13-$B$11/$B$9*((MAX(0,MIN(1,AF13))^2/(MAX(0,MIN(1,AF13))^2+(1-MAX(0,MIN(1,AF13)))^2/$B$5))-(MAX(0,MIN(1,AE13))^2/(MAX(0,MIN(1,AE13))^2+(1-MAX(0,MIN(1,AE13)))^2/$B$5))))</f>
        <v>0</v>
      </c>
    </row>
    <row r="15" customFormat="false" ht="15" hidden="false" customHeight="false" outlineLevel="0" collapsed="false">
      <c r="A15" s="0" t="n">
        <v>0.1</v>
      </c>
      <c r="B15" s="9" t="n">
        <f aca="false">COUNTIF(M7:AF7,"&gt;="&amp;B13/2)*B9</f>
        <v>0.6</v>
      </c>
      <c r="D15" s="14" t="n">
        <f aca="false">A15</f>
        <v>0.1</v>
      </c>
      <c r="E15" s="14" t="n">
        <f aca="false">(G15-G14)/(A15-A14)</f>
        <v>0.49088929447507</v>
      </c>
      <c r="F15" s="14" t="n">
        <f aca="false">G15/A15</f>
        <v>0.240963855421687</v>
      </c>
      <c r="G15" s="14" t="n">
        <f aca="false">A15^2/(A15^2+(1-A15)^2/$B$5)</f>
        <v>0.0240963855421687</v>
      </c>
      <c r="L15" s="0" t="n">
        <v>5</v>
      </c>
      <c r="M15" s="16" t="n">
        <f aca="false">IF(ABS(M14-$B$11/$B$9*((MAX(0,MIN(1,M14))^2/(MAX(0,MIN(1,M14))^2+(1-MAX(0,MIN(1,M14)))^2/$B$5))-(MAX(0,MIN(1,1))^2/(MAX(0,MIN(1,1))^2+(1-MAX(0,MIN(1,1)))^2/$B$5))))&lt;0.000000001,0,M14-$B$11/$B$9*((MAX(0,MIN(1,M14))^2/(MAX(0,MIN(1,M14))^2+(1-MAX(0,MIN(1,M14)))^2/$B$5))-(MAX(0,MIN(1,1))^2/(MAX(0,MIN(1,1))^2+(1-MAX(0,MIN(1,1)))^2/$B$5))))</f>
        <v>0.740861813561996</v>
      </c>
      <c r="N15" s="16" t="n">
        <f aca="false">IF(ABS(N14-$B$11/$B$9*((MAX(0,MIN(1,N14))^2/(MAX(0,MIN(1,N14))^2+(1-MAX(0,MIN(1,N14)))^2/$B$5))-(MAX(0,MIN(1,M14))^2/(MAX(0,MIN(1,M14))^2+(1-MAX(0,MIN(1,M14)))^2/$B$5))))&lt;0.000000001,0,N14-$B$11/$B$9*((MAX(0,MIN(1,N14))^2/(MAX(0,MIN(1,N14))^2+(1-MAX(0,MIN(1,N14)))^2/$B$5))-(MAX(0,MIN(1,M14))^2/(MAX(0,MIN(1,M14))^2+(1-MAX(0,MIN(1,M14)))^2/$B$5))))</f>
        <v>0.627824887808553</v>
      </c>
      <c r="O15" s="16" t="n">
        <f aca="false">IF(ABS(O14-$B$11/$B$9*((MAX(0,MIN(1,O14))^2/(MAX(0,MIN(1,O14))^2+(1-MAX(0,MIN(1,O14)))^2/$B$5))-(MAX(0,MIN(1,N14))^2/(MAX(0,MIN(1,N14))^2+(1-MAX(0,MIN(1,N14)))^2/$B$5))))&lt;0.000000001,0,O14-$B$11/$B$9*((MAX(0,MIN(1,O14))^2/(MAX(0,MIN(1,O14))^2+(1-MAX(0,MIN(1,O14)))^2/$B$5))-(MAX(0,MIN(1,N14))^2/(MAX(0,MIN(1,N14))^2+(1-MAX(0,MIN(1,N14)))^2/$B$5))))</f>
        <v>0.48223571146593</v>
      </c>
      <c r="P15" s="16" t="n">
        <f aca="false">IF(ABS(P14-$B$11/$B$9*((MAX(0,MIN(1,P14))^2/(MAX(0,MIN(1,P14))^2+(1-MAX(0,MIN(1,P14)))^2/$B$5))-(MAX(0,MIN(1,O14))^2/(MAX(0,MIN(1,O14))^2+(1-MAX(0,MIN(1,O14)))^2/$B$5))))&lt;0.000000001,0,P14-$B$11/$B$9*((MAX(0,MIN(1,P14))^2/(MAX(0,MIN(1,P14))^2+(1-MAX(0,MIN(1,P14)))^2/$B$5))-(MAX(0,MIN(1,O14))^2/(MAX(0,MIN(1,O14))^2+(1-MAX(0,MIN(1,O14)))^2/$B$5))))</f>
        <v>0.071734140403478</v>
      </c>
      <c r="Q15" s="16" t="n">
        <f aca="false">IF(ABS(Q14-$B$11/$B$9*((MAX(0,MIN(1,Q14))^2/(MAX(0,MIN(1,Q14))^2+(1-MAX(0,MIN(1,Q14)))^2/$B$5))-(MAX(0,MIN(1,P14))^2/(MAX(0,MIN(1,P14))^2+(1-MAX(0,MIN(1,P14)))^2/$B$5))))&lt;0.000000001,0,Q14-$B$11/$B$9*((MAX(0,MIN(1,Q14))^2/(MAX(0,MIN(1,Q14))^2+(1-MAX(0,MIN(1,Q14)))^2/$B$5))-(MAX(0,MIN(1,P14))^2/(MAX(0,MIN(1,P14))^2+(1-MAX(0,MIN(1,P14)))^2/$B$5))))</f>
        <v>3.72435718350574E-007</v>
      </c>
      <c r="R15" s="16" t="n">
        <f aca="false">IF(ABS(R14-$B$11/$B$9*((MAX(0,MIN(1,R14))^2/(MAX(0,MIN(1,R14))^2+(1-MAX(0,MIN(1,R14)))^2/$B$5))-(MAX(0,MIN(1,Q14))^2/(MAX(0,MIN(1,Q14))^2+(1-MAX(0,MIN(1,Q14)))^2/$B$5))))&lt;0.000000001,0,R14-$B$11/$B$9*((MAX(0,MIN(1,R14))^2/(MAX(0,MIN(1,R14))^2+(1-MAX(0,MIN(1,R14)))^2/$B$5))-(MAX(0,MIN(1,Q14))^2/(MAX(0,MIN(1,Q14))^2+(1-MAX(0,MIN(1,Q14)))^2/$B$5))))</f>
        <v>0</v>
      </c>
      <c r="S15" s="16" t="n">
        <f aca="false">IF(ABS(S14-$B$11/$B$9*((MAX(0,MIN(1,S14))^2/(MAX(0,MIN(1,S14))^2+(1-MAX(0,MIN(1,S14)))^2/$B$5))-(MAX(0,MIN(1,R14))^2/(MAX(0,MIN(1,R14))^2+(1-MAX(0,MIN(1,R14)))^2/$B$5))))&lt;0.000000001,0,S14-$B$11/$B$9*((MAX(0,MIN(1,S14))^2/(MAX(0,MIN(1,S14))^2+(1-MAX(0,MIN(1,S14)))^2/$B$5))-(MAX(0,MIN(1,R14))^2/(MAX(0,MIN(1,R14))^2+(1-MAX(0,MIN(1,R14)))^2/$B$5))))</f>
        <v>0</v>
      </c>
      <c r="T15" s="16" t="n">
        <f aca="false">IF(ABS(T14-$B$11/$B$9*((MAX(0,MIN(1,T14))^2/(MAX(0,MIN(1,T14))^2+(1-MAX(0,MIN(1,T14)))^2/$B$5))-(MAX(0,MIN(1,S14))^2/(MAX(0,MIN(1,S14))^2+(1-MAX(0,MIN(1,S14)))^2/$B$5))))&lt;0.000000001,0,T14-$B$11/$B$9*((MAX(0,MIN(1,T14))^2/(MAX(0,MIN(1,T14))^2+(1-MAX(0,MIN(1,T14)))^2/$B$5))-(MAX(0,MIN(1,S14))^2/(MAX(0,MIN(1,S14))^2+(1-MAX(0,MIN(1,S14)))^2/$B$5))))</f>
        <v>0</v>
      </c>
      <c r="U15" s="16" t="n">
        <f aca="false">IF(ABS(U14-$B$11/$B$9*((MAX(0,MIN(1,U14))^2/(MAX(0,MIN(1,U14))^2+(1-MAX(0,MIN(1,U14)))^2/$B$5))-(MAX(0,MIN(1,T14))^2/(MAX(0,MIN(1,T14))^2+(1-MAX(0,MIN(1,T14)))^2/$B$5))))&lt;0.000000001,0,U14-$B$11/$B$9*((MAX(0,MIN(1,U14))^2/(MAX(0,MIN(1,U14))^2+(1-MAX(0,MIN(1,U14)))^2/$B$5))-(MAX(0,MIN(1,T14))^2/(MAX(0,MIN(1,T14))^2+(1-MAX(0,MIN(1,T14)))^2/$B$5))))</f>
        <v>0</v>
      </c>
      <c r="V15" s="16" t="n">
        <f aca="false">IF(ABS(V14-$B$11/$B$9*((MAX(0,MIN(1,V14))^2/(MAX(0,MIN(1,V14))^2+(1-MAX(0,MIN(1,V14)))^2/$B$5))-(MAX(0,MIN(1,U14))^2/(MAX(0,MIN(1,U14))^2+(1-MAX(0,MIN(1,U14)))^2/$B$5))))&lt;0.000000001,0,V14-$B$11/$B$9*((MAX(0,MIN(1,V14))^2/(MAX(0,MIN(1,V14))^2+(1-MAX(0,MIN(1,V14)))^2/$B$5))-(MAX(0,MIN(1,U14))^2/(MAX(0,MIN(1,U14))^2+(1-MAX(0,MIN(1,U14)))^2/$B$5))))</f>
        <v>0</v>
      </c>
      <c r="W15" s="16" t="n">
        <f aca="false">IF(ABS(W14-$B$11/$B$9*((MAX(0,MIN(1,W14))^2/(MAX(0,MIN(1,W14))^2+(1-MAX(0,MIN(1,W14)))^2/$B$5))-(MAX(0,MIN(1,V14))^2/(MAX(0,MIN(1,V14))^2+(1-MAX(0,MIN(1,V14)))^2/$B$5))))&lt;0.000000001,0,W14-$B$11/$B$9*((MAX(0,MIN(1,W14))^2/(MAX(0,MIN(1,W14))^2+(1-MAX(0,MIN(1,W14)))^2/$B$5))-(MAX(0,MIN(1,V14))^2/(MAX(0,MIN(1,V14))^2+(1-MAX(0,MIN(1,V14)))^2/$B$5))))</f>
        <v>0</v>
      </c>
      <c r="X15" s="16" t="n">
        <f aca="false">IF(ABS(X14-$B$11/$B$9*((MAX(0,MIN(1,X14))^2/(MAX(0,MIN(1,X14))^2+(1-MAX(0,MIN(1,X14)))^2/$B$5))-(MAX(0,MIN(1,W14))^2/(MAX(0,MIN(1,W14))^2+(1-MAX(0,MIN(1,W14)))^2/$B$5))))&lt;0.000000001,0,X14-$B$11/$B$9*((MAX(0,MIN(1,X14))^2/(MAX(0,MIN(1,X14))^2+(1-MAX(0,MIN(1,X14)))^2/$B$5))-(MAX(0,MIN(1,W14))^2/(MAX(0,MIN(1,W14))^2+(1-MAX(0,MIN(1,W14)))^2/$B$5))))</f>
        <v>0</v>
      </c>
      <c r="Y15" s="16" t="n">
        <f aca="false">IF(ABS(Y14-$B$11/$B$9*((MAX(0,MIN(1,Y14))^2/(MAX(0,MIN(1,Y14))^2+(1-MAX(0,MIN(1,Y14)))^2/$B$5))-(MAX(0,MIN(1,X14))^2/(MAX(0,MIN(1,X14))^2+(1-MAX(0,MIN(1,X14)))^2/$B$5))))&lt;0.000000001,0,Y14-$B$11/$B$9*((MAX(0,MIN(1,Y14))^2/(MAX(0,MIN(1,Y14))^2+(1-MAX(0,MIN(1,Y14)))^2/$B$5))-(MAX(0,MIN(1,X14))^2/(MAX(0,MIN(1,X14))^2+(1-MAX(0,MIN(1,X14)))^2/$B$5))))</f>
        <v>0</v>
      </c>
      <c r="Z15" s="16" t="n">
        <f aca="false">IF(ABS(Z14-$B$11/$B$9*((MAX(0,MIN(1,Z14))^2/(MAX(0,MIN(1,Z14))^2+(1-MAX(0,MIN(1,Z14)))^2/$B$5))-(MAX(0,MIN(1,Y14))^2/(MAX(0,MIN(1,Y14))^2+(1-MAX(0,MIN(1,Y14)))^2/$B$5))))&lt;0.000000001,0,Z14-$B$11/$B$9*((MAX(0,MIN(1,Z14))^2/(MAX(0,MIN(1,Z14))^2+(1-MAX(0,MIN(1,Z14)))^2/$B$5))-(MAX(0,MIN(1,Y14))^2/(MAX(0,MIN(1,Y14))^2+(1-MAX(0,MIN(1,Y14)))^2/$B$5))))</f>
        <v>0</v>
      </c>
      <c r="AA15" s="16" t="n">
        <f aca="false">IF(ABS(AA14-$B$11/$B$9*((MAX(0,MIN(1,AA14))^2/(MAX(0,MIN(1,AA14))^2+(1-MAX(0,MIN(1,AA14)))^2/$B$5))-(MAX(0,MIN(1,Z14))^2/(MAX(0,MIN(1,Z14))^2+(1-MAX(0,MIN(1,Z14)))^2/$B$5))))&lt;0.000000001,0,AA14-$B$11/$B$9*((MAX(0,MIN(1,AA14))^2/(MAX(0,MIN(1,AA14))^2+(1-MAX(0,MIN(1,AA14)))^2/$B$5))-(MAX(0,MIN(1,Z14))^2/(MAX(0,MIN(1,Z14))^2+(1-MAX(0,MIN(1,Z14)))^2/$B$5))))</f>
        <v>0</v>
      </c>
      <c r="AB15" s="16" t="n">
        <f aca="false">IF(ABS(AB14-$B$11/$B$9*((MAX(0,MIN(1,AB14))^2/(MAX(0,MIN(1,AB14))^2+(1-MAX(0,MIN(1,AB14)))^2/$B$5))-(MAX(0,MIN(1,AA14))^2/(MAX(0,MIN(1,AA14))^2+(1-MAX(0,MIN(1,AA14)))^2/$B$5))))&lt;0.000000001,0,AB14-$B$11/$B$9*((MAX(0,MIN(1,AB14))^2/(MAX(0,MIN(1,AB14))^2+(1-MAX(0,MIN(1,AB14)))^2/$B$5))-(MAX(0,MIN(1,AA14))^2/(MAX(0,MIN(1,AA14))^2+(1-MAX(0,MIN(1,AA14)))^2/$B$5))))</f>
        <v>0</v>
      </c>
      <c r="AC15" s="16" t="n">
        <f aca="false">IF(ABS(AC14-$B$11/$B$9*((MAX(0,MIN(1,AC14))^2/(MAX(0,MIN(1,AC14))^2+(1-MAX(0,MIN(1,AC14)))^2/$B$5))-(MAX(0,MIN(1,AB14))^2/(MAX(0,MIN(1,AB14))^2+(1-MAX(0,MIN(1,AB14)))^2/$B$5))))&lt;0.000000001,0,AC14-$B$11/$B$9*((MAX(0,MIN(1,AC14))^2/(MAX(0,MIN(1,AC14))^2+(1-MAX(0,MIN(1,AC14)))^2/$B$5))-(MAX(0,MIN(1,AB14))^2/(MAX(0,MIN(1,AB14))^2+(1-MAX(0,MIN(1,AB14)))^2/$B$5))))</f>
        <v>0</v>
      </c>
      <c r="AD15" s="16" t="n">
        <f aca="false">IF(ABS(AD14-$B$11/$B$9*((MAX(0,MIN(1,AD14))^2/(MAX(0,MIN(1,AD14))^2+(1-MAX(0,MIN(1,AD14)))^2/$B$5))-(MAX(0,MIN(1,AC14))^2/(MAX(0,MIN(1,AC14))^2+(1-MAX(0,MIN(1,AC14)))^2/$B$5))))&lt;0.000000001,0,AD14-$B$11/$B$9*((MAX(0,MIN(1,AD14))^2/(MAX(0,MIN(1,AD14))^2+(1-MAX(0,MIN(1,AD14)))^2/$B$5))-(MAX(0,MIN(1,AC14))^2/(MAX(0,MIN(1,AC14))^2+(1-MAX(0,MIN(1,AC14)))^2/$B$5))))</f>
        <v>0</v>
      </c>
      <c r="AE15" s="16" t="n">
        <f aca="false">IF(ABS(AE14-$B$11/$B$9*((MAX(0,MIN(1,AE14))^2/(MAX(0,MIN(1,AE14))^2+(1-MAX(0,MIN(1,AE14)))^2/$B$5))-(MAX(0,MIN(1,AD14))^2/(MAX(0,MIN(1,AD14))^2+(1-MAX(0,MIN(1,AD14)))^2/$B$5))))&lt;0.000000001,0,AE14-$B$11/$B$9*((MAX(0,MIN(1,AE14))^2/(MAX(0,MIN(1,AE14))^2+(1-MAX(0,MIN(1,AE14)))^2/$B$5))-(MAX(0,MIN(1,AD14))^2/(MAX(0,MIN(1,AD14))^2+(1-MAX(0,MIN(1,AD14)))^2/$B$5))))</f>
        <v>0</v>
      </c>
      <c r="AF15" s="16" t="n">
        <f aca="false">IF(ABS(AF14-$B$11/$B$9*((MAX(0,MIN(1,AF14))^2/(MAX(0,MIN(1,AF14))^2+(1-MAX(0,MIN(1,AF14)))^2/$B$5))-(MAX(0,MIN(1,AE14))^2/(MAX(0,MIN(1,AE14))^2+(1-MAX(0,MIN(1,AE14)))^2/$B$5))))&lt;0.000000001,0,AF14-$B$11/$B$9*((MAX(0,MIN(1,AF14))^2/(MAX(0,MIN(1,AF14))^2+(1-MAX(0,MIN(1,AF14)))^2/$B$5))-(MAX(0,MIN(1,AE14))^2/(MAX(0,MIN(1,AE14))^2+(1-MAX(0,MIN(1,AE14)))^2/$B$5))))</f>
        <v>0</v>
      </c>
    </row>
    <row r="16" customFormat="false" ht="15" hidden="false" customHeight="false" outlineLevel="0" collapsed="false">
      <c r="A16" s="0" t="n">
        <v>0.11</v>
      </c>
      <c r="B16" s="19" t="str">
        <f aca="false">IF(B6&gt;1,"Courant &gt; 1: inestable","Estable")</f>
        <v>Estable</v>
      </c>
      <c r="D16" s="14" t="n">
        <f aca="false">A16</f>
        <v>0.11</v>
      </c>
      <c r="E16" s="14" t="n">
        <f aca="false">(G16-G15)/(A16-A15)</f>
        <v>0.554957795164487</v>
      </c>
      <c r="F16" s="14" t="n">
        <f aca="false">G16/A16</f>
        <v>0.269508759034669</v>
      </c>
      <c r="G16" s="14" t="n">
        <f aca="false">A16^2/(A16^2+(1-A16)^2/$B$5)</f>
        <v>0.0296459634938135</v>
      </c>
      <c r="L16" s="0" t="n">
        <v>6</v>
      </c>
      <c r="M16" s="16" t="n">
        <f aca="false">IF(ABS(M15-$B$11/$B$9*((MAX(0,MIN(1,M15))^2/(MAX(0,MIN(1,M15))^2+(1-MAX(0,MIN(1,M15)))^2/$B$5))-(MAX(0,MIN(1,1))^2/(MAX(0,MIN(1,1))^2+(1-MAX(0,MIN(1,1)))^2/$B$5))))&lt;0.000000001,0,M15-$B$11/$B$9*((MAX(0,MIN(1,M15))^2/(MAX(0,MIN(1,M15))^2+(1-MAX(0,MIN(1,M15)))^2/$B$5))-(MAX(0,MIN(1,1))^2/(MAX(0,MIN(1,1))^2+(1-MAX(0,MIN(1,1)))^2/$B$5))))</f>
        <v>0.763028669216396</v>
      </c>
      <c r="N16" s="16" t="n">
        <f aca="false">IF(ABS(N15-$B$11/$B$9*((MAX(0,MIN(1,N15))^2/(MAX(0,MIN(1,N15))^2+(1-MAX(0,MIN(1,N15)))^2/$B$5))-(MAX(0,MIN(1,M15))^2/(MAX(0,MIN(1,M15))^2+(1-MAX(0,MIN(1,M15)))^2/$B$5))))&lt;0.000000001,0,N15-$B$11/$B$9*((MAX(0,MIN(1,N15))^2/(MAX(0,MIN(1,N15))^2+(1-MAX(0,MIN(1,N15)))^2/$B$5))-(MAX(0,MIN(1,M15))^2/(MAX(0,MIN(1,M15))^2+(1-MAX(0,MIN(1,M15)))^2/$B$5))))</f>
        <v>0.663125294866914</v>
      </c>
      <c r="O16" s="16" t="n">
        <f aca="false">IF(ABS(O15-$B$11/$B$9*((MAX(0,MIN(1,O15))^2/(MAX(0,MIN(1,O15))^2+(1-MAX(0,MIN(1,O15)))^2/$B$5))-(MAX(0,MIN(1,N15))^2/(MAX(0,MIN(1,N15))^2+(1-MAX(0,MIN(1,N15)))^2/$B$5))))&lt;0.000000001,0,O15-$B$11/$B$9*((MAX(0,MIN(1,O15))^2/(MAX(0,MIN(1,O15))^2+(1-MAX(0,MIN(1,O15)))^2/$B$5))-(MAX(0,MIN(1,N15))^2/(MAX(0,MIN(1,N15))^2+(1-MAX(0,MIN(1,N15)))^2/$B$5))))</f>
        <v>0.565367999850969</v>
      </c>
      <c r="P16" s="16" t="n">
        <f aca="false">IF(ABS(P15-$B$11/$B$9*((MAX(0,MIN(1,P15))^2/(MAX(0,MIN(1,P15))^2+(1-MAX(0,MIN(1,P15)))^2/$B$5))-(MAX(0,MIN(1,O15))^2/(MAX(0,MIN(1,O15))^2+(1-MAX(0,MIN(1,O15)))^2/$B$5))))&lt;0.000000001,0,P15-$B$11/$B$9*((MAX(0,MIN(1,P15))^2/(MAX(0,MIN(1,P15))^2+(1-MAX(0,MIN(1,P15)))^2/$B$5))-(MAX(0,MIN(1,O15))^2/(MAX(0,MIN(1,O15))^2+(1-MAX(0,MIN(1,O15)))^2/$B$5))))</f>
        <v>0.311127472767582</v>
      </c>
      <c r="Q16" s="16" t="n">
        <f aca="false">IF(ABS(Q15-$B$11/$B$9*((MAX(0,MIN(1,Q15))^2/(MAX(0,MIN(1,Q15))^2+(1-MAX(0,MIN(1,Q15)))^2/$B$5))-(MAX(0,MIN(1,P15))^2/(MAX(0,MIN(1,P15))^2+(1-MAX(0,MIN(1,P15)))^2/$B$5))))&lt;0.000000001,0,Q15-$B$11/$B$9*((MAX(0,MIN(1,Q15))^2/(MAX(0,MIN(1,Q15))^2+(1-MAX(0,MIN(1,Q15)))^2/$B$5))-(MAX(0,MIN(1,P15))^2/(MAX(0,MIN(1,P15))^2+(1-MAX(0,MIN(1,P15)))^2/$B$5))))</f>
        <v>0.00453887410884323</v>
      </c>
      <c r="R16" s="16" t="n">
        <f aca="false">IF(ABS(R15-$B$11/$B$9*((MAX(0,MIN(1,R15))^2/(MAX(0,MIN(1,R15))^2+(1-MAX(0,MIN(1,R15)))^2/$B$5))-(MAX(0,MIN(1,Q15))^2/(MAX(0,MIN(1,Q15))^2+(1-MAX(0,MIN(1,Q15)))^2/$B$5))))&lt;0.000000001,0,R15-$B$11/$B$9*((MAX(0,MIN(1,R15))^2/(MAX(0,MIN(1,R15))^2+(1-MAX(0,MIN(1,R15)))^2/$B$5))-(MAX(0,MIN(1,Q15))^2/(MAX(0,MIN(1,Q15))^2+(1-MAX(0,MIN(1,Q15)))^2/$B$5))))</f>
        <v>0</v>
      </c>
      <c r="S16" s="16" t="n">
        <f aca="false">IF(ABS(S15-$B$11/$B$9*((MAX(0,MIN(1,S15))^2/(MAX(0,MIN(1,S15))^2+(1-MAX(0,MIN(1,S15)))^2/$B$5))-(MAX(0,MIN(1,R15))^2/(MAX(0,MIN(1,R15))^2+(1-MAX(0,MIN(1,R15)))^2/$B$5))))&lt;0.000000001,0,S15-$B$11/$B$9*((MAX(0,MIN(1,S15))^2/(MAX(0,MIN(1,S15))^2+(1-MAX(0,MIN(1,S15)))^2/$B$5))-(MAX(0,MIN(1,R15))^2/(MAX(0,MIN(1,R15))^2+(1-MAX(0,MIN(1,R15)))^2/$B$5))))</f>
        <v>0</v>
      </c>
      <c r="T16" s="16" t="n">
        <f aca="false">IF(ABS(T15-$B$11/$B$9*((MAX(0,MIN(1,T15))^2/(MAX(0,MIN(1,T15))^2+(1-MAX(0,MIN(1,T15)))^2/$B$5))-(MAX(0,MIN(1,S15))^2/(MAX(0,MIN(1,S15))^2+(1-MAX(0,MIN(1,S15)))^2/$B$5))))&lt;0.000000001,0,T15-$B$11/$B$9*((MAX(0,MIN(1,T15))^2/(MAX(0,MIN(1,T15))^2+(1-MAX(0,MIN(1,T15)))^2/$B$5))-(MAX(0,MIN(1,S15))^2/(MAX(0,MIN(1,S15))^2+(1-MAX(0,MIN(1,S15)))^2/$B$5))))</f>
        <v>0</v>
      </c>
      <c r="U16" s="16" t="n">
        <f aca="false">IF(ABS(U15-$B$11/$B$9*((MAX(0,MIN(1,U15))^2/(MAX(0,MIN(1,U15))^2+(1-MAX(0,MIN(1,U15)))^2/$B$5))-(MAX(0,MIN(1,T15))^2/(MAX(0,MIN(1,T15))^2+(1-MAX(0,MIN(1,T15)))^2/$B$5))))&lt;0.000000001,0,U15-$B$11/$B$9*((MAX(0,MIN(1,U15))^2/(MAX(0,MIN(1,U15))^2+(1-MAX(0,MIN(1,U15)))^2/$B$5))-(MAX(0,MIN(1,T15))^2/(MAX(0,MIN(1,T15))^2+(1-MAX(0,MIN(1,T15)))^2/$B$5))))</f>
        <v>0</v>
      </c>
      <c r="V16" s="16" t="n">
        <f aca="false">IF(ABS(V15-$B$11/$B$9*((MAX(0,MIN(1,V15))^2/(MAX(0,MIN(1,V15))^2+(1-MAX(0,MIN(1,V15)))^2/$B$5))-(MAX(0,MIN(1,U15))^2/(MAX(0,MIN(1,U15))^2+(1-MAX(0,MIN(1,U15)))^2/$B$5))))&lt;0.000000001,0,V15-$B$11/$B$9*((MAX(0,MIN(1,V15))^2/(MAX(0,MIN(1,V15))^2+(1-MAX(0,MIN(1,V15)))^2/$B$5))-(MAX(0,MIN(1,U15))^2/(MAX(0,MIN(1,U15))^2+(1-MAX(0,MIN(1,U15)))^2/$B$5))))</f>
        <v>0</v>
      </c>
      <c r="W16" s="16" t="n">
        <f aca="false">IF(ABS(W15-$B$11/$B$9*((MAX(0,MIN(1,W15))^2/(MAX(0,MIN(1,W15))^2+(1-MAX(0,MIN(1,W15)))^2/$B$5))-(MAX(0,MIN(1,V15))^2/(MAX(0,MIN(1,V15))^2+(1-MAX(0,MIN(1,V15)))^2/$B$5))))&lt;0.000000001,0,W15-$B$11/$B$9*((MAX(0,MIN(1,W15))^2/(MAX(0,MIN(1,W15))^2+(1-MAX(0,MIN(1,W15)))^2/$B$5))-(MAX(0,MIN(1,V15))^2/(MAX(0,MIN(1,V15))^2+(1-MAX(0,MIN(1,V15)))^2/$B$5))))</f>
        <v>0</v>
      </c>
      <c r="X16" s="16" t="n">
        <f aca="false">IF(ABS(X15-$B$11/$B$9*((MAX(0,MIN(1,X15))^2/(MAX(0,MIN(1,X15))^2+(1-MAX(0,MIN(1,X15)))^2/$B$5))-(MAX(0,MIN(1,W15))^2/(MAX(0,MIN(1,W15))^2+(1-MAX(0,MIN(1,W15)))^2/$B$5))))&lt;0.000000001,0,X15-$B$11/$B$9*((MAX(0,MIN(1,X15))^2/(MAX(0,MIN(1,X15))^2+(1-MAX(0,MIN(1,X15)))^2/$B$5))-(MAX(0,MIN(1,W15))^2/(MAX(0,MIN(1,W15))^2+(1-MAX(0,MIN(1,W15)))^2/$B$5))))</f>
        <v>0</v>
      </c>
      <c r="Y16" s="16" t="n">
        <f aca="false">IF(ABS(Y15-$B$11/$B$9*((MAX(0,MIN(1,Y15))^2/(MAX(0,MIN(1,Y15))^2+(1-MAX(0,MIN(1,Y15)))^2/$B$5))-(MAX(0,MIN(1,X15))^2/(MAX(0,MIN(1,X15))^2+(1-MAX(0,MIN(1,X15)))^2/$B$5))))&lt;0.000000001,0,Y15-$B$11/$B$9*((MAX(0,MIN(1,Y15))^2/(MAX(0,MIN(1,Y15))^2+(1-MAX(0,MIN(1,Y15)))^2/$B$5))-(MAX(0,MIN(1,X15))^2/(MAX(0,MIN(1,X15))^2+(1-MAX(0,MIN(1,X15)))^2/$B$5))))</f>
        <v>0</v>
      </c>
      <c r="Z16" s="16" t="n">
        <f aca="false">IF(ABS(Z15-$B$11/$B$9*((MAX(0,MIN(1,Z15))^2/(MAX(0,MIN(1,Z15))^2+(1-MAX(0,MIN(1,Z15)))^2/$B$5))-(MAX(0,MIN(1,Y15))^2/(MAX(0,MIN(1,Y15))^2+(1-MAX(0,MIN(1,Y15)))^2/$B$5))))&lt;0.000000001,0,Z15-$B$11/$B$9*((MAX(0,MIN(1,Z15))^2/(MAX(0,MIN(1,Z15))^2+(1-MAX(0,MIN(1,Z15)))^2/$B$5))-(MAX(0,MIN(1,Y15))^2/(MAX(0,MIN(1,Y15))^2+(1-MAX(0,MIN(1,Y15)))^2/$B$5))))</f>
        <v>0</v>
      </c>
      <c r="AA16" s="16" t="n">
        <f aca="false">IF(ABS(AA15-$B$11/$B$9*((MAX(0,MIN(1,AA15))^2/(MAX(0,MIN(1,AA15))^2+(1-MAX(0,MIN(1,AA15)))^2/$B$5))-(MAX(0,MIN(1,Z15))^2/(MAX(0,MIN(1,Z15))^2+(1-MAX(0,MIN(1,Z15)))^2/$B$5))))&lt;0.000000001,0,AA15-$B$11/$B$9*((MAX(0,MIN(1,AA15))^2/(MAX(0,MIN(1,AA15))^2+(1-MAX(0,MIN(1,AA15)))^2/$B$5))-(MAX(0,MIN(1,Z15))^2/(MAX(0,MIN(1,Z15))^2+(1-MAX(0,MIN(1,Z15)))^2/$B$5))))</f>
        <v>0</v>
      </c>
      <c r="AB16" s="16" t="n">
        <f aca="false">IF(ABS(AB15-$B$11/$B$9*((MAX(0,MIN(1,AB15))^2/(MAX(0,MIN(1,AB15))^2+(1-MAX(0,MIN(1,AB15)))^2/$B$5))-(MAX(0,MIN(1,AA15))^2/(MAX(0,MIN(1,AA15))^2+(1-MAX(0,MIN(1,AA15)))^2/$B$5))))&lt;0.000000001,0,AB15-$B$11/$B$9*((MAX(0,MIN(1,AB15))^2/(MAX(0,MIN(1,AB15))^2+(1-MAX(0,MIN(1,AB15)))^2/$B$5))-(MAX(0,MIN(1,AA15))^2/(MAX(0,MIN(1,AA15))^2+(1-MAX(0,MIN(1,AA15)))^2/$B$5))))</f>
        <v>0</v>
      </c>
      <c r="AC16" s="16" t="n">
        <f aca="false">IF(ABS(AC15-$B$11/$B$9*((MAX(0,MIN(1,AC15))^2/(MAX(0,MIN(1,AC15))^2+(1-MAX(0,MIN(1,AC15)))^2/$B$5))-(MAX(0,MIN(1,AB15))^2/(MAX(0,MIN(1,AB15))^2+(1-MAX(0,MIN(1,AB15)))^2/$B$5))))&lt;0.000000001,0,AC15-$B$11/$B$9*((MAX(0,MIN(1,AC15))^2/(MAX(0,MIN(1,AC15))^2+(1-MAX(0,MIN(1,AC15)))^2/$B$5))-(MAX(0,MIN(1,AB15))^2/(MAX(0,MIN(1,AB15))^2+(1-MAX(0,MIN(1,AB15)))^2/$B$5))))</f>
        <v>0</v>
      </c>
      <c r="AD16" s="16" t="n">
        <f aca="false">IF(ABS(AD15-$B$11/$B$9*((MAX(0,MIN(1,AD15))^2/(MAX(0,MIN(1,AD15))^2+(1-MAX(0,MIN(1,AD15)))^2/$B$5))-(MAX(0,MIN(1,AC15))^2/(MAX(0,MIN(1,AC15))^2+(1-MAX(0,MIN(1,AC15)))^2/$B$5))))&lt;0.000000001,0,AD15-$B$11/$B$9*((MAX(0,MIN(1,AD15))^2/(MAX(0,MIN(1,AD15))^2+(1-MAX(0,MIN(1,AD15)))^2/$B$5))-(MAX(0,MIN(1,AC15))^2/(MAX(0,MIN(1,AC15))^2+(1-MAX(0,MIN(1,AC15)))^2/$B$5))))</f>
        <v>0</v>
      </c>
      <c r="AE16" s="16" t="n">
        <f aca="false">IF(ABS(AE15-$B$11/$B$9*((MAX(0,MIN(1,AE15))^2/(MAX(0,MIN(1,AE15))^2+(1-MAX(0,MIN(1,AE15)))^2/$B$5))-(MAX(0,MIN(1,AD15))^2/(MAX(0,MIN(1,AD15))^2+(1-MAX(0,MIN(1,AD15)))^2/$B$5))))&lt;0.000000001,0,AE15-$B$11/$B$9*((MAX(0,MIN(1,AE15))^2/(MAX(0,MIN(1,AE15))^2+(1-MAX(0,MIN(1,AE15)))^2/$B$5))-(MAX(0,MIN(1,AD15))^2/(MAX(0,MIN(1,AD15))^2+(1-MAX(0,MIN(1,AD15)))^2/$B$5))))</f>
        <v>0</v>
      </c>
      <c r="AF16" s="16" t="n">
        <f aca="false">IF(ABS(AF15-$B$11/$B$9*((MAX(0,MIN(1,AF15))^2/(MAX(0,MIN(1,AF15))^2+(1-MAX(0,MIN(1,AF15)))^2/$B$5))-(MAX(0,MIN(1,AE15))^2/(MAX(0,MIN(1,AE15))^2+(1-MAX(0,MIN(1,AE15)))^2/$B$5))))&lt;0.000000001,0,AF15-$B$11/$B$9*((MAX(0,MIN(1,AF15))^2/(MAX(0,MIN(1,AF15))^2+(1-MAX(0,MIN(1,AF15)))^2/$B$5))-(MAX(0,MIN(1,AE15))^2/(MAX(0,MIN(1,AE15))^2+(1-MAX(0,MIN(1,AE15)))^2/$B$5))))</f>
        <v>0</v>
      </c>
    </row>
    <row r="17" customFormat="false" ht="15" hidden="false" customHeight="false" outlineLevel="0" collapsed="false">
      <c r="A17" s="0" t="n">
        <v>0.12</v>
      </c>
      <c r="D17" s="0" t="n">
        <f aca="false">A17</f>
        <v>0.12</v>
      </c>
      <c r="E17" s="0" t="n">
        <f aca="false">(G17-G16)/(A17-A16)</f>
        <v>0.621061021136574</v>
      </c>
      <c r="F17" s="0" t="n">
        <f aca="false">G17/A17</f>
        <v>0.298804780876494</v>
      </c>
      <c r="G17" s="0" t="n">
        <f aca="false">A17^2/(A17^2+(1-A17)^2/$B$5)</f>
        <v>0.0358565737051793</v>
      </c>
      <c r="L17" s="0" t="n">
        <v>7</v>
      </c>
      <c r="M17" s="16" t="n">
        <f aca="false">IF(ABS(M16-$B$11/$B$9*((MAX(0,MIN(1,M16))^2/(MAX(0,MIN(1,M16))^2+(1-MAX(0,MIN(1,M16)))^2/$B$5))-(MAX(0,MIN(1,1))^2/(MAX(0,MIN(1,1))^2+(1-MAX(0,MIN(1,1)))^2/$B$5))))&lt;0.000000001,0,M16-$B$11/$B$9*((MAX(0,MIN(1,M16))^2/(MAX(0,MIN(1,M16))^2+(1-MAX(0,MIN(1,M16)))^2/$B$5))-(MAX(0,MIN(1,1))^2/(MAX(0,MIN(1,1))^2+(1-MAX(0,MIN(1,1)))^2/$B$5))))</f>
        <v>0.780719850524763</v>
      </c>
      <c r="N17" s="16" t="n">
        <f aca="false">IF(ABS(N16-$B$11/$B$9*((MAX(0,MIN(1,N16))^2/(MAX(0,MIN(1,N16))^2+(1-MAX(0,MIN(1,N16)))^2/$B$5))-(MAX(0,MIN(1,M16))^2/(MAX(0,MIN(1,M16))^2+(1-MAX(0,MIN(1,M16)))^2/$B$5))))&lt;0.000000001,0,N16-$B$11/$B$9*((MAX(0,MIN(1,N16))^2/(MAX(0,MIN(1,N16))^2+(1-MAX(0,MIN(1,N16)))^2/$B$5))-(MAX(0,MIN(1,M16))^2/(MAX(0,MIN(1,M16))^2+(1-MAX(0,MIN(1,M16)))^2/$B$5))))</f>
        <v>0.68938211017742</v>
      </c>
      <c r="O17" s="16" t="n">
        <f aca="false">IF(ABS(O16-$B$11/$B$9*((MAX(0,MIN(1,O16))^2/(MAX(0,MIN(1,O16))^2+(1-MAX(0,MIN(1,O16)))^2/$B$5))-(MAX(0,MIN(1,N16))^2/(MAX(0,MIN(1,N16))^2+(1-MAX(0,MIN(1,N16)))^2/$B$5))))&lt;0.000000001,0,O16-$B$11/$B$9*((MAX(0,MIN(1,O16))^2/(MAX(0,MIN(1,O16))^2+(1-MAX(0,MIN(1,O16)))^2/$B$5))-(MAX(0,MIN(1,N16))^2/(MAX(0,MIN(1,N16))^2+(1-MAX(0,MIN(1,N16)))^2/$B$5))))</f>
        <v>0.609129540321391</v>
      </c>
      <c r="P17" s="16" t="n">
        <f aca="false">IF(ABS(P16-$B$11/$B$9*((MAX(0,MIN(1,P16))^2/(MAX(0,MIN(1,P16))^2+(1-MAX(0,MIN(1,P16)))^2/$B$5))-(MAX(0,MIN(1,O16))^2/(MAX(0,MIN(1,O16))^2+(1-MAX(0,MIN(1,O16)))^2/$B$5))))&lt;0.000000001,0,P16-$B$11/$B$9*((MAX(0,MIN(1,P16))^2/(MAX(0,MIN(1,P16))^2+(1-MAX(0,MIN(1,P16)))^2/$B$5))-(MAX(0,MIN(1,O16))^2/(MAX(0,MIN(1,O16))^2+(1-MAX(0,MIN(1,O16)))^2/$B$5))))</f>
        <v>0.496528293330092</v>
      </c>
      <c r="Q17" s="16" t="n">
        <f aca="false">IF(ABS(Q16-$B$11/$B$9*((MAX(0,MIN(1,Q16))^2/(MAX(0,MIN(1,Q16))^2+(1-MAX(0,MIN(1,Q16)))^2/$B$5))-(MAX(0,MIN(1,P16))^2/(MAX(0,MIN(1,P16))^2+(1-MAX(0,MIN(1,P16)))^2/$B$5))))&lt;0.000000001,0,Q16-$B$11/$B$9*((MAX(0,MIN(1,Q16))^2/(MAX(0,MIN(1,Q16))^2+(1-MAX(0,MIN(1,Q16)))^2/$B$5))-(MAX(0,MIN(1,P16))^2/(MAX(0,MIN(1,P16))^2+(1-MAX(0,MIN(1,P16)))^2/$B$5))))</f>
        <v>0.1159439136932</v>
      </c>
      <c r="R17" s="16" t="n">
        <f aca="false">IF(ABS(R16-$B$11/$B$9*((MAX(0,MIN(1,R16))^2/(MAX(0,MIN(1,R16))^2+(1-MAX(0,MIN(1,R16)))^2/$B$5))-(MAX(0,MIN(1,Q16))^2/(MAX(0,MIN(1,Q16))^2+(1-MAX(0,MIN(1,Q16)))^2/$B$5))))&lt;0.000000001,0,R16-$B$11/$B$9*((MAX(0,MIN(1,R16))^2/(MAX(0,MIN(1,R16))^2+(1-MAX(0,MIN(1,R16)))^2/$B$5))-(MAX(0,MIN(1,Q16))^2/(MAX(0,MIN(1,Q16))^2+(1-MAX(0,MIN(1,Q16)))^2/$B$5))))</f>
        <v>1.59878989745258E-005</v>
      </c>
      <c r="S17" s="16" t="n">
        <f aca="false">IF(ABS(S16-$B$11/$B$9*((MAX(0,MIN(1,S16))^2/(MAX(0,MIN(1,S16))^2+(1-MAX(0,MIN(1,S16)))^2/$B$5))-(MAX(0,MIN(1,R16))^2/(MAX(0,MIN(1,R16))^2+(1-MAX(0,MIN(1,R16)))^2/$B$5))))&lt;0.000000001,0,S16-$B$11/$B$9*((MAX(0,MIN(1,S16))^2/(MAX(0,MIN(1,S16))^2+(1-MAX(0,MIN(1,S16)))^2/$B$5))-(MAX(0,MIN(1,R16))^2/(MAX(0,MIN(1,R16))^2+(1-MAX(0,MIN(1,R16)))^2/$B$5))))</f>
        <v>0</v>
      </c>
      <c r="T17" s="16" t="n">
        <f aca="false">IF(ABS(T16-$B$11/$B$9*((MAX(0,MIN(1,T16))^2/(MAX(0,MIN(1,T16))^2+(1-MAX(0,MIN(1,T16)))^2/$B$5))-(MAX(0,MIN(1,S16))^2/(MAX(0,MIN(1,S16))^2+(1-MAX(0,MIN(1,S16)))^2/$B$5))))&lt;0.000000001,0,T16-$B$11/$B$9*((MAX(0,MIN(1,T16))^2/(MAX(0,MIN(1,T16))^2+(1-MAX(0,MIN(1,T16)))^2/$B$5))-(MAX(0,MIN(1,S16))^2/(MAX(0,MIN(1,S16))^2+(1-MAX(0,MIN(1,S16)))^2/$B$5))))</f>
        <v>0</v>
      </c>
      <c r="U17" s="16" t="n">
        <f aca="false">IF(ABS(U16-$B$11/$B$9*((MAX(0,MIN(1,U16))^2/(MAX(0,MIN(1,U16))^2+(1-MAX(0,MIN(1,U16)))^2/$B$5))-(MAX(0,MIN(1,T16))^2/(MAX(0,MIN(1,T16))^2+(1-MAX(0,MIN(1,T16)))^2/$B$5))))&lt;0.000000001,0,U16-$B$11/$B$9*((MAX(0,MIN(1,U16))^2/(MAX(0,MIN(1,U16))^2+(1-MAX(0,MIN(1,U16)))^2/$B$5))-(MAX(0,MIN(1,T16))^2/(MAX(0,MIN(1,T16))^2+(1-MAX(0,MIN(1,T16)))^2/$B$5))))</f>
        <v>0</v>
      </c>
      <c r="V17" s="16" t="n">
        <f aca="false">IF(ABS(V16-$B$11/$B$9*((MAX(0,MIN(1,V16))^2/(MAX(0,MIN(1,V16))^2+(1-MAX(0,MIN(1,V16)))^2/$B$5))-(MAX(0,MIN(1,U16))^2/(MAX(0,MIN(1,U16))^2+(1-MAX(0,MIN(1,U16)))^2/$B$5))))&lt;0.000000001,0,V16-$B$11/$B$9*((MAX(0,MIN(1,V16))^2/(MAX(0,MIN(1,V16))^2+(1-MAX(0,MIN(1,V16)))^2/$B$5))-(MAX(0,MIN(1,U16))^2/(MAX(0,MIN(1,U16))^2+(1-MAX(0,MIN(1,U16)))^2/$B$5))))</f>
        <v>0</v>
      </c>
      <c r="W17" s="16" t="n">
        <f aca="false">IF(ABS(W16-$B$11/$B$9*((MAX(0,MIN(1,W16))^2/(MAX(0,MIN(1,W16))^2+(1-MAX(0,MIN(1,W16)))^2/$B$5))-(MAX(0,MIN(1,V16))^2/(MAX(0,MIN(1,V16))^2+(1-MAX(0,MIN(1,V16)))^2/$B$5))))&lt;0.000000001,0,W16-$B$11/$B$9*((MAX(0,MIN(1,W16))^2/(MAX(0,MIN(1,W16))^2+(1-MAX(0,MIN(1,W16)))^2/$B$5))-(MAX(0,MIN(1,V16))^2/(MAX(0,MIN(1,V16))^2+(1-MAX(0,MIN(1,V16)))^2/$B$5))))</f>
        <v>0</v>
      </c>
      <c r="X17" s="16" t="n">
        <f aca="false">IF(ABS(X16-$B$11/$B$9*((MAX(0,MIN(1,X16))^2/(MAX(0,MIN(1,X16))^2+(1-MAX(0,MIN(1,X16)))^2/$B$5))-(MAX(0,MIN(1,W16))^2/(MAX(0,MIN(1,W16))^2+(1-MAX(0,MIN(1,W16)))^2/$B$5))))&lt;0.000000001,0,X16-$B$11/$B$9*((MAX(0,MIN(1,X16))^2/(MAX(0,MIN(1,X16))^2+(1-MAX(0,MIN(1,X16)))^2/$B$5))-(MAX(0,MIN(1,W16))^2/(MAX(0,MIN(1,W16))^2+(1-MAX(0,MIN(1,W16)))^2/$B$5))))</f>
        <v>0</v>
      </c>
      <c r="Y17" s="16" t="n">
        <f aca="false">IF(ABS(Y16-$B$11/$B$9*((MAX(0,MIN(1,Y16))^2/(MAX(0,MIN(1,Y16))^2+(1-MAX(0,MIN(1,Y16)))^2/$B$5))-(MAX(0,MIN(1,X16))^2/(MAX(0,MIN(1,X16))^2+(1-MAX(0,MIN(1,X16)))^2/$B$5))))&lt;0.000000001,0,Y16-$B$11/$B$9*((MAX(0,MIN(1,Y16))^2/(MAX(0,MIN(1,Y16))^2+(1-MAX(0,MIN(1,Y16)))^2/$B$5))-(MAX(0,MIN(1,X16))^2/(MAX(0,MIN(1,X16))^2+(1-MAX(0,MIN(1,X16)))^2/$B$5))))</f>
        <v>0</v>
      </c>
      <c r="Z17" s="16" t="n">
        <f aca="false">IF(ABS(Z16-$B$11/$B$9*((MAX(0,MIN(1,Z16))^2/(MAX(0,MIN(1,Z16))^2+(1-MAX(0,MIN(1,Z16)))^2/$B$5))-(MAX(0,MIN(1,Y16))^2/(MAX(0,MIN(1,Y16))^2+(1-MAX(0,MIN(1,Y16)))^2/$B$5))))&lt;0.000000001,0,Z16-$B$11/$B$9*((MAX(0,MIN(1,Z16))^2/(MAX(0,MIN(1,Z16))^2+(1-MAX(0,MIN(1,Z16)))^2/$B$5))-(MAX(0,MIN(1,Y16))^2/(MAX(0,MIN(1,Y16))^2+(1-MAX(0,MIN(1,Y16)))^2/$B$5))))</f>
        <v>0</v>
      </c>
      <c r="AA17" s="16" t="n">
        <f aca="false">IF(ABS(AA16-$B$11/$B$9*((MAX(0,MIN(1,AA16))^2/(MAX(0,MIN(1,AA16))^2+(1-MAX(0,MIN(1,AA16)))^2/$B$5))-(MAX(0,MIN(1,Z16))^2/(MAX(0,MIN(1,Z16))^2+(1-MAX(0,MIN(1,Z16)))^2/$B$5))))&lt;0.000000001,0,AA16-$B$11/$B$9*((MAX(0,MIN(1,AA16))^2/(MAX(0,MIN(1,AA16))^2+(1-MAX(0,MIN(1,AA16)))^2/$B$5))-(MAX(0,MIN(1,Z16))^2/(MAX(0,MIN(1,Z16))^2+(1-MAX(0,MIN(1,Z16)))^2/$B$5))))</f>
        <v>0</v>
      </c>
      <c r="AB17" s="16" t="n">
        <f aca="false">IF(ABS(AB16-$B$11/$B$9*((MAX(0,MIN(1,AB16))^2/(MAX(0,MIN(1,AB16))^2+(1-MAX(0,MIN(1,AB16)))^2/$B$5))-(MAX(0,MIN(1,AA16))^2/(MAX(0,MIN(1,AA16))^2+(1-MAX(0,MIN(1,AA16)))^2/$B$5))))&lt;0.000000001,0,AB16-$B$11/$B$9*((MAX(0,MIN(1,AB16))^2/(MAX(0,MIN(1,AB16))^2+(1-MAX(0,MIN(1,AB16)))^2/$B$5))-(MAX(0,MIN(1,AA16))^2/(MAX(0,MIN(1,AA16))^2+(1-MAX(0,MIN(1,AA16)))^2/$B$5))))</f>
        <v>0</v>
      </c>
      <c r="AC17" s="16" t="n">
        <f aca="false">IF(ABS(AC16-$B$11/$B$9*((MAX(0,MIN(1,AC16))^2/(MAX(0,MIN(1,AC16))^2+(1-MAX(0,MIN(1,AC16)))^2/$B$5))-(MAX(0,MIN(1,AB16))^2/(MAX(0,MIN(1,AB16))^2+(1-MAX(0,MIN(1,AB16)))^2/$B$5))))&lt;0.000000001,0,AC16-$B$11/$B$9*((MAX(0,MIN(1,AC16))^2/(MAX(0,MIN(1,AC16))^2+(1-MAX(0,MIN(1,AC16)))^2/$B$5))-(MAX(0,MIN(1,AB16))^2/(MAX(0,MIN(1,AB16))^2+(1-MAX(0,MIN(1,AB16)))^2/$B$5))))</f>
        <v>0</v>
      </c>
      <c r="AD17" s="16" t="n">
        <f aca="false">IF(ABS(AD16-$B$11/$B$9*((MAX(0,MIN(1,AD16))^2/(MAX(0,MIN(1,AD16))^2+(1-MAX(0,MIN(1,AD16)))^2/$B$5))-(MAX(0,MIN(1,AC16))^2/(MAX(0,MIN(1,AC16))^2+(1-MAX(0,MIN(1,AC16)))^2/$B$5))))&lt;0.000000001,0,AD16-$B$11/$B$9*((MAX(0,MIN(1,AD16))^2/(MAX(0,MIN(1,AD16))^2+(1-MAX(0,MIN(1,AD16)))^2/$B$5))-(MAX(0,MIN(1,AC16))^2/(MAX(0,MIN(1,AC16))^2+(1-MAX(0,MIN(1,AC16)))^2/$B$5))))</f>
        <v>0</v>
      </c>
      <c r="AE17" s="16" t="n">
        <f aca="false">IF(ABS(AE16-$B$11/$B$9*((MAX(0,MIN(1,AE16))^2/(MAX(0,MIN(1,AE16))^2+(1-MAX(0,MIN(1,AE16)))^2/$B$5))-(MAX(0,MIN(1,AD16))^2/(MAX(0,MIN(1,AD16))^2+(1-MAX(0,MIN(1,AD16)))^2/$B$5))))&lt;0.000000001,0,AE16-$B$11/$B$9*((MAX(0,MIN(1,AE16))^2/(MAX(0,MIN(1,AE16))^2+(1-MAX(0,MIN(1,AE16)))^2/$B$5))-(MAX(0,MIN(1,AD16))^2/(MAX(0,MIN(1,AD16))^2+(1-MAX(0,MIN(1,AD16)))^2/$B$5))))</f>
        <v>0</v>
      </c>
      <c r="AF17" s="16" t="n">
        <f aca="false">IF(ABS(AF16-$B$11/$B$9*((MAX(0,MIN(1,AF16))^2/(MAX(0,MIN(1,AF16))^2+(1-MAX(0,MIN(1,AF16)))^2/$B$5))-(MAX(0,MIN(1,AE16))^2/(MAX(0,MIN(1,AE16))^2+(1-MAX(0,MIN(1,AE16)))^2/$B$5))))&lt;0.000000001,0,AF16-$B$11/$B$9*((MAX(0,MIN(1,AF16))^2/(MAX(0,MIN(1,AF16))^2+(1-MAX(0,MIN(1,AF16)))^2/$B$5))-(MAX(0,MIN(1,AE16))^2/(MAX(0,MIN(1,AE16))^2+(1-MAX(0,MIN(1,AE16)))^2/$B$5))))</f>
        <v>0</v>
      </c>
    </row>
    <row r="18" customFormat="false" ht="15" hidden="false" customHeight="false" outlineLevel="0" collapsed="false">
      <c r="A18" s="0" t="n">
        <v>0.13</v>
      </c>
      <c r="D18" s="0" t="n">
        <f aca="false">A18</f>
        <v>0.13</v>
      </c>
      <c r="E18" s="0" t="n">
        <f aca="false">(G18-G17)/(A18-A17)</f>
        <v>0.689035939207632</v>
      </c>
      <c r="F18" s="0" t="n">
        <f aca="false">G18/A18</f>
        <v>0.328822562286582</v>
      </c>
      <c r="G18" s="0" t="n">
        <f aca="false">A18^2/(A18^2+(1-A18)^2/$B$5)</f>
        <v>0.0427469330972556</v>
      </c>
      <c r="L18" s="0" t="n">
        <v>8</v>
      </c>
      <c r="M18" s="16" t="n">
        <f aca="false">IF(ABS(M17-$B$11/$B$9*((MAX(0,MIN(1,M17))^2/(MAX(0,MIN(1,M17))^2+(1-MAX(0,MIN(1,M17)))^2/$B$5))-(MAX(0,MIN(1,1))^2/(MAX(0,MIN(1,1))^2+(1-MAX(0,MIN(1,1)))^2/$B$5))))&lt;0.000000001,0,M17-$B$11/$B$9*((MAX(0,MIN(1,M17))^2/(MAX(0,MIN(1,M17))^2+(1-MAX(0,MIN(1,M17)))^2/$B$5))-(MAX(0,MIN(1,1))^2/(MAX(0,MIN(1,1))^2+(1-MAX(0,MIN(1,1)))^2/$B$5))))</f>
        <v>0.795311654873707</v>
      </c>
      <c r="N18" s="16" t="n">
        <f aca="false">IF(ABS(N17-$B$11/$B$9*((MAX(0,MIN(1,N17))^2/(MAX(0,MIN(1,N17))^2+(1-MAX(0,MIN(1,N17)))^2/$B$5))-(MAX(0,MIN(1,M17))^2/(MAX(0,MIN(1,M17))^2+(1-MAX(0,MIN(1,M17)))^2/$B$5))))&lt;0.000000001,0,N17-$B$11/$B$9*((MAX(0,MIN(1,N17))^2/(MAX(0,MIN(1,N17))^2+(1-MAX(0,MIN(1,N17)))^2/$B$5))-(MAX(0,MIN(1,M17))^2/(MAX(0,MIN(1,M17))^2+(1-MAX(0,MIN(1,M17)))^2/$B$5))))</f>
        <v>0.710226478492525</v>
      </c>
      <c r="O18" s="16" t="n">
        <f aca="false">IF(ABS(O17-$B$11/$B$9*((MAX(0,MIN(1,O17))^2/(MAX(0,MIN(1,O17))^2+(1-MAX(0,MIN(1,O17)))^2/$B$5))-(MAX(0,MIN(1,N17))^2/(MAX(0,MIN(1,N17))^2+(1-MAX(0,MIN(1,N17)))^2/$B$5))))&lt;0.000000001,0,O17-$B$11/$B$9*((MAX(0,MIN(1,O17))^2/(MAX(0,MIN(1,O17))^2+(1-MAX(0,MIN(1,O17)))^2/$B$5))-(MAX(0,MIN(1,N17))^2/(MAX(0,MIN(1,N17))^2+(1-MAX(0,MIN(1,N17)))^2/$B$5))))</f>
        <v>0.639344723746405</v>
      </c>
      <c r="P18" s="16" t="n">
        <f aca="false">IF(ABS(P17-$B$11/$B$9*((MAX(0,MIN(1,P17))^2/(MAX(0,MIN(1,P17))^2+(1-MAX(0,MIN(1,P17)))^2/$B$5))-(MAX(0,MIN(1,O17))^2/(MAX(0,MIN(1,O17))^2+(1-MAX(0,MIN(1,O17)))^2/$B$5))))&lt;0.000000001,0,P17-$B$11/$B$9*((MAX(0,MIN(1,P17))^2/(MAX(0,MIN(1,P17))^2+(1-MAX(0,MIN(1,P17)))^2/$B$5))-(MAX(0,MIN(1,O17))^2/(MAX(0,MIN(1,O17))^2+(1-MAX(0,MIN(1,O17)))^2/$B$5))))</f>
        <v>0.561438285176521</v>
      </c>
      <c r="Q18" s="16" t="n">
        <f aca="false">IF(ABS(Q17-$B$11/$B$9*((MAX(0,MIN(1,Q17))^2/(MAX(0,MIN(1,Q17))^2+(1-MAX(0,MIN(1,Q17)))^2/$B$5))-(MAX(0,MIN(1,P17))^2/(MAX(0,MIN(1,P17))^2+(1-MAX(0,MIN(1,P17)))^2/$B$5))))&lt;0.000000001,0,Q17-$B$11/$B$9*((MAX(0,MIN(1,Q17))^2/(MAX(0,MIN(1,Q17))^2+(1-MAX(0,MIN(1,Q17)))^2/$B$5))-(MAX(0,MIN(1,P17))^2/(MAX(0,MIN(1,P17))^2+(1-MAX(0,MIN(1,P17)))^2/$B$5))))</f>
        <v>0.357125754689841</v>
      </c>
      <c r="R18" s="16" t="n">
        <f aca="false">IF(ABS(R17-$B$11/$B$9*((MAX(0,MIN(1,R17))^2/(MAX(0,MIN(1,R17))^2+(1-MAX(0,MIN(1,R17)))^2/$B$5))-(MAX(0,MIN(1,Q17))^2/(MAX(0,MIN(1,Q17))^2+(1-MAX(0,MIN(1,Q17)))^2/$B$5))))&lt;0.000000001,0,R17-$B$11/$B$9*((MAX(0,MIN(1,R17))^2/(MAX(0,MIN(1,R17))^2+(1-MAX(0,MIN(1,R17)))^2/$B$5))-(MAX(0,MIN(1,Q17))^2/(MAX(0,MIN(1,Q17))^2+(1-MAX(0,MIN(1,Q17)))^2/$B$5))))</f>
        <v>0.0128041839053873</v>
      </c>
      <c r="S18" s="16" t="n">
        <f aca="false">IF(ABS(S17-$B$11/$B$9*((MAX(0,MIN(1,S17))^2/(MAX(0,MIN(1,S17))^2+(1-MAX(0,MIN(1,S17)))^2/$B$5))-(MAX(0,MIN(1,R17))^2/(MAX(0,MIN(1,R17))^2+(1-MAX(0,MIN(1,R17)))^2/$B$5))))&lt;0.000000001,0,S17-$B$11/$B$9*((MAX(0,MIN(1,S17))^2/(MAX(0,MIN(1,S17))^2+(1-MAX(0,MIN(1,S17)))^2/$B$5))-(MAX(0,MIN(1,R17))^2/(MAX(0,MIN(1,R17))^2+(1-MAX(0,MIN(1,R17)))^2/$B$5))))</f>
        <v>0</v>
      </c>
      <c r="T18" s="16" t="n">
        <f aca="false">IF(ABS(T17-$B$11/$B$9*((MAX(0,MIN(1,T17))^2/(MAX(0,MIN(1,T17))^2+(1-MAX(0,MIN(1,T17)))^2/$B$5))-(MAX(0,MIN(1,S17))^2/(MAX(0,MIN(1,S17))^2+(1-MAX(0,MIN(1,S17)))^2/$B$5))))&lt;0.000000001,0,T17-$B$11/$B$9*((MAX(0,MIN(1,T17))^2/(MAX(0,MIN(1,T17))^2+(1-MAX(0,MIN(1,T17)))^2/$B$5))-(MAX(0,MIN(1,S17))^2/(MAX(0,MIN(1,S17))^2+(1-MAX(0,MIN(1,S17)))^2/$B$5))))</f>
        <v>0</v>
      </c>
      <c r="U18" s="16" t="n">
        <f aca="false">IF(ABS(U17-$B$11/$B$9*((MAX(0,MIN(1,U17))^2/(MAX(0,MIN(1,U17))^2+(1-MAX(0,MIN(1,U17)))^2/$B$5))-(MAX(0,MIN(1,T17))^2/(MAX(0,MIN(1,T17))^2+(1-MAX(0,MIN(1,T17)))^2/$B$5))))&lt;0.000000001,0,U17-$B$11/$B$9*((MAX(0,MIN(1,U17))^2/(MAX(0,MIN(1,U17))^2+(1-MAX(0,MIN(1,U17)))^2/$B$5))-(MAX(0,MIN(1,T17))^2/(MAX(0,MIN(1,T17))^2+(1-MAX(0,MIN(1,T17)))^2/$B$5))))</f>
        <v>0</v>
      </c>
      <c r="V18" s="16" t="n">
        <f aca="false">IF(ABS(V17-$B$11/$B$9*((MAX(0,MIN(1,V17))^2/(MAX(0,MIN(1,V17))^2+(1-MAX(0,MIN(1,V17)))^2/$B$5))-(MAX(0,MIN(1,U17))^2/(MAX(0,MIN(1,U17))^2+(1-MAX(0,MIN(1,U17)))^2/$B$5))))&lt;0.000000001,0,V17-$B$11/$B$9*((MAX(0,MIN(1,V17))^2/(MAX(0,MIN(1,V17))^2+(1-MAX(0,MIN(1,V17)))^2/$B$5))-(MAX(0,MIN(1,U17))^2/(MAX(0,MIN(1,U17))^2+(1-MAX(0,MIN(1,U17)))^2/$B$5))))</f>
        <v>0</v>
      </c>
      <c r="W18" s="16" t="n">
        <f aca="false">IF(ABS(W17-$B$11/$B$9*((MAX(0,MIN(1,W17))^2/(MAX(0,MIN(1,W17))^2+(1-MAX(0,MIN(1,W17)))^2/$B$5))-(MAX(0,MIN(1,V17))^2/(MAX(0,MIN(1,V17))^2+(1-MAX(0,MIN(1,V17)))^2/$B$5))))&lt;0.000000001,0,W17-$B$11/$B$9*((MAX(0,MIN(1,W17))^2/(MAX(0,MIN(1,W17))^2+(1-MAX(0,MIN(1,W17)))^2/$B$5))-(MAX(0,MIN(1,V17))^2/(MAX(0,MIN(1,V17))^2+(1-MAX(0,MIN(1,V17)))^2/$B$5))))</f>
        <v>0</v>
      </c>
      <c r="X18" s="16" t="n">
        <f aca="false">IF(ABS(X17-$B$11/$B$9*((MAX(0,MIN(1,X17))^2/(MAX(0,MIN(1,X17))^2+(1-MAX(0,MIN(1,X17)))^2/$B$5))-(MAX(0,MIN(1,W17))^2/(MAX(0,MIN(1,W17))^2+(1-MAX(0,MIN(1,W17)))^2/$B$5))))&lt;0.000000001,0,X17-$B$11/$B$9*((MAX(0,MIN(1,X17))^2/(MAX(0,MIN(1,X17))^2+(1-MAX(0,MIN(1,X17)))^2/$B$5))-(MAX(0,MIN(1,W17))^2/(MAX(0,MIN(1,W17))^2+(1-MAX(0,MIN(1,W17)))^2/$B$5))))</f>
        <v>0</v>
      </c>
      <c r="Y18" s="16" t="n">
        <f aca="false">IF(ABS(Y17-$B$11/$B$9*((MAX(0,MIN(1,Y17))^2/(MAX(0,MIN(1,Y17))^2+(1-MAX(0,MIN(1,Y17)))^2/$B$5))-(MAX(0,MIN(1,X17))^2/(MAX(0,MIN(1,X17))^2+(1-MAX(0,MIN(1,X17)))^2/$B$5))))&lt;0.000000001,0,Y17-$B$11/$B$9*((MAX(0,MIN(1,Y17))^2/(MAX(0,MIN(1,Y17))^2+(1-MAX(0,MIN(1,Y17)))^2/$B$5))-(MAX(0,MIN(1,X17))^2/(MAX(0,MIN(1,X17))^2+(1-MAX(0,MIN(1,X17)))^2/$B$5))))</f>
        <v>0</v>
      </c>
      <c r="Z18" s="16" t="n">
        <f aca="false">IF(ABS(Z17-$B$11/$B$9*((MAX(0,MIN(1,Z17))^2/(MAX(0,MIN(1,Z17))^2+(1-MAX(0,MIN(1,Z17)))^2/$B$5))-(MAX(0,MIN(1,Y17))^2/(MAX(0,MIN(1,Y17))^2+(1-MAX(0,MIN(1,Y17)))^2/$B$5))))&lt;0.000000001,0,Z17-$B$11/$B$9*((MAX(0,MIN(1,Z17))^2/(MAX(0,MIN(1,Z17))^2+(1-MAX(0,MIN(1,Z17)))^2/$B$5))-(MAX(0,MIN(1,Y17))^2/(MAX(0,MIN(1,Y17))^2+(1-MAX(0,MIN(1,Y17)))^2/$B$5))))</f>
        <v>0</v>
      </c>
      <c r="AA18" s="16" t="n">
        <f aca="false">IF(ABS(AA17-$B$11/$B$9*((MAX(0,MIN(1,AA17))^2/(MAX(0,MIN(1,AA17))^2+(1-MAX(0,MIN(1,AA17)))^2/$B$5))-(MAX(0,MIN(1,Z17))^2/(MAX(0,MIN(1,Z17))^2+(1-MAX(0,MIN(1,Z17)))^2/$B$5))))&lt;0.000000001,0,AA17-$B$11/$B$9*((MAX(0,MIN(1,AA17))^2/(MAX(0,MIN(1,AA17))^2+(1-MAX(0,MIN(1,AA17)))^2/$B$5))-(MAX(0,MIN(1,Z17))^2/(MAX(0,MIN(1,Z17))^2+(1-MAX(0,MIN(1,Z17)))^2/$B$5))))</f>
        <v>0</v>
      </c>
      <c r="AB18" s="16" t="n">
        <f aca="false">IF(ABS(AB17-$B$11/$B$9*((MAX(0,MIN(1,AB17))^2/(MAX(0,MIN(1,AB17))^2+(1-MAX(0,MIN(1,AB17)))^2/$B$5))-(MAX(0,MIN(1,AA17))^2/(MAX(0,MIN(1,AA17))^2+(1-MAX(0,MIN(1,AA17)))^2/$B$5))))&lt;0.000000001,0,AB17-$B$11/$B$9*((MAX(0,MIN(1,AB17))^2/(MAX(0,MIN(1,AB17))^2+(1-MAX(0,MIN(1,AB17)))^2/$B$5))-(MAX(0,MIN(1,AA17))^2/(MAX(0,MIN(1,AA17))^2+(1-MAX(0,MIN(1,AA17)))^2/$B$5))))</f>
        <v>0</v>
      </c>
      <c r="AC18" s="16" t="n">
        <f aca="false">IF(ABS(AC17-$B$11/$B$9*((MAX(0,MIN(1,AC17))^2/(MAX(0,MIN(1,AC17))^2+(1-MAX(0,MIN(1,AC17)))^2/$B$5))-(MAX(0,MIN(1,AB17))^2/(MAX(0,MIN(1,AB17))^2+(1-MAX(0,MIN(1,AB17)))^2/$B$5))))&lt;0.000000001,0,AC17-$B$11/$B$9*((MAX(0,MIN(1,AC17))^2/(MAX(0,MIN(1,AC17))^2+(1-MAX(0,MIN(1,AC17)))^2/$B$5))-(MAX(0,MIN(1,AB17))^2/(MAX(0,MIN(1,AB17))^2+(1-MAX(0,MIN(1,AB17)))^2/$B$5))))</f>
        <v>0</v>
      </c>
      <c r="AD18" s="16" t="n">
        <f aca="false">IF(ABS(AD17-$B$11/$B$9*((MAX(0,MIN(1,AD17))^2/(MAX(0,MIN(1,AD17))^2+(1-MAX(0,MIN(1,AD17)))^2/$B$5))-(MAX(0,MIN(1,AC17))^2/(MAX(0,MIN(1,AC17))^2+(1-MAX(0,MIN(1,AC17)))^2/$B$5))))&lt;0.000000001,0,AD17-$B$11/$B$9*((MAX(0,MIN(1,AD17))^2/(MAX(0,MIN(1,AD17))^2+(1-MAX(0,MIN(1,AD17)))^2/$B$5))-(MAX(0,MIN(1,AC17))^2/(MAX(0,MIN(1,AC17))^2+(1-MAX(0,MIN(1,AC17)))^2/$B$5))))</f>
        <v>0</v>
      </c>
      <c r="AE18" s="16" t="n">
        <f aca="false">IF(ABS(AE17-$B$11/$B$9*((MAX(0,MIN(1,AE17))^2/(MAX(0,MIN(1,AE17))^2+(1-MAX(0,MIN(1,AE17)))^2/$B$5))-(MAX(0,MIN(1,AD17))^2/(MAX(0,MIN(1,AD17))^2+(1-MAX(0,MIN(1,AD17)))^2/$B$5))))&lt;0.000000001,0,AE17-$B$11/$B$9*((MAX(0,MIN(1,AE17))^2/(MAX(0,MIN(1,AE17))^2+(1-MAX(0,MIN(1,AE17)))^2/$B$5))-(MAX(0,MIN(1,AD17))^2/(MAX(0,MIN(1,AD17))^2+(1-MAX(0,MIN(1,AD17)))^2/$B$5))))</f>
        <v>0</v>
      </c>
      <c r="AF18" s="16" t="n">
        <f aca="false">IF(ABS(AF17-$B$11/$B$9*((MAX(0,MIN(1,AF17))^2/(MAX(0,MIN(1,AF17))^2+(1-MAX(0,MIN(1,AF17)))^2/$B$5))-(MAX(0,MIN(1,AE17))^2/(MAX(0,MIN(1,AE17))^2+(1-MAX(0,MIN(1,AE17)))^2/$B$5))))&lt;0.000000001,0,AF17-$B$11/$B$9*((MAX(0,MIN(1,AF17))^2/(MAX(0,MIN(1,AF17))^2+(1-MAX(0,MIN(1,AF17)))^2/$B$5))-(MAX(0,MIN(1,AE17))^2/(MAX(0,MIN(1,AE17))^2+(1-MAX(0,MIN(1,AE17)))^2/$B$5))))</f>
        <v>0</v>
      </c>
    </row>
    <row r="19" customFormat="false" ht="15" hidden="false" customHeight="false" outlineLevel="0" collapsed="false">
      <c r="A19" s="0" t="n">
        <v>0.14</v>
      </c>
      <c r="D19" s="0" t="n">
        <f aca="false">A19</f>
        <v>0.14</v>
      </c>
      <c r="E19" s="0" t="n">
        <f aca="false">(G19-G18)/(A19-A18)</f>
        <v>0.758691384676084</v>
      </c>
      <c r="F19" s="0" t="n">
        <f aca="false">G19/A19</f>
        <v>0.359527478171546</v>
      </c>
      <c r="G19" s="0" t="n">
        <f aca="false">A19^2/(A19^2+(1-A19)^2/$B$5)</f>
        <v>0.0503338469440165</v>
      </c>
      <c r="L19" s="0" t="n">
        <v>9</v>
      </c>
      <c r="M19" s="16" t="n">
        <f aca="false">IF(ABS(M18-$B$11/$B$9*((MAX(0,MIN(1,M18))^2/(MAX(0,MIN(1,M18))^2+(1-MAX(0,MIN(1,M18)))^2/$B$5))-(MAX(0,MIN(1,1))^2/(MAX(0,MIN(1,1))^2+(1-MAX(0,MIN(1,1)))^2/$B$5))))&lt;0.000000001,0,M18-$B$11/$B$9*((MAX(0,MIN(1,M18))^2/(MAX(0,MIN(1,M18))^2+(1-MAX(0,MIN(1,M18)))^2/$B$5))-(MAX(0,MIN(1,1))^2/(MAX(0,MIN(1,1))^2+(1-MAX(0,MIN(1,1)))^2/$B$5))))</f>
        <v>0.807638809546363</v>
      </c>
      <c r="N19" s="16" t="n">
        <f aca="false">IF(ABS(N18-$B$11/$B$9*((MAX(0,MIN(1,N18))^2/(MAX(0,MIN(1,N18))^2+(1-MAX(0,MIN(1,N18)))^2/$B$5))-(MAX(0,MIN(1,M18))^2/(MAX(0,MIN(1,M18))^2+(1-MAX(0,MIN(1,M18)))^2/$B$5))))&lt;0.000000001,0,N18-$B$11/$B$9*((MAX(0,MIN(1,N18))^2/(MAX(0,MIN(1,N18))^2+(1-MAX(0,MIN(1,N18)))^2/$B$5))-(MAX(0,MIN(1,M18))^2/(MAX(0,MIN(1,M18))^2+(1-MAX(0,MIN(1,M18)))^2/$B$5))))</f>
        <v>0.727445666888839</v>
      </c>
      <c r="O19" s="16" t="n">
        <f aca="false">IF(ABS(O18-$B$11/$B$9*((MAX(0,MIN(1,O18))^2/(MAX(0,MIN(1,O18))^2+(1-MAX(0,MIN(1,O18)))^2/$B$5))-(MAX(0,MIN(1,N18))^2/(MAX(0,MIN(1,N18))^2+(1-MAX(0,MIN(1,N18)))^2/$B$5))))&lt;0.000000001,0,O18-$B$11/$B$9*((MAX(0,MIN(1,O18))^2/(MAX(0,MIN(1,O18))^2+(1-MAX(0,MIN(1,O18)))^2/$B$5))-(MAX(0,MIN(1,N18))^2/(MAX(0,MIN(1,N18))^2+(1-MAX(0,MIN(1,N18)))^2/$B$5))))</f>
        <v>0.662581292686678</v>
      </c>
      <c r="P19" s="16" t="n">
        <f aca="false">IF(ABS(P18-$B$11/$B$9*((MAX(0,MIN(1,P18))^2/(MAX(0,MIN(1,P18))^2+(1-MAX(0,MIN(1,P18)))^2/$B$5))-(MAX(0,MIN(1,O18))^2/(MAX(0,MIN(1,O18))^2+(1-MAX(0,MIN(1,O18)))^2/$B$5))))&lt;0.000000001,0,P18-$B$11/$B$9*((MAX(0,MIN(1,P18))^2/(MAX(0,MIN(1,P18))^2+(1-MAX(0,MIN(1,P18)))^2/$B$5))-(MAX(0,MIN(1,O18))^2/(MAX(0,MIN(1,O18))^2+(1-MAX(0,MIN(1,O18)))^2/$B$5))))</f>
        <v>0.598546920318248</v>
      </c>
      <c r="Q19" s="16" t="n">
        <f aca="false">IF(ABS(Q18-$B$11/$B$9*((MAX(0,MIN(1,Q18))^2/(MAX(0,MIN(1,Q18))^2+(1-MAX(0,MIN(1,Q18)))^2/$B$5))-(MAX(0,MIN(1,P18))^2/(MAX(0,MIN(1,P18))^2+(1-MAX(0,MIN(1,P18)))^2/$B$5))))&lt;0.000000001,0,Q18-$B$11/$B$9*((MAX(0,MIN(1,Q18))^2/(MAX(0,MIN(1,Q18))^2+(1-MAX(0,MIN(1,Q18)))^2/$B$5))-(MAX(0,MIN(1,P18))^2/(MAX(0,MIN(1,P18))^2+(1-MAX(0,MIN(1,P18)))^2/$B$5))))</f>
        <v>0.505011408313667</v>
      </c>
      <c r="R19" s="16" t="n">
        <f aca="false">IF(ABS(R18-$B$11/$B$9*((MAX(0,MIN(1,R18))^2/(MAX(0,MIN(1,R18))^2+(1-MAX(0,MIN(1,R18)))^2/$B$5))-(MAX(0,MIN(1,Q18))^2/(MAX(0,MIN(1,Q18))^2+(1-MAX(0,MIN(1,Q18)))^2/$B$5))))&lt;0.000000001,0,R18-$B$11/$B$9*((MAX(0,MIN(1,R18))^2/(MAX(0,MIN(1,R18))^2+(1-MAX(0,MIN(1,R18)))^2/$B$5))-(MAX(0,MIN(1,Q18))^2/(MAX(0,MIN(1,Q18))^2+(1-MAX(0,MIN(1,Q18)))^2/$B$5))))</f>
        <v>0.159429034213072</v>
      </c>
      <c r="S19" s="16" t="n">
        <f aca="false">IF(ABS(S18-$B$11/$B$9*((MAX(0,MIN(1,S18))^2/(MAX(0,MIN(1,S18))^2+(1-MAX(0,MIN(1,S18)))^2/$B$5))-(MAX(0,MIN(1,R18))^2/(MAX(0,MIN(1,R18))^2+(1-MAX(0,MIN(1,R18)))^2/$B$5))))&lt;0.000000001,0,S18-$B$11/$B$9*((MAX(0,MIN(1,S18))^2/(MAX(0,MIN(1,S18))^2+(1-MAX(0,MIN(1,S18)))^2/$B$5))-(MAX(0,MIN(1,R18))^2/(MAX(0,MIN(1,R18))^2+(1-MAX(0,MIN(1,R18)))^2/$B$5))))</f>
        <v>0.000129334052654134</v>
      </c>
      <c r="T19" s="16" t="n">
        <f aca="false">IF(ABS(T18-$B$11/$B$9*((MAX(0,MIN(1,T18))^2/(MAX(0,MIN(1,T18))^2+(1-MAX(0,MIN(1,T18)))^2/$B$5))-(MAX(0,MIN(1,S18))^2/(MAX(0,MIN(1,S18))^2+(1-MAX(0,MIN(1,S18)))^2/$B$5))))&lt;0.000000001,0,T18-$B$11/$B$9*((MAX(0,MIN(1,T18))^2/(MAX(0,MIN(1,T18))^2+(1-MAX(0,MIN(1,T18)))^2/$B$5))-(MAX(0,MIN(1,S18))^2/(MAX(0,MIN(1,S18))^2+(1-MAX(0,MIN(1,S18)))^2/$B$5))))</f>
        <v>0</v>
      </c>
      <c r="U19" s="16" t="n">
        <f aca="false">IF(ABS(U18-$B$11/$B$9*((MAX(0,MIN(1,U18))^2/(MAX(0,MIN(1,U18))^2+(1-MAX(0,MIN(1,U18)))^2/$B$5))-(MAX(0,MIN(1,T18))^2/(MAX(0,MIN(1,T18))^2+(1-MAX(0,MIN(1,T18)))^2/$B$5))))&lt;0.000000001,0,U18-$B$11/$B$9*((MAX(0,MIN(1,U18))^2/(MAX(0,MIN(1,U18))^2+(1-MAX(0,MIN(1,U18)))^2/$B$5))-(MAX(0,MIN(1,T18))^2/(MAX(0,MIN(1,T18))^2+(1-MAX(0,MIN(1,T18)))^2/$B$5))))</f>
        <v>0</v>
      </c>
      <c r="V19" s="16" t="n">
        <f aca="false">IF(ABS(V18-$B$11/$B$9*((MAX(0,MIN(1,V18))^2/(MAX(0,MIN(1,V18))^2+(1-MAX(0,MIN(1,V18)))^2/$B$5))-(MAX(0,MIN(1,U18))^2/(MAX(0,MIN(1,U18))^2+(1-MAX(0,MIN(1,U18)))^2/$B$5))))&lt;0.000000001,0,V18-$B$11/$B$9*((MAX(0,MIN(1,V18))^2/(MAX(0,MIN(1,V18))^2+(1-MAX(0,MIN(1,V18)))^2/$B$5))-(MAX(0,MIN(1,U18))^2/(MAX(0,MIN(1,U18))^2+(1-MAX(0,MIN(1,U18)))^2/$B$5))))</f>
        <v>0</v>
      </c>
      <c r="W19" s="16" t="n">
        <f aca="false">IF(ABS(W18-$B$11/$B$9*((MAX(0,MIN(1,W18))^2/(MAX(0,MIN(1,W18))^2+(1-MAX(0,MIN(1,W18)))^2/$B$5))-(MAX(0,MIN(1,V18))^2/(MAX(0,MIN(1,V18))^2+(1-MAX(0,MIN(1,V18)))^2/$B$5))))&lt;0.000000001,0,W18-$B$11/$B$9*((MAX(0,MIN(1,W18))^2/(MAX(0,MIN(1,W18))^2+(1-MAX(0,MIN(1,W18)))^2/$B$5))-(MAX(0,MIN(1,V18))^2/(MAX(0,MIN(1,V18))^2+(1-MAX(0,MIN(1,V18)))^2/$B$5))))</f>
        <v>0</v>
      </c>
      <c r="X19" s="16" t="n">
        <f aca="false">IF(ABS(X18-$B$11/$B$9*((MAX(0,MIN(1,X18))^2/(MAX(0,MIN(1,X18))^2+(1-MAX(0,MIN(1,X18)))^2/$B$5))-(MAX(0,MIN(1,W18))^2/(MAX(0,MIN(1,W18))^2+(1-MAX(0,MIN(1,W18)))^2/$B$5))))&lt;0.000000001,0,X18-$B$11/$B$9*((MAX(0,MIN(1,X18))^2/(MAX(0,MIN(1,X18))^2+(1-MAX(0,MIN(1,X18)))^2/$B$5))-(MAX(0,MIN(1,W18))^2/(MAX(0,MIN(1,W18))^2+(1-MAX(0,MIN(1,W18)))^2/$B$5))))</f>
        <v>0</v>
      </c>
      <c r="Y19" s="16" t="n">
        <f aca="false">IF(ABS(Y18-$B$11/$B$9*((MAX(0,MIN(1,Y18))^2/(MAX(0,MIN(1,Y18))^2+(1-MAX(0,MIN(1,Y18)))^2/$B$5))-(MAX(0,MIN(1,X18))^2/(MAX(0,MIN(1,X18))^2+(1-MAX(0,MIN(1,X18)))^2/$B$5))))&lt;0.000000001,0,Y18-$B$11/$B$9*((MAX(0,MIN(1,Y18))^2/(MAX(0,MIN(1,Y18))^2+(1-MAX(0,MIN(1,Y18)))^2/$B$5))-(MAX(0,MIN(1,X18))^2/(MAX(0,MIN(1,X18))^2+(1-MAX(0,MIN(1,X18)))^2/$B$5))))</f>
        <v>0</v>
      </c>
      <c r="Z19" s="16" t="n">
        <f aca="false">IF(ABS(Z18-$B$11/$B$9*((MAX(0,MIN(1,Z18))^2/(MAX(0,MIN(1,Z18))^2+(1-MAX(0,MIN(1,Z18)))^2/$B$5))-(MAX(0,MIN(1,Y18))^2/(MAX(0,MIN(1,Y18))^2+(1-MAX(0,MIN(1,Y18)))^2/$B$5))))&lt;0.000000001,0,Z18-$B$11/$B$9*((MAX(0,MIN(1,Z18))^2/(MAX(0,MIN(1,Z18))^2+(1-MAX(0,MIN(1,Z18)))^2/$B$5))-(MAX(0,MIN(1,Y18))^2/(MAX(0,MIN(1,Y18))^2+(1-MAX(0,MIN(1,Y18)))^2/$B$5))))</f>
        <v>0</v>
      </c>
      <c r="AA19" s="16" t="n">
        <f aca="false">IF(ABS(AA18-$B$11/$B$9*((MAX(0,MIN(1,AA18))^2/(MAX(0,MIN(1,AA18))^2+(1-MAX(0,MIN(1,AA18)))^2/$B$5))-(MAX(0,MIN(1,Z18))^2/(MAX(0,MIN(1,Z18))^2+(1-MAX(0,MIN(1,Z18)))^2/$B$5))))&lt;0.000000001,0,AA18-$B$11/$B$9*((MAX(0,MIN(1,AA18))^2/(MAX(0,MIN(1,AA18))^2+(1-MAX(0,MIN(1,AA18)))^2/$B$5))-(MAX(0,MIN(1,Z18))^2/(MAX(0,MIN(1,Z18))^2+(1-MAX(0,MIN(1,Z18)))^2/$B$5))))</f>
        <v>0</v>
      </c>
      <c r="AB19" s="16" t="n">
        <f aca="false">IF(ABS(AB18-$B$11/$B$9*((MAX(0,MIN(1,AB18))^2/(MAX(0,MIN(1,AB18))^2+(1-MAX(0,MIN(1,AB18)))^2/$B$5))-(MAX(0,MIN(1,AA18))^2/(MAX(0,MIN(1,AA18))^2+(1-MAX(0,MIN(1,AA18)))^2/$B$5))))&lt;0.000000001,0,AB18-$B$11/$B$9*((MAX(0,MIN(1,AB18))^2/(MAX(0,MIN(1,AB18))^2+(1-MAX(0,MIN(1,AB18)))^2/$B$5))-(MAX(0,MIN(1,AA18))^2/(MAX(0,MIN(1,AA18))^2+(1-MAX(0,MIN(1,AA18)))^2/$B$5))))</f>
        <v>0</v>
      </c>
      <c r="AC19" s="16" t="n">
        <f aca="false">IF(ABS(AC18-$B$11/$B$9*((MAX(0,MIN(1,AC18))^2/(MAX(0,MIN(1,AC18))^2+(1-MAX(0,MIN(1,AC18)))^2/$B$5))-(MAX(0,MIN(1,AB18))^2/(MAX(0,MIN(1,AB18))^2+(1-MAX(0,MIN(1,AB18)))^2/$B$5))))&lt;0.000000001,0,AC18-$B$11/$B$9*((MAX(0,MIN(1,AC18))^2/(MAX(0,MIN(1,AC18))^2+(1-MAX(0,MIN(1,AC18)))^2/$B$5))-(MAX(0,MIN(1,AB18))^2/(MAX(0,MIN(1,AB18))^2+(1-MAX(0,MIN(1,AB18)))^2/$B$5))))</f>
        <v>0</v>
      </c>
      <c r="AD19" s="16" t="n">
        <f aca="false">IF(ABS(AD18-$B$11/$B$9*((MAX(0,MIN(1,AD18))^2/(MAX(0,MIN(1,AD18))^2+(1-MAX(0,MIN(1,AD18)))^2/$B$5))-(MAX(0,MIN(1,AC18))^2/(MAX(0,MIN(1,AC18))^2+(1-MAX(0,MIN(1,AC18)))^2/$B$5))))&lt;0.000000001,0,AD18-$B$11/$B$9*((MAX(0,MIN(1,AD18))^2/(MAX(0,MIN(1,AD18))^2+(1-MAX(0,MIN(1,AD18)))^2/$B$5))-(MAX(0,MIN(1,AC18))^2/(MAX(0,MIN(1,AC18))^2+(1-MAX(0,MIN(1,AC18)))^2/$B$5))))</f>
        <v>0</v>
      </c>
      <c r="AE19" s="16" t="n">
        <f aca="false">IF(ABS(AE18-$B$11/$B$9*((MAX(0,MIN(1,AE18))^2/(MAX(0,MIN(1,AE18))^2+(1-MAX(0,MIN(1,AE18)))^2/$B$5))-(MAX(0,MIN(1,AD18))^2/(MAX(0,MIN(1,AD18))^2+(1-MAX(0,MIN(1,AD18)))^2/$B$5))))&lt;0.000000001,0,AE18-$B$11/$B$9*((MAX(0,MIN(1,AE18))^2/(MAX(0,MIN(1,AE18))^2+(1-MAX(0,MIN(1,AE18)))^2/$B$5))-(MAX(0,MIN(1,AD18))^2/(MAX(0,MIN(1,AD18))^2+(1-MAX(0,MIN(1,AD18)))^2/$B$5))))</f>
        <v>0</v>
      </c>
      <c r="AF19" s="16" t="n">
        <f aca="false">IF(ABS(AF18-$B$11/$B$9*((MAX(0,MIN(1,AF18))^2/(MAX(0,MIN(1,AF18))^2+(1-MAX(0,MIN(1,AF18)))^2/$B$5))-(MAX(0,MIN(1,AE18))^2/(MAX(0,MIN(1,AE18))^2+(1-MAX(0,MIN(1,AE18)))^2/$B$5))))&lt;0.000000001,0,AF18-$B$11/$B$9*((MAX(0,MIN(1,AF18))^2/(MAX(0,MIN(1,AF18))^2+(1-MAX(0,MIN(1,AF18)))^2/$B$5))-(MAX(0,MIN(1,AE18))^2/(MAX(0,MIN(1,AE18))^2+(1-MAX(0,MIN(1,AE18)))^2/$B$5))))</f>
        <v>0</v>
      </c>
    </row>
    <row r="20" customFormat="false" ht="15" hidden="false" customHeight="false" outlineLevel="0" collapsed="false">
      <c r="A20" s="0" t="n">
        <v>0.15</v>
      </c>
      <c r="D20" s="0" t="n">
        <f aca="false">A20</f>
        <v>0.15</v>
      </c>
      <c r="E20" s="0" t="n">
        <f aca="false">(G20-G19)/(A20-A19)</f>
        <v>0.82980748800878</v>
      </c>
      <c r="F20" s="0" t="n">
        <f aca="false">G20/A20</f>
        <v>0.390879478827362</v>
      </c>
      <c r="G20" s="0" t="n">
        <f aca="false">A20^2/(A20^2+(1-A20)^2/$B$5)</f>
        <v>0.0586319218241042</v>
      </c>
      <c r="L20" s="0" t="n">
        <v>10</v>
      </c>
      <c r="M20" s="16" t="n">
        <f aca="false">IF(ABS(M19-$B$11/$B$9*((MAX(0,MIN(1,M19))^2/(MAX(0,MIN(1,M19))^2+(1-MAX(0,MIN(1,M19)))^2/$B$5))-(MAX(0,MIN(1,1))^2/(MAX(0,MIN(1,1))^2+(1-MAX(0,MIN(1,1)))^2/$B$5))))&lt;0.000000001,0,M19-$B$11/$B$9*((MAX(0,MIN(1,M19))^2/(MAX(0,MIN(1,M19))^2+(1-MAX(0,MIN(1,M19)))^2/$B$5))-(MAX(0,MIN(1,1))^2/(MAX(0,MIN(1,1))^2+(1-MAX(0,MIN(1,1)))^2/$B$5))))</f>
        <v>0.818244901769797</v>
      </c>
      <c r="N20" s="16" t="n">
        <f aca="false">IF(ABS(N19-$B$11/$B$9*((MAX(0,MIN(1,N19))^2/(MAX(0,MIN(1,N19))^2+(1-MAX(0,MIN(1,N19)))^2/$B$5))-(MAX(0,MIN(1,M19))^2/(MAX(0,MIN(1,M19))^2+(1-MAX(0,MIN(1,M19)))^2/$B$5))))&lt;0.000000001,0,N19-$B$11/$B$9*((MAX(0,MIN(1,N19))^2/(MAX(0,MIN(1,N19))^2+(1-MAX(0,MIN(1,N19)))^2/$B$5))-(MAX(0,MIN(1,M19))^2/(MAX(0,MIN(1,M19))^2+(1-MAX(0,MIN(1,M19)))^2/$B$5))))</f>
        <v>0.742059626745146</v>
      </c>
      <c r="O20" s="16" t="n">
        <f aca="false">IF(ABS(O19-$B$11/$B$9*((MAX(0,MIN(1,O19))^2/(MAX(0,MIN(1,O19))^2+(1-MAX(0,MIN(1,O19)))^2/$B$5))-(MAX(0,MIN(1,N19))^2/(MAX(0,MIN(1,N19))^2+(1-MAX(0,MIN(1,N19)))^2/$B$5))))&lt;0.000000001,0,O19-$B$11/$B$9*((MAX(0,MIN(1,O19))^2/(MAX(0,MIN(1,O19))^2+(1-MAX(0,MIN(1,O19)))^2/$B$5))-(MAX(0,MIN(1,N19))^2/(MAX(0,MIN(1,N19))^2+(1-MAX(0,MIN(1,N19)))^2/$B$5))))</f>
        <v>0.681499100320741</v>
      </c>
      <c r="P20" s="16" t="n">
        <f aca="false">IF(ABS(P19-$B$11/$B$9*((MAX(0,MIN(1,P19))^2/(MAX(0,MIN(1,P19))^2+(1-MAX(0,MIN(1,P19)))^2/$B$5))-(MAX(0,MIN(1,O19))^2/(MAX(0,MIN(1,O19))^2+(1-MAX(0,MIN(1,O19)))^2/$B$5))))&lt;0.000000001,0,P19-$B$11/$B$9*((MAX(0,MIN(1,P19))^2/(MAX(0,MIN(1,P19))^2+(1-MAX(0,MIN(1,P19)))^2/$B$5))-(MAX(0,MIN(1,O19))^2/(MAX(0,MIN(1,O19))^2+(1-MAX(0,MIN(1,O19)))^2/$B$5))))</f>
        <v>0.625018779402915</v>
      </c>
      <c r="Q20" s="16" t="n">
        <f aca="false">IF(ABS(Q19-$B$11/$B$9*((MAX(0,MIN(1,Q19))^2/(MAX(0,MIN(1,Q19))^2+(1-MAX(0,MIN(1,Q19)))^2/$B$5))-(MAX(0,MIN(1,P19))^2/(MAX(0,MIN(1,P19))^2+(1-MAX(0,MIN(1,P19)))^2/$B$5))))&lt;0.000000001,0,Q19-$B$11/$B$9*((MAX(0,MIN(1,Q19))^2/(MAX(0,MIN(1,Q19))^2+(1-MAX(0,MIN(1,Q19)))^2/$B$5))-(MAX(0,MIN(1,P19))^2/(MAX(0,MIN(1,P19))^2+(1-MAX(0,MIN(1,P19)))^2/$B$5))))</f>
        <v>0.559176041055199</v>
      </c>
      <c r="R20" s="16" t="n">
        <f aca="false">IF(ABS(R19-$B$11/$B$9*((MAX(0,MIN(1,R19))^2/(MAX(0,MIN(1,R19))^2+(1-MAX(0,MIN(1,R19)))^2/$B$5))-(MAX(0,MIN(1,Q19))^2/(MAX(0,MIN(1,Q19))^2+(1-MAX(0,MIN(1,Q19)))^2/$B$5))))&lt;0.000000001,0,R19-$B$11/$B$9*((MAX(0,MIN(1,R19))^2/(MAX(0,MIN(1,R19))^2+(1-MAX(0,MIN(1,R19)))^2/$B$5))-(MAX(0,MIN(1,Q19))^2/(MAX(0,MIN(1,Q19))^2+(1-MAX(0,MIN(1,Q19)))^2/$B$5))))</f>
        <v>0.393376881688972</v>
      </c>
      <c r="S20" s="16" t="n">
        <f aca="false">IF(ABS(S19-$B$11/$B$9*((MAX(0,MIN(1,S19))^2/(MAX(0,MIN(1,S19))^2+(1-MAX(0,MIN(1,S19)))^2/$B$5))-(MAX(0,MIN(1,R19))^2/(MAX(0,MIN(1,R19))^2+(1-MAX(0,MIN(1,R19)))^2/$B$5))))&lt;0.000000001,0,S19-$B$11/$B$9*((MAX(0,MIN(1,S19))^2/(MAX(0,MIN(1,S19))^2+(1-MAX(0,MIN(1,S19)))^2/$B$5))-(MAX(0,MIN(1,R19))^2/(MAX(0,MIN(1,R19))^2+(1-MAX(0,MIN(1,R19)))^2/$B$5))))</f>
        <v>0.0259385073042183</v>
      </c>
      <c r="T20" s="16" t="n">
        <f aca="false">IF(ABS(T19-$B$11/$B$9*((MAX(0,MIN(1,T19))^2/(MAX(0,MIN(1,T19))^2+(1-MAX(0,MIN(1,T19)))^2/$B$5))-(MAX(0,MIN(1,S19))^2/(MAX(0,MIN(1,S19))^2+(1-MAX(0,MIN(1,S19)))^2/$B$5))))&lt;0.000000001,0,T19-$B$11/$B$9*((MAX(0,MIN(1,T19))^2/(MAX(0,MIN(1,T19))^2+(1-MAX(0,MIN(1,T19)))^2/$B$5))-(MAX(0,MIN(1,S19))^2/(MAX(0,MIN(1,S19))^2+(1-MAX(0,MIN(1,S19)))^2/$B$5))))</f>
        <v>1.28676693151817E-008</v>
      </c>
      <c r="U20" s="16" t="n">
        <f aca="false">IF(ABS(U19-$B$11/$B$9*((MAX(0,MIN(1,U19))^2/(MAX(0,MIN(1,U19))^2+(1-MAX(0,MIN(1,U19)))^2/$B$5))-(MAX(0,MIN(1,T19))^2/(MAX(0,MIN(1,T19))^2+(1-MAX(0,MIN(1,T19)))^2/$B$5))))&lt;0.000000001,0,U19-$B$11/$B$9*((MAX(0,MIN(1,U19))^2/(MAX(0,MIN(1,U19))^2+(1-MAX(0,MIN(1,U19)))^2/$B$5))-(MAX(0,MIN(1,T19))^2/(MAX(0,MIN(1,T19))^2+(1-MAX(0,MIN(1,T19)))^2/$B$5))))</f>
        <v>0</v>
      </c>
      <c r="V20" s="16" t="n">
        <f aca="false">IF(ABS(V19-$B$11/$B$9*((MAX(0,MIN(1,V19))^2/(MAX(0,MIN(1,V19))^2+(1-MAX(0,MIN(1,V19)))^2/$B$5))-(MAX(0,MIN(1,U19))^2/(MAX(0,MIN(1,U19))^2+(1-MAX(0,MIN(1,U19)))^2/$B$5))))&lt;0.000000001,0,V19-$B$11/$B$9*((MAX(0,MIN(1,V19))^2/(MAX(0,MIN(1,V19))^2+(1-MAX(0,MIN(1,V19)))^2/$B$5))-(MAX(0,MIN(1,U19))^2/(MAX(0,MIN(1,U19))^2+(1-MAX(0,MIN(1,U19)))^2/$B$5))))</f>
        <v>0</v>
      </c>
      <c r="W20" s="16" t="n">
        <f aca="false">IF(ABS(W19-$B$11/$B$9*((MAX(0,MIN(1,W19))^2/(MAX(0,MIN(1,W19))^2+(1-MAX(0,MIN(1,W19)))^2/$B$5))-(MAX(0,MIN(1,V19))^2/(MAX(0,MIN(1,V19))^2+(1-MAX(0,MIN(1,V19)))^2/$B$5))))&lt;0.000000001,0,W19-$B$11/$B$9*((MAX(0,MIN(1,W19))^2/(MAX(0,MIN(1,W19))^2+(1-MAX(0,MIN(1,W19)))^2/$B$5))-(MAX(0,MIN(1,V19))^2/(MAX(0,MIN(1,V19))^2+(1-MAX(0,MIN(1,V19)))^2/$B$5))))</f>
        <v>0</v>
      </c>
      <c r="X20" s="16" t="n">
        <f aca="false">IF(ABS(X19-$B$11/$B$9*((MAX(0,MIN(1,X19))^2/(MAX(0,MIN(1,X19))^2+(1-MAX(0,MIN(1,X19)))^2/$B$5))-(MAX(0,MIN(1,W19))^2/(MAX(0,MIN(1,W19))^2+(1-MAX(0,MIN(1,W19)))^2/$B$5))))&lt;0.000000001,0,X19-$B$11/$B$9*((MAX(0,MIN(1,X19))^2/(MAX(0,MIN(1,X19))^2+(1-MAX(0,MIN(1,X19)))^2/$B$5))-(MAX(0,MIN(1,W19))^2/(MAX(0,MIN(1,W19))^2+(1-MAX(0,MIN(1,W19)))^2/$B$5))))</f>
        <v>0</v>
      </c>
      <c r="Y20" s="16" t="n">
        <f aca="false">IF(ABS(Y19-$B$11/$B$9*((MAX(0,MIN(1,Y19))^2/(MAX(0,MIN(1,Y19))^2+(1-MAX(0,MIN(1,Y19)))^2/$B$5))-(MAX(0,MIN(1,X19))^2/(MAX(0,MIN(1,X19))^2+(1-MAX(0,MIN(1,X19)))^2/$B$5))))&lt;0.000000001,0,Y19-$B$11/$B$9*((MAX(0,MIN(1,Y19))^2/(MAX(0,MIN(1,Y19))^2+(1-MAX(0,MIN(1,Y19)))^2/$B$5))-(MAX(0,MIN(1,X19))^2/(MAX(0,MIN(1,X19))^2+(1-MAX(0,MIN(1,X19)))^2/$B$5))))</f>
        <v>0</v>
      </c>
      <c r="Z20" s="16" t="n">
        <f aca="false">IF(ABS(Z19-$B$11/$B$9*((MAX(0,MIN(1,Z19))^2/(MAX(0,MIN(1,Z19))^2+(1-MAX(0,MIN(1,Z19)))^2/$B$5))-(MAX(0,MIN(1,Y19))^2/(MAX(0,MIN(1,Y19))^2+(1-MAX(0,MIN(1,Y19)))^2/$B$5))))&lt;0.000000001,0,Z19-$B$11/$B$9*((MAX(0,MIN(1,Z19))^2/(MAX(0,MIN(1,Z19))^2+(1-MAX(0,MIN(1,Z19)))^2/$B$5))-(MAX(0,MIN(1,Y19))^2/(MAX(0,MIN(1,Y19))^2+(1-MAX(0,MIN(1,Y19)))^2/$B$5))))</f>
        <v>0</v>
      </c>
      <c r="AA20" s="16" t="n">
        <f aca="false">IF(ABS(AA19-$B$11/$B$9*((MAX(0,MIN(1,AA19))^2/(MAX(0,MIN(1,AA19))^2+(1-MAX(0,MIN(1,AA19)))^2/$B$5))-(MAX(0,MIN(1,Z19))^2/(MAX(0,MIN(1,Z19))^2+(1-MAX(0,MIN(1,Z19)))^2/$B$5))))&lt;0.000000001,0,AA19-$B$11/$B$9*((MAX(0,MIN(1,AA19))^2/(MAX(0,MIN(1,AA19))^2+(1-MAX(0,MIN(1,AA19)))^2/$B$5))-(MAX(0,MIN(1,Z19))^2/(MAX(0,MIN(1,Z19))^2+(1-MAX(0,MIN(1,Z19)))^2/$B$5))))</f>
        <v>0</v>
      </c>
      <c r="AB20" s="16" t="n">
        <f aca="false">IF(ABS(AB19-$B$11/$B$9*((MAX(0,MIN(1,AB19))^2/(MAX(0,MIN(1,AB19))^2+(1-MAX(0,MIN(1,AB19)))^2/$B$5))-(MAX(0,MIN(1,AA19))^2/(MAX(0,MIN(1,AA19))^2+(1-MAX(0,MIN(1,AA19)))^2/$B$5))))&lt;0.000000001,0,AB19-$B$11/$B$9*((MAX(0,MIN(1,AB19))^2/(MAX(0,MIN(1,AB19))^2+(1-MAX(0,MIN(1,AB19)))^2/$B$5))-(MAX(0,MIN(1,AA19))^2/(MAX(0,MIN(1,AA19))^2+(1-MAX(0,MIN(1,AA19)))^2/$B$5))))</f>
        <v>0</v>
      </c>
      <c r="AC20" s="16" t="n">
        <f aca="false">IF(ABS(AC19-$B$11/$B$9*((MAX(0,MIN(1,AC19))^2/(MAX(0,MIN(1,AC19))^2+(1-MAX(0,MIN(1,AC19)))^2/$B$5))-(MAX(0,MIN(1,AB19))^2/(MAX(0,MIN(1,AB19))^2+(1-MAX(0,MIN(1,AB19)))^2/$B$5))))&lt;0.000000001,0,AC19-$B$11/$B$9*((MAX(0,MIN(1,AC19))^2/(MAX(0,MIN(1,AC19))^2+(1-MAX(0,MIN(1,AC19)))^2/$B$5))-(MAX(0,MIN(1,AB19))^2/(MAX(0,MIN(1,AB19))^2+(1-MAX(0,MIN(1,AB19)))^2/$B$5))))</f>
        <v>0</v>
      </c>
      <c r="AD20" s="16" t="n">
        <f aca="false">IF(ABS(AD19-$B$11/$B$9*((MAX(0,MIN(1,AD19))^2/(MAX(0,MIN(1,AD19))^2+(1-MAX(0,MIN(1,AD19)))^2/$B$5))-(MAX(0,MIN(1,AC19))^2/(MAX(0,MIN(1,AC19))^2+(1-MAX(0,MIN(1,AC19)))^2/$B$5))))&lt;0.000000001,0,AD19-$B$11/$B$9*((MAX(0,MIN(1,AD19))^2/(MAX(0,MIN(1,AD19))^2+(1-MAX(0,MIN(1,AD19)))^2/$B$5))-(MAX(0,MIN(1,AC19))^2/(MAX(0,MIN(1,AC19))^2+(1-MAX(0,MIN(1,AC19)))^2/$B$5))))</f>
        <v>0</v>
      </c>
      <c r="AE20" s="16" t="n">
        <f aca="false">IF(ABS(AE19-$B$11/$B$9*((MAX(0,MIN(1,AE19))^2/(MAX(0,MIN(1,AE19))^2+(1-MAX(0,MIN(1,AE19)))^2/$B$5))-(MAX(0,MIN(1,AD19))^2/(MAX(0,MIN(1,AD19))^2+(1-MAX(0,MIN(1,AD19)))^2/$B$5))))&lt;0.000000001,0,AE19-$B$11/$B$9*((MAX(0,MIN(1,AE19))^2/(MAX(0,MIN(1,AE19))^2+(1-MAX(0,MIN(1,AE19)))^2/$B$5))-(MAX(0,MIN(1,AD19))^2/(MAX(0,MIN(1,AD19))^2+(1-MAX(0,MIN(1,AD19)))^2/$B$5))))</f>
        <v>0</v>
      </c>
      <c r="AF20" s="16" t="n">
        <f aca="false">IF(ABS(AF19-$B$11/$B$9*((MAX(0,MIN(1,AF19))^2/(MAX(0,MIN(1,AF19))^2+(1-MAX(0,MIN(1,AF19)))^2/$B$5))-(MAX(0,MIN(1,AE19))^2/(MAX(0,MIN(1,AE19))^2+(1-MAX(0,MIN(1,AE19)))^2/$B$5))))&lt;0.000000001,0,AF19-$B$11/$B$9*((MAX(0,MIN(1,AF19))^2/(MAX(0,MIN(1,AF19))^2+(1-MAX(0,MIN(1,AF19)))^2/$B$5))-(MAX(0,MIN(1,AE19))^2/(MAX(0,MIN(1,AE19))^2+(1-MAX(0,MIN(1,AE19)))^2/$B$5))))</f>
        <v>0</v>
      </c>
    </row>
    <row r="21" customFormat="false" ht="15" hidden="false" customHeight="false" outlineLevel="0" collapsed="false">
      <c r="A21" s="0" t="n">
        <v>0.16</v>
      </c>
      <c r="D21" s="0" t="n">
        <f aca="false">A21</f>
        <v>0.16</v>
      </c>
      <c r="E21" s="0" t="n">
        <f aca="false">(G21-G20)/(A21-A20)</f>
        <v>0.902135513149831</v>
      </c>
      <c r="F21" s="0" t="n">
        <f aca="false">G21/A21</f>
        <v>0.422832980972516</v>
      </c>
      <c r="G21" s="0" t="n">
        <f aca="false">A21^2/(A21^2+(1-A21)^2/$B$5)</f>
        <v>0.0676532769556026</v>
      </c>
      <c r="L21" s="0" t="n">
        <v>11</v>
      </c>
      <c r="M21" s="16" t="n">
        <f aca="false">IF(ABS(M20-$B$11/$B$9*((MAX(0,MIN(1,M20))^2/(MAX(0,MIN(1,M20))^2+(1-MAX(0,MIN(1,M20)))^2/$B$5))-(MAX(0,MIN(1,1))^2/(MAX(0,MIN(1,1))^2+(1-MAX(0,MIN(1,1)))^2/$B$5))))&lt;0.000000001,0,M20-$B$11/$B$9*((MAX(0,MIN(1,M20))^2/(MAX(0,MIN(1,M20))^2+(1-MAX(0,MIN(1,M20)))^2/$B$5))-(MAX(0,MIN(1,1))^2/(MAX(0,MIN(1,1))^2+(1-MAX(0,MIN(1,1)))^2/$B$5))))</f>
        <v>0.82750305114298</v>
      </c>
      <c r="N21" s="16" t="n">
        <f aca="false">IF(ABS(N20-$B$11/$B$9*((MAX(0,MIN(1,N20))^2/(MAX(0,MIN(1,N20))^2+(1-MAX(0,MIN(1,N20)))^2/$B$5))-(MAX(0,MIN(1,M20))^2/(MAX(0,MIN(1,M20))^2+(1-MAX(0,MIN(1,M20)))^2/$B$5))))&lt;0.000000001,0,N20-$B$11/$B$9*((MAX(0,MIN(1,N20))^2/(MAX(0,MIN(1,N20))^2+(1-MAX(0,MIN(1,N20)))^2/$B$5))-(MAX(0,MIN(1,M20))^2/(MAX(0,MIN(1,M20))^2+(1-MAX(0,MIN(1,M20)))^2/$B$5))))</f>
        <v>0.75470872198666</v>
      </c>
      <c r="O21" s="16" t="n">
        <f aca="false">IF(ABS(O20-$B$11/$B$9*((MAX(0,MIN(1,O20))^2/(MAX(0,MIN(1,O20))^2+(1-MAX(0,MIN(1,O20)))^2/$B$5))-(MAX(0,MIN(1,N20))^2/(MAX(0,MIN(1,N20))^2+(1-MAX(0,MIN(1,N20)))^2/$B$5))))&lt;0.000000001,0,O20-$B$11/$B$9*((MAX(0,MIN(1,O20))^2/(MAX(0,MIN(1,O20))^2+(1-MAX(0,MIN(1,O20)))^2/$B$5))-(MAX(0,MIN(1,N20))^2/(MAX(0,MIN(1,N20))^2+(1-MAX(0,MIN(1,N20)))^2/$B$5))))</f>
        <v>0.697451709807829</v>
      </c>
      <c r="P21" s="16" t="n">
        <f aca="false">IF(ABS(P20-$B$11/$B$9*((MAX(0,MIN(1,P20))^2/(MAX(0,MIN(1,P20))^2+(1-MAX(0,MIN(1,P20)))^2/$B$5))-(MAX(0,MIN(1,O20))^2/(MAX(0,MIN(1,O20))^2+(1-MAX(0,MIN(1,O20)))^2/$B$5))))&lt;0.000000001,0,P20-$B$11/$B$9*((MAX(0,MIN(1,P20))^2/(MAX(0,MIN(1,P20))^2+(1-MAX(0,MIN(1,P20)))^2/$B$5))-(MAX(0,MIN(1,O20))^2/(MAX(0,MIN(1,O20))^2+(1-MAX(0,MIN(1,O20)))^2/$B$5))))</f>
        <v>0.645808289592115</v>
      </c>
      <c r="Q21" s="16" t="n">
        <f aca="false">IF(ABS(Q20-$B$11/$B$9*((MAX(0,MIN(1,Q20))^2/(MAX(0,MIN(1,Q20))^2+(1-MAX(0,MIN(1,Q20)))^2/$B$5))-(MAX(0,MIN(1,P20))^2/(MAX(0,MIN(1,P20))^2+(1-MAX(0,MIN(1,P20)))^2/$B$5))))&lt;0.000000001,0,Q20-$B$11/$B$9*((MAX(0,MIN(1,Q20))^2/(MAX(0,MIN(1,Q20))^2+(1-MAX(0,MIN(1,Q20)))^2/$B$5))-(MAX(0,MIN(1,P20))^2/(MAX(0,MIN(1,P20))^2+(1-MAX(0,MIN(1,P20)))^2/$B$5))))</f>
        <v>0.591689352820577</v>
      </c>
      <c r="R21" s="16" t="n">
        <f aca="false">IF(ABS(R20-$B$11/$B$9*((MAX(0,MIN(1,R20))^2/(MAX(0,MIN(1,R20))^2+(1-MAX(0,MIN(1,R20)))^2/$B$5))-(MAX(0,MIN(1,Q20))^2/(MAX(0,MIN(1,Q20))^2+(1-MAX(0,MIN(1,Q20)))^2/$B$5))))&lt;0.000000001,0,R20-$B$11/$B$9*((MAX(0,MIN(1,R20))^2/(MAX(0,MIN(1,R20))^2+(1-MAX(0,MIN(1,R20)))^2/$B$5))-(MAX(0,MIN(1,Q20))^2/(MAX(0,MIN(1,Q20))^2+(1-MAX(0,MIN(1,Q20)))^2/$B$5))))</f>
        <v>0.511082115865982</v>
      </c>
      <c r="S21" s="16" t="n">
        <f aca="false">IF(ABS(S20-$B$11/$B$9*((MAX(0,MIN(1,S20))^2/(MAX(0,MIN(1,S20))^2+(1-MAX(0,MIN(1,S20)))^2/$B$5))-(MAX(0,MIN(1,R20))^2/(MAX(0,MIN(1,R20))^2+(1-MAX(0,MIN(1,R20)))^2/$B$5))))&lt;0.000000001,0,S20-$B$11/$B$9*((MAX(0,MIN(1,S20))^2/(MAX(0,MIN(1,S20))^2+(1-MAX(0,MIN(1,S20)))^2/$B$5))-(MAX(0,MIN(1,R20))^2/(MAX(0,MIN(1,R20))^2+(1-MAX(0,MIN(1,R20)))^2/$B$5))))</f>
        <v>0.201057399927958</v>
      </c>
      <c r="T21" s="16" t="n">
        <f aca="false">IF(ABS(T20-$B$11/$B$9*((MAX(0,MIN(1,T20))^2/(MAX(0,MIN(1,T20))^2+(1-MAX(0,MIN(1,T20)))^2/$B$5))-(MAX(0,MIN(1,S20))^2/(MAX(0,MIN(1,S20))^2+(1-MAX(0,MIN(1,S20)))^2/$B$5))))&lt;0.000000001,0,T20-$B$11/$B$9*((MAX(0,MIN(1,T20))^2/(MAX(0,MIN(1,T20))^2+(1-MAX(0,MIN(1,T20)))^2/$B$5))-(MAX(0,MIN(1,S20))^2/(MAX(0,MIN(1,S20))^2+(1-MAX(0,MIN(1,S20)))^2/$B$5))))</f>
        <v>0.000544595145690929</v>
      </c>
      <c r="U21" s="16" t="n">
        <f aca="false">IF(ABS(U20-$B$11/$B$9*((MAX(0,MIN(1,U20))^2/(MAX(0,MIN(1,U20))^2+(1-MAX(0,MIN(1,U20)))^2/$B$5))-(MAX(0,MIN(1,T20))^2/(MAX(0,MIN(1,T20))^2+(1-MAX(0,MIN(1,T20)))^2/$B$5))))&lt;0.000000001,0,U20-$B$11/$B$9*((MAX(0,MIN(1,U20))^2/(MAX(0,MIN(1,U20))^2+(1-MAX(0,MIN(1,U20)))^2/$B$5))-(MAX(0,MIN(1,T20))^2/(MAX(0,MIN(1,T20))^2+(1-MAX(0,MIN(1,T20)))^2/$B$5))))</f>
        <v>0</v>
      </c>
      <c r="V21" s="16" t="n">
        <f aca="false">IF(ABS(V20-$B$11/$B$9*((MAX(0,MIN(1,V20))^2/(MAX(0,MIN(1,V20))^2+(1-MAX(0,MIN(1,V20)))^2/$B$5))-(MAX(0,MIN(1,U20))^2/(MAX(0,MIN(1,U20))^2+(1-MAX(0,MIN(1,U20)))^2/$B$5))))&lt;0.000000001,0,V20-$B$11/$B$9*((MAX(0,MIN(1,V20))^2/(MAX(0,MIN(1,V20))^2+(1-MAX(0,MIN(1,V20)))^2/$B$5))-(MAX(0,MIN(1,U20))^2/(MAX(0,MIN(1,U20))^2+(1-MAX(0,MIN(1,U20)))^2/$B$5))))</f>
        <v>0</v>
      </c>
      <c r="W21" s="16" t="n">
        <f aca="false">IF(ABS(W20-$B$11/$B$9*((MAX(0,MIN(1,W20))^2/(MAX(0,MIN(1,W20))^2+(1-MAX(0,MIN(1,W20)))^2/$B$5))-(MAX(0,MIN(1,V20))^2/(MAX(0,MIN(1,V20))^2+(1-MAX(0,MIN(1,V20)))^2/$B$5))))&lt;0.000000001,0,W20-$B$11/$B$9*((MAX(0,MIN(1,W20))^2/(MAX(0,MIN(1,W20))^2+(1-MAX(0,MIN(1,W20)))^2/$B$5))-(MAX(0,MIN(1,V20))^2/(MAX(0,MIN(1,V20))^2+(1-MAX(0,MIN(1,V20)))^2/$B$5))))</f>
        <v>0</v>
      </c>
      <c r="X21" s="16" t="n">
        <f aca="false">IF(ABS(X20-$B$11/$B$9*((MAX(0,MIN(1,X20))^2/(MAX(0,MIN(1,X20))^2+(1-MAX(0,MIN(1,X20)))^2/$B$5))-(MAX(0,MIN(1,W20))^2/(MAX(0,MIN(1,W20))^2+(1-MAX(0,MIN(1,W20)))^2/$B$5))))&lt;0.000000001,0,X20-$B$11/$B$9*((MAX(0,MIN(1,X20))^2/(MAX(0,MIN(1,X20))^2+(1-MAX(0,MIN(1,X20)))^2/$B$5))-(MAX(0,MIN(1,W20))^2/(MAX(0,MIN(1,W20))^2+(1-MAX(0,MIN(1,W20)))^2/$B$5))))</f>
        <v>0</v>
      </c>
      <c r="Y21" s="16" t="n">
        <f aca="false">IF(ABS(Y20-$B$11/$B$9*((MAX(0,MIN(1,Y20))^2/(MAX(0,MIN(1,Y20))^2+(1-MAX(0,MIN(1,Y20)))^2/$B$5))-(MAX(0,MIN(1,X20))^2/(MAX(0,MIN(1,X20))^2+(1-MAX(0,MIN(1,X20)))^2/$B$5))))&lt;0.000000001,0,Y20-$B$11/$B$9*((MAX(0,MIN(1,Y20))^2/(MAX(0,MIN(1,Y20))^2+(1-MAX(0,MIN(1,Y20)))^2/$B$5))-(MAX(0,MIN(1,X20))^2/(MAX(0,MIN(1,X20))^2+(1-MAX(0,MIN(1,X20)))^2/$B$5))))</f>
        <v>0</v>
      </c>
      <c r="Z21" s="16" t="n">
        <f aca="false">IF(ABS(Z20-$B$11/$B$9*((MAX(0,MIN(1,Z20))^2/(MAX(0,MIN(1,Z20))^2+(1-MAX(0,MIN(1,Z20)))^2/$B$5))-(MAX(0,MIN(1,Y20))^2/(MAX(0,MIN(1,Y20))^2+(1-MAX(0,MIN(1,Y20)))^2/$B$5))))&lt;0.000000001,0,Z20-$B$11/$B$9*((MAX(0,MIN(1,Z20))^2/(MAX(0,MIN(1,Z20))^2+(1-MAX(0,MIN(1,Z20)))^2/$B$5))-(MAX(0,MIN(1,Y20))^2/(MAX(0,MIN(1,Y20))^2+(1-MAX(0,MIN(1,Y20)))^2/$B$5))))</f>
        <v>0</v>
      </c>
      <c r="AA21" s="16" t="n">
        <f aca="false">IF(ABS(AA20-$B$11/$B$9*((MAX(0,MIN(1,AA20))^2/(MAX(0,MIN(1,AA20))^2+(1-MAX(0,MIN(1,AA20)))^2/$B$5))-(MAX(0,MIN(1,Z20))^2/(MAX(0,MIN(1,Z20))^2+(1-MAX(0,MIN(1,Z20)))^2/$B$5))))&lt;0.000000001,0,AA20-$B$11/$B$9*((MAX(0,MIN(1,AA20))^2/(MAX(0,MIN(1,AA20))^2+(1-MAX(0,MIN(1,AA20)))^2/$B$5))-(MAX(0,MIN(1,Z20))^2/(MAX(0,MIN(1,Z20))^2+(1-MAX(0,MIN(1,Z20)))^2/$B$5))))</f>
        <v>0</v>
      </c>
      <c r="AB21" s="16" t="n">
        <f aca="false">IF(ABS(AB20-$B$11/$B$9*((MAX(0,MIN(1,AB20))^2/(MAX(0,MIN(1,AB20))^2+(1-MAX(0,MIN(1,AB20)))^2/$B$5))-(MAX(0,MIN(1,AA20))^2/(MAX(0,MIN(1,AA20))^2+(1-MAX(0,MIN(1,AA20)))^2/$B$5))))&lt;0.000000001,0,AB20-$B$11/$B$9*((MAX(0,MIN(1,AB20))^2/(MAX(0,MIN(1,AB20))^2+(1-MAX(0,MIN(1,AB20)))^2/$B$5))-(MAX(0,MIN(1,AA20))^2/(MAX(0,MIN(1,AA20))^2+(1-MAX(0,MIN(1,AA20)))^2/$B$5))))</f>
        <v>0</v>
      </c>
      <c r="AC21" s="16" t="n">
        <f aca="false">IF(ABS(AC20-$B$11/$B$9*((MAX(0,MIN(1,AC20))^2/(MAX(0,MIN(1,AC20))^2+(1-MAX(0,MIN(1,AC20)))^2/$B$5))-(MAX(0,MIN(1,AB20))^2/(MAX(0,MIN(1,AB20))^2+(1-MAX(0,MIN(1,AB20)))^2/$B$5))))&lt;0.000000001,0,AC20-$B$11/$B$9*((MAX(0,MIN(1,AC20))^2/(MAX(0,MIN(1,AC20))^2+(1-MAX(0,MIN(1,AC20)))^2/$B$5))-(MAX(0,MIN(1,AB20))^2/(MAX(0,MIN(1,AB20))^2+(1-MAX(0,MIN(1,AB20)))^2/$B$5))))</f>
        <v>0</v>
      </c>
      <c r="AD21" s="16" t="n">
        <f aca="false">IF(ABS(AD20-$B$11/$B$9*((MAX(0,MIN(1,AD20))^2/(MAX(0,MIN(1,AD20))^2+(1-MAX(0,MIN(1,AD20)))^2/$B$5))-(MAX(0,MIN(1,AC20))^2/(MAX(0,MIN(1,AC20))^2+(1-MAX(0,MIN(1,AC20)))^2/$B$5))))&lt;0.000000001,0,AD20-$B$11/$B$9*((MAX(0,MIN(1,AD20))^2/(MAX(0,MIN(1,AD20))^2+(1-MAX(0,MIN(1,AD20)))^2/$B$5))-(MAX(0,MIN(1,AC20))^2/(MAX(0,MIN(1,AC20))^2+(1-MAX(0,MIN(1,AC20)))^2/$B$5))))</f>
        <v>0</v>
      </c>
      <c r="AE21" s="16" t="n">
        <f aca="false">IF(ABS(AE20-$B$11/$B$9*((MAX(0,MIN(1,AE20))^2/(MAX(0,MIN(1,AE20))^2+(1-MAX(0,MIN(1,AE20)))^2/$B$5))-(MAX(0,MIN(1,AD20))^2/(MAX(0,MIN(1,AD20))^2+(1-MAX(0,MIN(1,AD20)))^2/$B$5))))&lt;0.000000001,0,AE20-$B$11/$B$9*((MAX(0,MIN(1,AE20))^2/(MAX(0,MIN(1,AE20))^2+(1-MAX(0,MIN(1,AE20)))^2/$B$5))-(MAX(0,MIN(1,AD20))^2/(MAX(0,MIN(1,AD20))^2+(1-MAX(0,MIN(1,AD20)))^2/$B$5))))</f>
        <v>0</v>
      </c>
      <c r="AF21" s="16" t="n">
        <f aca="false">IF(ABS(AF20-$B$11/$B$9*((MAX(0,MIN(1,AF20))^2/(MAX(0,MIN(1,AF20))^2+(1-MAX(0,MIN(1,AF20)))^2/$B$5))-(MAX(0,MIN(1,AE20))^2/(MAX(0,MIN(1,AE20))^2+(1-MAX(0,MIN(1,AE20)))^2/$B$5))))&lt;0.000000001,0,AF20-$B$11/$B$9*((MAX(0,MIN(1,AF20))^2/(MAX(0,MIN(1,AF20))^2+(1-MAX(0,MIN(1,AF20)))^2/$B$5))-(MAX(0,MIN(1,AE20))^2/(MAX(0,MIN(1,AE20))^2+(1-MAX(0,MIN(1,AE20)))^2/$B$5))))</f>
        <v>0</v>
      </c>
    </row>
    <row r="22" customFormat="false" ht="15" hidden="false" customHeight="false" outlineLevel="0" collapsed="false">
      <c r="A22" s="0" t="n">
        <v>0.17</v>
      </c>
      <c r="D22" s="0" t="n">
        <f aca="false">A22</f>
        <v>0.17</v>
      </c>
      <c r="E22" s="0" t="n">
        <f aca="false">(G22-G21)/(A22-A21)</f>
        <v>0.975398164892404</v>
      </c>
      <c r="F22" s="0" t="n">
        <f aca="false">G22/A22</f>
        <v>0.455336815320745</v>
      </c>
      <c r="G22" s="0" t="n">
        <f aca="false">A22^2/(A22^2+(1-A22)^2/$B$5)</f>
        <v>0.0774072586045266</v>
      </c>
      <c r="L22" s="0" t="n">
        <v>12</v>
      </c>
      <c r="M22" s="16" t="n">
        <f aca="false">IF(ABS(M21-$B$11/$B$9*((MAX(0,MIN(1,M21))^2/(MAX(0,MIN(1,M21))^2+(1-MAX(0,MIN(1,M21)))^2/$B$5))-(MAX(0,MIN(1,1))^2/(MAX(0,MIN(1,1))^2+(1-MAX(0,MIN(1,1)))^2/$B$5))))&lt;0.000000001,0,M21-$B$11/$B$9*((MAX(0,MIN(1,M21))^2/(MAX(0,MIN(1,M21))^2+(1-MAX(0,MIN(1,M21)))^2/$B$5))-(MAX(0,MIN(1,1))^2/(MAX(0,MIN(1,1))^2+(1-MAX(0,MIN(1,1)))^2/$B$5))))</f>
        <v>0.83567998876393</v>
      </c>
      <c r="N22" s="16" t="n">
        <f aca="false">IF(ABS(N21-$B$11/$B$9*((MAX(0,MIN(1,N21))^2/(MAX(0,MIN(1,N21))^2+(1-MAX(0,MIN(1,N21)))^2/$B$5))-(MAX(0,MIN(1,M21))^2/(MAX(0,MIN(1,M21))^2+(1-MAX(0,MIN(1,M21)))^2/$B$5))))&lt;0.000000001,0,N21-$B$11/$B$9*((MAX(0,MIN(1,N21))^2/(MAX(0,MIN(1,N21))^2+(1-MAX(0,MIN(1,N21)))^2/$B$5))-(MAX(0,MIN(1,M21))^2/(MAX(0,MIN(1,M21))^2+(1-MAX(0,MIN(1,M21)))^2/$B$5))))</f>
        <v>0.765822764502819</v>
      </c>
      <c r="O22" s="16" t="n">
        <f aca="false">IF(ABS(O21-$B$11/$B$9*((MAX(0,MIN(1,O21))^2/(MAX(0,MIN(1,O21))^2+(1-MAX(0,MIN(1,O21)))^2/$B$5))-(MAX(0,MIN(1,N21))^2/(MAX(0,MIN(1,N21))^2+(1-MAX(0,MIN(1,N21)))^2/$B$5))))&lt;0.000000001,0,O21-$B$11/$B$9*((MAX(0,MIN(1,O21))^2/(MAX(0,MIN(1,O21))^2+(1-MAX(0,MIN(1,O21)))^2/$B$5))-(MAX(0,MIN(1,N21))^2/(MAX(0,MIN(1,N21))^2+(1-MAX(0,MIN(1,N21)))^2/$B$5))))</f>
        <v>0.711228958099685</v>
      </c>
      <c r="P22" s="16" t="n">
        <f aca="false">IF(ABS(P21-$B$11/$B$9*((MAX(0,MIN(1,P21))^2/(MAX(0,MIN(1,P21))^2+(1-MAX(0,MIN(1,P21)))^2/$B$5))-(MAX(0,MIN(1,O21))^2/(MAX(0,MIN(1,O21))^2+(1-MAX(0,MIN(1,O21)))^2/$B$5))))&lt;0.000000001,0,P21-$B$11/$B$9*((MAX(0,MIN(1,P21))^2/(MAX(0,MIN(1,P21))^2+(1-MAX(0,MIN(1,P21)))^2/$B$5))-(MAX(0,MIN(1,O21))^2/(MAX(0,MIN(1,O21))^2+(1-MAX(0,MIN(1,O21)))^2/$B$5))))</f>
        <v>0.663011759858415</v>
      </c>
      <c r="Q22" s="16" t="n">
        <f aca="false">IF(ABS(Q21-$B$11/$B$9*((MAX(0,MIN(1,Q21))^2/(MAX(0,MIN(1,Q21))^2+(1-MAX(0,MIN(1,Q21)))^2/$B$5))-(MAX(0,MIN(1,P21))^2/(MAX(0,MIN(1,P21))^2+(1-MAX(0,MIN(1,P21)))^2/$B$5))))&lt;0.000000001,0,Q21-$B$11/$B$9*((MAX(0,MIN(1,Q21))^2/(MAX(0,MIN(1,Q21))^2+(1-MAX(0,MIN(1,Q21)))^2/$B$5))-(MAX(0,MIN(1,P21))^2/(MAX(0,MIN(1,P21))^2+(1-MAX(0,MIN(1,P21)))^2/$B$5))))</f>
        <v>0.61536781218644</v>
      </c>
      <c r="R22" s="16" t="n">
        <f aca="false">IF(ABS(R21-$B$11/$B$9*((MAX(0,MIN(1,R21))^2/(MAX(0,MIN(1,R21))^2+(1-MAX(0,MIN(1,R21)))^2/$B$5))-(MAX(0,MIN(1,Q21))^2/(MAX(0,MIN(1,Q21))^2+(1-MAX(0,MIN(1,Q21)))^2/$B$5))))&lt;0.000000001,0,R21-$B$11/$B$9*((MAX(0,MIN(1,R21))^2/(MAX(0,MIN(1,R21))^2+(1-MAX(0,MIN(1,R21)))^2/$B$5))-(MAX(0,MIN(1,Q21))^2/(MAX(0,MIN(1,Q21))^2+(1-MAX(0,MIN(1,Q21)))^2/$B$5))))</f>
        <v>0.557847150395827</v>
      </c>
      <c r="S22" s="16" t="n">
        <f aca="false">IF(ABS(S21-$B$11/$B$9*((MAX(0,MIN(1,S21))^2/(MAX(0,MIN(1,S21))^2+(1-MAX(0,MIN(1,S21)))^2/$B$5))-(MAX(0,MIN(1,R21))^2/(MAX(0,MIN(1,R21))^2+(1-MAX(0,MIN(1,R21)))^2/$B$5))))&lt;0.000000001,0,S21-$B$11/$B$9*((MAX(0,MIN(1,S21))^2/(MAX(0,MIN(1,S21))^2+(1-MAX(0,MIN(1,S21)))^2/$B$5))-(MAX(0,MIN(1,R21))^2/(MAX(0,MIN(1,R21))^2+(1-MAX(0,MIN(1,R21)))^2/$B$5))))</f>
        <v>0.421644318910668</v>
      </c>
      <c r="T22" s="16" t="n">
        <f aca="false">IF(ABS(T21-$B$11/$B$9*((MAX(0,MIN(1,T21))^2/(MAX(0,MIN(1,T21))^2+(1-MAX(0,MIN(1,T21)))^2/$B$5))-(MAX(0,MIN(1,S21))^2/(MAX(0,MIN(1,S21))^2+(1-MAX(0,MIN(1,S21)))^2/$B$5))))&lt;0.000000001,0,T21-$B$11/$B$9*((MAX(0,MIN(1,T21))^2/(MAX(0,MIN(1,T21))^2+(1-MAX(0,MIN(1,T21)))^2/$B$5))-(MAX(0,MIN(1,S21))^2/(MAX(0,MIN(1,S21))^2+(1-MAX(0,MIN(1,S21)))^2/$B$5))))</f>
        <v>0.0437736403670253</v>
      </c>
      <c r="U22" s="16" t="n">
        <f aca="false">IF(ABS(U21-$B$11/$B$9*((MAX(0,MIN(1,U21))^2/(MAX(0,MIN(1,U21))^2+(1-MAX(0,MIN(1,U21)))^2/$B$5))-(MAX(0,MIN(1,T21))^2/(MAX(0,MIN(1,T21))^2+(1-MAX(0,MIN(1,T21)))^2/$B$5))))&lt;0.000000001,0,U21-$B$11/$B$9*((MAX(0,MIN(1,U21))^2/(MAX(0,MIN(1,U21))^2+(1-MAX(0,MIN(1,U21)))^2/$B$5))-(MAX(0,MIN(1,T21))^2/(MAX(0,MIN(1,T21))^2+(1-MAX(0,MIN(1,T21)))^2/$B$5))))</f>
        <v>2.2834011743699E-007</v>
      </c>
      <c r="V22" s="16" t="n">
        <f aca="false">IF(ABS(V21-$B$11/$B$9*((MAX(0,MIN(1,V21))^2/(MAX(0,MIN(1,V21))^2+(1-MAX(0,MIN(1,V21)))^2/$B$5))-(MAX(0,MIN(1,U21))^2/(MAX(0,MIN(1,U21))^2+(1-MAX(0,MIN(1,U21)))^2/$B$5))))&lt;0.000000001,0,V21-$B$11/$B$9*((MAX(0,MIN(1,V21))^2/(MAX(0,MIN(1,V21))^2+(1-MAX(0,MIN(1,V21)))^2/$B$5))-(MAX(0,MIN(1,U21))^2/(MAX(0,MIN(1,U21))^2+(1-MAX(0,MIN(1,U21)))^2/$B$5))))</f>
        <v>0</v>
      </c>
      <c r="W22" s="16" t="n">
        <f aca="false">IF(ABS(W21-$B$11/$B$9*((MAX(0,MIN(1,W21))^2/(MAX(0,MIN(1,W21))^2+(1-MAX(0,MIN(1,W21)))^2/$B$5))-(MAX(0,MIN(1,V21))^2/(MAX(0,MIN(1,V21))^2+(1-MAX(0,MIN(1,V21)))^2/$B$5))))&lt;0.000000001,0,W21-$B$11/$B$9*((MAX(0,MIN(1,W21))^2/(MAX(0,MIN(1,W21))^2+(1-MAX(0,MIN(1,W21)))^2/$B$5))-(MAX(0,MIN(1,V21))^2/(MAX(0,MIN(1,V21))^2+(1-MAX(0,MIN(1,V21)))^2/$B$5))))</f>
        <v>0</v>
      </c>
      <c r="X22" s="16" t="n">
        <f aca="false">IF(ABS(X21-$B$11/$B$9*((MAX(0,MIN(1,X21))^2/(MAX(0,MIN(1,X21))^2+(1-MAX(0,MIN(1,X21)))^2/$B$5))-(MAX(0,MIN(1,W21))^2/(MAX(0,MIN(1,W21))^2+(1-MAX(0,MIN(1,W21)))^2/$B$5))))&lt;0.000000001,0,X21-$B$11/$B$9*((MAX(0,MIN(1,X21))^2/(MAX(0,MIN(1,X21))^2+(1-MAX(0,MIN(1,X21)))^2/$B$5))-(MAX(0,MIN(1,W21))^2/(MAX(0,MIN(1,W21))^2+(1-MAX(0,MIN(1,W21)))^2/$B$5))))</f>
        <v>0</v>
      </c>
      <c r="Y22" s="16" t="n">
        <f aca="false">IF(ABS(Y21-$B$11/$B$9*((MAX(0,MIN(1,Y21))^2/(MAX(0,MIN(1,Y21))^2+(1-MAX(0,MIN(1,Y21)))^2/$B$5))-(MAX(0,MIN(1,X21))^2/(MAX(0,MIN(1,X21))^2+(1-MAX(0,MIN(1,X21)))^2/$B$5))))&lt;0.000000001,0,Y21-$B$11/$B$9*((MAX(0,MIN(1,Y21))^2/(MAX(0,MIN(1,Y21))^2+(1-MAX(0,MIN(1,Y21)))^2/$B$5))-(MAX(0,MIN(1,X21))^2/(MAX(0,MIN(1,X21))^2+(1-MAX(0,MIN(1,X21)))^2/$B$5))))</f>
        <v>0</v>
      </c>
      <c r="Z22" s="16" t="n">
        <f aca="false">IF(ABS(Z21-$B$11/$B$9*((MAX(0,MIN(1,Z21))^2/(MAX(0,MIN(1,Z21))^2+(1-MAX(0,MIN(1,Z21)))^2/$B$5))-(MAX(0,MIN(1,Y21))^2/(MAX(0,MIN(1,Y21))^2+(1-MAX(0,MIN(1,Y21)))^2/$B$5))))&lt;0.000000001,0,Z21-$B$11/$B$9*((MAX(0,MIN(1,Z21))^2/(MAX(0,MIN(1,Z21))^2+(1-MAX(0,MIN(1,Z21)))^2/$B$5))-(MAX(0,MIN(1,Y21))^2/(MAX(0,MIN(1,Y21))^2+(1-MAX(0,MIN(1,Y21)))^2/$B$5))))</f>
        <v>0</v>
      </c>
      <c r="AA22" s="16" t="n">
        <f aca="false">IF(ABS(AA21-$B$11/$B$9*((MAX(0,MIN(1,AA21))^2/(MAX(0,MIN(1,AA21))^2+(1-MAX(0,MIN(1,AA21)))^2/$B$5))-(MAX(0,MIN(1,Z21))^2/(MAX(0,MIN(1,Z21))^2+(1-MAX(0,MIN(1,Z21)))^2/$B$5))))&lt;0.000000001,0,AA21-$B$11/$B$9*((MAX(0,MIN(1,AA21))^2/(MAX(0,MIN(1,AA21))^2+(1-MAX(0,MIN(1,AA21)))^2/$B$5))-(MAX(0,MIN(1,Z21))^2/(MAX(0,MIN(1,Z21))^2+(1-MAX(0,MIN(1,Z21)))^2/$B$5))))</f>
        <v>0</v>
      </c>
      <c r="AB22" s="16" t="n">
        <f aca="false">IF(ABS(AB21-$B$11/$B$9*((MAX(0,MIN(1,AB21))^2/(MAX(0,MIN(1,AB21))^2+(1-MAX(0,MIN(1,AB21)))^2/$B$5))-(MAX(0,MIN(1,AA21))^2/(MAX(0,MIN(1,AA21))^2+(1-MAX(0,MIN(1,AA21)))^2/$B$5))))&lt;0.000000001,0,AB21-$B$11/$B$9*((MAX(0,MIN(1,AB21))^2/(MAX(0,MIN(1,AB21))^2+(1-MAX(0,MIN(1,AB21)))^2/$B$5))-(MAX(0,MIN(1,AA21))^2/(MAX(0,MIN(1,AA21))^2+(1-MAX(0,MIN(1,AA21)))^2/$B$5))))</f>
        <v>0</v>
      </c>
      <c r="AC22" s="16" t="n">
        <f aca="false">IF(ABS(AC21-$B$11/$B$9*((MAX(0,MIN(1,AC21))^2/(MAX(0,MIN(1,AC21))^2+(1-MAX(0,MIN(1,AC21)))^2/$B$5))-(MAX(0,MIN(1,AB21))^2/(MAX(0,MIN(1,AB21))^2+(1-MAX(0,MIN(1,AB21)))^2/$B$5))))&lt;0.000000001,0,AC21-$B$11/$B$9*((MAX(0,MIN(1,AC21))^2/(MAX(0,MIN(1,AC21))^2+(1-MAX(0,MIN(1,AC21)))^2/$B$5))-(MAX(0,MIN(1,AB21))^2/(MAX(0,MIN(1,AB21))^2+(1-MAX(0,MIN(1,AB21)))^2/$B$5))))</f>
        <v>0</v>
      </c>
      <c r="AD22" s="16" t="n">
        <f aca="false">IF(ABS(AD21-$B$11/$B$9*((MAX(0,MIN(1,AD21))^2/(MAX(0,MIN(1,AD21))^2+(1-MAX(0,MIN(1,AD21)))^2/$B$5))-(MAX(0,MIN(1,AC21))^2/(MAX(0,MIN(1,AC21))^2+(1-MAX(0,MIN(1,AC21)))^2/$B$5))))&lt;0.000000001,0,AD21-$B$11/$B$9*((MAX(0,MIN(1,AD21))^2/(MAX(0,MIN(1,AD21))^2+(1-MAX(0,MIN(1,AD21)))^2/$B$5))-(MAX(0,MIN(1,AC21))^2/(MAX(0,MIN(1,AC21))^2+(1-MAX(0,MIN(1,AC21)))^2/$B$5))))</f>
        <v>0</v>
      </c>
      <c r="AE22" s="16" t="n">
        <f aca="false">IF(ABS(AE21-$B$11/$B$9*((MAX(0,MIN(1,AE21))^2/(MAX(0,MIN(1,AE21))^2+(1-MAX(0,MIN(1,AE21)))^2/$B$5))-(MAX(0,MIN(1,AD21))^2/(MAX(0,MIN(1,AD21))^2+(1-MAX(0,MIN(1,AD21)))^2/$B$5))))&lt;0.000000001,0,AE21-$B$11/$B$9*((MAX(0,MIN(1,AE21))^2/(MAX(0,MIN(1,AE21))^2+(1-MAX(0,MIN(1,AE21)))^2/$B$5))-(MAX(0,MIN(1,AD21))^2/(MAX(0,MIN(1,AD21))^2+(1-MAX(0,MIN(1,AD21)))^2/$B$5))))</f>
        <v>0</v>
      </c>
      <c r="AF22" s="16" t="n">
        <f aca="false">IF(ABS(AF21-$B$11/$B$9*((MAX(0,MIN(1,AF21))^2/(MAX(0,MIN(1,AF21))^2+(1-MAX(0,MIN(1,AF21)))^2/$B$5))-(MAX(0,MIN(1,AE21))^2/(MAX(0,MIN(1,AE21))^2+(1-MAX(0,MIN(1,AE21)))^2/$B$5))))&lt;0.000000001,0,AF21-$B$11/$B$9*((MAX(0,MIN(1,AF21))^2/(MAX(0,MIN(1,AF21))^2+(1-MAX(0,MIN(1,AF21)))^2/$B$5))-(MAX(0,MIN(1,AE21))^2/(MAX(0,MIN(1,AE21))^2+(1-MAX(0,MIN(1,AE21)))^2/$B$5))))</f>
        <v>0</v>
      </c>
    </row>
    <row r="23" customFormat="false" ht="15" hidden="false" customHeight="false" outlineLevel="0" collapsed="false">
      <c r="A23" s="0" t="n">
        <v>0.18</v>
      </c>
      <c r="D23" s="0" t="n">
        <f aca="false">A23</f>
        <v>0.18</v>
      </c>
      <c r="E23" s="0" t="n">
        <f aca="false">(G23-G22)/(A23-A22)</f>
        <v>1.04929041735526</v>
      </c>
      <c r="F23" s="0" t="n">
        <f aca="false">G23/A23</f>
        <v>0.488334237655996</v>
      </c>
      <c r="G23" s="0" t="n">
        <f aca="false">A23^2/(A23^2+(1-A23)^2/$B$5)</f>
        <v>0.0879001627780792</v>
      </c>
      <c r="L23" s="0" t="n">
        <v>13</v>
      </c>
      <c r="M23" s="16" t="n">
        <f aca="false">IF(ABS(M22-$B$11/$B$9*((MAX(0,MIN(1,M22))^2/(MAX(0,MIN(1,M22))^2+(1-MAX(0,MIN(1,M22)))^2/$B$5))-(MAX(0,MIN(1,1))^2/(MAX(0,MIN(1,1))^2+(1-MAX(0,MIN(1,1)))^2/$B$5))))&lt;0.000000001,0,M22-$B$11/$B$9*((MAX(0,MIN(1,M22))^2/(MAX(0,MIN(1,M22))^2+(1-MAX(0,MIN(1,M22)))^2/$B$5))-(MAX(0,MIN(1,1))^2/(MAX(0,MIN(1,1))^2+(1-MAX(0,MIN(1,1)))^2/$B$5))))</f>
        <v>0.842972668749088</v>
      </c>
      <c r="N23" s="16" t="n">
        <f aca="false">IF(ABS(N22-$B$11/$B$9*((MAX(0,MIN(1,N22))^2/(MAX(0,MIN(1,N22))^2+(1-MAX(0,MIN(1,N22)))^2/$B$5))-(MAX(0,MIN(1,M22))^2/(MAX(0,MIN(1,M22))^2+(1-MAX(0,MIN(1,M22)))^2/$B$5))))&lt;0.000000001,0,N22-$B$11/$B$9*((MAX(0,MIN(1,N22))^2/(MAX(0,MIN(1,N22))^2+(1-MAX(0,MIN(1,N22)))^2/$B$5))-(MAX(0,MIN(1,M22))^2/(MAX(0,MIN(1,M22))^2+(1-MAX(0,MIN(1,M22)))^2/$B$5))))</f>
        <v>0.775704844889068</v>
      </c>
      <c r="O23" s="16" t="n">
        <f aca="false">IF(ABS(O22-$B$11/$B$9*((MAX(0,MIN(1,O22))^2/(MAX(0,MIN(1,O22))^2+(1-MAX(0,MIN(1,O22)))^2/$B$5))-(MAX(0,MIN(1,N22))^2/(MAX(0,MIN(1,N22))^2+(1-MAX(0,MIN(1,N22)))^2/$B$5))))&lt;0.000000001,0,O22-$B$11/$B$9*((MAX(0,MIN(1,O22))^2/(MAX(0,MIN(1,O22))^2+(1-MAX(0,MIN(1,O22)))^2/$B$5))-(MAX(0,MIN(1,N22))^2/(MAX(0,MIN(1,N22))^2+(1-MAX(0,MIN(1,N22)))^2/$B$5))))</f>
        <v>0.723335638422798</v>
      </c>
      <c r="P23" s="16" t="n">
        <f aca="false">IF(ABS(P22-$B$11/$B$9*((MAX(0,MIN(1,P22))^2/(MAX(0,MIN(1,P22))^2+(1-MAX(0,MIN(1,P22)))^2/$B$5))-(MAX(0,MIN(1,O22))^2/(MAX(0,MIN(1,O22))^2+(1-MAX(0,MIN(1,O22)))^2/$B$5))))&lt;0.000000001,0,P22-$B$11/$B$9*((MAX(0,MIN(1,P22))^2/(MAX(0,MIN(1,P22))^2+(1-MAX(0,MIN(1,P22)))^2/$B$5))-(MAX(0,MIN(1,O22))^2/(MAX(0,MIN(1,O22))^2+(1-MAX(0,MIN(1,O22)))^2/$B$5))))</f>
        <v>0.677717894417222</v>
      </c>
      <c r="Q23" s="16" t="n">
        <f aca="false">IF(ABS(Q22-$B$11/$B$9*((MAX(0,MIN(1,Q22))^2/(MAX(0,MIN(1,Q22))^2+(1-MAX(0,MIN(1,Q22)))^2/$B$5))-(MAX(0,MIN(1,P22))^2/(MAX(0,MIN(1,P22))^2+(1-MAX(0,MIN(1,P22)))^2/$B$5))))&lt;0.000000001,0,Q22-$B$11/$B$9*((MAX(0,MIN(1,Q22))^2/(MAX(0,MIN(1,Q22))^2+(1-MAX(0,MIN(1,Q22)))^2/$B$5))-(MAX(0,MIN(1,P22))^2/(MAX(0,MIN(1,P22))^2+(1-MAX(0,MIN(1,P22)))^2/$B$5))))</f>
        <v>0.634219626490807</v>
      </c>
      <c r="R23" s="16" t="n">
        <f aca="false">IF(ABS(R22-$B$11/$B$9*((MAX(0,MIN(1,R22))^2/(MAX(0,MIN(1,R22))^2+(1-MAX(0,MIN(1,R22)))^2/$B$5))-(MAX(0,MIN(1,Q22))^2/(MAX(0,MIN(1,Q22))^2+(1-MAX(0,MIN(1,Q22)))^2/$B$5))))&lt;0.000000001,0,R22-$B$11/$B$9*((MAX(0,MIN(1,R22))^2/(MAX(0,MIN(1,R22))^2+(1-MAX(0,MIN(1,R22)))^2/$B$5))-(MAX(0,MIN(1,Q22))^2/(MAX(0,MIN(1,Q22))^2+(1-MAX(0,MIN(1,Q22)))^2/$B$5))))</f>
        <v>0.586922224926801</v>
      </c>
      <c r="S23" s="16" t="n">
        <f aca="false">IF(ABS(S22-$B$11/$B$9*((MAX(0,MIN(1,S22))^2/(MAX(0,MIN(1,S22))^2+(1-MAX(0,MIN(1,S22)))^2/$B$5))-(MAX(0,MIN(1,R22))^2/(MAX(0,MIN(1,R22))^2+(1-MAX(0,MIN(1,R22)))^2/$B$5))))&lt;0.000000001,0,S22-$B$11/$B$9*((MAX(0,MIN(1,S22))^2/(MAX(0,MIN(1,S22))^2+(1-MAX(0,MIN(1,S22)))^2/$B$5))-(MAX(0,MIN(1,R22))^2/(MAX(0,MIN(1,R22))^2+(1-MAX(0,MIN(1,R22)))^2/$B$5))))</f>
        <v>0.516124299047787</v>
      </c>
      <c r="T23" s="16" t="n">
        <f aca="false">IF(ABS(T22-$B$11/$B$9*((MAX(0,MIN(1,T22))^2/(MAX(0,MIN(1,T22))^2+(1-MAX(0,MIN(1,T22)))^2/$B$5))-(MAX(0,MIN(1,S22))^2/(MAX(0,MIN(1,S22))^2+(1-MAX(0,MIN(1,S22)))^2/$B$5))))&lt;0.000000001,0,T22-$B$11/$B$9*((MAX(0,MIN(1,T22))^2/(MAX(0,MIN(1,T22))^2+(1-MAX(0,MIN(1,T22)))^2/$B$5))-(MAX(0,MIN(1,S22))^2/(MAX(0,MIN(1,S22))^2+(1-MAX(0,MIN(1,S22)))^2/$B$5))))</f>
        <v>0.240305676373698</v>
      </c>
      <c r="U23" s="16" t="n">
        <f aca="false">IF(ABS(U22-$B$11/$B$9*((MAX(0,MIN(1,U22))^2/(MAX(0,MIN(1,U22))^2+(1-MAX(0,MIN(1,U22)))^2/$B$5))-(MAX(0,MIN(1,T22))^2/(MAX(0,MIN(1,T22))^2+(1-MAX(0,MIN(1,T22)))^2/$B$5))))&lt;0.000000001,0,U22-$B$11/$B$9*((MAX(0,MIN(1,U22))^2/(MAX(0,MIN(1,U22))^2+(1-MAX(0,MIN(1,U22)))^2/$B$5))-(MAX(0,MIN(1,T22))^2/(MAX(0,MIN(1,T22))^2+(1-MAX(0,MIN(1,T22)))^2/$B$5))))</f>
        <v>0.00160513324275242</v>
      </c>
      <c r="V23" s="16" t="n">
        <f aca="false">IF(ABS(V22-$B$11/$B$9*((MAX(0,MIN(1,V22))^2/(MAX(0,MIN(1,V22))^2+(1-MAX(0,MIN(1,V22)))^2/$B$5))-(MAX(0,MIN(1,U22))^2/(MAX(0,MIN(1,U22))^2+(1-MAX(0,MIN(1,U22)))^2/$B$5))))&lt;0.000000001,0,V22-$B$11/$B$9*((MAX(0,MIN(1,V22))^2/(MAX(0,MIN(1,V22))^2+(1-MAX(0,MIN(1,V22)))^2/$B$5))-(MAX(0,MIN(1,U22))^2/(MAX(0,MIN(1,U22))^2+(1-MAX(0,MIN(1,U22)))^2/$B$5))))</f>
        <v>0</v>
      </c>
      <c r="W23" s="16" t="n">
        <f aca="false">IF(ABS(W22-$B$11/$B$9*((MAX(0,MIN(1,W22))^2/(MAX(0,MIN(1,W22))^2+(1-MAX(0,MIN(1,W22)))^2/$B$5))-(MAX(0,MIN(1,V22))^2/(MAX(0,MIN(1,V22))^2+(1-MAX(0,MIN(1,V22)))^2/$B$5))))&lt;0.000000001,0,W22-$B$11/$B$9*((MAX(0,MIN(1,W22))^2/(MAX(0,MIN(1,W22))^2+(1-MAX(0,MIN(1,W22)))^2/$B$5))-(MAX(0,MIN(1,V22))^2/(MAX(0,MIN(1,V22))^2+(1-MAX(0,MIN(1,V22)))^2/$B$5))))</f>
        <v>0</v>
      </c>
      <c r="X23" s="16" t="n">
        <f aca="false">IF(ABS(X22-$B$11/$B$9*((MAX(0,MIN(1,X22))^2/(MAX(0,MIN(1,X22))^2+(1-MAX(0,MIN(1,X22)))^2/$B$5))-(MAX(0,MIN(1,W22))^2/(MAX(0,MIN(1,W22))^2+(1-MAX(0,MIN(1,W22)))^2/$B$5))))&lt;0.000000001,0,X22-$B$11/$B$9*((MAX(0,MIN(1,X22))^2/(MAX(0,MIN(1,X22))^2+(1-MAX(0,MIN(1,X22)))^2/$B$5))-(MAX(0,MIN(1,W22))^2/(MAX(0,MIN(1,W22))^2+(1-MAX(0,MIN(1,W22)))^2/$B$5))))</f>
        <v>0</v>
      </c>
      <c r="Y23" s="16" t="n">
        <f aca="false">IF(ABS(Y22-$B$11/$B$9*((MAX(0,MIN(1,Y22))^2/(MAX(0,MIN(1,Y22))^2+(1-MAX(0,MIN(1,Y22)))^2/$B$5))-(MAX(0,MIN(1,X22))^2/(MAX(0,MIN(1,X22))^2+(1-MAX(0,MIN(1,X22)))^2/$B$5))))&lt;0.000000001,0,Y22-$B$11/$B$9*((MAX(0,MIN(1,Y22))^2/(MAX(0,MIN(1,Y22))^2+(1-MAX(0,MIN(1,Y22)))^2/$B$5))-(MAX(0,MIN(1,X22))^2/(MAX(0,MIN(1,X22))^2+(1-MAX(0,MIN(1,X22)))^2/$B$5))))</f>
        <v>0</v>
      </c>
      <c r="Z23" s="16" t="n">
        <f aca="false">IF(ABS(Z22-$B$11/$B$9*((MAX(0,MIN(1,Z22))^2/(MAX(0,MIN(1,Z22))^2+(1-MAX(0,MIN(1,Z22)))^2/$B$5))-(MAX(0,MIN(1,Y22))^2/(MAX(0,MIN(1,Y22))^2+(1-MAX(0,MIN(1,Y22)))^2/$B$5))))&lt;0.000000001,0,Z22-$B$11/$B$9*((MAX(0,MIN(1,Z22))^2/(MAX(0,MIN(1,Z22))^2+(1-MAX(0,MIN(1,Z22)))^2/$B$5))-(MAX(0,MIN(1,Y22))^2/(MAX(0,MIN(1,Y22))^2+(1-MAX(0,MIN(1,Y22)))^2/$B$5))))</f>
        <v>0</v>
      </c>
      <c r="AA23" s="16" t="n">
        <f aca="false">IF(ABS(AA22-$B$11/$B$9*((MAX(0,MIN(1,AA22))^2/(MAX(0,MIN(1,AA22))^2+(1-MAX(0,MIN(1,AA22)))^2/$B$5))-(MAX(0,MIN(1,Z22))^2/(MAX(0,MIN(1,Z22))^2+(1-MAX(0,MIN(1,Z22)))^2/$B$5))))&lt;0.000000001,0,AA22-$B$11/$B$9*((MAX(0,MIN(1,AA22))^2/(MAX(0,MIN(1,AA22))^2+(1-MAX(0,MIN(1,AA22)))^2/$B$5))-(MAX(0,MIN(1,Z22))^2/(MAX(0,MIN(1,Z22))^2+(1-MAX(0,MIN(1,Z22)))^2/$B$5))))</f>
        <v>0</v>
      </c>
      <c r="AB23" s="16" t="n">
        <f aca="false">IF(ABS(AB22-$B$11/$B$9*((MAX(0,MIN(1,AB22))^2/(MAX(0,MIN(1,AB22))^2+(1-MAX(0,MIN(1,AB22)))^2/$B$5))-(MAX(0,MIN(1,AA22))^2/(MAX(0,MIN(1,AA22))^2+(1-MAX(0,MIN(1,AA22)))^2/$B$5))))&lt;0.000000001,0,AB22-$B$11/$B$9*((MAX(0,MIN(1,AB22))^2/(MAX(0,MIN(1,AB22))^2+(1-MAX(0,MIN(1,AB22)))^2/$B$5))-(MAX(0,MIN(1,AA22))^2/(MAX(0,MIN(1,AA22))^2+(1-MAX(0,MIN(1,AA22)))^2/$B$5))))</f>
        <v>0</v>
      </c>
      <c r="AC23" s="16" t="n">
        <f aca="false">IF(ABS(AC22-$B$11/$B$9*((MAX(0,MIN(1,AC22))^2/(MAX(0,MIN(1,AC22))^2+(1-MAX(0,MIN(1,AC22)))^2/$B$5))-(MAX(0,MIN(1,AB22))^2/(MAX(0,MIN(1,AB22))^2+(1-MAX(0,MIN(1,AB22)))^2/$B$5))))&lt;0.000000001,0,AC22-$B$11/$B$9*((MAX(0,MIN(1,AC22))^2/(MAX(0,MIN(1,AC22))^2+(1-MAX(0,MIN(1,AC22)))^2/$B$5))-(MAX(0,MIN(1,AB22))^2/(MAX(0,MIN(1,AB22))^2+(1-MAX(0,MIN(1,AB22)))^2/$B$5))))</f>
        <v>0</v>
      </c>
      <c r="AD23" s="16" t="n">
        <f aca="false">IF(ABS(AD22-$B$11/$B$9*((MAX(0,MIN(1,AD22))^2/(MAX(0,MIN(1,AD22))^2+(1-MAX(0,MIN(1,AD22)))^2/$B$5))-(MAX(0,MIN(1,AC22))^2/(MAX(0,MIN(1,AC22))^2+(1-MAX(0,MIN(1,AC22)))^2/$B$5))))&lt;0.000000001,0,AD22-$B$11/$B$9*((MAX(0,MIN(1,AD22))^2/(MAX(0,MIN(1,AD22))^2+(1-MAX(0,MIN(1,AD22)))^2/$B$5))-(MAX(0,MIN(1,AC22))^2/(MAX(0,MIN(1,AC22))^2+(1-MAX(0,MIN(1,AC22)))^2/$B$5))))</f>
        <v>0</v>
      </c>
      <c r="AE23" s="16" t="n">
        <f aca="false">IF(ABS(AE22-$B$11/$B$9*((MAX(0,MIN(1,AE22))^2/(MAX(0,MIN(1,AE22))^2+(1-MAX(0,MIN(1,AE22)))^2/$B$5))-(MAX(0,MIN(1,AD22))^2/(MAX(0,MIN(1,AD22))^2+(1-MAX(0,MIN(1,AD22)))^2/$B$5))))&lt;0.000000001,0,AE22-$B$11/$B$9*((MAX(0,MIN(1,AE22))^2/(MAX(0,MIN(1,AE22))^2+(1-MAX(0,MIN(1,AE22)))^2/$B$5))-(MAX(0,MIN(1,AD22))^2/(MAX(0,MIN(1,AD22))^2+(1-MAX(0,MIN(1,AD22)))^2/$B$5))))</f>
        <v>0</v>
      </c>
      <c r="AF23" s="16" t="n">
        <f aca="false">IF(ABS(AF22-$B$11/$B$9*((MAX(0,MIN(1,AF22))^2/(MAX(0,MIN(1,AF22))^2+(1-MAX(0,MIN(1,AF22)))^2/$B$5))-(MAX(0,MIN(1,AE22))^2/(MAX(0,MIN(1,AE22))^2+(1-MAX(0,MIN(1,AE22)))^2/$B$5))))&lt;0.000000001,0,AF22-$B$11/$B$9*((MAX(0,MIN(1,AF22))^2/(MAX(0,MIN(1,AF22))^2+(1-MAX(0,MIN(1,AF22)))^2/$B$5))-(MAX(0,MIN(1,AE22))^2/(MAX(0,MIN(1,AE22))^2+(1-MAX(0,MIN(1,AE22)))^2/$B$5))))</f>
        <v>0</v>
      </c>
    </row>
    <row r="24" customFormat="false" ht="15" hidden="false" customHeight="false" outlineLevel="0" collapsed="false">
      <c r="A24" s="0" t="n">
        <v>0.19</v>
      </c>
      <c r="D24" s="0" t="n">
        <f aca="false">A24</f>
        <v>0.19</v>
      </c>
      <c r="E24" s="0" t="n">
        <f aca="false">(G24-G23)/(A24-A23)</f>
        <v>1.12348090741795</v>
      </c>
      <c r="F24" s="0" t="n">
        <f aca="false">G24/A24</f>
        <v>0.52176300974873</v>
      </c>
      <c r="G24" s="0" t="n">
        <f aca="false">A24^2/(A24^2+(1-A24)^2/$B$5)</f>
        <v>0.0991349718522587</v>
      </c>
      <c r="L24" s="0" t="n">
        <v>14</v>
      </c>
      <c r="M24" s="16" t="n">
        <f aca="false">IF(ABS(M23-$B$11/$B$9*((MAX(0,MIN(1,M23))^2/(MAX(0,MIN(1,M23))^2+(1-MAX(0,MIN(1,M23)))^2/$B$5))-(MAX(0,MIN(1,1))^2/(MAX(0,MIN(1,1))^2+(1-MAX(0,MIN(1,1)))^2/$B$5))))&lt;0.000000001,0,M23-$B$11/$B$9*((MAX(0,MIN(1,M23))^2/(MAX(0,MIN(1,M23))^2+(1-MAX(0,MIN(1,M23)))^2/$B$5))-(MAX(0,MIN(1,1))^2/(MAX(0,MIN(1,1))^2+(1-MAX(0,MIN(1,1)))^2/$B$5))))</f>
        <v>0.849530421231146</v>
      </c>
      <c r="N24" s="16" t="n">
        <f aca="false">IF(ABS(N23-$B$11/$B$9*((MAX(0,MIN(1,N23))^2/(MAX(0,MIN(1,N23))^2+(1-MAX(0,MIN(1,N23)))^2/$B$5))-(MAX(0,MIN(1,M23))^2/(MAX(0,MIN(1,M23))^2+(1-MAX(0,MIN(1,M23)))^2/$B$5))))&lt;0.000000001,0,N23-$B$11/$B$9*((MAX(0,MIN(1,N23))^2/(MAX(0,MIN(1,N23))^2+(1-MAX(0,MIN(1,N23)))^2/$B$5))-(MAX(0,MIN(1,M23))^2/(MAX(0,MIN(1,M23))^2+(1-MAX(0,MIN(1,M23)))^2/$B$5))))</f>
        <v>0.784576974094336</v>
      </c>
      <c r="O24" s="16" t="n">
        <f aca="false">IF(ABS(O23-$B$11/$B$9*((MAX(0,MIN(1,O23))^2/(MAX(0,MIN(1,O23))^2+(1-MAX(0,MIN(1,O23)))^2/$B$5))-(MAX(0,MIN(1,N23))^2/(MAX(0,MIN(1,N23))^2+(1-MAX(0,MIN(1,N23)))^2/$B$5))))&lt;0.000000001,0,O23-$B$11/$B$9*((MAX(0,MIN(1,O23))^2/(MAX(0,MIN(1,O23))^2+(1-MAX(0,MIN(1,O23)))^2/$B$5))-(MAX(0,MIN(1,N23))^2/(MAX(0,MIN(1,N23))^2+(1-MAX(0,MIN(1,N23)))^2/$B$5))))</f>
        <v>0.734115893049965</v>
      </c>
      <c r="P24" s="16" t="n">
        <f aca="false">IF(ABS(P23-$B$11/$B$9*((MAX(0,MIN(1,P23))^2/(MAX(0,MIN(1,P23))^2+(1-MAX(0,MIN(1,P23)))^2/$B$5))-(MAX(0,MIN(1,O23))^2/(MAX(0,MIN(1,O23))^2+(1-MAX(0,MIN(1,O23)))^2/$B$5))))&lt;0.000000001,0,P23-$B$11/$B$9*((MAX(0,MIN(1,P23))^2/(MAX(0,MIN(1,P23))^2+(1-MAX(0,MIN(1,P23)))^2/$B$5))-(MAX(0,MIN(1,O23))^2/(MAX(0,MIN(1,O23))^2+(1-MAX(0,MIN(1,O23)))^2/$B$5))))</f>
        <v>0.690569723735601</v>
      </c>
      <c r="Q24" s="16" t="n">
        <f aca="false">IF(ABS(Q23-$B$11/$B$9*((MAX(0,MIN(1,Q23))^2/(MAX(0,MIN(1,Q23))^2+(1-MAX(0,MIN(1,Q23)))^2/$B$5))-(MAX(0,MIN(1,P23))^2/(MAX(0,MIN(1,P23))^2+(1-MAX(0,MIN(1,P23)))^2/$B$5))))&lt;0.000000001,0,Q23-$B$11/$B$9*((MAX(0,MIN(1,Q23))^2/(MAX(0,MIN(1,Q23))^2+(1-MAX(0,MIN(1,Q23)))^2/$B$5))-(MAX(0,MIN(1,P23))^2/(MAX(0,MIN(1,P23))^2+(1-MAX(0,MIN(1,P23)))^2/$B$5))))</f>
        <v>0.649991338516198</v>
      </c>
      <c r="R24" s="16" t="n">
        <f aca="false">IF(ABS(R23-$B$11/$B$9*((MAX(0,MIN(1,R23))^2/(MAX(0,MIN(1,R23))^2+(1-MAX(0,MIN(1,R23)))^2/$B$5))-(MAX(0,MIN(1,Q23))^2/(MAX(0,MIN(1,Q23))^2+(1-MAX(0,MIN(1,Q23)))^2/$B$5))))&lt;0.000000001,0,R23-$B$11/$B$9*((MAX(0,MIN(1,R23))^2/(MAX(0,MIN(1,R23))^2+(1-MAX(0,MIN(1,R23)))^2/$B$5))-(MAX(0,MIN(1,Q23))^2/(MAX(0,MIN(1,Q23))^2+(1-MAX(0,MIN(1,Q23)))^2/$B$5))))</f>
        <v>0.608420220242858</v>
      </c>
      <c r="S24" s="16" t="n">
        <f aca="false">IF(ABS(S23-$B$11/$B$9*((MAX(0,MIN(1,S23))^2/(MAX(0,MIN(1,S23))^2+(1-MAX(0,MIN(1,S23)))^2/$B$5))-(MAX(0,MIN(1,R23))^2/(MAX(0,MIN(1,R23))^2+(1-MAX(0,MIN(1,R23)))^2/$B$5))))&lt;0.000000001,0,S23-$B$11/$B$9*((MAX(0,MIN(1,S23))^2/(MAX(0,MIN(1,S23))^2+(1-MAX(0,MIN(1,S23)))^2/$B$5))-(MAX(0,MIN(1,R23))^2/(MAX(0,MIN(1,R23))^2+(1-MAX(0,MIN(1,R23)))^2/$B$5))))</f>
        <v>0.557189966631856</v>
      </c>
      <c r="T24" s="16" t="n">
        <f aca="false">IF(ABS(T23-$B$11/$B$9*((MAX(0,MIN(1,T23))^2/(MAX(0,MIN(1,T23))^2+(1-MAX(0,MIN(1,T23)))^2/$B$5))-(MAX(0,MIN(1,S23))^2/(MAX(0,MIN(1,S23))^2+(1-MAX(0,MIN(1,S23)))^2/$B$5))))&lt;0.000000001,0,T23-$B$11/$B$9*((MAX(0,MIN(1,T23))^2/(MAX(0,MIN(1,T23))^2+(1-MAX(0,MIN(1,T23)))^2/$B$5))-(MAX(0,MIN(1,S23))^2/(MAX(0,MIN(1,S23))^2+(1-MAX(0,MIN(1,S23)))^2/$B$5))))</f>
        <v>0.443320370779857</v>
      </c>
      <c r="U24" s="16" t="n">
        <f aca="false">IF(ABS(U23-$B$11/$B$9*((MAX(0,MIN(1,U23))^2/(MAX(0,MIN(1,U23))^2+(1-MAX(0,MIN(1,U23)))^2/$B$5))-(MAX(0,MIN(1,T23))^2/(MAX(0,MIN(1,T23))^2+(1-MAX(0,MIN(1,T23)))^2/$B$5))))&lt;0.000000001,0,U23-$B$11/$B$9*((MAX(0,MIN(1,U23))^2/(MAX(0,MIN(1,U23))^2+(1-MAX(0,MIN(1,U23)))^2/$B$5))-(MAX(0,MIN(1,T23))^2/(MAX(0,MIN(1,T23))^2+(1-MAX(0,MIN(1,T23)))^2/$B$5))))</f>
        <v>0.0657224955934022</v>
      </c>
      <c r="V24" s="16" t="n">
        <f aca="false">IF(ABS(V23-$B$11/$B$9*((MAX(0,MIN(1,V23))^2/(MAX(0,MIN(1,V23))^2+(1-MAX(0,MIN(1,V23)))^2/$B$5))-(MAX(0,MIN(1,U23))^2/(MAX(0,MIN(1,U23))^2+(1-MAX(0,MIN(1,U23)))^2/$B$5))))&lt;0.000000001,0,V23-$B$11/$B$9*((MAX(0,MIN(1,V23))^2/(MAX(0,MIN(1,V23))^2+(1-MAX(0,MIN(1,V23)))^2/$B$5))-(MAX(0,MIN(1,U23))^2/(MAX(0,MIN(1,U23))^2+(1-MAX(0,MIN(1,U23)))^2/$B$5))))</f>
        <v>1.98781993884506E-006</v>
      </c>
      <c r="W24" s="16" t="n">
        <f aca="false">IF(ABS(W23-$B$11/$B$9*((MAX(0,MIN(1,W23))^2/(MAX(0,MIN(1,W23))^2+(1-MAX(0,MIN(1,W23)))^2/$B$5))-(MAX(0,MIN(1,V23))^2/(MAX(0,MIN(1,V23))^2+(1-MAX(0,MIN(1,V23)))^2/$B$5))))&lt;0.000000001,0,W23-$B$11/$B$9*((MAX(0,MIN(1,W23))^2/(MAX(0,MIN(1,W23))^2+(1-MAX(0,MIN(1,W23)))^2/$B$5))-(MAX(0,MIN(1,V23))^2/(MAX(0,MIN(1,V23))^2+(1-MAX(0,MIN(1,V23)))^2/$B$5))))</f>
        <v>0</v>
      </c>
      <c r="X24" s="16" t="n">
        <f aca="false">IF(ABS(X23-$B$11/$B$9*((MAX(0,MIN(1,X23))^2/(MAX(0,MIN(1,X23))^2+(1-MAX(0,MIN(1,X23)))^2/$B$5))-(MAX(0,MIN(1,W23))^2/(MAX(0,MIN(1,W23))^2+(1-MAX(0,MIN(1,W23)))^2/$B$5))))&lt;0.000000001,0,X23-$B$11/$B$9*((MAX(0,MIN(1,X23))^2/(MAX(0,MIN(1,X23))^2+(1-MAX(0,MIN(1,X23)))^2/$B$5))-(MAX(0,MIN(1,W23))^2/(MAX(0,MIN(1,W23))^2+(1-MAX(0,MIN(1,W23)))^2/$B$5))))</f>
        <v>0</v>
      </c>
      <c r="Y24" s="16" t="n">
        <f aca="false">IF(ABS(Y23-$B$11/$B$9*((MAX(0,MIN(1,Y23))^2/(MAX(0,MIN(1,Y23))^2+(1-MAX(0,MIN(1,Y23)))^2/$B$5))-(MAX(0,MIN(1,X23))^2/(MAX(0,MIN(1,X23))^2+(1-MAX(0,MIN(1,X23)))^2/$B$5))))&lt;0.000000001,0,Y23-$B$11/$B$9*((MAX(0,MIN(1,Y23))^2/(MAX(0,MIN(1,Y23))^2+(1-MAX(0,MIN(1,Y23)))^2/$B$5))-(MAX(0,MIN(1,X23))^2/(MAX(0,MIN(1,X23))^2+(1-MAX(0,MIN(1,X23)))^2/$B$5))))</f>
        <v>0</v>
      </c>
      <c r="Z24" s="16" t="n">
        <f aca="false">IF(ABS(Z23-$B$11/$B$9*((MAX(0,MIN(1,Z23))^2/(MAX(0,MIN(1,Z23))^2+(1-MAX(0,MIN(1,Z23)))^2/$B$5))-(MAX(0,MIN(1,Y23))^2/(MAX(0,MIN(1,Y23))^2+(1-MAX(0,MIN(1,Y23)))^2/$B$5))))&lt;0.000000001,0,Z23-$B$11/$B$9*((MAX(0,MIN(1,Z23))^2/(MAX(0,MIN(1,Z23))^2+(1-MAX(0,MIN(1,Z23)))^2/$B$5))-(MAX(0,MIN(1,Y23))^2/(MAX(0,MIN(1,Y23))^2+(1-MAX(0,MIN(1,Y23)))^2/$B$5))))</f>
        <v>0</v>
      </c>
      <c r="AA24" s="16" t="n">
        <f aca="false">IF(ABS(AA23-$B$11/$B$9*((MAX(0,MIN(1,AA23))^2/(MAX(0,MIN(1,AA23))^2+(1-MAX(0,MIN(1,AA23)))^2/$B$5))-(MAX(0,MIN(1,Z23))^2/(MAX(0,MIN(1,Z23))^2+(1-MAX(0,MIN(1,Z23)))^2/$B$5))))&lt;0.000000001,0,AA23-$B$11/$B$9*((MAX(0,MIN(1,AA23))^2/(MAX(0,MIN(1,AA23))^2+(1-MAX(0,MIN(1,AA23)))^2/$B$5))-(MAX(0,MIN(1,Z23))^2/(MAX(0,MIN(1,Z23))^2+(1-MAX(0,MIN(1,Z23)))^2/$B$5))))</f>
        <v>0</v>
      </c>
      <c r="AB24" s="16" t="n">
        <f aca="false">IF(ABS(AB23-$B$11/$B$9*((MAX(0,MIN(1,AB23))^2/(MAX(0,MIN(1,AB23))^2+(1-MAX(0,MIN(1,AB23)))^2/$B$5))-(MAX(0,MIN(1,AA23))^2/(MAX(0,MIN(1,AA23))^2+(1-MAX(0,MIN(1,AA23)))^2/$B$5))))&lt;0.000000001,0,AB23-$B$11/$B$9*((MAX(0,MIN(1,AB23))^2/(MAX(0,MIN(1,AB23))^2+(1-MAX(0,MIN(1,AB23)))^2/$B$5))-(MAX(0,MIN(1,AA23))^2/(MAX(0,MIN(1,AA23))^2+(1-MAX(0,MIN(1,AA23)))^2/$B$5))))</f>
        <v>0</v>
      </c>
      <c r="AC24" s="16" t="n">
        <f aca="false">IF(ABS(AC23-$B$11/$B$9*((MAX(0,MIN(1,AC23))^2/(MAX(0,MIN(1,AC23))^2+(1-MAX(0,MIN(1,AC23)))^2/$B$5))-(MAX(0,MIN(1,AB23))^2/(MAX(0,MIN(1,AB23))^2+(1-MAX(0,MIN(1,AB23)))^2/$B$5))))&lt;0.000000001,0,AC23-$B$11/$B$9*((MAX(0,MIN(1,AC23))^2/(MAX(0,MIN(1,AC23))^2+(1-MAX(0,MIN(1,AC23)))^2/$B$5))-(MAX(0,MIN(1,AB23))^2/(MAX(0,MIN(1,AB23))^2+(1-MAX(0,MIN(1,AB23)))^2/$B$5))))</f>
        <v>0</v>
      </c>
      <c r="AD24" s="16" t="n">
        <f aca="false">IF(ABS(AD23-$B$11/$B$9*((MAX(0,MIN(1,AD23))^2/(MAX(0,MIN(1,AD23))^2+(1-MAX(0,MIN(1,AD23)))^2/$B$5))-(MAX(0,MIN(1,AC23))^2/(MAX(0,MIN(1,AC23))^2+(1-MAX(0,MIN(1,AC23)))^2/$B$5))))&lt;0.000000001,0,AD23-$B$11/$B$9*((MAX(0,MIN(1,AD23))^2/(MAX(0,MIN(1,AD23))^2+(1-MAX(0,MIN(1,AD23)))^2/$B$5))-(MAX(0,MIN(1,AC23))^2/(MAX(0,MIN(1,AC23))^2+(1-MAX(0,MIN(1,AC23)))^2/$B$5))))</f>
        <v>0</v>
      </c>
      <c r="AE24" s="16" t="n">
        <f aca="false">IF(ABS(AE23-$B$11/$B$9*((MAX(0,MIN(1,AE23))^2/(MAX(0,MIN(1,AE23))^2+(1-MAX(0,MIN(1,AE23)))^2/$B$5))-(MAX(0,MIN(1,AD23))^2/(MAX(0,MIN(1,AD23))^2+(1-MAX(0,MIN(1,AD23)))^2/$B$5))))&lt;0.000000001,0,AE23-$B$11/$B$9*((MAX(0,MIN(1,AE23))^2/(MAX(0,MIN(1,AE23))^2+(1-MAX(0,MIN(1,AE23)))^2/$B$5))-(MAX(0,MIN(1,AD23))^2/(MAX(0,MIN(1,AD23))^2+(1-MAX(0,MIN(1,AD23)))^2/$B$5))))</f>
        <v>0</v>
      </c>
      <c r="AF24" s="16" t="n">
        <f aca="false">IF(ABS(AF23-$B$11/$B$9*((MAX(0,MIN(1,AF23))^2/(MAX(0,MIN(1,AF23))^2+(1-MAX(0,MIN(1,AF23)))^2/$B$5))-(MAX(0,MIN(1,AE23))^2/(MAX(0,MIN(1,AE23))^2+(1-MAX(0,MIN(1,AE23)))^2/$B$5))))&lt;0.000000001,0,AF23-$B$11/$B$9*((MAX(0,MIN(1,AF23))^2/(MAX(0,MIN(1,AF23))^2+(1-MAX(0,MIN(1,AF23)))^2/$B$5))-(MAX(0,MIN(1,AE23))^2/(MAX(0,MIN(1,AE23))^2+(1-MAX(0,MIN(1,AE23)))^2/$B$5))))</f>
        <v>0</v>
      </c>
    </row>
    <row r="25" customFormat="false" ht="15" hidden="false" customHeight="false" outlineLevel="0" collapsed="false">
      <c r="A25" s="0" t="n">
        <v>0.2</v>
      </c>
      <c r="D25" s="0" t="n">
        <f aca="false">A25</f>
        <v>0.2</v>
      </c>
      <c r="E25" s="0" t="n">
        <f aca="false">(G25-G24)/(A25-A24)</f>
        <v>1.19761392588524</v>
      </c>
      <c r="F25" s="0" t="n">
        <f aca="false">G25/A25</f>
        <v>0.555555555555556</v>
      </c>
      <c r="G25" s="0" t="n">
        <f aca="false">A25^2/(A25^2+(1-A25)^2/$B$5)</f>
        <v>0.111111111111111</v>
      </c>
      <c r="L25" s="0" t="n">
        <v>15</v>
      </c>
      <c r="M25" s="16" t="n">
        <f aca="false">IF(ABS(M24-$B$11/$B$9*((MAX(0,MIN(1,M24))^2/(MAX(0,MIN(1,M24))^2+(1-MAX(0,MIN(1,M24)))^2/$B$5))-(MAX(0,MIN(1,1))^2/(MAX(0,MIN(1,1))^2+(1-MAX(0,MIN(1,1)))^2/$B$5))))&lt;0.000000001,0,M24-$B$11/$B$9*((MAX(0,MIN(1,M24))^2/(MAX(0,MIN(1,M24))^2+(1-MAX(0,MIN(1,M24)))^2/$B$5))-(MAX(0,MIN(1,1))^2/(MAX(0,MIN(1,1))^2+(1-MAX(0,MIN(1,1)))^2/$B$5))))</f>
        <v>0.855468991658846</v>
      </c>
      <c r="N25" s="16" t="n">
        <f aca="false">IF(ABS(N24-$B$11/$B$9*((MAX(0,MIN(1,N24))^2/(MAX(0,MIN(1,N24))^2+(1-MAX(0,MIN(1,N24)))^2/$B$5))-(MAX(0,MIN(1,M24))^2/(MAX(0,MIN(1,M24))^2+(1-MAX(0,MIN(1,M24)))^2/$B$5))))&lt;0.000000001,0,N24-$B$11/$B$9*((MAX(0,MIN(1,N24))^2/(MAX(0,MIN(1,N24))^2+(1-MAX(0,MIN(1,N24)))^2/$B$5))-(MAX(0,MIN(1,M24))^2/(MAX(0,MIN(1,M24))^2+(1-MAX(0,MIN(1,M24)))^2/$B$5))))</f>
        <v>0.792606757323162</v>
      </c>
      <c r="O25" s="16" t="n">
        <f aca="false">IF(ABS(O24-$B$11/$B$9*((MAX(0,MIN(1,O24))^2/(MAX(0,MIN(1,O24))^2+(1-MAX(0,MIN(1,O24)))^2/$B$5))-(MAX(0,MIN(1,N24))^2/(MAX(0,MIN(1,N24))^2+(1-MAX(0,MIN(1,N24)))^2/$B$5))))&lt;0.000000001,0,O24-$B$11/$B$9*((MAX(0,MIN(1,O24))^2/(MAX(0,MIN(1,O24))^2+(1-MAX(0,MIN(1,O24)))^2/$B$5))-(MAX(0,MIN(1,N24))^2/(MAX(0,MIN(1,N24))^2+(1-MAX(0,MIN(1,N24)))^2/$B$5))))</f>
        <v>0.743815885468849</v>
      </c>
      <c r="P25" s="16" t="n">
        <f aca="false">IF(ABS(P24-$B$11/$B$9*((MAX(0,MIN(1,P24))^2/(MAX(0,MIN(1,P24))^2+(1-MAX(0,MIN(1,P24)))^2/$B$5))-(MAX(0,MIN(1,O24))^2/(MAX(0,MIN(1,O24))^2+(1-MAX(0,MIN(1,O24)))^2/$B$5))))&lt;0.000000001,0,P24-$B$11/$B$9*((MAX(0,MIN(1,P24))^2/(MAX(0,MIN(1,P24))^2+(1-MAX(0,MIN(1,P24)))^2/$B$5))-(MAX(0,MIN(1,O24))^2/(MAX(0,MIN(1,O24))^2+(1-MAX(0,MIN(1,O24)))^2/$B$5))))</f>
        <v>0.701981944960723</v>
      </c>
      <c r="Q25" s="16" t="n">
        <f aca="false">IF(ABS(Q24-$B$11/$B$9*((MAX(0,MIN(1,Q24))^2/(MAX(0,MIN(1,Q24))^2+(1-MAX(0,MIN(1,Q24)))^2/$B$5))-(MAX(0,MIN(1,P24))^2/(MAX(0,MIN(1,P24))^2+(1-MAX(0,MIN(1,P24)))^2/$B$5))))&lt;0.000000001,0,Q24-$B$11/$B$9*((MAX(0,MIN(1,Q24))^2/(MAX(0,MIN(1,Q24))^2+(1-MAX(0,MIN(1,Q24)))^2/$B$5))-(MAX(0,MIN(1,P24))^2/(MAX(0,MIN(1,P24))^2+(1-MAX(0,MIN(1,P24)))^2/$B$5))))</f>
        <v>0.663601445550781</v>
      </c>
      <c r="R25" s="16" t="n">
        <f aca="false">IF(ABS(R24-$B$11/$B$9*((MAX(0,MIN(1,R24))^2/(MAX(0,MIN(1,R24))^2+(1-MAX(0,MIN(1,R24)))^2/$B$5))-(MAX(0,MIN(1,Q24))^2/(MAX(0,MIN(1,Q24))^2+(1-MAX(0,MIN(1,Q24)))^2/$B$5))))&lt;0.000000001,0,R24-$B$11/$B$9*((MAX(0,MIN(1,R24))^2/(MAX(0,MIN(1,R24))^2+(1-MAX(0,MIN(1,R24)))^2/$B$5))-(MAX(0,MIN(1,Q24))^2/(MAX(0,MIN(1,Q24))^2+(1-MAX(0,MIN(1,Q24)))^2/$B$5))))</f>
        <v>0.625705824236516</v>
      </c>
      <c r="S25" s="16" t="n">
        <f aca="false">IF(ABS(S24-$B$11/$B$9*((MAX(0,MIN(1,S24))^2/(MAX(0,MIN(1,S24))^2+(1-MAX(0,MIN(1,S24)))^2/$B$5))-(MAX(0,MIN(1,R24))^2/(MAX(0,MIN(1,R24))^2+(1-MAX(0,MIN(1,R24)))^2/$B$5))))&lt;0.000000001,0,S24-$B$11/$B$9*((MAX(0,MIN(1,S24))^2/(MAX(0,MIN(1,S24))^2+(1-MAX(0,MIN(1,S24)))^2/$B$5))-(MAX(0,MIN(1,R24))^2/(MAX(0,MIN(1,R24))^2+(1-MAX(0,MIN(1,R24)))^2/$B$5))))</f>
        <v>0.583501331442548</v>
      </c>
      <c r="T25" s="16" t="n">
        <f aca="false">IF(ABS(T24-$B$11/$B$9*((MAX(0,MIN(1,T24))^2/(MAX(0,MIN(1,T24))^2+(1-MAX(0,MIN(1,T24)))^2/$B$5))-(MAX(0,MIN(1,S24))^2/(MAX(0,MIN(1,S24))^2+(1-MAX(0,MIN(1,S24)))^2/$B$5))))&lt;0.000000001,0,T24-$B$11/$B$9*((MAX(0,MIN(1,T24))^2/(MAX(0,MIN(1,T24))^2+(1-MAX(0,MIN(1,T24)))^2/$B$5))-(MAX(0,MIN(1,S24))^2/(MAX(0,MIN(1,S24))^2+(1-MAX(0,MIN(1,S24)))^2/$B$5))))</f>
        <v>0.520549628549472</v>
      </c>
      <c r="U25" s="16" t="n">
        <f aca="false">IF(ABS(U24-$B$11/$B$9*((MAX(0,MIN(1,U24))^2/(MAX(0,MIN(1,U24))^2+(1-MAX(0,MIN(1,U24)))^2/$B$5))-(MAX(0,MIN(1,T24))^2/(MAX(0,MIN(1,T24))^2+(1-MAX(0,MIN(1,T24)))^2/$B$5))))&lt;0.000000001,0,U24-$B$11/$B$9*((MAX(0,MIN(1,U24))^2/(MAX(0,MIN(1,U24))^2+(1-MAX(0,MIN(1,U24)))^2/$B$5))-(MAX(0,MIN(1,T24))^2/(MAX(0,MIN(1,T24))^2+(1-MAX(0,MIN(1,T24)))^2/$B$5))))</f>
        <v>0.276968545181021</v>
      </c>
      <c r="V25" s="16" t="n">
        <f aca="false">IF(ABS(V24-$B$11/$B$9*((MAX(0,MIN(1,V24))^2/(MAX(0,MIN(1,V24))^2+(1-MAX(0,MIN(1,V24)))^2/$B$5))-(MAX(0,MIN(1,U24))^2/(MAX(0,MIN(1,U24))^2+(1-MAX(0,MIN(1,U24)))^2/$B$5))))&lt;0.000000001,0,V24-$B$11/$B$9*((MAX(0,MIN(1,V24))^2/(MAX(0,MIN(1,V24))^2+(1-MAX(0,MIN(1,V24)))^2/$B$5))-(MAX(0,MIN(1,U24))^2/(MAX(0,MIN(1,U24))^2+(1-MAX(0,MIN(1,U24)))^2/$B$5))))</f>
        <v>0.00377042245533543</v>
      </c>
      <c r="W25" s="16" t="n">
        <f aca="false">IF(ABS(W24-$B$11/$B$9*((MAX(0,MIN(1,W24))^2/(MAX(0,MIN(1,W24))^2+(1-MAX(0,MIN(1,W24)))^2/$B$5))-(MAX(0,MIN(1,V24))^2/(MAX(0,MIN(1,V24))^2+(1-MAX(0,MIN(1,V24)))^2/$B$5))))&lt;0.000000001,0,W24-$B$11/$B$9*((MAX(0,MIN(1,W24))^2/(MAX(0,MIN(1,W24))^2+(1-MAX(0,MIN(1,W24)))^2/$B$5))-(MAX(0,MIN(1,V24))^2/(MAX(0,MIN(1,V24))^2+(1-MAX(0,MIN(1,V24)))^2/$B$5))))</f>
        <v>0</v>
      </c>
      <c r="X25" s="16" t="n">
        <f aca="false">IF(ABS(X24-$B$11/$B$9*((MAX(0,MIN(1,X24))^2/(MAX(0,MIN(1,X24))^2+(1-MAX(0,MIN(1,X24)))^2/$B$5))-(MAX(0,MIN(1,W24))^2/(MAX(0,MIN(1,W24))^2+(1-MAX(0,MIN(1,W24)))^2/$B$5))))&lt;0.000000001,0,X24-$B$11/$B$9*((MAX(0,MIN(1,X24))^2/(MAX(0,MIN(1,X24))^2+(1-MAX(0,MIN(1,X24)))^2/$B$5))-(MAX(0,MIN(1,W24))^2/(MAX(0,MIN(1,W24))^2+(1-MAX(0,MIN(1,W24)))^2/$B$5))))</f>
        <v>0</v>
      </c>
      <c r="Y25" s="16" t="n">
        <f aca="false">IF(ABS(Y24-$B$11/$B$9*((MAX(0,MIN(1,Y24))^2/(MAX(0,MIN(1,Y24))^2+(1-MAX(0,MIN(1,Y24)))^2/$B$5))-(MAX(0,MIN(1,X24))^2/(MAX(0,MIN(1,X24))^2+(1-MAX(0,MIN(1,X24)))^2/$B$5))))&lt;0.000000001,0,Y24-$B$11/$B$9*((MAX(0,MIN(1,Y24))^2/(MAX(0,MIN(1,Y24))^2+(1-MAX(0,MIN(1,Y24)))^2/$B$5))-(MAX(0,MIN(1,X24))^2/(MAX(0,MIN(1,X24))^2+(1-MAX(0,MIN(1,X24)))^2/$B$5))))</f>
        <v>0</v>
      </c>
      <c r="Z25" s="16" t="n">
        <f aca="false">IF(ABS(Z24-$B$11/$B$9*((MAX(0,MIN(1,Z24))^2/(MAX(0,MIN(1,Z24))^2+(1-MAX(0,MIN(1,Z24)))^2/$B$5))-(MAX(0,MIN(1,Y24))^2/(MAX(0,MIN(1,Y24))^2+(1-MAX(0,MIN(1,Y24)))^2/$B$5))))&lt;0.000000001,0,Z24-$B$11/$B$9*((MAX(0,MIN(1,Z24))^2/(MAX(0,MIN(1,Z24))^2+(1-MAX(0,MIN(1,Z24)))^2/$B$5))-(MAX(0,MIN(1,Y24))^2/(MAX(0,MIN(1,Y24))^2+(1-MAX(0,MIN(1,Y24)))^2/$B$5))))</f>
        <v>0</v>
      </c>
      <c r="AA25" s="16" t="n">
        <f aca="false">IF(ABS(AA24-$B$11/$B$9*((MAX(0,MIN(1,AA24))^2/(MAX(0,MIN(1,AA24))^2+(1-MAX(0,MIN(1,AA24)))^2/$B$5))-(MAX(0,MIN(1,Z24))^2/(MAX(0,MIN(1,Z24))^2+(1-MAX(0,MIN(1,Z24)))^2/$B$5))))&lt;0.000000001,0,AA24-$B$11/$B$9*((MAX(0,MIN(1,AA24))^2/(MAX(0,MIN(1,AA24))^2+(1-MAX(0,MIN(1,AA24)))^2/$B$5))-(MAX(0,MIN(1,Z24))^2/(MAX(0,MIN(1,Z24))^2+(1-MAX(0,MIN(1,Z24)))^2/$B$5))))</f>
        <v>0</v>
      </c>
      <c r="AB25" s="16" t="n">
        <f aca="false">IF(ABS(AB24-$B$11/$B$9*((MAX(0,MIN(1,AB24))^2/(MAX(0,MIN(1,AB24))^2+(1-MAX(0,MIN(1,AB24)))^2/$B$5))-(MAX(0,MIN(1,AA24))^2/(MAX(0,MIN(1,AA24))^2+(1-MAX(0,MIN(1,AA24)))^2/$B$5))))&lt;0.000000001,0,AB24-$B$11/$B$9*((MAX(0,MIN(1,AB24))^2/(MAX(0,MIN(1,AB24))^2+(1-MAX(0,MIN(1,AB24)))^2/$B$5))-(MAX(0,MIN(1,AA24))^2/(MAX(0,MIN(1,AA24))^2+(1-MAX(0,MIN(1,AA24)))^2/$B$5))))</f>
        <v>0</v>
      </c>
      <c r="AC25" s="16" t="n">
        <f aca="false">IF(ABS(AC24-$B$11/$B$9*((MAX(0,MIN(1,AC24))^2/(MAX(0,MIN(1,AC24))^2+(1-MAX(0,MIN(1,AC24)))^2/$B$5))-(MAX(0,MIN(1,AB24))^2/(MAX(0,MIN(1,AB24))^2+(1-MAX(0,MIN(1,AB24)))^2/$B$5))))&lt;0.000000001,0,AC24-$B$11/$B$9*((MAX(0,MIN(1,AC24))^2/(MAX(0,MIN(1,AC24))^2+(1-MAX(0,MIN(1,AC24)))^2/$B$5))-(MAX(0,MIN(1,AB24))^2/(MAX(0,MIN(1,AB24))^2+(1-MAX(0,MIN(1,AB24)))^2/$B$5))))</f>
        <v>0</v>
      </c>
      <c r="AD25" s="16" t="n">
        <f aca="false">IF(ABS(AD24-$B$11/$B$9*((MAX(0,MIN(1,AD24))^2/(MAX(0,MIN(1,AD24))^2+(1-MAX(0,MIN(1,AD24)))^2/$B$5))-(MAX(0,MIN(1,AC24))^2/(MAX(0,MIN(1,AC24))^2+(1-MAX(0,MIN(1,AC24)))^2/$B$5))))&lt;0.000000001,0,AD24-$B$11/$B$9*((MAX(0,MIN(1,AD24))^2/(MAX(0,MIN(1,AD24))^2+(1-MAX(0,MIN(1,AD24)))^2/$B$5))-(MAX(0,MIN(1,AC24))^2/(MAX(0,MIN(1,AC24))^2+(1-MAX(0,MIN(1,AC24)))^2/$B$5))))</f>
        <v>0</v>
      </c>
      <c r="AE25" s="16" t="n">
        <f aca="false">IF(ABS(AE24-$B$11/$B$9*((MAX(0,MIN(1,AE24))^2/(MAX(0,MIN(1,AE24))^2+(1-MAX(0,MIN(1,AE24)))^2/$B$5))-(MAX(0,MIN(1,AD24))^2/(MAX(0,MIN(1,AD24))^2+(1-MAX(0,MIN(1,AD24)))^2/$B$5))))&lt;0.000000001,0,AE24-$B$11/$B$9*((MAX(0,MIN(1,AE24))^2/(MAX(0,MIN(1,AE24))^2+(1-MAX(0,MIN(1,AE24)))^2/$B$5))-(MAX(0,MIN(1,AD24))^2/(MAX(0,MIN(1,AD24))^2+(1-MAX(0,MIN(1,AD24)))^2/$B$5))))</f>
        <v>0</v>
      </c>
      <c r="AF25" s="16" t="n">
        <f aca="false">IF(ABS(AF24-$B$11/$B$9*((MAX(0,MIN(1,AF24))^2/(MAX(0,MIN(1,AF24))^2+(1-MAX(0,MIN(1,AF24)))^2/$B$5))-(MAX(0,MIN(1,AE24))^2/(MAX(0,MIN(1,AE24))^2+(1-MAX(0,MIN(1,AE24)))^2/$B$5))))&lt;0.000000001,0,AF24-$B$11/$B$9*((MAX(0,MIN(1,AF24))^2/(MAX(0,MIN(1,AF24))^2+(1-MAX(0,MIN(1,AF24)))^2/$B$5))-(MAX(0,MIN(1,AE24))^2/(MAX(0,MIN(1,AE24))^2+(1-MAX(0,MIN(1,AE24)))^2/$B$5))))</f>
        <v>0</v>
      </c>
    </row>
    <row r="26" customFormat="false" ht="15" hidden="false" customHeight="false" outlineLevel="0" collapsed="false">
      <c r="A26" s="0" t="n">
        <v>0.21</v>
      </c>
      <c r="D26" s="0" t="n">
        <f aca="false">A26</f>
        <v>0.21</v>
      </c>
      <c r="E26" s="0" t="n">
        <f aca="false">(G26-G25)/(A26-A25)</f>
        <v>1.27131202520786</v>
      </c>
      <c r="F26" s="0" t="n">
        <f aca="false">G26/A26</f>
        <v>0.58963919696757</v>
      </c>
      <c r="G26" s="0" t="n">
        <f aca="false">A26^2/(A26^2+(1-A26)^2/$B$5)</f>
        <v>0.12382423136319</v>
      </c>
      <c r="L26" s="0" t="n">
        <v>16</v>
      </c>
      <c r="M26" s="16" t="n">
        <f aca="false">IF(ABS(M25-$B$11/$B$9*((MAX(0,MIN(1,M25))^2/(MAX(0,MIN(1,M25))^2+(1-MAX(0,MIN(1,M25)))^2/$B$5))-(MAX(0,MIN(1,1))^2/(MAX(0,MIN(1,1))^2+(1-MAX(0,MIN(1,1)))^2/$B$5))))&lt;0.000000001,0,M25-$B$11/$B$9*((MAX(0,MIN(1,M25))^2/(MAX(0,MIN(1,M25))^2+(1-MAX(0,MIN(1,M25)))^2/$B$5))-(MAX(0,MIN(1,1))^2/(MAX(0,MIN(1,1))^2+(1-MAX(0,MIN(1,1)))^2/$B$5))))</f>
        <v>0.860879784408571</v>
      </c>
      <c r="N26" s="16" t="n">
        <f aca="false">IF(ABS(N25-$B$11/$B$9*((MAX(0,MIN(1,N25))^2/(MAX(0,MIN(1,N25))^2+(1-MAX(0,MIN(1,N25)))^2/$B$5))-(MAX(0,MIN(1,M25))^2/(MAX(0,MIN(1,M25))^2+(1-MAX(0,MIN(1,M25)))^2/$B$5))))&lt;0.000000001,0,N25-$B$11/$B$9*((MAX(0,MIN(1,N25))^2/(MAX(0,MIN(1,N25))^2+(1-MAX(0,MIN(1,N25)))^2/$B$5))-(MAX(0,MIN(1,M25))^2/(MAX(0,MIN(1,M25))^2+(1-MAX(0,MIN(1,M25)))^2/$B$5))))</f>
        <v>0.79992387503265</v>
      </c>
      <c r="O26" s="16" t="n">
        <f aca="false">IF(ABS(O25-$B$11/$B$9*((MAX(0,MIN(1,O25))^2/(MAX(0,MIN(1,O25))^2+(1-MAX(0,MIN(1,O25)))^2/$B$5))-(MAX(0,MIN(1,N25))^2/(MAX(0,MIN(1,N25))^2+(1-MAX(0,MIN(1,N25)))^2/$B$5))))&lt;0.000000001,0,O25-$B$11/$B$9*((MAX(0,MIN(1,O25))^2/(MAX(0,MIN(1,O25))^2+(1-MAX(0,MIN(1,O25)))^2/$B$5))-(MAX(0,MIN(1,N25))^2/(MAX(0,MIN(1,N25))^2+(1-MAX(0,MIN(1,N25)))^2/$B$5))))</f>
        <v>0.752618337764241</v>
      </c>
      <c r="P26" s="16" t="n">
        <f aca="false">IF(ABS(P25-$B$11/$B$9*((MAX(0,MIN(1,P25))^2/(MAX(0,MIN(1,P25))^2+(1-MAX(0,MIN(1,P25)))^2/$B$5))-(MAX(0,MIN(1,O25))^2/(MAX(0,MIN(1,O25))^2+(1-MAX(0,MIN(1,O25)))^2/$B$5))))&lt;0.000000001,0,P25-$B$11/$B$9*((MAX(0,MIN(1,P25))^2/(MAX(0,MIN(1,P25))^2+(1-MAX(0,MIN(1,P25)))^2/$B$5))-(MAX(0,MIN(1,O25))^2/(MAX(0,MIN(1,O25))^2+(1-MAX(0,MIN(1,O25)))^2/$B$5))))</f>
        <v>0.712239511440636</v>
      </c>
      <c r="Q26" s="16" t="n">
        <f aca="false">IF(ABS(Q25-$B$11/$B$9*((MAX(0,MIN(1,Q25))^2/(MAX(0,MIN(1,Q25))^2+(1-MAX(0,MIN(1,Q25)))^2/$B$5))-(MAX(0,MIN(1,P25))^2/(MAX(0,MIN(1,P25))^2+(1-MAX(0,MIN(1,P25)))^2/$B$5))))&lt;0.000000001,0,Q25-$B$11/$B$9*((MAX(0,MIN(1,Q25))^2/(MAX(0,MIN(1,Q25))^2+(1-MAX(0,MIN(1,Q25)))^2/$B$5))-(MAX(0,MIN(1,P25))^2/(MAX(0,MIN(1,P25))^2+(1-MAX(0,MIN(1,P25)))^2/$B$5))))</f>
        <v>0.675595791783106</v>
      </c>
      <c r="R26" s="16" t="n">
        <f aca="false">IF(ABS(R25-$B$11/$B$9*((MAX(0,MIN(1,R25))^2/(MAX(0,MIN(1,R25))^2+(1-MAX(0,MIN(1,R25)))^2/$B$5))-(MAX(0,MIN(1,Q25))^2/(MAX(0,MIN(1,Q25))^2+(1-MAX(0,MIN(1,Q25)))^2/$B$5))))&lt;0.000000001,0,R25-$B$11/$B$9*((MAX(0,MIN(1,R25))^2/(MAX(0,MIN(1,R25))^2+(1-MAX(0,MIN(1,R25)))^2/$B$5))-(MAX(0,MIN(1,Q25))^2/(MAX(0,MIN(1,Q25))^2+(1-MAX(0,MIN(1,Q25)))^2/$B$5))))</f>
        <v>0.640281989774128</v>
      </c>
      <c r="S26" s="16" t="n">
        <f aca="false">IF(ABS(S25-$B$11/$B$9*((MAX(0,MIN(1,S25))^2/(MAX(0,MIN(1,S25))^2+(1-MAX(0,MIN(1,S25)))^2/$B$5))-(MAX(0,MIN(1,R25))^2/(MAX(0,MIN(1,R25))^2+(1-MAX(0,MIN(1,R25)))^2/$B$5))))&lt;0.000000001,0,S25-$B$11/$B$9*((MAX(0,MIN(1,S25))^2/(MAX(0,MIN(1,S25))^2+(1-MAX(0,MIN(1,S25)))^2/$B$5))-(MAX(0,MIN(1,R25))^2/(MAX(0,MIN(1,R25))^2+(1-MAX(0,MIN(1,R25)))^2/$B$5))))</f>
        <v>0.603213623567727</v>
      </c>
      <c r="T26" s="16" t="n">
        <f aca="false">IF(ABS(T25-$B$11/$B$9*((MAX(0,MIN(1,T25))^2/(MAX(0,MIN(1,T25))^2+(1-MAX(0,MIN(1,T25)))^2/$B$5))-(MAX(0,MIN(1,S25))^2/(MAX(0,MIN(1,S25))^2+(1-MAX(0,MIN(1,S25)))^2/$B$5))))&lt;0.000000001,0,T25-$B$11/$B$9*((MAX(0,MIN(1,T25))^2/(MAX(0,MIN(1,T25))^2+(1-MAX(0,MIN(1,T25)))^2/$B$5))-(MAX(0,MIN(1,S25))^2/(MAX(0,MIN(1,S25))^2+(1-MAX(0,MIN(1,S25)))^2/$B$5))))</f>
        <v>0.557005149996024</v>
      </c>
      <c r="U26" s="16" t="n">
        <f aca="false">IF(ABS(U25-$B$11/$B$9*((MAX(0,MIN(1,U25))^2/(MAX(0,MIN(1,U25))^2+(1-MAX(0,MIN(1,U25)))^2/$B$5))-(MAX(0,MIN(1,T25))^2/(MAX(0,MIN(1,T25))^2+(1-MAX(0,MIN(1,T25)))^2/$B$5))))&lt;0.000000001,0,U25-$B$11/$B$9*((MAX(0,MIN(1,U25))^2/(MAX(0,MIN(1,U25))^2+(1-MAX(0,MIN(1,U25)))^2/$B$5))-(MAX(0,MIN(1,T25))^2/(MAX(0,MIN(1,T25))^2+(1-MAX(0,MIN(1,T25)))^2/$B$5))))</f>
        <v>0.459726969497243</v>
      </c>
      <c r="V26" s="16" t="n">
        <f aca="false">IF(ABS(V25-$B$11/$B$9*((MAX(0,MIN(1,V25))^2/(MAX(0,MIN(1,V25))^2+(1-MAX(0,MIN(1,V25)))^2/$B$5))-(MAX(0,MIN(1,U25))^2/(MAX(0,MIN(1,U25))^2+(1-MAX(0,MIN(1,U25)))^2/$B$5))))&lt;0.000000001,0,V25-$B$11/$B$9*((MAX(0,MIN(1,V25))^2/(MAX(0,MIN(1,V25))^2+(1-MAX(0,MIN(1,V25)))^2/$B$5))-(MAX(0,MIN(1,U25))^2/(MAX(0,MIN(1,U25))^2+(1-MAX(0,MIN(1,U25)))^2/$B$5))))</f>
        <v>0.0910061130383904</v>
      </c>
      <c r="W26" s="16" t="n">
        <f aca="false">IF(ABS(W25-$B$11/$B$9*((MAX(0,MIN(1,W25))^2/(MAX(0,MIN(1,W25))^2+(1-MAX(0,MIN(1,W25)))^2/$B$5))-(MAX(0,MIN(1,V25))^2/(MAX(0,MIN(1,V25))^2+(1-MAX(0,MIN(1,V25)))^2/$B$5))))&lt;0.000000001,0,W25-$B$11/$B$9*((MAX(0,MIN(1,W25))^2/(MAX(0,MIN(1,W25))^2+(1-MAX(0,MIN(1,W25)))^2/$B$5))-(MAX(0,MIN(1,V25))^2/(MAX(0,MIN(1,V25))^2+(1-MAX(0,MIN(1,V25)))^2/$B$5))))</f>
        <v>1.10156596731489E-005</v>
      </c>
      <c r="X26" s="16" t="n">
        <f aca="false">IF(ABS(X25-$B$11/$B$9*((MAX(0,MIN(1,X25))^2/(MAX(0,MIN(1,X25))^2+(1-MAX(0,MIN(1,X25)))^2/$B$5))-(MAX(0,MIN(1,W25))^2/(MAX(0,MIN(1,W25))^2+(1-MAX(0,MIN(1,W25)))^2/$B$5))))&lt;0.000000001,0,X25-$B$11/$B$9*((MAX(0,MIN(1,X25))^2/(MAX(0,MIN(1,X25))^2+(1-MAX(0,MIN(1,X25)))^2/$B$5))-(MAX(0,MIN(1,W25))^2/(MAX(0,MIN(1,W25))^2+(1-MAX(0,MIN(1,W25)))^2/$B$5))))</f>
        <v>0</v>
      </c>
      <c r="Y26" s="16" t="n">
        <f aca="false">IF(ABS(Y25-$B$11/$B$9*((MAX(0,MIN(1,Y25))^2/(MAX(0,MIN(1,Y25))^2+(1-MAX(0,MIN(1,Y25)))^2/$B$5))-(MAX(0,MIN(1,X25))^2/(MAX(0,MIN(1,X25))^2+(1-MAX(0,MIN(1,X25)))^2/$B$5))))&lt;0.000000001,0,Y25-$B$11/$B$9*((MAX(0,MIN(1,Y25))^2/(MAX(0,MIN(1,Y25))^2+(1-MAX(0,MIN(1,Y25)))^2/$B$5))-(MAX(0,MIN(1,X25))^2/(MAX(0,MIN(1,X25))^2+(1-MAX(0,MIN(1,X25)))^2/$B$5))))</f>
        <v>0</v>
      </c>
      <c r="Z26" s="16" t="n">
        <f aca="false">IF(ABS(Z25-$B$11/$B$9*((MAX(0,MIN(1,Z25))^2/(MAX(0,MIN(1,Z25))^2+(1-MAX(0,MIN(1,Z25)))^2/$B$5))-(MAX(0,MIN(1,Y25))^2/(MAX(0,MIN(1,Y25))^2+(1-MAX(0,MIN(1,Y25)))^2/$B$5))))&lt;0.000000001,0,Z25-$B$11/$B$9*((MAX(0,MIN(1,Z25))^2/(MAX(0,MIN(1,Z25))^2+(1-MAX(0,MIN(1,Z25)))^2/$B$5))-(MAX(0,MIN(1,Y25))^2/(MAX(0,MIN(1,Y25))^2+(1-MAX(0,MIN(1,Y25)))^2/$B$5))))</f>
        <v>0</v>
      </c>
      <c r="AA26" s="16" t="n">
        <f aca="false">IF(ABS(AA25-$B$11/$B$9*((MAX(0,MIN(1,AA25))^2/(MAX(0,MIN(1,AA25))^2+(1-MAX(0,MIN(1,AA25)))^2/$B$5))-(MAX(0,MIN(1,Z25))^2/(MAX(0,MIN(1,Z25))^2+(1-MAX(0,MIN(1,Z25)))^2/$B$5))))&lt;0.000000001,0,AA25-$B$11/$B$9*((MAX(0,MIN(1,AA25))^2/(MAX(0,MIN(1,AA25))^2+(1-MAX(0,MIN(1,AA25)))^2/$B$5))-(MAX(0,MIN(1,Z25))^2/(MAX(0,MIN(1,Z25))^2+(1-MAX(0,MIN(1,Z25)))^2/$B$5))))</f>
        <v>0</v>
      </c>
      <c r="AB26" s="16" t="n">
        <f aca="false">IF(ABS(AB25-$B$11/$B$9*((MAX(0,MIN(1,AB25))^2/(MAX(0,MIN(1,AB25))^2+(1-MAX(0,MIN(1,AB25)))^2/$B$5))-(MAX(0,MIN(1,AA25))^2/(MAX(0,MIN(1,AA25))^2+(1-MAX(0,MIN(1,AA25)))^2/$B$5))))&lt;0.000000001,0,AB25-$B$11/$B$9*((MAX(0,MIN(1,AB25))^2/(MAX(0,MIN(1,AB25))^2+(1-MAX(0,MIN(1,AB25)))^2/$B$5))-(MAX(0,MIN(1,AA25))^2/(MAX(0,MIN(1,AA25))^2+(1-MAX(0,MIN(1,AA25)))^2/$B$5))))</f>
        <v>0</v>
      </c>
      <c r="AC26" s="16" t="n">
        <f aca="false">IF(ABS(AC25-$B$11/$B$9*((MAX(0,MIN(1,AC25))^2/(MAX(0,MIN(1,AC25))^2+(1-MAX(0,MIN(1,AC25)))^2/$B$5))-(MAX(0,MIN(1,AB25))^2/(MAX(0,MIN(1,AB25))^2+(1-MAX(0,MIN(1,AB25)))^2/$B$5))))&lt;0.000000001,0,AC25-$B$11/$B$9*((MAX(0,MIN(1,AC25))^2/(MAX(0,MIN(1,AC25))^2+(1-MAX(0,MIN(1,AC25)))^2/$B$5))-(MAX(0,MIN(1,AB25))^2/(MAX(0,MIN(1,AB25))^2+(1-MAX(0,MIN(1,AB25)))^2/$B$5))))</f>
        <v>0</v>
      </c>
      <c r="AD26" s="16" t="n">
        <f aca="false">IF(ABS(AD25-$B$11/$B$9*((MAX(0,MIN(1,AD25))^2/(MAX(0,MIN(1,AD25))^2+(1-MAX(0,MIN(1,AD25)))^2/$B$5))-(MAX(0,MIN(1,AC25))^2/(MAX(0,MIN(1,AC25))^2+(1-MAX(0,MIN(1,AC25)))^2/$B$5))))&lt;0.000000001,0,AD25-$B$11/$B$9*((MAX(0,MIN(1,AD25))^2/(MAX(0,MIN(1,AD25))^2+(1-MAX(0,MIN(1,AD25)))^2/$B$5))-(MAX(0,MIN(1,AC25))^2/(MAX(0,MIN(1,AC25))^2+(1-MAX(0,MIN(1,AC25)))^2/$B$5))))</f>
        <v>0</v>
      </c>
      <c r="AE26" s="16" t="n">
        <f aca="false">IF(ABS(AE25-$B$11/$B$9*((MAX(0,MIN(1,AE25))^2/(MAX(0,MIN(1,AE25))^2+(1-MAX(0,MIN(1,AE25)))^2/$B$5))-(MAX(0,MIN(1,AD25))^2/(MAX(0,MIN(1,AD25))^2+(1-MAX(0,MIN(1,AD25)))^2/$B$5))))&lt;0.000000001,0,AE25-$B$11/$B$9*((MAX(0,MIN(1,AE25))^2/(MAX(0,MIN(1,AE25))^2+(1-MAX(0,MIN(1,AE25)))^2/$B$5))-(MAX(0,MIN(1,AD25))^2/(MAX(0,MIN(1,AD25))^2+(1-MAX(0,MIN(1,AD25)))^2/$B$5))))</f>
        <v>0</v>
      </c>
      <c r="AF26" s="16" t="n">
        <f aca="false">IF(ABS(AF25-$B$11/$B$9*((MAX(0,MIN(1,AF25))^2/(MAX(0,MIN(1,AF25))^2+(1-MAX(0,MIN(1,AF25)))^2/$B$5))-(MAX(0,MIN(1,AE25))^2/(MAX(0,MIN(1,AE25))^2+(1-MAX(0,MIN(1,AE25)))^2/$B$5))))&lt;0.000000001,0,AF25-$B$11/$B$9*((MAX(0,MIN(1,AF25))^2/(MAX(0,MIN(1,AF25))^2+(1-MAX(0,MIN(1,AF25)))^2/$B$5))-(MAX(0,MIN(1,AE25))^2/(MAX(0,MIN(1,AE25))^2+(1-MAX(0,MIN(1,AE25)))^2/$B$5))))</f>
        <v>0</v>
      </c>
    </row>
    <row r="27" customFormat="false" ht="15" hidden="false" customHeight="false" outlineLevel="0" collapsed="false">
      <c r="A27" s="0" t="n">
        <v>0.22</v>
      </c>
      <c r="D27" s="0" t="n">
        <f aca="false">A27</f>
        <v>0.22</v>
      </c>
      <c r="E27" s="0" t="n">
        <f aca="false">(G27-G26)/(A27-A26)</f>
        <v>1.34417924598393</v>
      </c>
      <c r="F27" s="0" t="n">
        <f aca="false">G27/A27</f>
        <v>0.623936471922859</v>
      </c>
      <c r="G27" s="0" t="n">
        <f aca="false">A27^2/(A27^2+(1-A27)^2/$B$5)</f>
        <v>0.137266023823029</v>
      </c>
      <c r="L27" s="0" t="n">
        <v>17</v>
      </c>
      <c r="M27" s="16" t="n">
        <f aca="false">IF(ABS(M26-$B$11/$B$9*((MAX(0,MIN(1,M26))^2/(MAX(0,MIN(1,M26))^2+(1-MAX(0,MIN(1,M26)))^2/$B$5))-(MAX(0,MIN(1,1))^2/(MAX(0,MIN(1,1))^2+(1-MAX(0,MIN(1,1)))^2/$B$5))))&lt;0.000000001,0,M26-$B$11/$B$9*((MAX(0,MIN(1,M26))^2/(MAX(0,MIN(1,M26))^2+(1-MAX(0,MIN(1,M26)))^2/$B$5))-(MAX(0,MIN(1,1))^2/(MAX(0,MIN(1,1))^2+(1-MAX(0,MIN(1,1)))^2/$B$5))))</f>
        <v>0.865836147283395</v>
      </c>
      <c r="N27" s="16" t="n">
        <f aca="false">IF(ABS(N26-$B$11/$B$9*((MAX(0,MIN(1,N26))^2/(MAX(0,MIN(1,N26))^2+(1-MAX(0,MIN(1,N26)))^2/$B$5))-(MAX(0,MIN(1,M26))^2/(MAX(0,MIN(1,M26))^2+(1-MAX(0,MIN(1,M26)))^2/$B$5))))&lt;0.000000001,0,N26-$B$11/$B$9*((MAX(0,MIN(1,N26))^2/(MAX(0,MIN(1,N26))^2+(1-MAX(0,MIN(1,N26)))^2/$B$5))-(MAX(0,MIN(1,M26))^2/(MAX(0,MIN(1,M26))^2+(1-MAX(0,MIN(1,M26)))^2/$B$5))))</f>
        <v>0.806630733689084</v>
      </c>
      <c r="O27" s="16" t="n">
        <f aca="false">IF(ABS(O26-$B$11/$B$9*((MAX(0,MIN(1,O26))^2/(MAX(0,MIN(1,O26))^2+(1-MAX(0,MIN(1,O26)))^2/$B$5))-(MAX(0,MIN(1,N26))^2/(MAX(0,MIN(1,N26))^2+(1-MAX(0,MIN(1,N26)))^2/$B$5))))&lt;0.000000001,0,O26-$B$11/$B$9*((MAX(0,MIN(1,O26))^2/(MAX(0,MIN(1,O26))^2+(1-MAX(0,MIN(1,O26)))^2/$B$5))-(MAX(0,MIN(1,N26))^2/(MAX(0,MIN(1,N26))^2+(1-MAX(0,MIN(1,N26)))^2/$B$5))))</f>
        <v>0.760662923981281</v>
      </c>
      <c r="P27" s="16" t="n">
        <f aca="false">IF(ABS(P26-$B$11/$B$9*((MAX(0,MIN(1,P26))^2/(MAX(0,MIN(1,P26))^2+(1-MAX(0,MIN(1,P26)))^2/$B$5))-(MAX(0,MIN(1,O26))^2/(MAX(0,MIN(1,O26))^2+(1-MAX(0,MIN(1,O26)))^2/$B$5))))&lt;0.000000001,0,P26-$B$11/$B$9*((MAX(0,MIN(1,P26))^2/(MAX(0,MIN(1,P26))^2+(1-MAX(0,MIN(1,P26)))^2/$B$5))-(MAX(0,MIN(1,O26))^2/(MAX(0,MIN(1,O26))^2+(1-MAX(0,MIN(1,O26)))^2/$B$5))))</f>
        <v>0.721547769228514</v>
      </c>
      <c r="Q27" s="16" t="n">
        <f aca="false">IF(ABS(Q26-$B$11/$B$9*((MAX(0,MIN(1,Q26))^2/(MAX(0,MIN(1,Q26))^2+(1-MAX(0,MIN(1,Q26)))^2/$B$5))-(MAX(0,MIN(1,P26))^2/(MAX(0,MIN(1,P26))^2+(1-MAX(0,MIN(1,P26)))^2/$B$5))))&lt;0.000000001,0,Q26-$B$11/$B$9*((MAX(0,MIN(1,Q26))^2/(MAX(0,MIN(1,Q26))^2+(1-MAX(0,MIN(1,Q26)))^2/$B$5))-(MAX(0,MIN(1,P26))^2/(MAX(0,MIN(1,P26))^2+(1-MAX(0,MIN(1,P26)))^2/$B$5))))</f>
        <v>0.686327737706996</v>
      </c>
      <c r="R27" s="16" t="n">
        <f aca="false">IF(ABS(R26-$B$11/$B$9*((MAX(0,MIN(1,R26))^2/(MAX(0,MIN(1,R26))^2+(1-MAX(0,MIN(1,R26)))^2/$B$5))-(MAX(0,MIN(1,Q26))^2/(MAX(0,MIN(1,Q26))^2+(1-MAX(0,MIN(1,Q26)))^2/$B$5))))&lt;0.000000001,0,R26-$B$11/$B$9*((MAX(0,MIN(1,R26))^2/(MAX(0,MIN(1,R26))^2+(1-MAX(0,MIN(1,R26)))^2/$B$5))-(MAX(0,MIN(1,Q26))^2/(MAX(0,MIN(1,Q26))^2+(1-MAX(0,MIN(1,Q26)))^2/$B$5))))</f>
        <v>0.65294757210267</v>
      </c>
      <c r="S27" s="16" t="n">
        <f aca="false">IF(ABS(S26-$B$11/$B$9*((MAX(0,MIN(1,S26))^2/(MAX(0,MIN(1,S26))^2+(1-MAX(0,MIN(1,S26)))^2/$B$5))-(MAX(0,MIN(1,R26))^2/(MAX(0,MIN(1,R26))^2+(1-MAX(0,MIN(1,R26)))^2/$B$5))))&lt;0.000000001,0,S26-$B$11/$B$9*((MAX(0,MIN(1,S26))^2/(MAX(0,MIN(1,S26))^2+(1-MAX(0,MIN(1,S26)))^2/$B$5))-(MAX(0,MIN(1,R26))^2/(MAX(0,MIN(1,R26))^2+(1-MAX(0,MIN(1,R26)))^2/$B$5))))</f>
        <v>0.61919391050334</v>
      </c>
      <c r="T27" s="16" t="n">
        <f aca="false">IF(ABS(T26-$B$11/$B$9*((MAX(0,MIN(1,T26))^2/(MAX(0,MIN(1,T26))^2+(1-MAX(0,MIN(1,T26)))^2/$B$5))-(MAX(0,MIN(1,S26))^2/(MAX(0,MIN(1,S26))^2+(1-MAX(0,MIN(1,S26)))^2/$B$5))))&lt;0.000000001,0,T26-$B$11/$B$9*((MAX(0,MIN(1,T26))^2/(MAX(0,MIN(1,T26))^2+(1-MAX(0,MIN(1,T26)))^2/$B$5))-(MAX(0,MIN(1,S26))^2/(MAX(0,MIN(1,S26))^2+(1-MAX(0,MIN(1,S26)))^2/$B$5))))</f>
        <v>0.581004025748121</v>
      </c>
      <c r="U27" s="16" t="n">
        <f aca="false">IF(ABS(U26-$B$11/$B$9*((MAX(0,MIN(1,U26))^2/(MAX(0,MIN(1,U26))^2+(1-MAX(0,MIN(1,U26)))^2/$B$5))-(MAX(0,MIN(1,T26))^2/(MAX(0,MIN(1,T26))^2+(1-MAX(0,MIN(1,T26)))^2/$B$5))))&lt;0.000000001,0,U26-$B$11/$B$9*((MAX(0,MIN(1,U26))^2/(MAX(0,MIN(1,U26))^2+(1-MAX(0,MIN(1,U26)))^2/$B$5))-(MAX(0,MIN(1,T26))^2/(MAX(0,MIN(1,T26))^2+(1-MAX(0,MIN(1,T26)))^2/$B$5))))</f>
        <v>0.524406577822378</v>
      </c>
      <c r="V27" s="16" t="n">
        <f aca="false">IF(ABS(V26-$B$11/$B$9*((MAX(0,MIN(1,V26))^2/(MAX(0,MIN(1,V26))^2+(1-MAX(0,MIN(1,V26)))^2/$B$5))-(MAX(0,MIN(1,U26))^2/(MAX(0,MIN(1,U26))^2+(1-MAX(0,MIN(1,U26)))^2/$B$5))))&lt;0.000000001,0,V26-$B$11/$B$9*((MAX(0,MIN(1,V26))^2/(MAX(0,MIN(1,V26))^2+(1-MAX(0,MIN(1,V26)))^2/$B$5))-(MAX(0,MIN(1,U26))^2/(MAX(0,MIN(1,U26))^2+(1-MAX(0,MIN(1,U26)))^2/$B$5))))</f>
        <v>0.310907935129876</v>
      </c>
      <c r="W27" s="16" t="n">
        <f aca="false">IF(ABS(W26-$B$11/$B$9*((MAX(0,MIN(1,W26))^2/(MAX(0,MIN(1,W26))^2+(1-MAX(0,MIN(1,W26)))^2/$B$5))-(MAX(0,MIN(1,V26))^2/(MAX(0,MIN(1,V26))^2+(1-MAX(0,MIN(1,V26)))^2/$B$5))))&lt;0.000000001,0,W26-$B$11/$B$9*((MAX(0,MIN(1,W26))^2/(MAX(0,MIN(1,W26))^2+(1-MAX(0,MIN(1,W26)))^2/$B$5))-(MAX(0,MIN(1,V26))^2/(MAX(0,MIN(1,V26))^2+(1-MAX(0,MIN(1,V26)))^2/$B$5))))</f>
        <v>0.00756821380854372</v>
      </c>
      <c r="X27" s="16" t="n">
        <f aca="false">IF(ABS(X26-$B$11/$B$9*((MAX(0,MIN(1,X26))^2/(MAX(0,MIN(1,X26))^2+(1-MAX(0,MIN(1,X26)))^2/$B$5))-(MAX(0,MIN(1,W26))^2/(MAX(0,MIN(1,W26))^2+(1-MAX(0,MIN(1,W26)))^2/$B$5))))&lt;0.000000001,0,X26-$B$11/$B$9*((MAX(0,MIN(1,X26))^2/(MAX(0,MIN(1,X26))^2+(1-MAX(0,MIN(1,X26)))^2/$B$5))-(MAX(0,MIN(1,W26))^2/(MAX(0,MIN(1,W26))^2+(1-MAX(0,MIN(1,W26)))^2/$B$5))))</f>
        <v>0</v>
      </c>
      <c r="Y27" s="16" t="n">
        <f aca="false">IF(ABS(Y26-$B$11/$B$9*((MAX(0,MIN(1,Y26))^2/(MAX(0,MIN(1,Y26))^2+(1-MAX(0,MIN(1,Y26)))^2/$B$5))-(MAX(0,MIN(1,X26))^2/(MAX(0,MIN(1,X26))^2+(1-MAX(0,MIN(1,X26)))^2/$B$5))))&lt;0.000000001,0,Y26-$B$11/$B$9*((MAX(0,MIN(1,Y26))^2/(MAX(0,MIN(1,Y26))^2+(1-MAX(0,MIN(1,Y26)))^2/$B$5))-(MAX(0,MIN(1,X26))^2/(MAX(0,MIN(1,X26))^2+(1-MAX(0,MIN(1,X26)))^2/$B$5))))</f>
        <v>0</v>
      </c>
      <c r="Z27" s="16" t="n">
        <f aca="false">IF(ABS(Z26-$B$11/$B$9*((MAX(0,MIN(1,Z26))^2/(MAX(0,MIN(1,Z26))^2+(1-MAX(0,MIN(1,Z26)))^2/$B$5))-(MAX(0,MIN(1,Y26))^2/(MAX(0,MIN(1,Y26))^2+(1-MAX(0,MIN(1,Y26)))^2/$B$5))))&lt;0.000000001,0,Z26-$B$11/$B$9*((MAX(0,MIN(1,Z26))^2/(MAX(0,MIN(1,Z26))^2+(1-MAX(0,MIN(1,Z26)))^2/$B$5))-(MAX(0,MIN(1,Y26))^2/(MAX(0,MIN(1,Y26))^2+(1-MAX(0,MIN(1,Y26)))^2/$B$5))))</f>
        <v>0</v>
      </c>
      <c r="AA27" s="16" t="n">
        <f aca="false">IF(ABS(AA26-$B$11/$B$9*((MAX(0,MIN(1,AA26))^2/(MAX(0,MIN(1,AA26))^2+(1-MAX(0,MIN(1,AA26)))^2/$B$5))-(MAX(0,MIN(1,Z26))^2/(MAX(0,MIN(1,Z26))^2+(1-MAX(0,MIN(1,Z26)))^2/$B$5))))&lt;0.000000001,0,AA26-$B$11/$B$9*((MAX(0,MIN(1,AA26))^2/(MAX(0,MIN(1,AA26))^2+(1-MAX(0,MIN(1,AA26)))^2/$B$5))-(MAX(0,MIN(1,Z26))^2/(MAX(0,MIN(1,Z26))^2+(1-MAX(0,MIN(1,Z26)))^2/$B$5))))</f>
        <v>0</v>
      </c>
      <c r="AB27" s="16" t="n">
        <f aca="false">IF(ABS(AB26-$B$11/$B$9*((MAX(0,MIN(1,AB26))^2/(MAX(0,MIN(1,AB26))^2+(1-MAX(0,MIN(1,AB26)))^2/$B$5))-(MAX(0,MIN(1,AA26))^2/(MAX(0,MIN(1,AA26))^2+(1-MAX(0,MIN(1,AA26)))^2/$B$5))))&lt;0.000000001,0,AB26-$B$11/$B$9*((MAX(0,MIN(1,AB26))^2/(MAX(0,MIN(1,AB26))^2+(1-MAX(0,MIN(1,AB26)))^2/$B$5))-(MAX(0,MIN(1,AA26))^2/(MAX(0,MIN(1,AA26))^2+(1-MAX(0,MIN(1,AA26)))^2/$B$5))))</f>
        <v>0</v>
      </c>
      <c r="AC27" s="16" t="n">
        <f aca="false">IF(ABS(AC26-$B$11/$B$9*((MAX(0,MIN(1,AC26))^2/(MAX(0,MIN(1,AC26))^2+(1-MAX(0,MIN(1,AC26)))^2/$B$5))-(MAX(0,MIN(1,AB26))^2/(MAX(0,MIN(1,AB26))^2+(1-MAX(0,MIN(1,AB26)))^2/$B$5))))&lt;0.000000001,0,AC26-$B$11/$B$9*((MAX(0,MIN(1,AC26))^2/(MAX(0,MIN(1,AC26))^2+(1-MAX(0,MIN(1,AC26)))^2/$B$5))-(MAX(0,MIN(1,AB26))^2/(MAX(0,MIN(1,AB26))^2+(1-MAX(0,MIN(1,AB26)))^2/$B$5))))</f>
        <v>0</v>
      </c>
      <c r="AD27" s="16" t="n">
        <f aca="false">IF(ABS(AD26-$B$11/$B$9*((MAX(0,MIN(1,AD26))^2/(MAX(0,MIN(1,AD26))^2+(1-MAX(0,MIN(1,AD26)))^2/$B$5))-(MAX(0,MIN(1,AC26))^2/(MAX(0,MIN(1,AC26))^2+(1-MAX(0,MIN(1,AC26)))^2/$B$5))))&lt;0.000000001,0,AD26-$B$11/$B$9*((MAX(0,MIN(1,AD26))^2/(MAX(0,MIN(1,AD26))^2+(1-MAX(0,MIN(1,AD26)))^2/$B$5))-(MAX(0,MIN(1,AC26))^2/(MAX(0,MIN(1,AC26))^2+(1-MAX(0,MIN(1,AC26)))^2/$B$5))))</f>
        <v>0</v>
      </c>
      <c r="AE27" s="16" t="n">
        <f aca="false">IF(ABS(AE26-$B$11/$B$9*((MAX(0,MIN(1,AE26))^2/(MAX(0,MIN(1,AE26))^2+(1-MAX(0,MIN(1,AE26)))^2/$B$5))-(MAX(0,MIN(1,AD26))^2/(MAX(0,MIN(1,AD26))^2+(1-MAX(0,MIN(1,AD26)))^2/$B$5))))&lt;0.000000001,0,AE26-$B$11/$B$9*((MAX(0,MIN(1,AE26))^2/(MAX(0,MIN(1,AE26))^2+(1-MAX(0,MIN(1,AE26)))^2/$B$5))-(MAX(0,MIN(1,AD26))^2/(MAX(0,MIN(1,AD26))^2+(1-MAX(0,MIN(1,AD26)))^2/$B$5))))</f>
        <v>0</v>
      </c>
      <c r="AF27" s="16" t="n">
        <f aca="false">IF(ABS(AF26-$B$11/$B$9*((MAX(0,MIN(1,AF26))^2/(MAX(0,MIN(1,AF26))^2+(1-MAX(0,MIN(1,AF26)))^2/$B$5))-(MAX(0,MIN(1,AE26))^2/(MAX(0,MIN(1,AE26))^2+(1-MAX(0,MIN(1,AE26)))^2/$B$5))))&lt;0.000000001,0,AF26-$B$11/$B$9*((MAX(0,MIN(1,AF26))^2/(MAX(0,MIN(1,AF26))^2+(1-MAX(0,MIN(1,AF26)))^2/$B$5))-(MAX(0,MIN(1,AE26))^2/(MAX(0,MIN(1,AE26))^2+(1-MAX(0,MIN(1,AE26)))^2/$B$5))))</f>
        <v>0</v>
      </c>
    </row>
    <row r="28" customFormat="false" ht="15" hidden="false" customHeight="false" outlineLevel="0" collapsed="false">
      <c r="A28" s="0" t="n">
        <v>0.23</v>
      </c>
      <c r="D28" s="0" t="n">
        <f aca="false">A28</f>
        <v>0.23</v>
      </c>
      <c r="E28" s="0" t="n">
        <f aca="false">(G28-G27)/(A28-A27)</f>
        <v>1.41580494559177</v>
      </c>
      <c r="F28" s="0" t="n">
        <f aca="false">G28/A28</f>
        <v>0.65836553599542</v>
      </c>
      <c r="G28" s="0" t="n">
        <f aca="false">A28^2/(A28^2+(1-A28)^2/$B$5)</f>
        <v>0.151424073278947</v>
      </c>
      <c r="L28" s="0" t="n">
        <v>18</v>
      </c>
      <c r="M28" s="16" t="n">
        <f aca="false">IF(ABS(M27-$B$11/$B$9*((MAX(0,MIN(1,M27))^2/(MAX(0,MIN(1,M27))^2+(1-MAX(0,MIN(1,M27)))^2/$B$5))-(MAX(0,MIN(1,1))^2/(MAX(0,MIN(1,1))^2+(1-MAX(0,MIN(1,1)))^2/$B$5))))&lt;0.000000001,0,M27-$B$11/$B$9*((MAX(0,MIN(1,M27))^2/(MAX(0,MIN(1,M27))^2+(1-MAX(0,MIN(1,M27)))^2/$B$5))-(MAX(0,MIN(1,1))^2/(MAX(0,MIN(1,1))^2+(1-MAX(0,MIN(1,1)))^2/$B$5))))</f>
        <v>0.870397762686852</v>
      </c>
      <c r="N28" s="16" t="n">
        <f aca="false">IF(ABS(N27-$B$11/$B$9*((MAX(0,MIN(1,N27))^2/(MAX(0,MIN(1,N27))^2+(1-MAX(0,MIN(1,N27)))^2/$B$5))-(MAX(0,MIN(1,M27))^2/(MAX(0,MIN(1,M27))^2+(1-MAX(0,MIN(1,M27)))^2/$B$5))))&lt;0.000000001,0,N27-$B$11/$B$9*((MAX(0,MIN(1,N27))^2/(MAX(0,MIN(1,N27))^2+(1-MAX(0,MIN(1,N27)))^2/$B$5))-(MAX(0,MIN(1,M27))^2/(MAX(0,MIN(1,M27))^2+(1-MAX(0,MIN(1,M27)))^2/$B$5))))</f>
        <v>0.812809608195982</v>
      </c>
      <c r="O28" s="16" t="n">
        <f aca="false">IF(ABS(O27-$B$11/$B$9*((MAX(0,MIN(1,O27))^2/(MAX(0,MIN(1,O27))^2+(1-MAX(0,MIN(1,O27)))^2/$B$5))-(MAX(0,MIN(1,N27))^2/(MAX(0,MIN(1,N27))^2+(1-MAX(0,MIN(1,N27)))^2/$B$5))))&lt;0.000000001,0,O27-$B$11/$B$9*((MAX(0,MIN(1,O27))^2/(MAX(0,MIN(1,O27))^2+(1-MAX(0,MIN(1,O27)))^2/$B$5))-(MAX(0,MIN(1,N27))^2/(MAX(0,MIN(1,N27))^2+(1-MAX(0,MIN(1,N27)))^2/$B$5))))</f>
        <v>0.768058989431886</v>
      </c>
      <c r="P28" s="16" t="n">
        <f aca="false">IF(ABS(P27-$B$11/$B$9*((MAX(0,MIN(1,P27))^2/(MAX(0,MIN(1,P27))^2+(1-MAX(0,MIN(1,P27)))^2/$B$5))-(MAX(0,MIN(1,O27))^2/(MAX(0,MIN(1,O27))^2+(1-MAX(0,MIN(1,O27)))^2/$B$5))))&lt;0.000000001,0,P27-$B$11/$B$9*((MAX(0,MIN(1,P27))^2/(MAX(0,MIN(1,P27))^2+(1-MAX(0,MIN(1,P27)))^2/$B$5))-(MAX(0,MIN(1,O27))^2/(MAX(0,MIN(1,O27))^2+(1-MAX(0,MIN(1,O27)))^2/$B$5))))</f>
        <v>0.730060250241739</v>
      </c>
      <c r="Q28" s="16" t="n">
        <f aca="false">IF(ABS(Q27-$B$11/$B$9*((MAX(0,MIN(1,Q27))^2/(MAX(0,MIN(1,Q27))^2+(1-MAX(0,MIN(1,Q27)))^2/$B$5))-(MAX(0,MIN(1,P27))^2/(MAX(0,MIN(1,P27))^2+(1-MAX(0,MIN(1,P27)))^2/$B$5))))&lt;0.000000001,0,Q27-$B$11/$B$9*((MAX(0,MIN(1,Q27))^2/(MAX(0,MIN(1,Q27))^2+(1-MAX(0,MIN(1,Q27)))^2/$B$5))-(MAX(0,MIN(1,P27))^2/(MAX(0,MIN(1,P27))^2+(1-MAX(0,MIN(1,P27)))^2/$B$5))))</f>
        <v>0.696040849354689</v>
      </c>
      <c r="R28" s="16" t="n">
        <f aca="false">IF(ABS(R27-$B$11/$B$9*((MAX(0,MIN(1,R27))^2/(MAX(0,MIN(1,R27))^2+(1-MAX(0,MIN(1,R27)))^2/$B$5))-(MAX(0,MIN(1,Q27))^2/(MAX(0,MIN(1,Q27))^2+(1-MAX(0,MIN(1,Q27)))^2/$B$5))))&lt;0.000000001,0,R27-$B$11/$B$9*((MAX(0,MIN(1,R27))^2/(MAX(0,MIN(1,R27))^2+(1-MAX(0,MIN(1,R27)))^2/$B$5))-(MAX(0,MIN(1,Q27))^2/(MAX(0,MIN(1,Q27))^2+(1-MAX(0,MIN(1,Q27)))^2/$B$5))))</f>
        <v>0.664179476935692</v>
      </c>
      <c r="S28" s="16" t="n">
        <f aca="false">IF(ABS(S27-$B$11/$B$9*((MAX(0,MIN(1,S27))^2/(MAX(0,MIN(1,S27))^2+(1-MAX(0,MIN(1,S27)))^2/$B$5))-(MAX(0,MIN(1,R27))^2/(MAX(0,MIN(1,R27))^2+(1-MAX(0,MIN(1,R27)))^2/$B$5))))&lt;0.000000001,0,S27-$B$11/$B$9*((MAX(0,MIN(1,S27))^2/(MAX(0,MIN(1,S27))^2+(1-MAX(0,MIN(1,S27)))^2/$B$5))-(MAX(0,MIN(1,R27))^2/(MAX(0,MIN(1,R27))^2+(1-MAX(0,MIN(1,R27)))^2/$B$5))))</f>
        <v>0.632754946675293</v>
      </c>
      <c r="T28" s="16" t="n">
        <f aca="false">IF(ABS(T27-$B$11/$B$9*((MAX(0,MIN(1,T27))^2/(MAX(0,MIN(1,T27))^2+(1-MAX(0,MIN(1,T27)))^2/$B$5))-(MAX(0,MIN(1,S27))^2/(MAX(0,MIN(1,S27))^2+(1-MAX(0,MIN(1,S27)))^2/$B$5))))&lt;0.000000001,0,T27-$B$11/$B$9*((MAX(0,MIN(1,T27))^2/(MAX(0,MIN(1,T27))^2+(1-MAX(0,MIN(1,T27)))^2/$B$5))-(MAX(0,MIN(1,S27))^2/(MAX(0,MIN(1,S27))^2+(1-MAX(0,MIN(1,S27)))^2/$B$5))))</f>
        <v>0.59920510409797</v>
      </c>
      <c r="U28" s="16" t="n">
        <f aca="false">IF(ABS(U27-$B$11/$B$9*((MAX(0,MIN(1,U27))^2/(MAX(0,MIN(1,U27))^2+(1-MAX(0,MIN(1,U27)))^2/$B$5))-(MAX(0,MIN(1,T27))^2/(MAX(0,MIN(1,T27))^2+(1-MAX(0,MIN(1,T27)))^2/$B$5))))&lt;0.000000001,0,U27-$B$11/$B$9*((MAX(0,MIN(1,U27))^2/(MAX(0,MIN(1,U27))^2+(1-MAX(0,MIN(1,U27)))^2/$B$5))-(MAX(0,MIN(1,T27))^2/(MAX(0,MIN(1,T27))^2+(1-MAX(0,MIN(1,T27)))^2/$B$5))))</f>
        <v>0.557105968255075</v>
      </c>
      <c r="V28" s="16" t="n">
        <f aca="false">IF(ABS(V27-$B$11/$B$9*((MAX(0,MIN(1,V27))^2/(MAX(0,MIN(1,V27))^2+(1-MAX(0,MIN(1,V27)))^2/$B$5))-(MAX(0,MIN(1,U27))^2/(MAX(0,MIN(1,U27))^2+(1-MAX(0,MIN(1,U27)))^2/$B$5))))&lt;0.000000001,0,V27-$B$11/$B$9*((MAX(0,MIN(1,V27))^2/(MAX(0,MIN(1,V27))^2+(1-MAX(0,MIN(1,V27)))^2/$B$5))-(MAX(0,MIN(1,U27))^2/(MAX(0,MIN(1,U27))^2+(1-MAX(0,MIN(1,U27)))^2/$B$5))))</f>
        <v>0.472124815991501</v>
      </c>
      <c r="W28" s="16" t="n">
        <f aca="false">IF(ABS(W27-$B$11/$B$9*((MAX(0,MIN(1,W27))^2/(MAX(0,MIN(1,W27))^2+(1-MAX(0,MIN(1,W27)))^2/$B$5))-(MAX(0,MIN(1,V27))^2/(MAX(0,MIN(1,V27))^2+(1-MAX(0,MIN(1,V27)))^2/$B$5))))&lt;0.000000001,0,W27-$B$11/$B$9*((MAX(0,MIN(1,W27))^2/(MAX(0,MIN(1,W27))^2+(1-MAX(0,MIN(1,W27)))^2/$B$5))-(MAX(0,MIN(1,V27))^2/(MAX(0,MIN(1,V27))^2+(1-MAX(0,MIN(1,V27)))^2/$B$5))))</f>
        <v>0.118782440793931</v>
      </c>
      <c r="X28" s="16" t="n">
        <f aca="false">IF(ABS(X27-$B$11/$B$9*((MAX(0,MIN(1,X27))^2/(MAX(0,MIN(1,X27))^2+(1-MAX(0,MIN(1,X27)))^2/$B$5))-(MAX(0,MIN(1,W27))^2/(MAX(0,MIN(1,W27))^2+(1-MAX(0,MIN(1,W27)))^2/$B$5))))&lt;0.000000001,0,X27-$B$11/$B$9*((MAX(0,MIN(1,X27))^2/(MAX(0,MIN(1,X27))^2+(1-MAX(0,MIN(1,X27)))^2/$B$5))-(MAX(0,MIN(1,W27))^2/(MAX(0,MIN(1,W27))^2+(1-MAX(0,MIN(1,W27)))^2/$B$5))))</f>
        <v>4.47194787250642E-005</v>
      </c>
      <c r="Y28" s="16" t="n">
        <f aca="false">IF(ABS(Y27-$B$11/$B$9*((MAX(0,MIN(1,Y27))^2/(MAX(0,MIN(1,Y27))^2+(1-MAX(0,MIN(1,Y27)))^2/$B$5))-(MAX(0,MIN(1,X27))^2/(MAX(0,MIN(1,X27))^2+(1-MAX(0,MIN(1,X27)))^2/$B$5))))&lt;0.000000001,0,Y27-$B$11/$B$9*((MAX(0,MIN(1,Y27))^2/(MAX(0,MIN(1,Y27))^2+(1-MAX(0,MIN(1,Y27)))^2/$B$5))-(MAX(0,MIN(1,X27))^2/(MAX(0,MIN(1,X27))^2+(1-MAX(0,MIN(1,X27)))^2/$B$5))))</f>
        <v>0</v>
      </c>
      <c r="Z28" s="16" t="n">
        <f aca="false">IF(ABS(Z27-$B$11/$B$9*((MAX(0,MIN(1,Z27))^2/(MAX(0,MIN(1,Z27))^2+(1-MAX(0,MIN(1,Z27)))^2/$B$5))-(MAX(0,MIN(1,Y27))^2/(MAX(0,MIN(1,Y27))^2+(1-MAX(0,MIN(1,Y27)))^2/$B$5))))&lt;0.000000001,0,Z27-$B$11/$B$9*((MAX(0,MIN(1,Z27))^2/(MAX(0,MIN(1,Z27))^2+(1-MAX(0,MIN(1,Z27)))^2/$B$5))-(MAX(0,MIN(1,Y27))^2/(MAX(0,MIN(1,Y27))^2+(1-MAX(0,MIN(1,Y27)))^2/$B$5))))</f>
        <v>0</v>
      </c>
      <c r="AA28" s="16" t="n">
        <f aca="false">IF(ABS(AA27-$B$11/$B$9*((MAX(0,MIN(1,AA27))^2/(MAX(0,MIN(1,AA27))^2+(1-MAX(0,MIN(1,AA27)))^2/$B$5))-(MAX(0,MIN(1,Z27))^2/(MAX(0,MIN(1,Z27))^2+(1-MAX(0,MIN(1,Z27)))^2/$B$5))))&lt;0.000000001,0,AA27-$B$11/$B$9*((MAX(0,MIN(1,AA27))^2/(MAX(0,MIN(1,AA27))^2+(1-MAX(0,MIN(1,AA27)))^2/$B$5))-(MAX(0,MIN(1,Z27))^2/(MAX(0,MIN(1,Z27))^2+(1-MAX(0,MIN(1,Z27)))^2/$B$5))))</f>
        <v>0</v>
      </c>
      <c r="AB28" s="16" t="n">
        <f aca="false">IF(ABS(AB27-$B$11/$B$9*((MAX(0,MIN(1,AB27))^2/(MAX(0,MIN(1,AB27))^2+(1-MAX(0,MIN(1,AB27)))^2/$B$5))-(MAX(0,MIN(1,AA27))^2/(MAX(0,MIN(1,AA27))^2+(1-MAX(0,MIN(1,AA27)))^2/$B$5))))&lt;0.000000001,0,AB27-$B$11/$B$9*((MAX(0,MIN(1,AB27))^2/(MAX(0,MIN(1,AB27))^2+(1-MAX(0,MIN(1,AB27)))^2/$B$5))-(MAX(0,MIN(1,AA27))^2/(MAX(0,MIN(1,AA27))^2+(1-MAX(0,MIN(1,AA27)))^2/$B$5))))</f>
        <v>0</v>
      </c>
      <c r="AC28" s="16" t="n">
        <f aca="false">IF(ABS(AC27-$B$11/$B$9*((MAX(0,MIN(1,AC27))^2/(MAX(0,MIN(1,AC27))^2+(1-MAX(0,MIN(1,AC27)))^2/$B$5))-(MAX(0,MIN(1,AB27))^2/(MAX(0,MIN(1,AB27))^2+(1-MAX(0,MIN(1,AB27)))^2/$B$5))))&lt;0.000000001,0,AC27-$B$11/$B$9*((MAX(0,MIN(1,AC27))^2/(MAX(0,MIN(1,AC27))^2+(1-MAX(0,MIN(1,AC27)))^2/$B$5))-(MAX(0,MIN(1,AB27))^2/(MAX(0,MIN(1,AB27))^2+(1-MAX(0,MIN(1,AB27)))^2/$B$5))))</f>
        <v>0</v>
      </c>
      <c r="AD28" s="16" t="n">
        <f aca="false">IF(ABS(AD27-$B$11/$B$9*((MAX(0,MIN(1,AD27))^2/(MAX(0,MIN(1,AD27))^2+(1-MAX(0,MIN(1,AD27)))^2/$B$5))-(MAX(0,MIN(1,AC27))^2/(MAX(0,MIN(1,AC27))^2+(1-MAX(0,MIN(1,AC27)))^2/$B$5))))&lt;0.000000001,0,AD27-$B$11/$B$9*((MAX(0,MIN(1,AD27))^2/(MAX(0,MIN(1,AD27))^2+(1-MAX(0,MIN(1,AD27)))^2/$B$5))-(MAX(0,MIN(1,AC27))^2/(MAX(0,MIN(1,AC27))^2+(1-MAX(0,MIN(1,AC27)))^2/$B$5))))</f>
        <v>0</v>
      </c>
      <c r="AE28" s="16" t="n">
        <f aca="false">IF(ABS(AE27-$B$11/$B$9*((MAX(0,MIN(1,AE27))^2/(MAX(0,MIN(1,AE27))^2+(1-MAX(0,MIN(1,AE27)))^2/$B$5))-(MAX(0,MIN(1,AD27))^2/(MAX(0,MIN(1,AD27))^2+(1-MAX(0,MIN(1,AD27)))^2/$B$5))))&lt;0.000000001,0,AE27-$B$11/$B$9*((MAX(0,MIN(1,AE27))^2/(MAX(0,MIN(1,AE27))^2+(1-MAX(0,MIN(1,AE27)))^2/$B$5))-(MAX(0,MIN(1,AD27))^2/(MAX(0,MIN(1,AD27))^2+(1-MAX(0,MIN(1,AD27)))^2/$B$5))))</f>
        <v>0</v>
      </c>
      <c r="AF28" s="16" t="n">
        <f aca="false">IF(ABS(AF27-$B$11/$B$9*((MAX(0,MIN(1,AF27))^2/(MAX(0,MIN(1,AF27))^2+(1-MAX(0,MIN(1,AF27)))^2/$B$5))-(MAX(0,MIN(1,AE27))^2/(MAX(0,MIN(1,AE27))^2+(1-MAX(0,MIN(1,AE27)))^2/$B$5))))&lt;0.000000001,0,AF27-$B$11/$B$9*((MAX(0,MIN(1,AF27))^2/(MAX(0,MIN(1,AF27))^2+(1-MAX(0,MIN(1,AF27)))^2/$B$5))-(MAX(0,MIN(1,AE27))^2/(MAX(0,MIN(1,AE27))^2+(1-MAX(0,MIN(1,AE27)))^2/$B$5))))</f>
        <v>0</v>
      </c>
    </row>
    <row r="29" customFormat="false" ht="15" hidden="false" customHeight="false" outlineLevel="0" collapsed="false">
      <c r="A29" s="0" t="n">
        <v>0.24</v>
      </c>
      <c r="D29" s="0" t="n">
        <f aca="false">A29</f>
        <v>0.24</v>
      </c>
      <c r="E29" s="0" t="n">
        <f aca="false">(G29-G28)/(A29-A28)</f>
        <v>1.48576819173583</v>
      </c>
      <c r="F29" s="0" t="n">
        <f aca="false">G29/A29</f>
        <v>0.69284064665127</v>
      </c>
      <c r="G29" s="0" t="n">
        <f aca="false">A29^2/(A29^2+(1-A29)^2/$B$5)</f>
        <v>0.166281755196305</v>
      </c>
      <c r="L29" s="0" t="n">
        <v>19</v>
      </c>
      <c r="M29" s="16" t="n">
        <f aca="false">IF(ABS(M28-$B$11/$B$9*((MAX(0,MIN(1,M28))^2/(MAX(0,MIN(1,M28))^2+(1-MAX(0,MIN(1,M28)))^2/$B$5))-(MAX(0,MIN(1,1))^2/(MAX(0,MIN(1,1))^2+(1-MAX(0,MIN(1,1)))^2/$B$5))))&lt;0.000000001,0,M28-$B$11/$B$9*((MAX(0,MIN(1,M28))^2/(MAX(0,MIN(1,M28))^2+(1-MAX(0,MIN(1,M28)))^2/$B$5))-(MAX(0,MIN(1,1))^2/(MAX(0,MIN(1,1))^2+(1-MAX(0,MIN(1,1)))^2/$B$5))))</f>
        <v>0.874613789207711</v>
      </c>
      <c r="N29" s="16" t="n">
        <f aca="false">IF(ABS(N28-$B$11/$B$9*((MAX(0,MIN(1,N28))^2/(MAX(0,MIN(1,N28))^2+(1-MAX(0,MIN(1,N28)))^2/$B$5))-(MAX(0,MIN(1,M28))^2/(MAX(0,MIN(1,M28))^2+(1-MAX(0,MIN(1,M28)))^2/$B$5))))&lt;0.000000001,0,N28-$B$11/$B$9*((MAX(0,MIN(1,N28))^2/(MAX(0,MIN(1,N28))^2+(1-MAX(0,MIN(1,N28)))^2/$B$5))-(MAX(0,MIN(1,M28))^2/(MAX(0,MIN(1,M28))^2+(1-MAX(0,MIN(1,M28)))^2/$B$5))))</f>
        <v>0.818527582549808</v>
      </c>
      <c r="O29" s="16" t="n">
        <f aca="false">IF(ABS(O28-$B$11/$B$9*((MAX(0,MIN(1,O28))^2/(MAX(0,MIN(1,O28))^2+(1-MAX(0,MIN(1,O28)))^2/$B$5))-(MAX(0,MIN(1,N28))^2/(MAX(0,MIN(1,N28))^2+(1-MAX(0,MIN(1,N28)))^2/$B$5))))&lt;0.000000001,0,O28-$B$11/$B$9*((MAX(0,MIN(1,O28))^2/(MAX(0,MIN(1,O28))^2+(1-MAX(0,MIN(1,O28)))^2/$B$5))-(MAX(0,MIN(1,N28))^2/(MAX(0,MIN(1,N28))^2+(1-MAX(0,MIN(1,N28)))^2/$B$5))))</f>
        <v>0.774893843947339</v>
      </c>
      <c r="P29" s="16" t="n">
        <f aca="false">IF(ABS(P28-$B$11/$B$9*((MAX(0,MIN(1,P28))^2/(MAX(0,MIN(1,P28))^2+(1-MAX(0,MIN(1,P28)))^2/$B$5))-(MAX(0,MIN(1,O28))^2/(MAX(0,MIN(1,O28))^2+(1-MAX(0,MIN(1,O28)))^2/$B$5))))&lt;0.000000001,0,P28-$B$11/$B$9*((MAX(0,MIN(1,P28))^2/(MAX(0,MIN(1,P28))^2+(1-MAX(0,MIN(1,P28)))^2/$B$5))-(MAX(0,MIN(1,O28))^2/(MAX(0,MIN(1,O28))^2+(1-MAX(0,MIN(1,O28)))^2/$B$5))))</f>
        <v>0.737895153747991</v>
      </c>
      <c r="Q29" s="16" t="n">
        <f aca="false">IF(ABS(Q28-$B$11/$B$9*((MAX(0,MIN(1,Q28))^2/(MAX(0,MIN(1,Q28))^2+(1-MAX(0,MIN(1,Q28)))^2/$B$5))-(MAX(0,MIN(1,P28))^2/(MAX(0,MIN(1,P28))^2+(1-MAX(0,MIN(1,P28)))^2/$B$5))))&lt;0.000000001,0,Q28-$B$11/$B$9*((MAX(0,MIN(1,Q28))^2/(MAX(0,MIN(1,Q28))^2+(1-MAX(0,MIN(1,Q28)))^2/$B$5))-(MAX(0,MIN(1,P28))^2/(MAX(0,MIN(1,P28))^2+(1-MAX(0,MIN(1,P28)))^2/$B$5))))</f>
        <v>0.704911195598365</v>
      </c>
      <c r="R29" s="16" t="n">
        <f aca="false">IF(ABS(R28-$B$11/$B$9*((MAX(0,MIN(1,R28))^2/(MAX(0,MIN(1,R28))^2+(1-MAX(0,MIN(1,R28)))^2/$B$5))-(MAX(0,MIN(1,Q28))^2/(MAX(0,MIN(1,Q28))^2+(1-MAX(0,MIN(1,Q28)))^2/$B$5))))&lt;0.000000001,0,R28-$B$11/$B$9*((MAX(0,MIN(1,R28))^2/(MAX(0,MIN(1,R28))^2+(1-MAX(0,MIN(1,R28)))^2/$B$5))-(MAX(0,MIN(1,Q28))^2/(MAX(0,MIN(1,Q28))^2+(1-MAX(0,MIN(1,Q28)))^2/$B$5))))</f>
        <v>0.674287044659473</v>
      </c>
      <c r="S29" s="16" t="n">
        <f aca="false">IF(ABS(S28-$B$11/$B$9*((MAX(0,MIN(1,S28))^2/(MAX(0,MIN(1,S28))^2+(1-MAX(0,MIN(1,S28)))^2/$B$5))-(MAX(0,MIN(1,R28))^2/(MAX(0,MIN(1,R28))^2+(1-MAX(0,MIN(1,R28)))^2/$B$5))))&lt;0.000000001,0,S28-$B$11/$B$9*((MAX(0,MIN(1,S28))^2/(MAX(0,MIN(1,S28))^2+(1-MAX(0,MIN(1,S28)))^2/$B$5))-(MAX(0,MIN(1,R28))^2/(MAX(0,MIN(1,R28))^2+(1-MAX(0,MIN(1,R28)))^2/$B$5))))</f>
        <v>0.644602798345677</v>
      </c>
      <c r="T29" s="16" t="n">
        <f aca="false">IF(ABS(T28-$B$11/$B$9*((MAX(0,MIN(1,T28))^2/(MAX(0,MIN(1,T28))^2+(1-MAX(0,MIN(1,T28)))^2/$B$5))-(MAX(0,MIN(1,S28))^2/(MAX(0,MIN(1,S28))^2+(1-MAX(0,MIN(1,S28)))^2/$B$5))))&lt;0.000000001,0,T28-$B$11/$B$9*((MAX(0,MIN(1,T28))^2/(MAX(0,MIN(1,T28))^2+(1-MAX(0,MIN(1,T28)))^2/$B$5))-(MAX(0,MIN(1,S28))^2/(MAX(0,MIN(1,S28))^2+(1-MAX(0,MIN(1,S28)))^2/$B$5))))</f>
        <v>0.614069970515983</v>
      </c>
      <c r="U29" s="16" t="n">
        <f aca="false">IF(ABS(U28-$B$11/$B$9*((MAX(0,MIN(1,U28))^2/(MAX(0,MIN(1,U28))^2+(1-MAX(0,MIN(1,U28)))^2/$B$5))-(MAX(0,MIN(1,T28))^2/(MAX(0,MIN(1,T28))^2+(1-MAX(0,MIN(1,T28)))^2/$B$5))))&lt;0.000000001,0,U28-$B$11/$B$9*((MAX(0,MIN(1,U28))^2/(MAX(0,MIN(1,U28))^2+(1-MAX(0,MIN(1,U28)))^2/$B$5))-(MAX(0,MIN(1,T28))^2/(MAX(0,MIN(1,T28))^2+(1-MAX(0,MIN(1,T28)))^2/$B$5))))</f>
        <v>0.57914698497719</v>
      </c>
      <c r="V29" s="16" t="n">
        <f aca="false">IF(ABS(V28-$B$11/$B$9*((MAX(0,MIN(1,V28))^2/(MAX(0,MIN(1,V28))^2+(1-MAX(0,MIN(1,V28)))^2/$B$5))-(MAX(0,MIN(1,U28))^2/(MAX(0,MIN(1,U28))^2+(1-MAX(0,MIN(1,U28)))^2/$B$5))))&lt;0.000000001,0,V28-$B$11/$B$9*((MAX(0,MIN(1,V28))^2/(MAX(0,MIN(1,V28))^2+(1-MAX(0,MIN(1,V28)))^2/$B$5))-(MAX(0,MIN(1,U28))^2/(MAX(0,MIN(1,U28))^2+(1-MAX(0,MIN(1,U28)))^2/$B$5))))</f>
        <v>0.527694230655001</v>
      </c>
      <c r="W29" s="16" t="n">
        <f aca="false">IF(ABS(W28-$B$11/$B$9*((MAX(0,MIN(1,W28))^2/(MAX(0,MIN(1,W28))^2+(1-MAX(0,MIN(1,W28)))^2/$B$5))-(MAX(0,MIN(1,V28))^2/(MAX(0,MIN(1,V28))^2+(1-MAX(0,MIN(1,V28)))^2/$B$5))))&lt;0.000000001,0,W28-$B$11/$B$9*((MAX(0,MIN(1,W28))^2/(MAX(0,MIN(1,W28))^2+(1-MAX(0,MIN(1,W28)))^2/$B$5))-(MAX(0,MIN(1,V28))^2/(MAX(0,MIN(1,V28))^2+(1-MAX(0,MIN(1,V28)))^2/$B$5))))</f>
        <v>0.341925637735319</v>
      </c>
      <c r="X29" s="16" t="n">
        <f aca="false">IF(ABS(X28-$B$11/$B$9*((MAX(0,MIN(1,X28))^2/(MAX(0,MIN(1,X28))^2+(1-MAX(0,MIN(1,X28)))^2/$B$5))-(MAX(0,MIN(1,W28))^2/(MAX(0,MIN(1,W28))^2+(1-MAX(0,MIN(1,W28)))^2/$B$5))))&lt;0.000000001,0,X28-$B$11/$B$9*((MAX(0,MIN(1,X28))^2/(MAX(0,MIN(1,X28))^2+(1-MAX(0,MIN(1,X28)))^2/$B$5))-(MAX(0,MIN(1,W28))^2/(MAX(0,MIN(1,W28))^2+(1-MAX(0,MIN(1,W28)))^2/$B$5))))</f>
        <v>0.0135280837964774</v>
      </c>
      <c r="Y29" s="16" t="n">
        <f aca="false">IF(ABS(Y28-$B$11/$B$9*((MAX(0,MIN(1,Y28))^2/(MAX(0,MIN(1,Y28))^2+(1-MAX(0,MIN(1,Y28)))^2/$B$5))-(MAX(0,MIN(1,X28))^2/(MAX(0,MIN(1,X28))^2+(1-MAX(0,MIN(1,X28)))^2/$B$5))))&lt;0.000000001,0,Y28-$B$11/$B$9*((MAX(0,MIN(1,Y28))^2/(MAX(0,MIN(1,Y28))^2+(1-MAX(0,MIN(1,Y28)))^2/$B$5))-(MAX(0,MIN(1,X28))^2/(MAX(0,MIN(1,X28))^2+(1-MAX(0,MIN(1,X28)))^2/$B$5))))</f>
        <v>1.53813372668256E-009</v>
      </c>
      <c r="Z29" s="16" t="n">
        <f aca="false">IF(ABS(Z28-$B$11/$B$9*((MAX(0,MIN(1,Z28))^2/(MAX(0,MIN(1,Z28))^2+(1-MAX(0,MIN(1,Z28)))^2/$B$5))-(MAX(0,MIN(1,Y28))^2/(MAX(0,MIN(1,Y28))^2+(1-MAX(0,MIN(1,Y28)))^2/$B$5))))&lt;0.000000001,0,Z28-$B$11/$B$9*((MAX(0,MIN(1,Z28))^2/(MAX(0,MIN(1,Z28))^2+(1-MAX(0,MIN(1,Z28)))^2/$B$5))-(MAX(0,MIN(1,Y28))^2/(MAX(0,MIN(1,Y28))^2+(1-MAX(0,MIN(1,Y28)))^2/$B$5))))</f>
        <v>0</v>
      </c>
      <c r="AA29" s="16" t="n">
        <f aca="false">IF(ABS(AA28-$B$11/$B$9*((MAX(0,MIN(1,AA28))^2/(MAX(0,MIN(1,AA28))^2+(1-MAX(0,MIN(1,AA28)))^2/$B$5))-(MAX(0,MIN(1,Z28))^2/(MAX(0,MIN(1,Z28))^2+(1-MAX(0,MIN(1,Z28)))^2/$B$5))))&lt;0.000000001,0,AA28-$B$11/$B$9*((MAX(0,MIN(1,AA28))^2/(MAX(0,MIN(1,AA28))^2+(1-MAX(0,MIN(1,AA28)))^2/$B$5))-(MAX(0,MIN(1,Z28))^2/(MAX(0,MIN(1,Z28))^2+(1-MAX(0,MIN(1,Z28)))^2/$B$5))))</f>
        <v>0</v>
      </c>
      <c r="AB29" s="16" t="n">
        <f aca="false">IF(ABS(AB28-$B$11/$B$9*((MAX(0,MIN(1,AB28))^2/(MAX(0,MIN(1,AB28))^2+(1-MAX(0,MIN(1,AB28)))^2/$B$5))-(MAX(0,MIN(1,AA28))^2/(MAX(0,MIN(1,AA28))^2+(1-MAX(0,MIN(1,AA28)))^2/$B$5))))&lt;0.000000001,0,AB28-$B$11/$B$9*((MAX(0,MIN(1,AB28))^2/(MAX(0,MIN(1,AB28))^2+(1-MAX(0,MIN(1,AB28)))^2/$B$5))-(MAX(0,MIN(1,AA28))^2/(MAX(0,MIN(1,AA28))^2+(1-MAX(0,MIN(1,AA28)))^2/$B$5))))</f>
        <v>0</v>
      </c>
      <c r="AC29" s="16" t="n">
        <f aca="false">IF(ABS(AC28-$B$11/$B$9*((MAX(0,MIN(1,AC28))^2/(MAX(0,MIN(1,AC28))^2+(1-MAX(0,MIN(1,AC28)))^2/$B$5))-(MAX(0,MIN(1,AB28))^2/(MAX(0,MIN(1,AB28))^2+(1-MAX(0,MIN(1,AB28)))^2/$B$5))))&lt;0.000000001,0,AC28-$B$11/$B$9*((MAX(0,MIN(1,AC28))^2/(MAX(0,MIN(1,AC28))^2+(1-MAX(0,MIN(1,AC28)))^2/$B$5))-(MAX(0,MIN(1,AB28))^2/(MAX(0,MIN(1,AB28))^2+(1-MAX(0,MIN(1,AB28)))^2/$B$5))))</f>
        <v>0</v>
      </c>
      <c r="AD29" s="16" t="n">
        <f aca="false">IF(ABS(AD28-$B$11/$B$9*((MAX(0,MIN(1,AD28))^2/(MAX(0,MIN(1,AD28))^2+(1-MAX(0,MIN(1,AD28)))^2/$B$5))-(MAX(0,MIN(1,AC28))^2/(MAX(0,MIN(1,AC28))^2+(1-MAX(0,MIN(1,AC28)))^2/$B$5))))&lt;0.000000001,0,AD28-$B$11/$B$9*((MAX(0,MIN(1,AD28))^2/(MAX(0,MIN(1,AD28))^2+(1-MAX(0,MIN(1,AD28)))^2/$B$5))-(MAX(0,MIN(1,AC28))^2/(MAX(0,MIN(1,AC28))^2+(1-MAX(0,MIN(1,AC28)))^2/$B$5))))</f>
        <v>0</v>
      </c>
      <c r="AE29" s="16" t="n">
        <f aca="false">IF(ABS(AE28-$B$11/$B$9*((MAX(0,MIN(1,AE28))^2/(MAX(0,MIN(1,AE28))^2+(1-MAX(0,MIN(1,AE28)))^2/$B$5))-(MAX(0,MIN(1,AD28))^2/(MAX(0,MIN(1,AD28))^2+(1-MAX(0,MIN(1,AD28)))^2/$B$5))))&lt;0.000000001,0,AE28-$B$11/$B$9*((MAX(0,MIN(1,AE28))^2/(MAX(0,MIN(1,AE28))^2+(1-MAX(0,MIN(1,AE28)))^2/$B$5))-(MAX(0,MIN(1,AD28))^2/(MAX(0,MIN(1,AD28))^2+(1-MAX(0,MIN(1,AD28)))^2/$B$5))))</f>
        <v>0</v>
      </c>
      <c r="AF29" s="16" t="n">
        <f aca="false">IF(ABS(AF28-$B$11/$B$9*((MAX(0,MIN(1,AF28))^2/(MAX(0,MIN(1,AF28))^2+(1-MAX(0,MIN(1,AF28)))^2/$B$5))-(MAX(0,MIN(1,AE28))^2/(MAX(0,MIN(1,AE28))^2+(1-MAX(0,MIN(1,AE28)))^2/$B$5))))&lt;0.000000001,0,AF28-$B$11/$B$9*((MAX(0,MIN(1,AF28))^2/(MAX(0,MIN(1,AF28))^2+(1-MAX(0,MIN(1,AF28)))^2/$B$5))-(MAX(0,MIN(1,AE28))^2/(MAX(0,MIN(1,AE28))^2+(1-MAX(0,MIN(1,AE28)))^2/$B$5))))</f>
        <v>0</v>
      </c>
    </row>
    <row r="30" customFormat="false" ht="15" hidden="false" customHeight="false" outlineLevel="0" collapsed="false">
      <c r="A30" s="0" t="n">
        <v>0.25</v>
      </c>
      <c r="D30" s="0" t="n">
        <f aca="false">A30</f>
        <v>0.25</v>
      </c>
      <c r="E30" s="0" t="n">
        <f aca="false">(G30-G29)/(A30-A29)</f>
        <v>1.55364266218769</v>
      </c>
      <c r="F30" s="0" t="n">
        <f aca="false">G30/A30</f>
        <v>0.727272727272727</v>
      </c>
      <c r="G30" s="0" t="n">
        <f aca="false">A30^2/(A30^2+(1-A30)^2/$B$5)</f>
        <v>0.181818181818182</v>
      </c>
      <c r="L30" s="0" t="n">
        <v>20</v>
      </c>
      <c r="M30" s="16" t="n">
        <f aca="false">IF(ABS(M29-$B$11/$B$9*((MAX(0,MIN(1,M29))^2/(MAX(0,MIN(1,M29))^2+(1-MAX(0,MIN(1,M29)))^2/$B$5))-(MAX(0,MIN(1,1))^2/(MAX(0,MIN(1,1))^2+(1-MAX(0,MIN(1,1)))^2/$B$5))))&lt;0.000000001,0,M29-$B$11/$B$9*((MAX(0,MIN(1,M29))^2/(MAX(0,MIN(1,M29))^2+(1-MAX(0,MIN(1,M29)))^2/$B$5))-(MAX(0,MIN(1,1))^2/(MAX(0,MIN(1,1))^2+(1-MAX(0,MIN(1,1)))^2/$B$5))))</f>
        <v>0.878525156015431</v>
      </c>
      <c r="N30" s="16" t="n">
        <f aca="false">IF(ABS(N29-$B$11/$B$9*((MAX(0,MIN(1,N29))^2/(MAX(0,MIN(1,N29))^2+(1-MAX(0,MIN(1,N29)))^2/$B$5))-(MAX(0,MIN(1,M29))^2/(MAX(0,MIN(1,M29))^2+(1-MAX(0,MIN(1,M29)))^2/$B$5))))&lt;0.000000001,0,N29-$B$11/$B$9*((MAX(0,MIN(1,N29))^2/(MAX(0,MIN(1,N29))^2+(1-MAX(0,MIN(1,N29)))^2/$B$5))-(MAX(0,MIN(1,M29))^2/(MAX(0,MIN(1,M29))^2+(1-MAX(0,MIN(1,M29)))^2/$B$5))))</f>
        <v>0.82384005886577</v>
      </c>
      <c r="O30" s="16" t="n">
        <f aca="false">IF(ABS(O29-$B$11/$B$9*((MAX(0,MIN(1,O29))^2/(MAX(0,MIN(1,O29))^2+(1-MAX(0,MIN(1,O29)))^2/$B$5))-(MAX(0,MIN(1,N29))^2/(MAX(0,MIN(1,N29))^2+(1-MAX(0,MIN(1,N29)))^2/$B$5))))&lt;0.000000001,0,O29-$B$11/$B$9*((MAX(0,MIN(1,O29))^2/(MAX(0,MIN(1,O29))^2+(1-MAX(0,MIN(1,O29)))^2/$B$5))-(MAX(0,MIN(1,N29))^2/(MAX(0,MIN(1,N29))^2+(1-MAX(0,MIN(1,N29)))^2/$B$5))))</f>
        <v>0.781238371406333</v>
      </c>
      <c r="P30" s="16" t="n">
        <f aca="false">IF(ABS(P29-$B$11/$B$9*((MAX(0,MIN(1,P29))^2/(MAX(0,MIN(1,P29))^2+(1-MAX(0,MIN(1,P29)))^2/$B$5))-(MAX(0,MIN(1,O29))^2/(MAX(0,MIN(1,O29))^2+(1-MAX(0,MIN(1,O29)))^2/$B$5))))&lt;0.000000001,0,P29-$B$11/$B$9*((MAX(0,MIN(1,P29))^2/(MAX(0,MIN(1,P29))^2+(1-MAX(0,MIN(1,P29)))^2/$B$5))-(MAX(0,MIN(1,O29))^2/(MAX(0,MIN(1,O29))^2+(1-MAX(0,MIN(1,O29)))^2/$B$5))))</f>
        <v>0.745145662633218</v>
      </c>
      <c r="Q30" s="16" t="n">
        <f aca="false">IF(ABS(Q29-$B$11/$B$9*((MAX(0,MIN(1,Q29))^2/(MAX(0,MIN(1,Q29))^2+(1-MAX(0,MIN(1,Q29)))^2/$B$5))-(MAX(0,MIN(1,P29))^2/(MAX(0,MIN(1,P29))^2+(1-MAX(0,MIN(1,P29)))^2/$B$5))))&lt;0.000000001,0,Q29-$B$11/$B$9*((MAX(0,MIN(1,Q29))^2/(MAX(0,MIN(1,Q29))^2+(1-MAX(0,MIN(1,Q29)))^2/$B$5))-(MAX(0,MIN(1,P29))^2/(MAX(0,MIN(1,P29))^2+(1-MAX(0,MIN(1,P29)))^2/$B$5))))</f>
        <v>0.713070859022463</v>
      </c>
      <c r="R30" s="16" t="n">
        <f aca="false">IF(ABS(R29-$B$11/$B$9*((MAX(0,MIN(1,R29))^2/(MAX(0,MIN(1,R29))^2+(1-MAX(0,MIN(1,R29)))^2/$B$5))-(MAX(0,MIN(1,Q29))^2/(MAX(0,MIN(1,Q29))^2+(1-MAX(0,MIN(1,Q29)))^2/$B$5))))&lt;0.000000001,0,R29-$B$11/$B$9*((MAX(0,MIN(1,R29))^2/(MAX(0,MIN(1,R29))^2+(1-MAX(0,MIN(1,R29)))^2/$B$5))-(MAX(0,MIN(1,Q29))^2/(MAX(0,MIN(1,Q29))^2+(1-MAX(0,MIN(1,Q29)))^2/$B$5))))</f>
        <v>0.683483724971204</v>
      </c>
      <c r="S30" s="16" t="n">
        <f aca="false">IF(ABS(S29-$B$11/$B$9*((MAX(0,MIN(1,S29))^2/(MAX(0,MIN(1,S29))^2+(1-MAX(0,MIN(1,S29)))^2/$B$5))-(MAX(0,MIN(1,R29))^2/(MAX(0,MIN(1,R29))^2+(1-MAX(0,MIN(1,R29)))^2/$B$5))))&lt;0.000000001,0,S29-$B$11/$B$9*((MAX(0,MIN(1,S29))^2/(MAX(0,MIN(1,S29))^2+(1-MAX(0,MIN(1,S29)))^2/$B$5))-(MAX(0,MIN(1,R29))^2/(MAX(0,MIN(1,R29))^2+(1-MAX(0,MIN(1,R29)))^2/$B$5))))</f>
        <v>0.655161318051005</v>
      </c>
      <c r="T30" s="16" t="n">
        <f aca="false">IF(ABS(T29-$B$11/$B$9*((MAX(0,MIN(1,T29))^2/(MAX(0,MIN(1,T29))^2+(1-MAX(0,MIN(1,T29)))^2/$B$5))-(MAX(0,MIN(1,S29))^2/(MAX(0,MIN(1,S29))^2+(1-MAX(0,MIN(1,S29)))^2/$B$5))))&lt;0.000000001,0,T29-$B$11/$B$9*((MAX(0,MIN(1,T29))^2/(MAX(0,MIN(1,T29))^2+(1-MAX(0,MIN(1,T29)))^2/$B$5))-(MAX(0,MIN(1,S29))^2/(MAX(0,MIN(1,S29))^2+(1-MAX(0,MIN(1,S29)))^2/$B$5))))</f>
        <v>0.626753898009017</v>
      </c>
      <c r="U30" s="16" t="n">
        <f aca="false">IF(ABS(U29-$B$11/$B$9*((MAX(0,MIN(1,U29))^2/(MAX(0,MIN(1,U29))^2+(1-MAX(0,MIN(1,U29)))^2/$B$5))-(MAX(0,MIN(1,T29))^2/(MAX(0,MIN(1,T29))^2+(1-MAX(0,MIN(1,T29)))^2/$B$5))))&lt;0.000000001,0,U29-$B$11/$B$9*((MAX(0,MIN(1,U29))^2/(MAX(0,MIN(1,U29))^2+(1-MAX(0,MIN(1,U29)))^2/$B$5))-(MAX(0,MIN(1,T29))^2/(MAX(0,MIN(1,T29))^2+(1-MAX(0,MIN(1,T29)))^2/$B$5))))</f>
        <v>0.596050054076372</v>
      </c>
      <c r="V30" s="16" t="n">
        <f aca="false">IF(ABS(V29-$B$11/$B$9*((MAX(0,MIN(1,V29))^2/(MAX(0,MIN(1,V29))^2+(1-MAX(0,MIN(1,V29)))^2/$B$5))-(MAX(0,MIN(1,U29))^2/(MAX(0,MIN(1,U29))^2+(1-MAX(0,MIN(1,U29)))^2/$B$5))))&lt;0.000000001,0,V29-$B$11/$B$9*((MAX(0,MIN(1,V29))^2/(MAX(0,MIN(1,V29))^2+(1-MAX(0,MIN(1,V29)))^2/$B$5))-(MAX(0,MIN(1,U29))^2/(MAX(0,MIN(1,U29))^2+(1-MAX(0,MIN(1,U29)))^2/$B$5))))</f>
        <v>0.557346573033013</v>
      </c>
      <c r="W30" s="16" t="n">
        <f aca="false">IF(ABS(W29-$B$11/$B$9*((MAX(0,MIN(1,W29))^2/(MAX(0,MIN(1,W29))^2+(1-MAX(0,MIN(1,W29)))^2/$B$5))-(MAX(0,MIN(1,V29))^2/(MAX(0,MIN(1,V29))^2+(1-MAX(0,MIN(1,V29)))^2/$B$5))))&lt;0.000000001,0,W29-$B$11/$B$9*((MAX(0,MIN(1,W29))^2/(MAX(0,MIN(1,W29))^2+(1-MAX(0,MIN(1,W29)))^2/$B$5))-(MAX(0,MIN(1,V29))^2/(MAX(0,MIN(1,V29))^2+(1-MAX(0,MIN(1,V29)))^2/$B$5))))</f>
        <v>0.48165841634867</v>
      </c>
      <c r="X30" s="16" t="n">
        <f aca="false">IF(ABS(X29-$B$11/$B$9*((MAX(0,MIN(1,X29))^2/(MAX(0,MIN(1,X29))^2+(1-MAX(0,MIN(1,X29)))^2/$B$5))-(MAX(0,MIN(1,W29))^2/(MAX(0,MIN(1,W29))^2+(1-MAX(0,MIN(1,W29)))^2/$B$5))))&lt;0.000000001,0,X29-$B$11/$B$9*((MAX(0,MIN(1,X29))^2/(MAX(0,MIN(1,X29))^2+(1-MAX(0,MIN(1,X29)))^2/$B$5))-(MAX(0,MIN(1,W29))^2/(MAX(0,MIN(1,W29))^2+(1-MAX(0,MIN(1,W29)))^2/$B$5))))</f>
        <v>0.148209030647241</v>
      </c>
      <c r="Y30" s="16" t="n">
        <f aca="false">IF(ABS(Y29-$B$11/$B$9*((MAX(0,MIN(1,Y29))^2/(MAX(0,MIN(1,Y29))^2+(1-MAX(0,MIN(1,Y29)))^2/$B$5))-(MAX(0,MIN(1,X29))^2/(MAX(0,MIN(1,X29))^2+(1-MAX(0,MIN(1,X29)))^2/$B$5))))&lt;0.000000001,0,Y29-$B$11/$B$9*((MAX(0,MIN(1,Y29))^2/(MAX(0,MIN(1,Y29))^2+(1-MAX(0,MIN(1,Y29)))^2/$B$5))-(MAX(0,MIN(1,X29))^2/(MAX(0,MIN(1,X29))^2+(1-MAX(0,MIN(1,X29)))^2/$B$5))))</f>
        <v>0.0001445793298675</v>
      </c>
      <c r="Z30" s="16" t="n">
        <f aca="false">IF(ABS(Z29-$B$11/$B$9*((MAX(0,MIN(1,Z29))^2/(MAX(0,MIN(1,Z29))^2+(1-MAX(0,MIN(1,Z29)))^2/$B$5))-(MAX(0,MIN(1,Y29))^2/(MAX(0,MIN(1,Y29))^2+(1-MAX(0,MIN(1,Y29)))^2/$B$5))))&lt;0.000000001,0,Z29-$B$11/$B$9*((MAX(0,MIN(1,Z29))^2/(MAX(0,MIN(1,Z29))^2+(1-MAX(0,MIN(1,Z29)))^2/$B$5))-(MAX(0,MIN(1,Y29))^2/(MAX(0,MIN(1,Y29))^2+(1-MAX(0,MIN(1,Y29)))^2/$B$5))))</f>
        <v>0</v>
      </c>
      <c r="AA30" s="16" t="n">
        <f aca="false">IF(ABS(AA29-$B$11/$B$9*((MAX(0,MIN(1,AA29))^2/(MAX(0,MIN(1,AA29))^2+(1-MAX(0,MIN(1,AA29)))^2/$B$5))-(MAX(0,MIN(1,Z29))^2/(MAX(0,MIN(1,Z29))^2+(1-MAX(0,MIN(1,Z29)))^2/$B$5))))&lt;0.000000001,0,AA29-$B$11/$B$9*((MAX(0,MIN(1,AA29))^2/(MAX(0,MIN(1,AA29))^2+(1-MAX(0,MIN(1,AA29)))^2/$B$5))-(MAX(0,MIN(1,Z29))^2/(MAX(0,MIN(1,Z29))^2+(1-MAX(0,MIN(1,Z29)))^2/$B$5))))</f>
        <v>0</v>
      </c>
      <c r="AB30" s="16" t="n">
        <f aca="false">IF(ABS(AB29-$B$11/$B$9*((MAX(0,MIN(1,AB29))^2/(MAX(0,MIN(1,AB29))^2+(1-MAX(0,MIN(1,AB29)))^2/$B$5))-(MAX(0,MIN(1,AA29))^2/(MAX(0,MIN(1,AA29))^2+(1-MAX(0,MIN(1,AA29)))^2/$B$5))))&lt;0.000000001,0,AB29-$B$11/$B$9*((MAX(0,MIN(1,AB29))^2/(MAX(0,MIN(1,AB29))^2+(1-MAX(0,MIN(1,AB29)))^2/$B$5))-(MAX(0,MIN(1,AA29))^2/(MAX(0,MIN(1,AA29))^2+(1-MAX(0,MIN(1,AA29)))^2/$B$5))))</f>
        <v>0</v>
      </c>
      <c r="AC30" s="16" t="n">
        <f aca="false">IF(ABS(AC29-$B$11/$B$9*((MAX(0,MIN(1,AC29))^2/(MAX(0,MIN(1,AC29))^2+(1-MAX(0,MIN(1,AC29)))^2/$B$5))-(MAX(0,MIN(1,AB29))^2/(MAX(0,MIN(1,AB29))^2+(1-MAX(0,MIN(1,AB29)))^2/$B$5))))&lt;0.000000001,0,AC29-$B$11/$B$9*((MAX(0,MIN(1,AC29))^2/(MAX(0,MIN(1,AC29))^2+(1-MAX(0,MIN(1,AC29)))^2/$B$5))-(MAX(0,MIN(1,AB29))^2/(MAX(0,MIN(1,AB29))^2+(1-MAX(0,MIN(1,AB29)))^2/$B$5))))</f>
        <v>0</v>
      </c>
      <c r="AD30" s="16" t="n">
        <f aca="false">IF(ABS(AD29-$B$11/$B$9*((MAX(0,MIN(1,AD29))^2/(MAX(0,MIN(1,AD29))^2+(1-MAX(0,MIN(1,AD29)))^2/$B$5))-(MAX(0,MIN(1,AC29))^2/(MAX(0,MIN(1,AC29))^2+(1-MAX(0,MIN(1,AC29)))^2/$B$5))))&lt;0.000000001,0,AD29-$B$11/$B$9*((MAX(0,MIN(1,AD29))^2/(MAX(0,MIN(1,AD29))^2+(1-MAX(0,MIN(1,AD29)))^2/$B$5))-(MAX(0,MIN(1,AC29))^2/(MAX(0,MIN(1,AC29))^2+(1-MAX(0,MIN(1,AC29)))^2/$B$5))))</f>
        <v>0</v>
      </c>
      <c r="AE30" s="16" t="n">
        <f aca="false">IF(ABS(AE29-$B$11/$B$9*((MAX(0,MIN(1,AE29))^2/(MAX(0,MIN(1,AE29))^2+(1-MAX(0,MIN(1,AE29)))^2/$B$5))-(MAX(0,MIN(1,AD29))^2/(MAX(0,MIN(1,AD29))^2+(1-MAX(0,MIN(1,AD29)))^2/$B$5))))&lt;0.000000001,0,AE29-$B$11/$B$9*((MAX(0,MIN(1,AE29))^2/(MAX(0,MIN(1,AE29))^2+(1-MAX(0,MIN(1,AE29)))^2/$B$5))-(MAX(0,MIN(1,AD29))^2/(MAX(0,MIN(1,AD29))^2+(1-MAX(0,MIN(1,AD29)))^2/$B$5))))</f>
        <v>0</v>
      </c>
      <c r="AF30" s="16" t="n">
        <f aca="false">IF(ABS(AF29-$B$11/$B$9*((MAX(0,MIN(1,AF29))^2/(MAX(0,MIN(1,AF29))^2+(1-MAX(0,MIN(1,AF29)))^2/$B$5))-(MAX(0,MIN(1,AE29))^2/(MAX(0,MIN(1,AE29))^2+(1-MAX(0,MIN(1,AE29)))^2/$B$5))))&lt;0.000000001,0,AF29-$B$11/$B$9*((MAX(0,MIN(1,AF29))^2/(MAX(0,MIN(1,AF29))^2+(1-MAX(0,MIN(1,AF29)))^2/$B$5))-(MAX(0,MIN(1,AE29))^2/(MAX(0,MIN(1,AE29))^2+(1-MAX(0,MIN(1,AE29)))^2/$B$5))))</f>
        <v>0</v>
      </c>
    </row>
    <row r="31" customFormat="false" ht="15" hidden="false" customHeight="false" outlineLevel="0" collapsed="false">
      <c r="A31" s="0" t="n">
        <v>0.26</v>
      </c>
      <c r="D31" s="0" t="n">
        <f aca="false">A31</f>
        <v>0.26</v>
      </c>
      <c r="E31" s="0" t="n">
        <f aca="false">(G31-G30)/(A31-A30)</f>
        <v>1.61900197049582</v>
      </c>
      <c r="F31" s="0" t="n">
        <f aca="false">G31/A31</f>
        <v>0.761570005858231</v>
      </c>
      <c r="G31" s="0" t="n">
        <f aca="false">A31^2/(A31^2+(1-A31)^2/$B$5)</f>
        <v>0.19800820152314</v>
      </c>
      <c r="L31" s="0" t="n">
        <v>21</v>
      </c>
      <c r="M31" s="16" t="n">
        <f aca="false">IF(ABS(M30-$B$11/$B$9*((MAX(0,MIN(1,M30))^2/(MAX(0,MIN(1,M30))^2+(1-MAX(0,MIN(1,M30)))^2/$B$5))-(MAX(0,MIN(1,1))^2/(MAX(0,MIN(1,1))^2+(1-MAX(0,MIN(1,1)))^2/$B$5))))&lt;0.000000001,0,M30-$B$11/$B$9*((MAX(0,MIN(1,M30))^2/(MAX(0,MIN(1,M30))^2+(1-MAX(0,MIN(1,M30)))^2/$B$5))-(MAX(0,MIN(1,1))^2/(MAX(0,MIN(1,1))^2+(1-MAX(0,MIN(1,1)))^2/$B$5))))</f>
        <v>0.882166269218779</v>
      </c>
      <c r="N31" s="16" t="n">
        <f aca="false">IF(ABS(N30-$B$11/$B$9*((MAX(0,MIN(1,N30))^2/(MAX(0,MIN(1,N30))^2+(1-MAX(0,MIN(1,N30)))^2/$B$5))-(MAX(0,MIN(1,M30))^2/(MAX(0,MIN(1,M30))^2+(1-MAX(0,MIN(1,M30)))^2/$B$5))))&lt;0.000000001,0,N30-$B$11/$B$9*((MAX(0,MIN(1,N30))^2/(MAX(0,MIN(1,N30))^2+(1-MAX(0,MIN(1,N30)))^2/$B$5))-(MAX(0,MIN(1,M30))^2/(MAX(0,MIN(1,M30))^2+(1-MAX(0,MIN(1,M30)))^2/$B$5))))</f>
        <v>0.828793306926286</v>
      </c>
      <c r="O31" s="16" t="n">
        <f aca="false">IF(ABS(O30-$B$11/$B$9*((MAX(0,MIN(1,O30))^2/(MAX(0,MIN(1,O30))^2+(1-MAX(0,MIN(1,O30)))^2/$B$5))-(MAX(0,MIN(1,N30))^2/(MAX(0,MIN(1,N30))^2+(1-MAX(0,MIN(1,N30)))^2/$B$5))))&lt;0.000000001,0,O30-$B$11/$B$9*((MAX(0,MIN(1,O30))^2/(MAX(0,MIN(1,O30))^2+(1-MAX(0,MIN(1,O30)))^2/$B$5))-(MAX(0,MIN(1,N30))^2/(MAX(0,MIN(1,N30))^2+(1-MAX(0,MIN(1,N30)))^2/$B$5))))</f>
        <v>0.787150942726482</v>
      </c>
      <c r="P31" s="16" t="n">
        <f aca="false">IF(ABS(P30-$B$11/$B$9*((MAX(0,MIN(1,P30))^2/(MAX(0,MIN(1,P30))^2+(1-MAX(0,MIN(1,P30)))^2/$B$5))-(MAX(0,MIN(1,O30))^2/(MAX(0,MIN(1,O30))^2+(1-MAX(0,MIN(1,O30)))^2/$B$5))))&lt;0.000000001,0,P30-$B$11/$B$9*((MAX(0,MIN(1,P30))^2/(MAX(0,MIN(1,P30))^2+(1-MAX(0,MIN(1,P30)))^2/$B$5))-(MAX(0,MIN(1,O30))^2/(MAX(0,MIN(1,O30))^2+(1-MAX(0,MIN(1,O30)))^2/$B$5))))</f>
        <v>0.751886692387624</v>
      </c>
      <c r="Q31" s="16" t="n">
        <f aca="false">IF(ABS(Q30-$B$11/$B$9*((MAX(0,MIN(1,Q30))^2/(MAX(0,MIN(1,Q30))^2+(1-MAX(0,MIN(1,Q30)))^2/$B$5))-(MAX(0,MIN(1,P30))^2/(MAX(0,MIN(1,P30))^2+(1-MAX(0,MIN(1,P30)))^2/$B$5))))&lt;0.000000001,0,Q30-$B$11/$B$9*((MAX(0,MIN(1,Q30))^2/(MAX(0,MIN(1,Q30))^2+(1-MAX(0,MIN(1,Q30)))^2/$B$5))-(MAX(0,MIN(1,P30))^2/(MAX(0,MIN(1,P30))^2+(1-MAX(0,MIN(1,P30)))^2/$B$5))))</f>
        <v>0.720621892996873</v>
      </c>
      <c r="R31" s="16" t="n">
        <f aca="false">IF(ABS(R30-$B$11/$B$9*((MAX(0,MIN(1,R30))^2/(MAX(0,MIN(1,R30))^2+(1-MAX(0,MIN(1,R30)))^2/$B$5))-(MAX(0,MIN(1,Q30))^2/(MAX(0,MIN(1,Q30))^2+(1-MAX(0,MIN(1,Q30)))^2/$B$5))))&lt;0.000000001,0,R30-$B$11/$B$9*((MAX(0,MIN(1,R30))^2/(MAX(0,MIN(1,R30))^2+(1-MAX(0,MIN(1,R30)))^2/$B$5))-(MAX(0,MIN(1,Q30))^2/(MAX(0,MIN(1,Q30))^2+(1-MAX(0,MIN(1,Q30)))^2/$B$5))))</f>
        <v>0.69192396035492</v>
      </c>
      <c r="S31" s="16" t="n">
        <f aca="false">IF(ABS(S30-$B$11/$B$9*((MAX(0,MIN(1,S30))^2/(MAX(0,MIN(1,S30))^2+(1-MAX(0,MIN(1,S30)))^2/$B$5))-(MAX(0,MIN(1,R30))^2/(MAX(0,MIN(1,R30))^2+(1-MAX(0,MIN(1,R30)))^2/$B$5))))&lt;0.000000001,0,S30-$B$11/$B$9*((MAX(0,MIN(1,S30))^2/(MAX(0,MIN(1,S30))^2+(1-MAX(0,MIN(1,S30)))^2/$B$5))-(MAX(0,MIN(1,R30))^2/(MAX(0,MIN(1,R30))^2+(1-MAX(0,MIN(1,R30)))^2/$B$5))))</f>
        <v>0.664706096361754</v>
      </c>
      <c r="T31" s="16" t="n">
        <f aca="false">IF(ABS(T30-$B$11/$B$9*((MAX(0,MIN(1,T30))^2/(MAX(0,MIN(1,T30))^2+(1-MAX(0,MIN(1,T30)))^2/$B$5))-(MAX(0,MIN(1,S30))^2/(MAX(0,MIN(1,S30))^2+(1-MAX(0,MIN(1,S30)))^2/$B$5))))&lt;0.000000001,0,T30-$B$11/$B$9*((MAX(0,MIN(1,T30))^2/(MAX(0,MIN(1,T30))^2+(1-MAX(0,MIN(1,T30)))^2/$B$5))-(MAX(0,MIN(1,S30))^2/(MAX(0,MIN(1,S30))^2+(1-MAX(0,MIN(1,S30)))^2/$B$5))))</f>
        <v>0.637886404232695</v>
      </c>
      <c r="U31" s="16" t="n">
        <f aca="false">IF(ABS(U30-$B$11/$B$9*((MAX(0,MIN(1,U30))^2/(MAX(0,MIN(1,U30))^2+(1-MAX(0,MIN(1,U30)))^2/$B$5))-(MAX(0,MIN(1,T30))^2/(MAX(0,MIN(1,T30))^2+(1-MAX(0,MIN(1,T30)))^2/$B$5))))&lt;0.000000001,0,U30-$B$11/$B$9*((MAX(0,MIN(1,U30))^2/(MAX(0,MIN(1,U30))^2+(1-MAX(0,MIN(1,U30)))^2/$B$5))-(MAX(0,MIN(1,T30))^2/(MAX(0,MIN(1,T30))^2+(1-MAX(0,MIN(1,T30)))^2/$B$5))))</f>
        <v>0.609947881859981</v>
      </c>
      <c r="V31" s="16" t="n">
        <f aca="false">IF(ABS(V30-$B$11/$B$9*((MAX(0,MIN(1,V30))^2/(MAX(0,MIN(1,V30))^2+(1-MAX(0,MIN(1,V30)))^2/$B$5))-(MAX(0,MIN(1,U30))^2/(MAX(0,MIN(1,U30))^2+(1-MAX(0,MIN(1,U30)))^2/$B$5))))&lt;0.000000001,0,V30-$B$11/$B$9*((MAX(0,MIN(1,V30))^2/(MAX(0,MIN(1,V30))^2+(1-MAX(0,MIN(1,V30)))^2/$B$5))-(MAX(0,MIN(1,U30))^2/(MAX(0,MIN(1,U30))^2+(1-MAX(0,MIN(1,U30)))^2/$B$5))))</f>
        <v>0.577730860242816</v>
      </c>
      <c r="W31" s="16" t="n">
        <f aca="false">IF(ABS(W30-$B$11/$B$9*((MAX(0,MIN(1,W30))^2/(MAX(0,MIN(1,W30))^2+(1-MAX(0,MIN(1,W30)))^2/$B$5))-(MAX(0,MIN(1,V30))^2/(MAX(0,MIN(1,V30))^2+(1-MAX(0,MIN(1,V30)))^2/$B$5))))&lt;0.000000001,0,W30-$B$11/$B$9*((MAX(0,MIN(1,W30))^2/(MAX(0,MIN(1,W30))^2+(1-MAX(0,MIN(1,W30)))^2/$B$5))-(MAX(0,MIN(1,V30))^2/(MAX(0,MIN(1,V30))^2+(1-MAX(0,MIN(1,V30)))^2/$B$5))))</f>
        <v>0.530472045494783</v>
      </c>
      <c r="X31" s="16" t="n">
        <f aca="false">IF(ABS(X30-$B$11/$B$9*((MAX(0,MIN(1,X30))^2/(MAX(0,MIN(1,X30))^2+(1-MAX(0,MIN(1,X30)))^2/$B$5))-(MAX(0,MIN(1,W30))^2/(MAX(0,MIN(1,W30))^2+(1-MAX(0,MIN(1,W30)))^2/$B$5))))&lt;0.000000001,0,X30-$B$11/$B$9*((MAX(0,MIN(1,X30))^2/(MAX(0,MIN(1,X30))^2+(1-MAX(0,MIN(1,X30)))^2/$B$5))-(MAX(0,MIN(1,W30))^2/(MAX(0,MIN(1,W30))^2+(1-MAX(0,MIN(1,W30)))^2/$B$5))))</f>
        <v>0.369774140197992</v>
      </c>
      <c r="Y31" s="16" t="n">
        <f aca="false">IF(ABS(Y30-$B$11/$B$9*((MAX(0,MIN(1,Y30))^2/(MAX(0,MIN(1,Y30))^2+(1-MAX(0,MIN(1,Y30)))^2/$B$5))-(MAX(0,MIN(1,X30))^2/(MAX(0,MIN(1,X30))^2+(1-MAX(0,MIN(1,X30)))^2/$B$5))))&lt;0.000000001,0,Y30-$B$11/$B$9*((MAX(0,MIN(1,Y30))^2/(MAX(0,MIN(1,Y30))^2+(1-MAX(0,MIN(1,Y30)))^2/$B$5))-(MAX(0,MIN(1,X30))^2/(MAX(0,MIN(1,X30))^2+(1-MAX(0,MIN(1,X30)))^2/$B$5))))</f>
        <v>0.0220985784632466</v>
      </c>
      <c r="Z31" s="16" t="n">
        <f aca="false">IF(ABS(Z30-$B$11/$B$9*((MAX(0,MIN(1,Z30))^2/(MAX(0,MIN(1,Z30))^2+(1-MAX(0,MIN(1,Z30)))^2/$B$5))-(MAX(0,MIN(1,Y30))^2/(MAX(0,MIN(1,Y30))^2+(1-MAX(0,MIN(1,Y30)))^2/$B$5))))&lt;0.000000001,0,Z30-$B$11/$B$9*((MAX(0,MIN(1,Z30))^2/(MAX(0,MIN(1,Z30))^2+(1-MAX(0,MIN(1,Z30)))^2/$B$5))-(MAX(0,MIN(1,Y30))^2/(MAX(0,MIN(1,Y30))^2+(1-MAX(0,MIN(1,Y30)))^2/$B$5))))</f>
        <v>1.60805083468382E-008</v>
      </c>
      <c r="AA31" s="16" t="n">
        <f aca="false">IF(ABS(AA30-$B$11/$B$9*((MAX(0,MIN(1,AA30))^2/(MAX(0,MIN(1,AA30))^2+(1-MAX(0,MIN(1,AA30)))^2/$B$5))-(MAX(0,MIN(1,Z30))^2/(MAX(0,MIN(1,Z30))^2+(1-MAX(0,MIN(1,Z30)))^2/$B$5))))&lt;0.000000001,0,AA30-$B$11/$B$9*((MAX(0,MIN(1,AA30))^2/(MAX(0,MIN(1,AA30))^2+(1-MAX(0,MIN(1,AA30)))^2/$B$5))-(MAX(0,MIN(1,Z30))^2/(MAX(0,MIN(1,Z30))^2+(1-MAX(0,MIN(1,Z30)))^2/$B$5))))</f>
        <v>0</v>
      </c>
      <c r="AB31" s="16" t="n">
        <f aca="false">IF(ABS(AB30-$B$11/$B$9*((MAX(0,MIN(1,AB30))^2/(MAX(0,MIN(1,AB30))^2+(1-MAX(0,MIN(1,AB30)))^2/$B$5))-(MAX(0,MIN(1,AA30))^2/(MAX(0,MIN(1,AA30))^2+(1-MAX(0,MIN(1,AA30)))^2/$B$5))))&lt;0.000000001,0,AB30-$B$11/$B$9*((MAX(0,MIN(1,AB30))^2/(MAX(0,MIN(1,AB30))^2+(1-MAX(0,MIN(1,AB30)))^2/$B$5))-(MAX(0,MIN(1,AA30))^2/(MAX(0,MIN(1,AA30))^2+(1-MAX(0,MIN(1,AA30)))^2/$B$5))))</f>
        <v>0</v>
      </c>
      <c r="AC31" s="16" t="n">
        <f aca="false">IF(ABS(AC30-$B$11/$B$9*((MAX(0,MIN(1,AC30))^2/(MAX(0,MIN(1,AC30))^2+(1-MAX(0,MIN(1,AC30)))^2/$B$5))-(MAX(0,MIN(1,AB30))^2/(MAX(0,MIN(1,AB30))^2+(1-MAX(0,MIN(1,AB30)))^2/$B$5))))&lt;0.000000001,0,AC30-$B$11/$B$9*((MAX(0,MIN(1,AC30))^2/(MAX(0,MIN(1,AC30))^2+(1-MAX(0,MIN(1,AC30)))^2/$B$5))-(MAX(0,MIN(1,AB30))^2/(MAX(0,MIN(1,AB30))^2+(1-MAX(0,MIN(1,AB30)))^2/$B$5))))</f>
        <v>0</v>
      </c>
      <c r="AD31" s="16" t="n">
        <f aca="false">IF(ABS(AD30-$B$11/$B$9*((MAX(0,MIN(1,AD30))^2/(MAX(0,MIN(1,AD30))^2+(1-MAX(0,MIN(1,AD30)))^2/$B$5))-(MAX(0,MIN(1,AC30))^2/(MAX(0,MIN(1,AC30))^2+(1-MAX(0,MIN(1,AC30)))^2/$B$5))))&lt;0.000000001,0,AD30-$B$11/$B$9*((MAX(0,MIN(1,AD30))^2/(MAX(0,MIN(1,AD30))^2+(1-MAX(0,MIN(1,AD30)))^2/$B$5))-(MAX(0,MIN(1,AC30))^2/(MAX(0,MIN(1,AC30))^2+(1-MAX(0,MIN(1,AC30)))^2/$B$5))))</f>
        <v>0</v>
      </c>
      <c r="AE31" s="16" t="n">
        <f aca="false">IF(ABS(AE30-$B$11/$B$9*((MAX(0,MIN(1,AE30))^2/(MAX(0,MIN(1,AE30))^2+(1-MAX(0,MIN(1,AE30)))^2/$B$5))-(MAX(0,MIN(1,AD30))^2/(MAX(0,MIN(1,AD30))^2+(1-MAX(0,MIN(1,AD30)))^2/$B$5))))&lt;0.000000001,0,AE30-$B$11/$B$9*((MAX(0,MIN(1,AE30))^2/(MAX(0,MIN(1,AE30))^2+(1-MAX(0,MIN(1,AE30)))^2/$B$5))-(MAX(0,MIN(1,AD30))^2/(MAX(0,MIN(1,AD30))^2+(1-MAX(0,MIN(1,AD30)))^2/$B$5))))</f>
        <v>0</v>
      </c>
      <c r="AF31" s="16" t="n">
        <f aca="false">IF(ABS(AF30-$B$11/$B$9*((MAX(0,MIN(1,AF30))^2/(MAX(0,MIN(1,AF30))^2+(1-MAX(0,MIN(1,AF30)))^2/$B$5))-(MAX(0,MIN(1,AE30))^2/(MAX(0,MIN(1,AE30))^2+(1-MAX(0,MIN(1,AE30)))^2/$B$5))))&lt;0.000000001,0,AF30-$B$11/$B$9*((MAX(0,MIN(1,AF30))^2/(MAX(0,MIN(1,AF30))^2+(1-MAX(0,MIN(1,AF30)))^2/$B$5))-(MAX(0,MIN(1,AE30))^2/(MAX(0,MIN(1,AE30))^2+(1-MAX(0,MIN(1,AE30)))^2/$B$5))))</f>
        <v>0</v>
      </c>
    </row>
    <row r="32" customFormat="false" ht="15" hidden="false" customHeight="false" outlineLevel="0" collapsed="false">
      <c r="A32" s="0" t="n">
        <v>0.27</v>
      </c>
      <c r="D32" s="0" t="n">
        <f aca="false">A32</f>
        <v>0.27</v>
      </c>
      <c r="E32" s="0" t="n">
        <f aca="false">(G32-G31)/(A32-A31)</f>
        <v>1.6814253169655</v>
      </c>
      <c r="F32" s="0" t="n">
        <f aca="false">G32/A32</f>
        <v>0.795638721084426</v>
      </c>
      <c r="G32" s="0" t="n">
        <f aca="false">A32^2/(A32^2+(1-A32)^2/$B$5)</f>
        <v>0.214822454692795</v>
      </c>
      <c r="L32" s="0" t="n">
        <v>22</v>
      </c>
      <c r="M32" s="16" t="n">
        <f aca="false">IF(ABS(M31-$B$11/$B$9*((MAX(0,MIN(1,M31))^2/(MAX(0,MIN(1,M31))^2+(1-MAX(0,MIN(1,M31)))^2/$B$5))-(MAX(0,MIN(1,1))^2/(MAX(0,MIN(1,1))^2+(1-MAX(0,MIN(1,1)))^2/$B$5))))&lt;0.000000001,0,M31-$B$11/$B$9*((MAX(0,MIN(1,M31))^2/(MAX(0,MIN(1,M31))^2+(1-MAX(0,MIN(1,M31)))^2/$B$5))-(MAX(0,MIN(1,1))^2/(MAX(0,MIN(1,1))^2+(1-MAX(0,MIN(1,1)))^2/$B$5))))</f>
        <v>0.885566301507803</v>
      </c>
      <c r="N32" s="16" t="n">
        <f aca="false">IF(ABS(N31-$B$11/$B$9*((MAX(0,MIN(1,N31))^2/(MAX(0,MIN(1,N31))^2+(1-MAX(0,MIN(1,N31)))^2/$B$5))-(MAX(0,MIN(1,M31))^2/(MAX(0,MIN(1,M31))^2+(1-MAX(0,MIN(1,M31)))^2/$B$5))))&lt;0.000000001,0,N31-$B$11/$B$9*((MAX(0,MIN(1,N31))^2/(MAX(0,MIN(1,N31))^2+(1-MAX(0,MIN(1,N31)))^2/$B$5))-(MAX(0,MIN(1,M31))^2/(MAX(0,MIN(1,M31))^2+(1-MAX(0,MIN(1,M31)))^2/$B$5))))</f>
        <v>0.833426353640498</v>
      </c>
      <c r="O32" s="16" t="n">
        <f aca="false">IF(ABS(O31-$B$11/$B$9*((MAX(0,MIN(1,O31))^2/(MAX(0,MIN(1,O31))^2+(1-MAX(0,MIN(1,O31)))^2/$B$5))-(MAX(0,MIN(1,N31))^2/(MAX(0,MIN(1,N31))^2+(1-MAX(0,MIN(1,N31)))^2/$B$5))))&lt;0.000000001,0,O31-$B$11/$B$9*((MAX(0,MIN(1,O31))^2/(MAX(0,MIN(1,O31))^2+(1-MAX(0,MIN(1,O31)))^2/$B$5))-(MAX(0,MIN(1,N31))^2/(MAX(0,MIN(1,N31))^2+(1-MAX(0,MIN(1,N31)))^2/$B$5))))</f>
        <v>0.792680217912397</v>
      </c>
      <c r="P32" s="16" t="n">
        <f aca="false">IF(ABS(P31-$B$11/$B$9*((MAX(0,MIN(1,P31))^2/(MAX(0,MIN(1,P31))^2+(1-MAX(0,MIN(1,P31)))^2/$B$5))-(MAX(0,MIN(1,O31))^2/(MAX(0,MIN(1,O31))^2+(1-MAX(0,MIN(1,O31)))^2/$B$5))))&lt;0.000000001,0,P31-$B$11/$B$9*((MAX(0,MIN(1,P31))^2/(MAX(0,MIN(1,P31))^2+(1-MAX(0,MIN(1,P31)))^2/$B$5))-(MAX(0,MIN(1,O31))^2/(MAX(0,MIN(1,O31))^2+(1-MAX(0,MIN(1,O31)))^2/$B$5))))</f>
        <v>0.758179471488468</v>
      </c>
      <c r="Q32" s="16" t="n">
        <f aca="false">IF(ABS(Q31-$B$11/$B$9*((MAX(0,MIN(1,Q31))^2/(MAX(0,MIN(1,Q31))^2+(1-MAX(0,MIN(1,Q31)))^2/$B$5))-(MAX(0,MIN(1,P31))^2/(MAX(0,MIN(1,P31))^2+(1-MAX(0,MIN(1,P31)))^2/$B$5))))&lt;0.000000001,0,Q31-$B$11/$B$9*((MAX(0,MIN(1,Q31))^2/(MAX(0,MIN(1,Q31))^2+(1-MAX(0,MIN(1,Q31)))^2/$B$5))-(MAX(0,MIN(1,P31))^2/(MAX(0,MIN(1,P31))^2+(1-MAX(0,MIN(1,P31)))^2/$B$5))))</f>
        <v>0.727645060823609</v>
      </c>
      <c r="R32" s="16" t="n">
        <f aca="false">IF(ABS(R31-$B$11/$B$9*((MAX(0,MIN(1,R31))^2/(MAX(0,MIN(1,R31))^2+(1-MAX(0,MIN(1,R31)))^2/$B$5))-(MAX(0,MIN(1,Q31))^2/(MAX(0,MIN(1,Q31))^2+(1-MAX(0,MIN(1,Q31)))^2/$B$5))))&lt;0.000000001,0,R31-$B$11/$B$9*((MAX(0,MIN(1,R31))^2/(MAX(0,MIN(1,R31))^2+(1-MAX(0,MIN(1,R31)))^2/$B$5))-(MAX(0,MIN(1,Q31))^2/(MAX(0,MIN(1,Q31))^2+(1-MAX(0,MIN(1,Q31)))^2/$B$5))))</f>
        <v>0.699723742656944</v>
      </c>
      <c r="S32" s="16" t="n">
        <f aca="false">IF(ABS(S31-$B$11/$B$9*((MAX(0,MIN(1,S31))^2/(MAX(0,MIN(1,S31))^2+(1-MAX(0,MIN(1,S31)))^2/$B$5))-(MAX(0,MIN(1,R31))^2/(MAX(0,MIN(1,R31))^2+(1-MAX(0,MIN(1,R31)))^2/$B$5))))&lt;0.000000001,0,S31-$B$11/$B$9*((MAX(0,MIN(1,S31))^2/(MAX(0,MIN(1,S31))^2+(1-MAX(0,MIN(1,S31)))^2/$B$5))-(MAX(0,MIN(1,R31))^2/(MAX(0,MIN(1,R31))^2+(1-MAX(0,MIN(1,R31)))^2/$B$5))))</f>
        <v>0.67342747595697</v>
      </c>
      <c r="T32" s="16" t="n">
        <f aca="false">IF(ABS(T31-$B$11/$B$9*((MAX(0,MIN(1,T31))^2/(MAX(0,MIN(1,T31))^2+(1-MAX(0,MIN(1,T31)))^2/$B$5))-(MAX(0,MIN(1,S31))^2/(MAX(0,MIN(1,S31))^2+(1-MAX(0,MIN(1,S31)))^2/$B$5))))&lt;0.000000001,0,T31-$B$11/$B$9*((MAX(0,MIN(1,T31))^2/(MAX(0,MIN(1,T31))^2+(1-MAX(0,MIN(1,T31)))^2/$B$5))-(MAX(0,MIN(1,S31))^2/(MAX(0,MIN(1,S31))^2+(1-MAX(0,MIN(1,S31)))^2/$B$5))))</f>
        <v>0.647847994976185</v>
      </c>
      <c r="U32" s="16" t="n">
        <f aca="false">IF(ABS(U31-$B$11/$B$9*((MAX(0,MIN(1,U31))^2/(MAX(0,MIN(1,U31))^2+(1-MAX(0,MIN(1,U31)))^2/$B$5))-(MAX(0,MIN(1,T31))^2/(MAX(0,MIN(1,T31))^2+(1-MAX(0,MIN(1,T31)))^2/$B$5))))&lt;0.000000001,0,U31-$B$11/$B$9*((MAX(0,MIN(1,U31))^2/(MAX(0,MIN(1,U31))^2+(1-MAX(0,MIN(1,U31)))^2/$B$5))-(MAX(0,MIN(1,T31))^2/(MAX(0,MIN(1,T31))^2+(1-MAX(0,MIN(1,T31)))^2/$B$5))))</f>
        <v>0.621864641113199</v>
      </c>
      <c r="V32" s="16" t="n">
        <f aca="false">IF(ABS(V31-$B$11/$B$9*((MAX(0,MIN(1,V31))^2/(MAX(0,MIN(1,V31))^2+(1-MAX(0,MIN(1,V31)))^2/$B$5))-(MAX(0,MIN(1,U31))^2/(MAX(0,MIN(1,U31))^2+(1-MAX(0,MIN(1,U31)))^2/$B$5))))&lt;0.000000001,0,V31-$B$11/$B$9*((MAX(0,MIN(1,V31))^2/(MAX(0,MIN(1,V31))^2+(1-MAX(0,MIN(1,V31)))^2/$B$5))-(MAX(0,MIN(1,U31))^2/(MAX(0,MIN(1,U31))^2+(1-MAX(0,MIN(1,U31)))^2/$B$5))))</f>
        <v>0.593514329612335</v>
      </c>
      <c r="W32" s="16" t="n">
        <f aca="false">IF(ABS(W31-$B$11/$B$9*((MAX(0,MIN(1,W31))^2/(MAX(0,MIN(1,W31))^2+(1-MAX(0,MIN(1,W31)))^2/$B$5))-(MAX(0,MIN(1,V31))^2/(MAX(0,MIN(1,V31))^2+(1-MAX(0,MIN(1,V31)))^2/$B$5))))&lt;0.000000001,0,W31-$B$11/$B$9*((MAX(0,MIN(1,W31))^2/(MAX(0,MIN(1,W31))^2+(1-MAX(0,MIN(1,W31)))^2/$B$5))-(MAX(0,MIN(1,V31))^2/(MAX(0,MIN(1,V31))^2+(1-MAX(0,MIN(1,V31)))^2/$B$5))))</f>
        <v>0.557641356010327</v>
      </c>
      <c r="X32" s="16" t="n">
        <f aca="false">IF(ABS(X31-$B$11/$B$9*((MAX(0,MIN(1,X31))^2/(MAX(0,MIN(1,X31))^2+(1-MAX(0,MIN(1,X31)))^2/$B$5))-(MAX(0,MIN(1,W31))^2/(MAX(0,MIN(1,W31))^2+(1-MAX(0,MIN(1,W31)))^2/$B$5))))&lt;0.000000001,0,X31-$B$11/$B$9*((MAX(0,MIN(1,X31))^2/(MAX(0,MIN(1,X31))^2+(1-MAX(0,MIN(1,X31)))^2/$B$5))-(MAX(0,MIN(1,W31))^2/(MAX(0,MIN(1,W31))^2+(1-MAX(0,MIN(1,W31)))^2/$B$5))))</f>
        <v>0.489277614199207</v>
      </c>
      <c r="Y32" s="16" t="n">
        <f aca="false">IF(ABS(Y31-$B$11/$B$9*((MAX(0,MIN(1,Y31))^2/(MAX(0,MIN(1,Y31))^2+(1-MAX(0,MIN(1,Y31)))^2/$B$5))-(MAX(0,MIN(1,X31))^2/(MAX(0,MIN(1,X31))^2+(1-MAX(0,MIN(1,X31)))^2/$B$5))))&lt;0.000000001,0,Y31-$B$11/$B$9*((MAX(0,MIN(1,Y31))^2/(MAX(0,MIN(1,Y31))^2+(1-MAX(0,MIN(1,Y31)))^2/$B$5))-(MAX(0,MIN(1,X31))^2/(MAX(0,MIN(1,X31))^2+(1-MAX(0,MIN(1,X31)))^2/$B$5))))</f>
        <v>0.178503561772473</v>
      </c>
      <c r="Z32" s="16" t="n">
        <f aca="false">IF(ABS(Z31-$B$11/$B$9*((MAX(0,MIN(1,Z31))^2/(MAX(0,MIN(1,Z31))^2+(1-MAX(0,MIN(1,Z31)))^2/$B$5))-(MAX(0,MIN(1,Y31))^2/(MAX(0,MIN(1,Y31))^2+(1-MAX(0,MIN(1,Y31)))^2/$B$5))))&lt;0.000000001,0,Z31-$B$11/$B$9*((MAX(0,MIN(1,Z31))^2/(MAX(0,MIN(1,Z31))^2+(1-MAX(0,MIN(1,Z31)))^2/$B$5))-(MAX(0,MIN(1,Y31))^2/(MAX(0,MIN(1,Y31))^2+(1-MAX(0,MIN(1,Y31)))^2/$B$5))))</f>
        <v>0.00039235100946189</v>
      </c>
      <c r="AA32" s="16" t="n">
        <f aca="false">IF(ABS(AA31-$B$11/$B$9*((MAX(0,MIN(1,AA31))^2/(MAX(0,MIN(1,AA31))^2+(1-MAX(0,MIN(1,AA31)))^2/$B$5))-(MAX(0,MIN(1,Z31))^2/(MAX(0,MIN(1,Z31))^2+(1-MAX(0,MIN(1,Z31)))^2/$B$5))))&lt;0.000000001,0,AA31-$B$11/$B$9*((MAX(0,MIN(1,AA31))^2/(MAX(0,MIN(1,AA31))^2+(1-MAX(0,MIN(1,AA31)))^2/$B$5))-(MAX(0,MIN(1,Z31))^2/(MAX(0,MIN(1,Z31))^2+(1-MAX(0,MIN(1,Z31)))^2/$B$5))))</f>
        <v>0</v>
      </c>
      <c r="AB32" s="16" t="n">
        <f aca="false">IF(ABS(AB31-$B$11/$B$9*((MAX(0,MIN(1,AB31))^2/(MAX(0,MIN(1,AB31))^2+(1-MAX(0,MIN(1,AB31)))^2/$B$5))-(MAX(0,MIN(1,AA31))^2/(MAX(0,MIN(1,AA31))^2+(1-MAX(0,MIN(1,AA31)))^2/$B$5))))&lt;0.000000001,0,AB31-$B$11/$B$9*((MAX(0,MIN(1,AB31))^2/(MAX(0,MIN(1,AB31))^2+(1-MAX(0,MIN(1,AB31)))^2/$B$5))-(MAX(0,MIN(1,AA31))^2/(MAX(0,MIN(1,AA31))^2+(1-MAX(0,MIN(1,AA31)))^2/$B$5))))</f>
        <v>0</v>
      </c>
      <c r="AC32" s="16" t="n">
        <f aca="false">IF(ABS(AC31-$B$11/$B$9*((MAX(0,MIN(1,AC31))^2/(MAX(0,MIN(1,AC31))^2+(1-MAX(0,MIN(1,AC31)))^2/$B$5))-(MAX(0,MIN(1,AB31))^2/(MAX(0,MIN(1,AB31))^2+(1-MAX(0,MIN(1,AB31)))^2/$B$5))))&lt;0.000000001,0,AC31-$B$11/$B$9*((MAX(0,MIN(1,AC31))^2/(MAX(0,MIN(1,AC31))^2+(1-MAX(0,MIN(1,AC31)))^2/$B$5))-(MAX(0,MIN(1,AB31))^2/(MAX(0,MIN(1,AB31))^2+(1-MAX(0,MIN(1,AB31)))^2/$B$5))))</f>
        <v>0</v>
      </c>
      <c r="AD32" s="16" t="n">
        <f aca="false">IF(ABS(AD31-$B$11/$B$9*((MAX(0,MIN(1,AD31))^2/(MAX(0,MIN(1,AD31))^2+(1-MAX(0,MIN(1,AD31)))^2/$B$5))-(MAX(0,MIN(1,AC31))^2/(MAX(0,MIN(1,AC31))^2+(1-MAX(0,MIN(1,AC31)))^2/$B$5))))&lt;0.000000001,0,AD31-$B$11/$B$9*((MAX(0,MIN(1,AD31))^2/(MAX(0,MIN(1,AD31))^2+(1-MAX(0,MIN(1,AD31)))^2/$B$5))-(MAX(0,MIN(1,AC31))^2/(MAX(0,MIN(1,AC31))^2+(1-MAX(0,MIN(1,AC31)))^2/$B$5))))</f>
        <v>0</v>
      </c>
      <c r="AE32" s="16" t="n">
        <f aca="false">IF(ABS(AE31-$B$11/$B$9*((MAX(0,MIN(1,AE31))^2/(MAX(0,MIN(1,AE31))^2+(1-MAX(0,MIN(1,AE31)))^2/$B$5))-(MAX(0,MIN(1,AD31))^2/(MAX(0,MIN(1,AD31))^2+(1-MAX(0,MIN(1,AD31)))^2/$B$5))))&lt;0.000000001,0,AE31-$B$11/$B$9*((MAX(0,MIN(1,AE31))^2/(MAX(0,MIN(1,AE31))^2+(1-MAX(0,MIN(1,AE31)))^2/$B$5))-(MAX(0,MIN(1,AD31))^2/(MAX(0,MIN(1,AD31))^2+(1-MAX(0,MIN(1,AD31)))^2/$B$5))))</f>
        <v>0</v>
      </c>
      <c r="AF32" s="16" t="n">
        <f aca="false">IF(ABS(AF31-$B$11/$B$9*((MAX(0,MIN(1,AF31))^2/(MAX(0,MIN(1,AF31))^2+(1-MAX(0,MIN(1,AF31)))^2/$B$5))-(MAX(0,MIN(1,AE31))^2/(MAX(0,MIN(1,AE31))^2+(1-MAX(0,MIN(1,AE31)))^2/$B$5))))&lt;0.000000001,0,AF31-$B$11/$B$9*((MAX(0,MIN(1,AF31))^2/(MAX(0,MIN(1,AF31))^2+(1-MAX(0,MIN(1,AF31)))^2/$B$5))-(MAX(0,MIN(1,AE31))^2/(MAX(0,MIN(1,AE31))^2+(1-MAX(0,MIN(1,AE31)))^2/$B$5))))</f>
        <v>0</v>
      </c>
    </row>
    <row r="33" customFormat="false" ht="15" hidden="false" customHeight="false" outlineLevel="0" collapsed="false">
      <c r="A33" s="0" t="n">
        <v>0.28</v>
      </c>
      <c r="D33" s="0" t="n">
        <f aca="false">A33</f>
        <v>0.28</v>
      </c>
      <c r="E33" s="0" t="n">
        <f aca="false">(G33-G32)/(A33-A32)</f>
        <v>1.74050334588637</v>
      </c>
      <c r="F33" s="0" t="n">
        <f aca="false">G33/A33</f>
        <v>0.829383886255924</v>
      </c>
      <c r="G33" s="0" t="n">
        <f aca="false">A33^2/(A33^2+(1-A33)^2/$B$5)</f>
        <v>0.232227488151659</v>
      </c>
      <c r="L33" s="0" t="n">
        <v>23</v>
      </c>
      <c r="M33" s="16" t="n">
        <f aca="false">IF(ABS(M32-$B$11/$B$9*((MAX(0,MIN(1,M32))^2/(MAX(0,MIN(1,M32))^2+(1-MAX(0,MIN(1,M32)))^2/$B$5))-(MAX(0,MIN(1,1))^2/(MAX(0,MIN(1,1))^2+(1-MAX(0,MIN(1,1)))^2/$B$5))))&lt;0.000000001,0,M32-$B$11/$B$9*((MAX(0,MIN(1,M32))^2/(MAX(0,MIN(1,M32))^2+(1-MAX(0,MIN(1,M32)))^2/$B$5))-(MAX(0,MIN(1,1))^2/(MAX(0,MIN(1,1))^2+(1-MAX(0,MIN(1,1)))^2/$B$5))))</f>
        <v>0.88875018098515</v>
      </c>
      <c r="N33" s="16" t="n">
        <f aca="false">IF(ABS(N32-$B$11/$B$9*((MAX(0,MIN(1,N32))^2/(MAX(0,MIN(1,N32))^2+(1-MAX(0,MIN(1,N32)))^2/$B$5))-(MAX(0,MIN(1,M32))^2/(MAX(0,MIN(1,M32))^2+(1-MAX(0,MIN(1,M32)))^2/$B$5))))&lt;0.000000001,0,N32-$B$11/$B$9*((MAX(0,MIN(1,N32))^2/(MAX(0,MIN(1,N32))^2+(1-MAX(0,MIN(1,N32)))^2/$B$5))-(MAX(0,MIN(1,M32))^2/(MAX(0,MIN(1,M32))^2+(1-MAX(0,MIN(1,M32)))^2/$B$5))))</f>
        <v>0.837772407888258</v>
      </c>
      <c r="O33" s="16" t="n">
        <f aca="false">IF(ABS(O32-$B$11/$B$9*((MAX(0,MIN(1,O32))^2/(MAX(0,MIN(1,O32))^2+(1-MAX(0,MIN(1,O32)))^2/$B$5))-(MAX(0,MIN(1,N32))^2/(MAX(0,MIN(1,N32))^2+(1-MAX(0,MIN(1,N32)))^2/$B$5))))&lt;0.000000001,0,O32-$B$11/$B$9*((MAX(0,MIN(1,O32))^2/(MAX(0,MIN(1,O32))^2+(1-MAX(0,MIN(1,O32)))^2/$B$5))-(MAX(0,MIN(1,N32))^2/(MAX(0,MIN(1,N32))^2+(1-MAX(0,MIN(1,N32)))^2/$B$5))))</f>
        <v>0.797867198352434</v>
      </c>
      <c r="P33" s="16" t="n">
        <f aca="false">IF(ABS(P32-$B$11/$B$9*((MAX(0,MIN(1,P32))^2/(MAX(0,MIN(1,P32))^2+(1-MAX(0,MIN(1,P32)))^2/$B$5))-(MAX(0,MIN(1,O32))^2/(MAX(0,MIN(1,O32))^2+(1-MAX(0,MIN(1,O32)))^2/$B$5))))&lt;0.000000001,0,P32-$B$11/$B$9*((MAX(0,MIN(1,P32))^2/(MAX(0,MIN(1,P32))^2+(1-MAX(0,MIN(1,P32)))^2/$B$5))-(MAX(0,MIN(1,O32))^2/(MAX(0,MIN(1,O32))^2+(1-MAX(0,MIN(1,O32)))^2/$B$5))))</f>
        <v>0.764074747669945</v>
      </c>
      <c r="Q33" s="16" t="n">
        <f aca="false">IF(ABS(Q32-$B$11/$B$9*((MAX(0,MIN(1,Q32))^2/(MAX(0,MIN(1,Q32))^2+(1-MAX(0,MIN(1,Q32)))^2/$B$5))-(MAX(0,MIN(1,P32))^2/(MAX(0,MIN(1,P32))^2+(1-MAX(0,MIN(1,P32)))^2/$B$5))))&lt;0.000000001,0,Q32-$B$11/$B$9*((MAX(0,MIN(1,Q32))^2/(MAX(0,MIN(1,Q32))^2+(1-MAX(0,MIN(1,Q32)))^2/$B$5))-(MAX(0,MIN(1,P32))^2/(MAX(0,MIN(1,P32))^2+(1-MAX(0,MIN(1,P32)))^2/$B$5))))</f>
        <v>0.7342055536632</v>
      </c>
      <c r="R33" s="16" t="n">
        <f aca="false">IF(ABS(R32-$B$11/$B$9*((MAX(0,MIN(1,R32))^2/(MAX(0,MIN(1,R32))^2+(1-MAX(0,MIN(1,R32)))^2/$B$5))-(MAX(0,MIN(1,Q32))^2/(MAX(0,MIN(1,Q32))^2+(1-MAX(0,MIN(1,Q32)))^2/$B$5))))&lt;0.000000001,0,R32-$B$11/$B$9*((MAX(0,MIN(1,R32))^2/(MAX(0,MIN(1,R32))^2+(1-MAX(0,MIN(1,R32)))^2/$B$5))-(MAX(0,MIN(1,Q32))^2/(MAX(0,MIN(1,Q32))^2+(1-MAX(0,MIN(1,Q32)))^2/$B$5))))</f>
        <v>0.706972825086485</v>
      </c>
      <c r="S33" s="16" t="n">
        <f aca="false">IF(ABS(S32-$B$11/$B$9*((MAX(0,MIN(1,S32))^2/(MAX(0,MIN(1,S32))^2+(1-MAX(0,MIN(1,S32)))^2/$B$5))-(MAX(0,MIN(1,R32))^2/(MAX(0,MIN(1,R32))^2+(1-MAX(0,MIN(1,R32)))^2/$B$5))))&lt;0.000000001,0,S32-$B$11/$B$9*((MAX(0,MIN(1,S32))^2/(MAX(0,MIN(1,S32))^2+(1-MAX(0,MIN(1,S32)))^2/$B$5))-(MAX(0,MIN(1,R32))^2/(MAX(0,MIN(1,R32))^2+(1-MAX(0,MIN(1,R32)))^2/$B$5))))</f>
        <v>0.681463234949171</v>
      </c>
      <c r="T33" s="16" t="n">
        <f aca="false">IF(ABS(T32-$B$11/$B$9*((MAX(0,MIN(1,T32))^2/(MAX(0,MIN(1,T32))^2+(1-MAX(0,MIN(1,T32)))^2/$B$5))-(MAX(0,MIN(1,S32))^2/(MAX(0,MIN(1,S32))^2+(1-MAX(0,MIN(1,S32)))^2/$B$5))))&lt;0.000000001,0,T32-$B$11/$B$9*((MAX(0,MIN(1,T32))^2/(MAX(0,MIN(1,T32))^2+(1-MAX(0,MIN(1,T32)))^2/$B$5))-(MAX(0,MIN(1,S32))^2/(MAX(0,MIN(1,S32))^2+(1-MAX(0,MIN(1,S32)))^2/$B$5))))</f>
        <v>0.656886934310597</v>
      </c>
      <c r="U33" s="16" t="n">
        <f aca="false">IF(ABS(U32-$B$11/$B$9*((MAX(0,MIN(1,U32))^2/(MAX(0,MIN(1,U32))^2+(1-MAX(0,MIN(1,U32)))^2/$B$5))-(MAX(0,MIN(1,T32))^2/(MAX(0,MIN(1,T32))^2+(1-MAX(0,MIN(1,T32)))^2/$B$5))))&lt;0.000000001,0,U32-$B$11/$B$9*((MAX(0,MIN(1,U32))^2/(MAX(0,MIN(1,U32))^2+(1-MAX(0,MIN(1,U32)))^2/$B$5))-(MAX(0,MIN(1,T32))^2/(MAX(0,MIN(1,T32))^2+(1-MAX(0,MIN(1,T32)))^2/$B$5))))</f>
        <v>0.6323656480621</v>
      </c>
      <c r="V33" s="16" t="n">
        <f aca="false">IF(ABS(V32-$B$11/$B$9*((MAX(0,MIN(1,V32))^2/(MAX(0,MIN(1,V32))^2+(1-MAX(0,MIN(1,V32)))^2/$B$5))-(MAX(0,MIN(1,U32))^2/(MAX(0,MIN(1,U32))^2+(1-MAX(0,MIN(1,U32)))^2/$B$5))))&lt;0.000000001,0,V32-$B$11/$B$9*((MAX(0,MIN(1,V32))^2/(MAX(0,MIN(1,V32))^2+(1-MAX(0,MIN(1,V32)))^2/$B$5))-(MAX(0,MIN(1,U32))^2/(MAX(0,MIN(1,U32))^2+(1-MAX(0,MIN(1,U32)))^2/$B$5))))</f>
        <v>0.606568213617649</v>
      </c>
      <c r="W33" s="16" t="n">
        <f aca="false">IF(ABS(W32-$B$11/$B$9*((MAX(0,MIN(1,W32))^2/(MAX(0,MIN(1,W32))^2+(1-MAX(0,MIN(1,W32)))^2/$B$5))-(MAX(0,MIN(1,V32))^2/(MAX(0,MIN(1,V32))^2+(1-MAX(0,MIN(1,V32)))^2/$B$5))))&lt;0.000000001,0,W32-$B$11/$B$9*((MAX(0,MIN(1,W32))^2/(MAX(0,MIN(1,W32))^2+(1-MAX(0,MIN(1,W32)))^2/$B$5))-(MAX(0,MIN(1,V32))^2/(MAX(0,MIN(1,V32))^2+(1-MAX(0,MIN(1,V32)))^2/$B$5))))</f>
        <v>0.576621225581337</v>
      </c>
      <c r="X33" s="16" t="n">
        <f aca="false">IF(ABS(X32-$B$11/$B$9*((MAX(0,MIN(1,X32))^2/(MAX(0,MIN(1,X32))^2+(1-MAX(0,MIN(1,X32)))^2/$B$5))-(MAX(0,MIN(1,W32))^2/(MAX(0,MIN(1,W32))^2+(1-MAX(0,MIN(1,W32)))^2/$B$5))))&lt;0.000000001,0,X32-$B$11/$B$9*((MAX(0,MIN(1,X32))^2/(MAX(0,MIN(1,X32))^2+(1-MAX(0,MIN(1,X32)))^2/$B$5))-(MAX(0,MIN(1,W32))^2/(MAX(0,MIN(1,W32))^2+(1-MAX(0,MIN(1,W32)))^2/$B$5))))</f>
        <v>0.532856307560353</v>
      </c>
      <c r="Y33" s="16" t="n">
        <f aca="false">IF(ABS(Y32-$B$11/$B$9*((MAX(0,MIN(1,Y32))^2/(MAX(0,MIN(1,Y32))^2+(1-MAX(0,MIN(1,Y32)))^2/$B$5))-(MAX(0,MIN(1,X32))^2/(MAX(0,MIN(1,X32))^2+(1-MAX(0,MIN(1,X32)))^2/$B$5))))&lt;0.000000001,0,Y32-$B$11/$B$9*((MAX(0,MIN(1,Y32))^2/(MAX(0,MIN(1,Y32))^2+(1-MAX(0,MIN(1,Y32)))^2/$B$5))-(MAX(0,MIN(1,X32))^2/(MAX(0,MIN(1,X32))^2+(1-MAX(0,MIN(1,X32)))^2/$B$5))))</f>
        <v>0.394246586670934</v>
      </c>
      <c r="Z33" s="16" t="n">
        <f aca="false">IF(ABS(Z32-$B$11/$B$9*((MAX(0,MIN(1,Z32))^2/(MAX(0,MIN(1,Z32))^2+(1-MAX(0,MIN(1,Z32)))^2/$B$5))-(MAX(0,MIN(1,Y32))^2/(MAX(0,MIN(1,Y32))^2+(1-MAX(0,MIN(1,Y32)))^2/$B$5))))&lt;0.000000001,0,Z32-$B$11/$B$9*((MAX(0,MIN(1,Z32))^2/(MAX(0,MIN(1,Z32))^2+(1-MAX(0,MIN(1,Z32)))^2/$B$5))-(MAX(0,MIN(1,Y32))^2/(MAX(0,MIN(1,Y32))^2+(1-MAX(0,MIN(1,Y32)))^2/$B$5))))</f>
        <v>0.0335706749354844</v>
      </c>
      <c r="AA33" s="16" t="n">
        <f aca="false">IF(ABS(AA32-$B$11/$B$9*((MAX(0,MIN(1,AA32))^2/(MAX(0,MIN(1,AA32))^2+(1-MAX(0,MIN(1,AA32)))^2/$B$5))-(MAX(0,MIN(1,Z32))^2/(MAX(0,MIN(1,Z32))^2+(1-MAX(0,MIN(1,Z32)))^2/$B$5))))&lt;0.000000001,0,AA32-$B$11/$B$9*((MAX(0,MIN(1,AA32))^2/(MAX(0,MIN(1,AA32))^2+(1-MAX(0,MIN(1,AA32)))^2/$B$5))-(MAX(0,MIN(1,Z32))^2/(MAX(0,MIN(1,Z32))^2+(1-MAX(0,MIN(1,Z32)))^2/$B$5))))</f>
        <v>1.18481914039676E-007</v>
      </c>
      <c r="AB33" s="16" t="n">
        <f aca="false">IF(ABS(AB32-$B$11/$B$9*((MAX(0,MIN(1,AB32))^2/(MAX(0,MIN(1,AB32))^2+(1-MAX(0,MIN(1,AB32)))^2/$B$5))-(MAX(0,MIN(1,AA32))^2/(MAX(0,MIN(1,AA32))^2+(1-MAX(0,MIN(1,AA32)))^2/$B$5))))&lt;0.000000001,0,AB32-$B$11/$B$9*((MAX(0,MIN(1,AB32))^2/(MAX(0,MIN(1,AB32))^2+(1-MAX(0,MIN(1,AB32)))^2/$B$5))-(MAX(0,MIN(1,AA32))^2/(MAX(0,MIN(1,AA32))^2+(1-MAX(0,MIN(1,AA32)))^2/$B$5))))</f>
        <v>0</v>
      </c>
      <c r="AC33" s="16" t="n">
        <f aca="false">IF(ABS(AC32-$B$11/$B$9*((MAX(0,MIN(1,AC32))^2/(MAX(0,MIN(1,AC32))^2+(1-MAX(0,MIN(1,AC32)))^2/$B$5))-(MAX(0,MIN(1,AB32))^2/(MAX(0,MIN(1,AB32))^2+(1-MAX(0,MIN(1,AB32)))^2/$B$5))))&lt;0.000000001,0,AC32-$B$11/$B$9*((MAX(0,MIN(1,AC32))^2/(MAX(0,MIN(1,AC32))^2+(1-MAX(0,MIN(1,AC32)))^2/$B$5))-(MAX(0,MIN(1,AB32))^2/(MAX(0,MIN(1,AB32))^2+(1-MAX(0,MIN(1,AB32)))^2/$B$5))))</f>
        <v>0</v>
      </c>
      <c r="AD33" s="16" t="n">
        <f aca="false">IF(ABS(AD32-$B$11/$B$9*((MAX(0,MIN(1,AD32))^2/(MAX(0,MIN(1,AD32))^2+(1-MAX(0,MIN(1,AD32)))^2/$B$5))-(MAX(0,MIN(1,AC32))^2/(MAX(0,MIN(1,AC32))^2+(1-MAX(0,MIN(1,AC32)))^2/$B$5))))&lt;0.000000001,0,AD32-$B$11/$B$9*((MAX(0,MIN(1,AD32))^2/(MAX(0,MIN(1,AD32))^2+(1-MAX(0,MIN(1,AD32)))^2/$B$5))-(MAX(0,MIN(1,AC32))^2/(MAX(0,MIN(1,AC32))^2+(1-MAX(0,MIN(1,AC32)))^2/$B$5))))</f>
        <v>0</v>
      </c>
      <c r="AE33" s="16" t="n">
        <f aca="false">IF(ABS(AE32-$B$11/$B$9*((MAX(0,MIN(1,AE32))^2/(MAX(0,MIN(1,AE32))^2+(1-MAX(0,MIN(1,AE32)))^2/$B$5))-(MAX(0,MIN(1,AD32))^2/(MAX(0,MIN(1,AD32))^2+(1-MAX(0,MIN(1,AD32)))^2/$B$5))))&lt;0.000000001,0,AE32-$B$11/$B$9*((MAX(0,MIN(1,AE32))^2/(MAX(0,MIN(1,AE32))^2+(1-MAX(0,MIN(1,AE32)))^2/$B$5))-(MAX(0,MIN(1,AD32))^2/(MAX(0,MIN(1,AD32))^2+(1-MAX(0,MIN(1,AD32)))^2/$B$5))))</f>
        <v>0</v>
      </c>
      <c r="AF33" s="16" t="n">
        <f aca="false">IF(ABS(AF32-$B$11/$B$9*((MAX(0,MIN(1,AF32))^2/(MAX(0,MIN(1,AF32))^2+(1-MAX(0,MIN(1,AF32)))^2/$B$5))-(MAX(0,MIN(1,AE32))^2/(MAX(0,MIN(1,AE32))^2+(1-MAX(0,MIN(1,AE32)))^2/$B$5))))&lt;0.000000001,0,AF32-$B$11/$B$9*((MAX(0,MIN(1,AF32))^2/(MAX(0,MIN(1,AF32))^2+(1-MAX(0,MIN(1,AF32)))^2/$B$5))-(MAX(0,MIN(1,AE32))^2/(MAX(0,MIN(1,AE32))^2+(1-MAX(0,MIN(1,AE32)))^2/$B$5))))</f>
        <v>0</v>
      </c>
    </row>
    <row r="34" customFormat="false" ht="15" hidden="false" customHeight="false" outlineLevel="0" collapsed="false">
      <c r="A34" s="0" t="n">
        <v>0.29</v>
      </c>
      <c r="D34" s="0" t="n">
        <f aca="false">A34</f>
        <v>0.29</v>
      </c>
      <c r="E34" s="0" t="n">
        <f aca="false">(G34-G33)/(A34-A33)</f>
        <v>1.79584407491296</v>
      </c>
      <c r="F34" s="0" t="n">
        <f aca="false">G34/A34</f>
        <v>0.862710099657891</v>
      </c>
      <c r="G34" s="0" t="n">
        <f aca="false">A34^2/(A34^2+(1-A34)^2/$B$5)</f>
        <v>0.250185928900788</v>
      </c>
      <c r="L34" s="0" t="n">
        <v>24</v>
      </c>
      <c r="M34" s="16" t="n">
        <f aca="false">IF(ABS(M33-$B$11/$B$9*((MAX(0,MIN(1,M33))^2/(MAX(0,MIN(1,M33))^2+(1-MAX(0,MIN(1,M33)))^2/$B$5))-(MAX(0,MIN(1,1))^2/(MAX(0,MIN(1,1))^2+(1-MAX(0,MIN(1,1)))^2/$B$5))))&lt;0.000000001,0,M33-$B$11/$B$9*((MAX(0,MIN(1,M33))^2/(MAX(0,MIN(1,M33))^2+(1-MAX(0,MIN(1,M33)))^2/$B$5))-(MAX(0,MIN(1,1))^2/(MAX(0,MIN(1,1))^2+(1-MAX(0,MIN(1,1)))^2/$B$5))))</f>
        <v>0.89173935923556</v>
      </c>
      <c r="N34" s="16" t="n">
        <f aca="false">IF(ABS(N33-$B$11/$B$9*((MAX(0,MIN(1,N33))^2/(MAX(0,MIN(1,N33))^2+(1-MAX(0,MIN(1,N33)))^2/$B$5))-(MAX(0,MIN(1,M33))^2/(MAX(0,MIN(1,M33))^2+(1-MAX(0,MIN(1,M33)))^2/$B$5))))&lt;0.000000001,0,N33-$B$11/$B$9*((MAX(0,MIN(1,N33))^2/(MAX(0,MIN(1,N33))^2+(1-MAX(0,MIN(1,N33)))^2/$B$5))-(MAX(0,MIN(1,M33))^2/(MAX(0,MIN(1,M33))^2+(1-MAX(0,MIN(1,M33)))^2/$B$5))))</f>
        <v>0.841859951686123</v>
      </c>
      <c r="O34" s="16" t="n">
        <f aca="false">IF(ABS(O33-$B$11/$B$9*((MAX(0,MIN(1,O33))^2/(MAX(0,MIN(1,O33))^2+(1-MAX(0,MIN(1,O33)))^2/$B$5))-(MAX(0,MIN(1,N33))^2/(MAX(0,MIN(1,N33))^2+(1-MAX(0,MIN(1,N33)))^2/$B$5))))&lt;0.000000001,0,O33-$B$11/$B$9*((MAX(0,MIN(1,O33))^2/(MAX(0,MIN(1,O33))^2+(1-MAX(0,MIN(1,O33)))^2/$B$5))-(MAX(0,MIN(1,N33))^2/(MAX(0,MIN(1,N33))^2+(1-MAX(0,MIN(1,N33)))^2/$B$5))))</f>
        <v>0.802746759752718</v>
      </c>
      <c r="P34" s="16" t="n">
        <f aca="false">IF(ABS(P33-$B$11/$B$9*((MAX(0,MIN(1,P33))^2/(MAX(0,MIN(1,P33))^2+(1-MAX(0,MIN(1,P33)))^2/$B$5))-(MAX(0,MIN(1,O33))^2/(MAX(0,MIN(1,O33))^2+(1-MAX(0,MIN(1,O33)))^2/$B$5))))&lt;0.000000001,0,P33-$B$11/$B$9*((MAX(0,MIN(1,P33))^2/(MAX(0,MIN(1,P33))^2+(1-MAX(0,MIN(1,P33)))^2/$B$5))-(MAX(0,MIN(1,O33))^2/(MAX(0,MIN(1,O33))^2+(1-MAX(0,MIN(1,O33)))^2/$B$5))))</f>
        <v>0.769615092288943</v>
      </c>
      <c r="Q34" s="16" t="n">
        <f aca="false">IF(ABS(Q33-$B$11/$B$9*((MAX(0,MIN(1,Q33))^2/(MAX(0,MIN(1,Q33))^2+(1-MAX(0,MIN(1,Q33)))^2/$B$5))-(MAX(0,MIN(1,P33))^2/(MAX(0,MIN(1,P33))^2+(1-MAX(0,MIN(1,P33)))^2/$B$5))))&lt;0.000000001,0,Q33-$B$11/$B$9*((MAX(0,MIN(1,Q33))^2/(MAX(0,MIN(1,Q33))^2+(1-MAX(0,MIN(1,Q33)))^2/$B$5))-(MAX(0,MIN(1,P33))^2/(MAX(0,MIN(1,P33))^2+(1-MAX(0,MIN(1,P33)))^2/$B$5))))</f>
        <v>0.740356871914637</v>
      </c>
      <c r="R34" s="16" t="n">
        <f aca="false">IF(ABS(R33-$B$11/$B$9*((MAX(0,MIN(1,R33))^2/(MAX(0,MIN(1,R33))^2+(1-MAX(0,MIN(1,R33)))^2/$B$5))-(MAX(0,MIN(1,Q33))^2/(MAX(0,MIN(1,Q33))^2+(1-MAX(0,MIN(1,Q33)))^2/$B$5))))&lt;0.000000001,0,R33-$B$11/$B$9*((MAX(0,MIN(1,R33))^2/(MAX(0,MIN(1,R33))^2+(1-MAX(0,MIN(1,R33)))^2/$B$5))-(MAX(0,MIN(1,Q33))^2/(MAX(0,MIN(1,Q33))^2+(1-MAX(0,MIN(1,Q33)))^2/$B$5))))</f>
        <v>0.713742365794206</v>
      </c>
      <c r="S34" s="16" t="n">
        <f aca="false">IF(ABS(S33-$B$11/$B$9*((MAX(0,MIN(1,S33))^2/(MAX(0,MIN(1,S33))^2+(1-MAX(0,MIN(1,S33)))^2/$B$5))-(MAX(0,MIN(1,R33))^2/(MAX(0,MIN(1,R33))^2+(1-MAX(0,MIN(1,R33)))^2/$B$5))))&lt;0.000000001,0,S33-$B$11/$B$9*((MAX(0,MIN(1,S33))^2/(MAX(0,MIN(1,S33))^2+(1-MAX(0,MIN(1,S33)))^2/$B$5))-(MAX(0,MIN(1,R33))^2/(MAX(0,MIN(1,R33))^2+(1-MAX(0,MIN(1,R33)))^2/$B$5))))</f>
        <v>0.688916882808839</v>
      </c>
      <c r="T34" s="16" t="n">
        <f aca="false">IF(ABS(T33-$B$11/$B$9*((MAX(0,MIN(1,T33))^2/(MAX(0,MIN(1,T33))^2+(1-MAX(0,MIN(1,T33)))^2/$B$5))-(MAX(0,MIN(1,S33))^2/(MAX(0,MIN(1,S33))^2+(1-MAX(0,MIN(1,S33)))^2/$B$5))))&lt;0.000000001,0,T33-$B$11/$B$9*((MAX(0,MIN(1,T33))^2/(MAX(0,MIN(1,T33))^2+(1-MAX(0,MIN(1,T33)))^2/$B$5))-(MAX(0,MIN(1,S33))^2/(MAX(0,MIN(1,S33))^2+(1-MAX(0,MIN(1,S33)))^2/$B$5))))</f>
        <v>0.665174966882227</v>
      </c>
      <c r="U34" s="16" t="n">
        <f aca="false">IF(ABS(U33-$B$11/$B$9*((MAX(0,MIN(1,U33))^2/(MAX(0,MIN(1,U33))^2+(1-MAX(0,MIN(1,U33)))^2/$B$5))-(MAX(0,MIN(1,T33))^2/(MAX(0,MIN(1,T33))^2+(1-MAX(0,MIN(1,T33)))^2/$B$5))))&lt;0.000000001,0,U33-$B$11/$B$9*((MAX(0,MIN(1,U33))^2/(MAX(0,MIN(1,U33))^2+(1-MAX(0,MIN(1,U33)))^2/$B$5))-(MAX(0,MIN(1,T33))^2/(MAX(0,MIN(1,T33))^2+(1-MAX(0,MIN(1,T33)))^2/$B$5))))</f>
        <v>0.641795109532063</v>
      </c>
      <c r="V34" s="16" t="n">
        <f aca="false">IF(ABS(V33-$B$11/$B$9*((MAX(0,MIN(1,V33))^2/(MAX(0,MIN(1,V33))^2+(1-MAX(0,MIN(1,V33)))^2/$B$5))-(MAX(0,MIN(1,U33))^2/(MAX(0,MIN(1,U33))^2+(1-MAX(0,MIN(1,U33)))^2/$B$5))))&lt;0.000000001,0,V33-$B$11/$B$9*((MAX(0,MIN(1,V33))^2/(MAX(0,MIN(1,V33))^2+(1-MAX(0,MIN(1,V33)))^2/$B$5))-(MAX(0,MIN(1,U33))^2/(MAX(0,MIN(1,U33))^2+(1-MAX(0,MIN(1,U33)))^2/$B$5))))</f>
        <v>0.617809234446882</v>
      </c>
      <c r="W34" s="16" t="n">
        <f aca="false">IF(ABS(W33-$B$11/$B$9*((MAX(0,MIN(1,W33))^2/(MAX(0,MIN(1,W33))^2+(1-MAX(0,MIN(1,W33)))^2/$B$5))-(MAX(0,MIN(1,V33))^2/(MAX(0,MIN(1,V33))^2+(1-MAX(0,MIN(1,V33)))^2/$B$5))))&lt;0.000000001,0,W33-$B$11/$B$9*((MAX(0,MIN(1,W33))^2/(MAX(0,MIN(1,W33))^2+(1-MAX(0,MIN(1,W33)))^2/$B$5))-(MAX(0,MIN(1,V33))^2/(MAX(0,MIN(1,V33))^2+(1-MAX(0,MIN(1,V33)))^2/$B$5))))</f>
        <v>0.591436142863326</v>
      </c>
      <c r="X34" s="16" t="n">
        <f aca="false">IF(ABS(X33-$B$11/$B$9*((MAX(0,MIN(1,X33))^2/(MAX(0,MIN(1,X33))^2+(1-MAX(0,MIN(1,X33)))^2/$B$5))-(MAX(0,MIN(1,W33))^2/(MAX(0,MIN(1,W33))^2+(1-MAX(0,MIN(1,W33)))^2/$B$5))))&lt;0.000000001,0,X33-$B$11/$B$9*((MAX(0,MIN(1,X33))^2/(MAX(0,MIN(1,X33))^2+(1-MAX(0,MIN(1,X33)))^2/$B$5))-(MAX(0,MIN(1,W33))^2/(MAX(0,MIN(1,W33))^2+(1-MAX(0,MIN(1,W33)))^2/$B$5))))</f>
        <v>0.557959257519901</v>
      </c>
      <c r="Y34" s="16" t="n">
        <f aca="false">IF(ABS(Y33-$B$11/$B$9*((MAX(0,MIN(1,Y33))^2/(MAX(0,MIN(1,Y33))^2+(1-MAX(0,MIN(1,Y33)))^2/$B$5))-(MAX(0,MIN(1,X33))^2/(MAX(0,MIN(1,X33))^2+(1-MAX(0,MIN(1,X33)))^2/$B$5))))&lt;0.000000001,0,Y33-$B$11/$B$9*((MAX(0,MIN(1,Y33))^2/(MAX(0,MIN(1,Y33))^2+(1-MAX(0,MIN(1,Y33)))^2/$B$5))-(MAX(0,MIN(1,X33))^2/(MAX(0,MIN(1,X33))^2+(1-MAX(0,MIN(1,X33)))^2/$B$5))))</f>
        <v>0.495671536115286</v>
      </c>
      <c r="Z34" s="16" t="n">
        <f aca="false">IF(ABS(Z33-$B$11/$B$9*((MAX(0,MIN(1,Z33))^2/(MAX(0,MIN(1,Z33))^2+(1-MAX(0,MIN(1,Z33)))^2/$B$5))-(MAX(0,MIN(1,Y33))^2/(MAX(0,MIN(1,Y33))^2+(1-MAX(0,MIN(1,Y33)))^2/$B$5))))&lt;0.000000001,0,Z33-$B$11/$B$9*((MAX(0,MIN(1,Z33))^2/(MAX(0,MIN(1,Z33))^2+(1-MAX(0,MIN(1,Z33)))^2/$B$5))-(MAX(0,MIN(1,Y33))^2/(MAX(0,MIN(1,Y33))^2+(1-MAX(0,MIN(1,Y33)))^2/$B$5))))</f>
        <v>0.209003841076505</v>
      </c>
      <c r="AA34" s="16" t="n">
        <f aca="false">IF(ABS(AA33-$B$11/$B$9*((MAX(0,MIN(1,AA33))^2/(MAX(0,MIN(1,AA33))^2+(1-MAX(0,MIN(1,AA33)))^2/$B$5))-(MAX(0,MIN(1,Z33))^2/(MAX(0,MIN(1,Z33))^2+(1-MAX(0,MIN(1,Z33)))^2/$B$5))))&lt;0.000000001,0,AA33-$B$11/$B$9*((MAX(0,MIN(1,AA33))^2/(MAX(0,MIN(1,AA33))^2+(1-MAX(0,MIN(1,AA33)))^2/$B$5))-(MAX(0,MIN(1,Z33))^2/(MAX(0,MIN(1,Z33))^2+(1-MAX(0,MIN(1,Z33)))^2/$B$5))))</f>
        <v>0.000925871032918929</v>
      </c>
      <c r="AB34" s="16" t="n">
        <f aca="false">IF(ABS(AB33-$B$11/$B$9*((MAX(0,MIN(1,AB33))^2/(MAX(0,MIN(1,AB33))^2+(1-MAX(0,MIN(1,AB33)))^2/$B$5))-(MAX(0,MIN(1,AA33))^2/(MAX(0,MIN(1,AA33))^2+(1-MAX(0,MIN(1,AA33)))^2/$B$5))))&lt;0.000000001,0,AB33-$B$11/$B$9*((MAX(0,MIN(1,AB33))^2/(MAX(0,MIN(1,AB33))^2+(1-MAX(0,MIN(1,AB33)))^2/$B$5))-(MAX(0,MIN(1,AA33))^2/(MAX(0,MIN(1,AA33))^2+(1-MAX(0,MIN(1,AA33)))^2/$B$5))))</f>
        <v>0</v>
      </c>
      <c r="AC34" s="16" t="n">
        <f aca="false">IF(ABS(AC33-$B$11/$B$9*((MAX(0,MIN(1,AC33))^2/(MAX(0,MIN(1,AC33))^2+(1-MAX(0,MIN(1,AC33)))^2/$B$5))-(MAX(0,MIN(1,AB33))^2/(MAX(0,MIN(1,AB33))^2+(1-MAX(0,MIN(1,AB33)))^2/$B$5))))&lt;0.000000001,0,AC33-$B$11/$B$9*((MAX(0,MIN(1,AC33))^2/(MAX(0,MIN(1,AC33))^2+(1-MAX(0,MIN(1,AC33)))^2/$B$5))-(MAX(0,MIN(1,AB33))^2/(MAX(0,MIN(1,AB33))^2+(1-MAX(0,MIN(1,AB33)))^2/$B$5))))</f>
        <v>0</v>
      </c>
      <c r="AD34" s="16" t="n">
        <f aca="false">IF(ABS(AD33-$B$11/$B$9*((MAX(0,MIN(1,AD33))^2/(MAX(0,MIN(1,AD33))^2+(1-MAX(0,MIN(1,AD33)))^2/$B$5))-(MAX(0,MIN(1,AC33))^2/(MAX(0,MIN(1,AC33))^2+(1-MAX(0,MIN(1,AC33)))^2/$B$5))))&lt;0.000000001,0,AD33-$B$11/$B$9*((MAX(0,MIN(1,AD33))^2/(MAX(0,MIN(1,AD33))^2+(1-MAX(0,MIN(1,AD33)))^2/$B$5))-(MAX(0,MIN(1,AC33))^2/(MAX(0,MIN(1,AC33))^2+(1-MAX(0,MIN(1,AC33)))^2/$B$5))))</f>
        <v>0</v>
      </c>
      <c r="AE34" s="16" t="n">
        <f aca="false">IF(ABS(AE33-$B$11/$B$9*((MAX(0,MIN(1,AE33))^2/(MAX(0,MIN(1,AE33))^2+(1-MAX(0,MIN(1,AE33)))^2/$B$5))-(MAX(0,MIN(1,AD33))^2/(MAX(0,MIN(1,AD33))^2+(1-MAX(0,MIN(1,AD33)))^2/$B$5))))&lt;0.000000001,0,AE33-$B$11/$B$9*((MAX(0,MIN(1,AE33))^2/(MAX(0,MIN(1,AE33))^2+(1-MAX(0,MIN(1,AE33)))^2/$B$5))-(MAX(0,MIN(1,AD33))^2/(MAX(0,MIN(1,AD33))^2+(1-MAX(0,MIN(1,AD33)))^2/$B$5))))</f>
        <v>0</v>
      </c>
      <c r="AF34" s="16" t="n">
        <f aca="false">IF(ABS(AF33-$B$11/$B$9*((MAX(0,MIN(1,AF33))^2/(MAX(0,MIN(1,AF33))^2+(1-MAX(0,MIN(1,AF33)))^2/$B$5))-(MAX(0,MIN(1,AE33))^2/(MAX(0,MIN(1,AE33))^2+(1-MAX(0,MIN(1,AE33)))^2/$B$5))))&lt;0.000000001,0,AF33-$B$11/$B$9*((MAX(0,MIN(1,AF33))^2/(MAX(0,MIN(1,AF33))^2+(1-MAX(0,MIN(1,AF33)))^2/$B$5))-(MAX(0,MIN(1,AE33))^2/(MAX(0,MIN(1,AE33))^2+(1-MAX(0,MIN(1,AE33)))^2/$B$5))))</f>
        <v>0</v>
      </c>
    </row>
    <row r="35" customFormat="false" ht="15" hidden="false" customHeight="false" outlineLevel="0" collapsed="false">
      <c r="A35" s="0" t="n">
        <v>0.3</v>
      </c>
      <c r="D35" s="0" t="n">
        <f aca="false">A35</f>
        <v>0.3</v>
      </c>
      <c r="E35" s="0" t="n">
        <f aca="false">(G35-G34)/(A35-A34)</f>
        <v>1.84707875171221</v>
      </c>
      <c r="F35" s="0" t="n">
        <f aca="false">G35/A35</f>
        <v>0.895522388059702</v>
      </c>
      <c r="G35" s="0" t="n">
        <f aca="false">A35^2/(A35^2+(1-A35)^2/$B$5)</f>
        <v>0.26865671641791</v>
      </c>
      <c r="L35" s="0" t="n">
        <v>25</v>
      </c>
      <c r="M35" s="16" t="n">
        <f aca="false">IF(ABS(M34-$B$11/$B$9*((MAX(0,MIN(1,M34))^2/(MAX(0,MIN(1,M34))^2+(1-MAX(0,MIN(1,M34)))^2/$B$5))-(MAX(0,MIN(1,1))^2/(MAX(0,MIN(1,1))^2+(1-MAX(0,MIN(1,1)))^2/$B$5))))&lt;0.000000001,0,M34-$B$11/$B$9*((MAX(0,MIN(1,M34))^2/(MAX(0,MIN(1,M34))^2+(1-MAX(0,MIN(1,M34)))^2/$B$5))-(MAX(0,MIN(1,1))^2/(MAX(0,MIN(1,1))^2+(1-MAX(0,MIN(1,1)))^2/$B$5))))</f>
        <v>0.894552414949834</v>
      </c>
      <c r="N35" s="16" t="n">
        <f aca="false">IF(ABS(N34-$B$11/$B$9*((MAX(0,MIN(1,N34))^2/(MAX(0,MIN(1,N34))^2+(1-MAX(0,MIN(1,N34)))^2/$B$5))-(MAX(0,MIN(1,M34))^2/(MAX(0,MIN(1,M34))^2+(1-MAX(0,MIN(1,M34)))^2/$B$5))))&lt;0.000000001,0,N34-$B$11/$B$9*((MAX(0,MIN(1,N34))^2/(MAX(0,MIN(1,N34))^2+(1-MAX(0,MIN(1,N34)))^2/$B$5))-(MAX(0,MIN(1,M34))^2/(MAX(0,MIN(1,M34))^2+(1-MAX(0,MIN(1,M34)))^2/$B$5))))</f>
        <v>0.845713587390465</v>
      </c>
      <c r="O35" s="16" t="n">
        <f aca="false">IF(ABS(O34-$B$11/$B$9*((MAX(0,MIN(1,O34))^2/(MAX(0,MIN(1,O34))^2+(1-MAX(0,MIN(1,O34)))^2/$B$5))-(MAX(0,MIN(1,N34))^2/(MAX(0,MIN(1,N34))^2+(1-MAX(0,MIN(1,N34)))^2/$B$5))))&lt;0.000000001,0,O34-$B$11/$B$9*((MAX(0,MIN(1,O34))^2/(MAX(0,MIN(1,O34))^2+(1-MAX(0,MIN(1,O34)))^2/$B$5))-(MAX(0,MIN(1,N34))^2/(MAX(0,MIN(1,N34))^2+(1-MAX(0,MIN(1,N34)))^2/$B$5))))</f>
        <v>0.807348817014155</v>
      </c>
      <c r="P35" s="16" t="n">
        <f aca="false">IF(ABS(P34-$B$11/$B$9*((MAX(0,MIN(1,P34))^2/(MAX(0,MIN(1,P34))^2+(1-MAX(0,MIN(1,P34)))^2/$B$5))-(MAX(0,MIN(1,O34))^2/(MAX(0,MIN(1,O34))^2+(1-MAX(0,MIN(1,O34)))^2/$B$5))))&lt;0.000000001,0,P34-$B$11/$B$9*((MAX(0,MIN(1,P34))^2/(MAX(0,MIN(1,P34))^2+(1-MAX(0,MIN(1,P34)))^2/$B$5))-(MAX(0,MIN(1,O34))^2/(MAX(0,MIN(1,O34))^2+(1-MAX(0,MIN(1,O34)))^2/$B$5))))</f>
        <v>0.774836594538779</v>
      </c>
      <c r="Q35" s="16" t="n">
        <f aca="false">IF(ABS(Q34-$B$11/$B$9*((MAX(0,MIN(1,Q34))^2/(MAX(0,MIN(1,Q34))^2+(1-MAX(0,MIN(1,Q34)))^2/$B$5))-(MAX(0,MIN(1,P34))^2/(MAX(0,MIN(1,P34))^2+(1-MAX(0,MIN(1,P34)))^2/$B$5))))&lt;0.000000001,0,Q34-$B$11/$B$9*((MAX(0,MIN(1,Q34))^2/(MAX(0,MIN(1,Q34))^2+(1-MAX(0,MIN(1,Q34)))^2/$B$5))-(MAX(0,MIN(1,P34))^2/(MAX(0,MIN(1,P34))^2+(1-MAX(0,MIN(1,P34)))^2/$B$5))))</f>
        <v>0.746143543312337</v>
      </c>
      <c r="R35" s="16" t="n">
        <f aca="false">IF(ABS(R34-$B$11/$B$9*((MAX(0,MIN(1,R34))^2/(MAX(0,MIN(1,R34))^2+(1-MAX(0,MIN(1,R34)))^2/$B$5))-(MAX(0,MIN(1,Q34))^2/(MAX(0,MIN(1,Q34))^2+(1-MAX(0,MIN(1,Q34)))^2/$B$5))))&lt;0.000000001,0,R34-$B$11/$B$9*((MAX(0,MIN(1,R34))^2/(MAX(0,MIN(1,R34))^2+(1-MAX(0,MIN(1,R34)))^2/$B$5))-(MAX(0,MIN(1,Q34))^2/(MAX(0,MIN(1,Q34))^2+(1-MAX(0,MIN(1,Q34)))^2/$B$5))))</f>
        <v>0.720089924429483</v>
      </c>
      <c r="S35" s="16" t="n">
        <f aca="false">IF(ABS(S34-$B$11/$B$9*((MAX(0,MIN(1,S34))^2/(MAX(0,MIN(1,S34))^2+(1-MAX(0,MIN(1,S34)))^2/$B$5))-(MAX(0,MIN(1,R34))^2/(MAX(0,MIN(1,R34))^2+(1-MAX(0,MIN(1,R34)))^2/$B$5))))&lt;0.000000001,0,S34-$B$11/$B$9*((MAX(0,MIN(1,S34))^2/(MAX(0,MIN(1,S34))^2+(1-MAX(0,MIN(1,S34)))^2/$B$5))-(MAX(0,MIN(1,R34))^2/(MAX(0,MIN(1,R34))^2+(1-MAX(0,MIN(1,R34)))^2/$B$5))))</f>
        <v>0.695868552105279</v>
      </c>
      <c r="T35" s="16" t="n">
        <f aca="false">IF(ABS(T34-$B$11/$B$9*((MAX(0,MIN(1,T34))^2/(MAX(0,MIN(1,T34))^2+(1-MAX(0,MIN(1,T34)))^2/$B$5))-(MAX(0,MIN(1,S34))^2/(MAX(0,MIN(1,S34))^2+(1-MAX(0,MIN(1,S34)))^2/$B$5))))&lt;0.000000001,0,T34-$B$11/$B$9*((MAX(0,MIN(1,T34))^2/(MAX(0,MIN(1,T34))^2+(1-MAX(0,MIN(1,T34)))^2/$B$5))-(MAX(0,MIN(1,S34))^2/(MAX(0,MIN(1,S34))^2+(1-MAX(0,MIN(1,S34)))^2/$B$5))))</f>
        <v>0.672836491947569</v>
      </c>
      <c r="U35" s="16" t="n">
        <f aca="false">IF(ABS(U34-$B$11/$B$9*((MAX(0,MIN(1,U34))^2/(MAX(0,MIN(1,U34))^2+(1-MAX(0,MIN(1,U34)))^2/$B$5))-(MAX(0,MIN(1,T34))^2/(MAX(0,MIN(1,T34))^2+(1-MAX(0,MIN(1,T34)))^2/$B$5))))&lt;0.000000001,0,U34-$B$11/$B$9*((MAX(0,MIN(1,U34))^2/(MAX(0,MIN(1,U34))^2+(1-MAX(0,MIN(1,U34)))^2/$B$5))-(MAX(0,MIN(1,T34))^2/(MAX(0,MIN(1,T34))^2+(1-MAX(0,MIN(1,T34)))^2/$B$5))))</f>
        <v>0.65037851543459</v>
      </c>
      <c r="V35" s="16" t="n">
        <f aca="false">IF(ABS(V34-$B$11/$B$9*((MAX(0,MIN(1,V34))^2/(MAX(0,MIN(1,V34))^2+(1-MAX(0,MIN(1,V34)))^2/$B$5))-(MAX(0,MIN(1,U34))^2/(MAX(0,MIN(1,U34))^2+(1-MAX(0,MIN(1,U34)))^2/$B$5))))&lt;0.000000001,0,V34-$B$11/$B$9*((MAX(0,MIN(1,V34))^2/(MAX(0,MIN(1,V34))^2+(1-MAX(0,MIN(1,V34)))^2/$B$5))-(MAX(0,MIN(1,U34))^2/(MAX(0,MIN(1,U34))^2+(1-MAX(0,MIN(1,U34)))^2/$B$5))))</f>
        <v>0.627749267048539</v>
      </c>
      <c r="W35" s="16" t="n">
        <f aca="false">IF(ABS(W34-$B$11/$B$9*((MAX(0,MIN(1,W34))^2/(MAX(0,MIN(1,W34))^2+(1-MAX(0,MIN(1,W34)))^2/$B$5))-(MAX(0,MIN(1,V34))^2/(MAX(0,MIN(1,V34))^2+(1-MAX(0,MIN(1,V34)))^2/$B$5))))&lt;0.000000001,0,W34-$B$11/$B$9*((MAX(0,MIN(1,W34))^2/(MAX(0,MIN(1,W34))^2+(1-MAX(0,MIN(1,W34)))^2/$B$5))-(MAX(0,MIN(1,V34))^2/(MAX(0,MIN(1,V34))^2+(1-MAX(0,MIN(1,V34)))^2/$B$5))))</f>
        <v>0.603750457116016</v>
      </c>
      <c r="X35" s="16" t="n">
        <f aca="false">IF(ABS(X34-$B$11/$B$9*((MAX(0,MIN(1,X34))^2/(MAX(0,MIN(1,X34))^2+(1-MAX(0,MIN(1,X34)))^2/$B$5))-(MAX(0,MIN(1,W34))^2/(MAX(0,MIN(1,W34))^2+(1-MAX(0,MIN(1,W34)))^2/$B$5))))&lt;0.000000001,0,X34-$B$11/$B$9*((MAX(0,MIN(1,X34))^2/(MAX(0,MIN(1,X34))^2+(1-MAX(0,MIN(1,X34)))^2/$B$5))-(MAX(0,MIN(1,W34))^2/(MAX(0,MIN(1,W34))^2+(1-MAX(0,MIN(1,W34)))^2/$B$5))))</f>
        <v>0.575734725981606</v>
      </c>
      <c r="Y35" s="16" t="n">
        <f aca="false">IF(ABS(Y34-$B$11/$B$9*((MAX(0,MIN(1,Y34))^2/(MAX(0,MIN(1,Y34))^2+(1-MAX(0,MIN(1,Y34)))^2/$B$5))-(MAX(0,MIN(1,X34))^2/(MAX(0,MIN(1,X34))^2+(1-MAX(0,MIN(1,X34)))^2/$B$5))))&lt;0.000000001,0,Y34-$B$11/$B$9*((MAX(0,MIN(1,Y34))^2/(MAX(0,MIN(1,Y34))^2+(1-MAX(0,MIN(1,Y34)))^2/$B$5))-(MAX(0,MIN(1,X34))^2/(MAX(0,MIN(1,X34))^2+(1-MAX(0,MIN(1,X34)))^2/$B$5))))</f>
        <v>0.534973706964666</v>
      </c>
      <c r="Z35" s="16" t="n">
        <f aca="false">IF(ABS(Z34-$B$11/$B$9*((MAX(0,MIN(1,Z34))^2/(MAX(0,MIN(1,Z34))^2+(1-MAX(0,MIN(1,Z34)))^2/$B$5))-(MAX(0,MIN(1,Y34))^2/(MAX(0,MIN(1,Y34))^2+(1-MAX(0,MIN(1,Y34)))^2/$B$5))))&lt;0.000000001,0,Z34-$B$11/$B$9*((MAX(0,MIN(1,Z34))^2/(MAX(0,MIN(1,Z34))^2+(1-MAX(0,MIN(1,Z34)))^2/$B$5))-(MAX(0,MIN(1,Y34))^2/(MAX(0,MIN(1,Y34))^2+(1-MAX(0,MIN(1,Y34)))^2/$B$5))))</f>
        <v>0.415267467747111</v>
      </c>
      <c r="AA35" s="16" t="n">
        <f aca="false">IF(ABS(AA34-$B$11/$B$9*((MAX(0,MIN(1,AA34))^2/(MAX(0,MIN(1,AA34))^2+(1-MAX(0,MIN(1,AA34)))^2/$B$5))-(MAX(0,MIN(1,Z34))^2/(MAX(0,MIN(1,Z34))^2+(1-MAX(0,MIN(1,Z34)))^2/$B$5))))&lt;0.000000001,0,AA34-$B$11/$B$9*((MAX(0,MIN(1,AA34))^2/(MAX(0,MIN(1,AA34))^2+(1-MAX(0,MIN(1,AA34)))^2/$B$5))-(MAX(0,MIN(1,Z34))^2/(MAX(0,MIN(1,Z34))^2+(1-MAX(0,MIN(1,Z34)))^2/$B$5))))</f>
        <v>0.0480399016142912</v>
      </c>
      <c r="AB35" s="16" t="n">
        <f aca="false">IF(ABS(AB34-$B$11/$B$9*((MAX(0,MIN(1,AB34))^2/(MAX(0,MIN(1,AB34))^2+(1-MAX(0,MIN(1,AB34)))^2/$B$5))-(MAX(0,MIN(1,AA34))^2/(MAX(0,MIN(1,AA34))^2+(1-MAX(0,MIN(1,AA34)))^2/$B$5))))&lt;0.000000001,0,AB34-$B$11/$B$9*((MAX(0,MIN(1,AB34))^2/(MAX(0,MIN(1,AB34))^2+(1-MAX(0,MIN(1,AB34)))^2/$B$5))-(MAX(0,MIN(1,AA34))^2/(MAX(0,MIN(1,AA34))^2+(1-MAX(0,MIN(1,AA34)))^2/$B$5))))</f>
        <v>6.60490551977996E-007</v>
      </c>
      <c r="AC35" s="16" t="n">
        <f aca="false">IF(ABS(AC34-$B$11/$B$9*((MAX(0,MIN(1,AC34))^2/(MAX(0,MIN(1,AC34))^2+(1-MAX(0,MIN(1,AC34)))^2/$B$5))-(MAX(0,MIN(1,AB34))^2/(MAX(0,MIN(1,AB34))^2+(1-MAX(0,MIN(1,AB34)))^2/$B$5))))&lt;0.000000001,0,AC34-$B$11/$B$9*((MAX(0,MIN(1,AC34))^2/(MAX(0,MIN(1,AC34))^2+(1-MAX(0,MIN(1,AC34)))^2/$B$5))-(MAX(0,MIN(1,AB34))^2/(MAX(0,MIN(1,AB34))^2+(1-MAX(0,MIN(1,AB34)))^2/$B$5))))</f>
        <v>0</v>
      </c>
      <c r="AD35" s="16" t="n">
        <f aca="false">IF(ABS(AD34-$B$11/$B$9*((MAX(0,MIN(1,AD34))^2/(MAX(0,MIN(1,AD34))^2+(1-MAX(0,MIN(1,AD34)))^2/$B$5))-(MAX(0,MIN(1,AC34))^2/(MAX(0,MIN(1,AC34))^2+(1-MAX(0,MIN(1,AC34)))^2/$B$5))))&lt;0.000000001,0,AD34-$B$11/$B$9*((MAX(0,MIN(1,AD34))^2/(MAX(0,MIN(1,AD34))^2+(1-MAX(0,MIN(1,AD34)))^2/$B$5))-(MAX(0,MIN(1,AC34))^2/(MAX(0,MIN(1,AC34))^2+(1-MAX(0,MIN(1,AC34)))^2/$B$5))))</f>
        <v>0</v>
      </c>
      <c r="AE35" s="16" t="n">
        <f aca="false">IF(ABS(AE34-$B$11/$B$9*((MAX(0,MIN(1,AE34))^2/(MAX(0,MIN(1,AE34))^2+(1-MAX(0,MIN(1,AE34)))^2/$B$5))-(MAX(0,MIN(1,AD34))^2/(MAX(0,MIN(1,AD34))^2+(1-MAX(0,MIN(1,AD34)))^2/$B$5))))&lt;0.000000001,0,AE34-$B$11/$B$9*((MAX(0,MIN(1,AE34))^2/(MAX(0,MIN(1,AE34))^2+(1-MAX(0,MIN(1,AE34)))^2/$B$5))-(MAX(0,MIN(1,AD34))^2/(MAX(0,MIN(1,AD34))^2+(1-MAX(0,MIN(1,AD34)))^2/$B$5))))</f>
        <v>0</v>
      </c>
      <c r="AF35" s="16" t="n">
        <f aca="false">IF(ABS(AF34-$B$11/$B$9*((MAX(0,MIN(1,AF34))^2/(MAX(0,MIN(1,AF34))^2+(1-MAX(0,MIN(1,AF34)))^2/$B$5))-(MAX(0,MIN(1,AE34))^2/(MAX(0,MIN(1,AE34))^2+(1-MAX(0,MIN(1,AE34)))^2/$B$5))))&lt;0.000000001,0,AF34-$B$11/$B$9*((MAX(0,MIN(1,AF34))^2/(MAX(0,MIN(1,AF34))^2+(1-MAX(0,MIN(1,AF34)))^2/$B$5))-(MAX(0,MIN(1,AE34))^2/(MAX(0,MIN(1,AE34))^2+(1-MAX(0,MIN(1,AE34)))^2/$B$5))))</f>
        <v>0</v>
      </c>
    </row>
    <row r="36" customFormat="false" ht="15" hidden="false" customHeight="false" outlineLevel="0" collapsed="false">
      <c r="A36" s="0" t="n">
        <v>0.31</v>
      </c>
      <c r="D36" s="0" t="n">
        <f aca="false">A36</f>
        <v>0.31</v>
      </c>
      <c r="E36" s="0" t="n">
        <f aca="false">(G36-G35)/(A36-A35)</f>
        <v>1.89386748734258</v>
      </c>
      <c r="F36" s="0" t="n">
        <f aca="false">G36/A36</f>
        <v>0.92772706868173</v>
      </c>
      <c r="G36" s="0" t="n">
        <f aca="false">A36^2/(A36^2+(1-A36)^2/$B$5)</f>
        <v>0.287595391291336</v>
      </c>
      <c r="L36" s="0" t="n">
        <v>26</v>
      </c>
      <c r="M36" s="16" t="n">
        <f aca="false">IF(ABS(M35-$B$11/$B$9*((MAX(0,MIN(1,M35))^2/(MAX(0,MIN(1,M35))^2+(1-MAX(0,MIN(1,M35)))^2/$B$5))-(MAX(0,MIN(1,1))^2/(MAX(0,MIN(1,1))^2+(1-MAX(0,MIN(1,1)))^2/$B$5))))&lt;0.000000001,0,M35-$B$11/$B$9*((MAX(0,MIN(1,M35))^2/(MAX(0,MIN(1,M35))^2+(1-MAX(0,MIN(1,M35)))^2/$B$5))-(MAX(0,MIN(1,1))^2/(MAX(0,MIN(1,1))^2+(1-MAX(0,MIN(1,1)))^2/$B$5))))</f>
        <v>0.89720553338981</v>
      </c>
      <c r="N36" s="16" t="n">
        <f aca="false">IF(ABS(N35-$B$11/$B$9*((MAX(0,MIN(1,N35))^2/(MAX(0,MIN(1,N35))^2+(1-MAX(0,MIN(1,N35)))^2/$B$5))-(MAX(0,MIN(1,M35))^2/(MAX(0,MIN(1,M35))^2+(1-MAX(0,MIN(1,M35)))^2/$B$5))))&lt;0.000000001,0,N35-$B$11/$B$9*((MAX(0,MIN(1,N35))^2/(MAX(0,MIN(1,N35))^2+(1-MAX(0,MIN(1,N35)))^2/$B$5))-(MAX(0,MIN(1,M35))^2/(MAX(0,MIN(1,M35))^2+(1-MAX(0,MIN(1,M35)))^2/$B$5))))</f>
        <v>0.849354703658291</v>
      </c>
      <c r="O36" s="16" t="n">
        <f aca="false">IF(ABS(O35-$B$11/$B$9*((MAX(0,MIN(1,O35))^2/(MAX(0,MIN(1,O35))^2+(1-MAX(0,MIN(1,O35)))^2/$B$5))-(MAX(0,MIN(1,N35))^2/(MAX(0,MIN(1,N35))^2+(1-MAX(0,MIN(1,N35)))^2/$B$5))))&lt;0.000000001,0,O35-$B$11/$B$9*((MAX(0,MIN(1,O35))^2/(MAX(0,MIN(1,O35))^2+(1-MAX(0,MIN(1,O35)))^2/$B$5))-(MAX(0,MIN(1,N35))^2/(MAX(0,MIN(1,N35))^2+(1-MAX(0,MIN(1,N35)))^2/$B$5))))</f>
        <v>0.81169922299574</v>
      </c>
      <c r="P36" s="16" t="n">
        <f aca="false">IF(ABS(P35-$B$11/$B$9*((MAX(0,MIN(1,P35))^2/(MAX(0,MIN(1,P35))^2+(1-MAX(0,MIN(1,P35)))^2/$B$5))-(MAX(0,MIN(1,O35))^2/(MAX(0,MIN(1,O35))^2+(1-MAX(0,MIN(1,O35)))^2/$B$5))))&lt;0.000000001,0,P35-$B$11/$B$9*((MAX(0,MIN(1,P35))^2/(MAX(0,MIN(1,P35))^2+(1-MAX(0,MIN(1,P35)))^2/$B$5))-(MAX(0,MIN(1,O35))^2/(MAX(0,MIN(1,O35))^2+(1-MAX(0,MIN(1,O35)))^2/$B$5))))</f>
        <v>0.779770131912045</v>
      </c>
      <c r="Q36" s="16" t="n">
        <f aca="false">IF(ABS(Q35-$B$11/$B$9*((MAX(0,MIN(1,Q35))^2/(MAX(0,MIN(1,Q35))^2+(1-MAX(0,MIN(1,Q35)))^2/$B$5))-(MAX(0,MIN(1,P35))^2/(MAX(0,MIN(1,P35))^2+(1-MAX(0,MIN(1,P35)))^2/$B$5))))&lt;0.000000001,0,Q35-$B$11/$B$9*((MAX(0,MIN(1,Q35))^2/(MAX(0,MIN(1,Q35))^2+(1-MAX(0,MIN(1,Q35)))^2/$B$5))-(MAX(0,MIN(1,P35))^2/(MAX(0,MIN(1,P35))^2+(1-MAX(0,MIN(1,P35)))^2/$B$5))))</f>
        <v>0.751603077814145</v>
      </c>
      <c r="R36" s="16" t="n">
        <f aca="false">IF(ABS(R35-$B$11/$B$9*((MAX(0,MIN(1,R35))^2/(MAX(0,MIN(1,R35))^2+(1-MAX(0,MIN(1,R35)))^2/$B$5))-(MAX(0,MIN(1,Q35))^2/(MAX(0,MIN(1,Q35))^2+(1-MAX(0,MIN(1,Q35)))^2/$B$5))))&lt;0.000000001,0,R35-$B$11/$B$9*((MAX(0,MIN(1,R35))^2/(MAX(0,MIN(1,R35))^2+(1-MAX(0,MIN(1,R35)))^2/$B$5))-(MAX(0,MIN(1,Q35))^2/(MAX(0,MIN(1,Q35))^2+(1-MAX(0,MIN(1,Q35)))^2/$B$5))))</f>
        <v>0.72606285018505</v>
      </c>
      <c r="S36" s="16" t="n">
        <f aca="false">IF(ABS(S35-$B$11/$B$9*((MAX(0,MIN(1,S35))^2/(MAX(0,MIN(1,S35))^2+(1-MAX(0,MIN(1,S35)))^2/$B$5))-(MAX(0,MIN(1,R35))^2/(MAX(0,MIN(1,R35))^2+(1-MAX(0,MIN(1,R35)))^2/$B$5))))&lt;0.000000001,0,S35-$B$11/$B$9*((MAX(0,MIN(1,S35))^2/(MAX(0,MIN(1,S35))^2+(1-MAX(0,MIN(1,S35)))^2/$B$5))-(MAX(0,MIN(1,R35))^2/(MAX(0,MIN(1,R35))^2+(1-MAX(0,MIN(1,R35)))^2/$B$5))))</f>
        <v>0.702381819724268</v>
      </c>
      <c r="T36" s="16" t="n">
        <f aca="false">IF(ABS(T35-$B$11/$B$9*((MAX(0,MIN(1,T35))^2/(MAX(0,MIN(1,T35))^2+(1-MAX(0,MIN(1,T35)))^2/$B$5))-(MAX(0,MIN(1,S35))^2/(MAX(0,MIN(1,S35))^2+(1-MAX(0,MIN(1,S35)))^2/$B$5))))&lt;0.000000001,0,T35-$B$11/$B$9*((MAX(0,MIN(1,T35))^2/(MAX(0,MIN(1,T35))^2+(1-MAX(0,MIN(1,T35)))^2/$B$5))-(MAX(0,MIN(1,S35))^2/(MAX(0,MIN(1,S35))^2+(1-MAX(0,MIN(1,S35)))^2/$B$5))))</f>
        <v>0.679964993336334</v>
      </c>
      <c r="U36" s="16" t="n">
        <f aca="false">IF(ABS(U35-$B$11/$B$9*((MAX(0,MIN(1,U35))^2/(MAX(0,MIN(1,U35))^2+(1-MAX(0,MIN(1,U35)))^2/$B$5))-(MAX(0,MIN(1,T35))^2/(MAX(0,MIN(1,T35))^2+(1-MAX(0,MIN(1,T35)))^2/$B$5))))&lt;0.000000001,0,U35-$B$11/$B$9*((MAX(0,MIN(1,U35))^2/(MAX(0,MIN(1,U35))^2+(1-MAX(0,MIN(1,U35)))^2/$B$5))-(MAX(0,MIN(1,T35))^2/(MAX(0,MIN(1,T35))^2+(1-MAX(0,MIN(1,T35)))^2/$B$5))))</f>
        <v>0.65827218544634</v>
      </c>
      <c r="V36" s="16" t="n">
        <f aca="false">IF(ABS(V35-$B$11/$B$9*((MAX(0,MIN(1,V35))^2/(MAX(0,MIN(1,V35))^2+(1-MAX(0,MIN(1,V35)))^2/$B$5))-(MAX(0,MIN(1,U35))^2/(MAX(0,MIN(1,U35))^2+(1-MAX(0,MIN(1,U35)))^2/$B$5))))&lt;0.000000001,0,V35-$B$11/$B$9*((MAX(0,MIN(1,V35))^2/(MAX(0,MIN(1,V35))^2+(1-MAX(0,MIN(1,V35)))^2/$B$5))-(MAX(0,MIN(1,U35))^2/(MAX(0,MIN(1,U35))^2+(1-MAX(0,MIN(1,U35)))^2/$B$5))))</f>
        <v>0.636702096130285</v>
      </c>
      <c r="W36" s="16" t="n">
        <f aca="false">IF(ABS(W35-$B$11/$B$9*((MAX(0,MIN(1,W35))^2/(MAX(0,MIN(1,W35))^2+(1-MAX(0,MIN(1,W35)))^2/$B$5))-(MAX(0,MIN(1,V35))^2/(MAX(0,MIN(1,V35))^2+(1-MAX(0,MIN(1,V35)))^2/$B$5))))&lt;0.000000001,0,W35-$B$11/$B$9*((MAX(0,MIN(1,W35))^2/(MAX(0,MIN(1,W35))^2+(1-MAX(0,MIN(1,W35)))^2/$B$5))-(MAX(0,MIN(1,V35))^2/(MAX(0,MIN(1,V35))^2+(1-MAX(0,MIN(1,V35)))^2/$B$5))))</f>
        <v>0.614393503696175</v>
      </c>
      <c r="X36" s="16" t="n">
        <f aca="false">IF(ABS(X35-$B$11/$B$9*((MAX(0,MIN(1,X35))^2/(MAX(0,MIN(1,X35))^2+(1-MAX(0,MIN(1,X35)))^2/$B$5))-(MAX(0,MIN(1,W35))^2/(MAX(0,MIN(1,W35))^2+(1-MAX(0,MIN(1,W35)))^2/$B$5))))&lt;0.000000001,0,X35-$B$11/$B$9*((MAX(0,MIN(1,X35))^2/(MAX(0,MIN(1,X35))^2+(1-MAX(0,MIN(1,X35)))^2/$B$5))-(MAX(0,MIN(1,W35))^2/(MAX(0,MIN(1,W35))^2+(1-MAX(0,MIN(1,W35)))^2/$B$5))))</f>
        <v>0.589705237285883</v>
      </c>
      <c r="Y36" s="16" t="n">
        <f aca="false">IF(ABS(Y35-$B$11/$B$9*((MAX(0,MIN(1,Y35))^2/(MAX(0,MIN(1,Y35))^2+(1-MAX(0,MIN(1,Y35)))^2/$B$5))-(MAX(0,MIN(1,X35))^2/(MAX(0,MIN(1,X35))^2+(1-MAX(0,MIN(1,X35)))^2/$B$5))))&lt;0.000000001,0,Y35-$B$11/$B$9*((MAX(0,MIN(1,Y35))^2/(MAX(0,MIN(1,Y35))^2+(1-MAX(0,MIN(1,Y35)))^2/$B$5))-(MAX(0,MIN(1,X35))^2/(MAX(0,MIN(1,X35))^2+(1-MAX(0,MIN(1,X35)))^2/$B$5))))</f>
        <v>0.55830145072394</v>
      </c>
      <c r="Z36" s="16" t="n">
        <f aca="false">IF(ABS(Z35-$B$11/$B$9*((MAX(0,MIN(1,Z35))^2/(MAX(0,MIN(1,Z35))^2+(1-MAX(0,MIN(1,Z35)))^2/$B$5))-(MAX(0,MIN(1,Y35))^2/(MAX(0,MIN(1,Y35))^2+(1-MAX(0,MIN(1,Y35)))^2/$B$5))))&lt;0.000000001,0,Z35-$B$11/$B$9*((MAX(0,MIN(1,Z35))^2/(MAX(0,MIN(1,Z35))^2+(1-MAX(0,MIN(1,Z35)))^2/$B$5))-(MAX(0,MIN(1,Y35))^2/(MAX(0,MIN(1,Y35))^2+(1-MAX(0,MIN(1,Y35)))^2/$B$5))))</f>
        <v>0.501258164728005</v>
      </c>
      <c r="AA36" s="16" t="n">
        <f aca="false">IF(ABS(AA35-$B$11/$B$9*((MAX(0,MIN(1,AA35))^2/(MAX(0,MIN(1,AA35))^2+(1-MAX(0,MIN(1,AA35)))^2/$B$5))-(MAX(0,MIN(1,Z35))^2/(MAX(0,MIN(1,Z35))^2+(1-MAX(0,MIN(1,Z35)))^2/$B$5))))&lt;0.000000001,0,AA35-$B$11/$B$9*((MAX(0,MIN(1,AA35))^2/(MAX(0,MIN(1,AA35))^2+(1-MAX(0,MIN(1,AA35)))^2/$B$5))-(MAX(0,MIN(1,Z35))^2/(MAX(0,MIN(1,Z35))^2+(1-MAX(0,MIN(1,Z35)))^2/$B$5))))</f>
        <v>0.239191784158648</v>
      </c>
      <c r="AB36" s="16" t="n">
        <f aca="false">IF(ABS(AB35-$B$11/$B$9*((MAX(0,MIN(1,AB35))^2/(MAX(0,MIN(1,AB35))^2+(1-MAX(0,MIN(1,AB35)))^2/$B$5))-(MAX(0,MIN(1,AA35))^2/(MAX(0,MIN(1,AA35))^2+(1-MAX(0,MIN(1,AA35)))^2/$B$5))))&lt;0.000000001,0,AB35-$B$11/$B$9*((MAX(0,MIN(1,AB35))^2/(MAX(0,MIN(1,AB35))^2+(1-MAX(0,MIN(1,AB35)))^2/$B$5))-(MAX(0,MIN(1,AA35))^2/(MAX(0,MIN(1,AA35))^2+(1-MAX(0,MIN(1,AA35)))^2/$B$5))))</f>
        <v>0.00194925803510966</v>
      </c>
      <c r="AC36" s="16" t="n">
        <f aca="false">IF(ABS(AC35-$B$11/$B$9*((MAX(0,MIN(1,AC35))^2/(MAX(0,MIN(1,AC35))^2+(1-MAX(0,MIN(1,AC35)))^2/$B$5))-(MAX(0,MIN(1,AB35))^2/(MAX(0,MIN(1,AB35))^2+(1-MAX(0,MIN(1,AB35)))^2/$B$5))))&lt;0.000000001,0,AC35-$B$11/$B$9*((MAX(0,MIN(1,AC35))^2/(MAX(0,MIN(1,AC35))^2+(1-MAX(0,MIN(1,AC35)))^2/$B$5))-(MAX(0,MIN(1,AB35))^2/(MAX(0,MIN(1,AB35))^2+(1-MAX(0,MIN(1,AB35)))^2/$B$5))))</f>
        <v>0</v>
      </c>
      <c r="AD36" s="16" t="n">
        <f aca="false">IF(ABS(AD35-$B$11/$B$9*((MAX(0,MIN(1,AD35))^2/(MAX(0,MIN(1,AD35))^2+(1-MAX(0,MIN(1,AD35)))^2/$B$5))-(MAX(0,MIN(1,AC35))^2/(MAX(0,MIN(1,AC35))^2+(1-MAX(0,MIN(1,AC35)))^2/$B$5))))&lt;0.000000001,0,AD35-$B$11/$B$9*((MAX(0,MIN(1,AD35))^2/(MAX(0,MIN(1,AD35))^2+(1-MAX(0,MIN(1,AD35)))^2/$B$5))-(MAX(0,MIN(1,AC35))^2/(MAX(0,MIN(1,AC35))^2+(1-MAX(0,MIN(1,AC35)))^2/$B$5))))</f>
        <v>0</v>
      </c>
      <c r="AE36" s="16" t="n">
        <f aca="false">IF(ABS(AE35-$B$11/$B$9*((MAX(0,MIN(1,AE35))^2/(MAX(0,MIN(1,AE35))^2+(1-MAX(0,MIN(1,AE35)))^2/$B$5))-(MAX(0,MIN(1,AD35))^2/(MAX(0,MIN(1,AD35))^2+(1-MAX(0,MIN(1,AD35)))^2/$B$5))))&lt;0.000000001,0,AE35-$B$11/$B$9*((MAX(0,MIN(1,AE35))^2/(MAX(0,MIN(1,AE35))^2+(1-MAX(0,MIN(1,AE35)))^2/$B$5))-(MAX(0,MIN(1,AD35))^2/(MAX(0,MIN(1,AD35))^2+(1-MAX(0,MIN(1,AD35)))^2/$B$5))))</f>
        <v>0</v>
      </c>
      <c r="AF36" s="16" t="n">
        <f aca="false">IF(ABS(AF35-$B$11/$B$9*((MAX(0,MIN(1,AF35))^2/(MAX(0,MIN(1,AF35))^2+(1-MAX(0,MIN(1,AF35)))^2/$B$5))-(MAX(0,MIN(1,AE35))^2/(MAX(0,MIN(1,AE35))^2+(1-MAX(0,MIN(1,AE35)))^2/$B$5))))&lt;0.000000001,0,AF35-$B$11/$B$9*((MAX(0,MIN(1,AF35))^2/(MAX(0,MIN(1,AF35))^2+(1-MAX(0,MIN(1,AF35)))^2/$B$5))-(MAX(0,MIN(1,AE35))^2/(MAX(0,MIN(1,AE35))^2+(1-MAX(0,MIN(1,AE35)))^2/$B$5))))</f>
        <v>0</v>
      </c>
    </row>
    <row r="37" customFormat="false" ht="15" hidden="false" customHeight="false" outlineLevel="0" collapsed="false">
      <c r="A37" s="0" t="n">
        <v>0.32</v>
      </c>
      <c r="D37" s="0" t="n">
        <f aca="false">A37</f>
        <v>0.32</v>
      </c>
      <c r="E37" s="0" t="n">
        <f aca="false">(G37-G36)/(A37-A36)</f>
        <v>1.93590451595031</v>
      </c>
      <c r="F37" s="0" t="n">
        <f aca="false">G37/A37</f>
        <v>0.959232613908873</v>
      </c>
      <c r="G37" s="0" t="n">
        <f aca="false">A37^2/(A37^2+(1-A37)^2/$B$5)</f>
        <v>0.306954436450839</v>
      </c>
      <c r="L37" s="0" t="n">
        <v>27</v>
      </c>
      <c r="M37" s="16" t="n">
        <f aca="false">IF(ABS(M36-$B$11/$B$9*((MAX(0,MIN(1,M36))^2/(MAX(0,MIN(1,M36))^2+(1-MAX(0,MIN(1,M36)))^2/$B$5))-(MAX(0,MIN(1,1))^2/(MAX(0,MIN(1,1))^2+(1-MAX(0,MIN(1,1)))^2/$B$5))))&lt;0.000000001,0,M36-$B$11/$B$9*((MAX(0,MIN(1,M36))^2/(MAX(0,MIN(1,M36))^2+(1-MAX(0,MIN(1,M36)))^2/$B$5))-(MAX(0,MIN(1,1))^2/(MAX(0,MIN(1,1))^2+(1-MAX(0,MIN(1,1)))^2/$B$5))))</f>
        <v>0.899712890953343</v>
      </c>
      <c r="N37" s="16" t="n">
        <f aca="false">IF(ABS(N36-$B$11/$B$9*((MAX(0,MIN(1,N36))^2/(MAX(0,MIN(1,N36))^2+(1-MAX(0,MIN(1,N36)))^2/$B$5))-(MAX(0,MIN(1,M36))^2/(MAX(0,MIN(1,M36))^2+(1-MAX(0,MIN(1,M36)))^2/$B$5))))&lt;0.000000001,0,N36-$B$11/$B$9*((MAX(0,MIN(1,N36))^2/(MAX(0,MIN(1,N36))^2+(1-MAX(0,MIN(1,N36)))^2/$B$5))-(MAX(0,MIN(1,M36))^2/(MAX(0,MIN(1,M36))^2+(1-MAX(0,MIN(1,M36)))^2/$B$5))))</f>
        <v>0.852802004812161</v>
      </c>
      <c r="O37" s="16" t="n">
        <f aca="false">IF(ABS(O36-$B$11/$B$9*((MAX(0,MIN(1,O36))^2/(MAX(0,MIN(1,O36))^2+(1-MAX(0,MIN(1,O36)))^2/$B$5))-(MAX(0,MIN(1,N36))^2/(MAX(0,MIN(1,N36))^2+(1-MAX(0,MIN(1,N36)))^2/$B$5))))&lt;0.000000001,0,O36-$B$11/$B$9*((MAX(0,MIN(1,O36))^2/(MAX(0,MIN(1,O36))^2+(1-MAX(0,MIN(1,O36)))^2/$B$5))-(MAX(0,MIN(1,N36))^2/(MAX(0,MIN(1,N36))^2+(1-MAX(0,MIN(1,N36)))^2/$B$5))))</f>
        <v>0.815820471419346</v>
      </c>
      <c r="P37" s="16" t="n">
        <f aca="false">IF(ABS(P36-$B$11/$B$9*((MAX(0,MIN(1,P36))^2/(MAX(0,MIN(1,P36))^2+(1-MAX(0,MIN(1,P36)))^2/$B$5))-(MAX(0,MIN(1,O36))^2/(MAX(0,MIN(1,O36))^2+(1-MAX(0,MIN(1,O36)))^2/$B$5))))&lt;0.000000001,0,P36-$B$11/$B$9*((MAX(0,MIN(1,P36))^2/(MAX(0,MIN(1,P36))^2+(1-MAX(0,MIN(1,P36)))^2/$B$5))-(MAX(0,MIN(1,O36))^2/(MAX(0,MIN(1,O36))^2+(1-MAX(0,MIN(1,O36)))^2/$B$5))))</f>
        <v>0.784442339537619</v>
      </c>
      <c r="Q37" s="16" t="n">
        <f aca="false">IF(ABS(Q36-$B$11/$B$9*((MAX(0,MIN(1,Q36))^2/(MAX(0,MIN(1,Q36))^2+(1-MAX(0,MIN(1,Q36)))^2/$B$5))-(MAX(0,MIN(1,P36))^2/(MAX(0,MIN(1,P36))^2+(1-MAX(0,MIN(1,P36)))^2/$B$5))))&lt;0.000000001,0,Q36-$B$11/$B$9*((MAX(0,MIN(1,Q36))^2/(MAX(0,MIN(1,Q36))^2+(1-MAX(0,MIN(1,Q36)))^2/$B$5))-(MAX(0,MIN(1,P36))^2/(MAX(0,MIN(1,P36))^2+(1-MAX(0,MIN(1,P36)))^2/$B$5))))</f>
        <v>0.756767406322868</v>
      </c>
      <c r="R37" s="16" t="n">
        <f aca="false">IF(ABS(R36-$B$11/$B$9*((MAX(0,MIN(1,R36))^2/(MAX(0,MIN(1,R36))^2+(1-MAX(0,MIN(1,R36)))^2/$B$5))-(MAX(0,MIN(1,Q36))^2/(MAX(0,MIN(1,Q36))^2+(1-MAX(0,MIN(1,Q36)))^2/$B$5))))&lt;0.000000001,0,R36-$B$11/$B$9*((MAX(0,MIN(1,R36))^2/(MAX(0,MIN(1,R36))^2+(1-MAX(0,MIN(1,R36)))^2/$B$5))-(MAX(0,MIN(1,Q36))^2/(MAX(0,MIN(1,Q36))^2+(1-MAX(0,MIN(1,Q36)))^2/$B$5))))</f>
        <v>0.731700651980771</v>
      </c>
      <c r="S37" s="16" t="n">
        <f aca="false">IF(ABS(S36-$B$11/$B$9*((MAX(0,MIN(1,S36))^2/(MAX(0,MIN(1,S36))^2+(1-MAX(0,MIN(1,S36)))^2/$B$5))-(MAX(0,MIN(1,R36))^2/(MAX(0,MIN(1,R36))^2+(1-MAX(0,MIN(1,R36)))^2/$B$5))))&lt;0.000000001,0,S36-$B$11/$B$9*((MAX(0,MIN(1,S36))^2/(MAX(0,MIN(1,S36))^2+(1-MAX(0,MIN(1,S36)))^2/$B$5))-(MAX(0,MIN(1,R36))^2/(MAX(0,MIN(1,R36))^2+(1-MAX(0,MIN(1,R36)))^2/$B$5))))</f>
        <v>0.708508164301678</v>
      </c>
      <c r="T37" s="16" t="n">
        <f aca="false">IF(ABS(T36-$B$11/$B$9*((MAX(0,MIN(1,T36))^2/(MAX(0,MIN(1,T36))^2+(1-MAX(0,MIN(1,T36)))^2/$B$5))-(MAX(0,MIN(1,S36))^2/(MAX(0,MIN(1,S36))^2+(1-MAX(0,MIN(1,S36)))^2/$B$5))))&lt;0.000000001,0,T36-$B$11/$B$9*((MAX(0,MIN(1,T36))^2/(MAX(0,MIN(1,T36))^2+(1-MAX(0,MIN(1,T36)))^2/$B$5))-(MAX(0,MIN(1,S36))^2/(MAX(0,MIN(1,S36))^2+(1-MAX(0,MIN(1,S36)))^2/$B$5))))</f>
        <v>0.686632855906205</v>
      </c>
      <c r="U37" s="16" t="n">
        <f aca="false">IF(ABS(U36-$B$11/$B$9*((MAX(0,MIN(1,U36))^2/(MAX(0,MIN(1,U36))^2+(1-MAX(0,MIN(1,U36)))^2/$B$5))-(MAX(0,MIN(1,T36))^2/(MAX(0,MIN(1,T36))^2+(1-MAX(0,MIN(1,T36)))^2/$B$5))))&lt;0.000000001,0,U36-$B$11/$B$9*((MAX(0,MIN(1,U36))^2/(MAX(0,MIN(1,U36))^2+(1-MAX(0,MIN(1,U36)))^2/$B$5))-(MAX(0,MIN(1,T36))^2/(MAX(0,MIN(1,T36))^2+(1-MAX(0,MIN(1,T36)))^2/$B$5))))</f>
        <v>0.665589460624064</v>
      </c>
      <c r="V37" s="16" t="n">
        <f aca="false">IF(ABS(V36-$B$11/$B$9*((MAX(0,MIN(1,V36))^2/(MAX(0,MIN(1,V36))^2+(1-MAX(0,MIN(1,V36)))^2/$B$5))-(MAX(0,MIN(1,U36))^2/(MAX(0,MIN(1,U36))^2+(1-MAX(0,MIN(1,U36)))^2/$B$5))))&lt;0.000000001,0,V36-$B$11/$B$9*((MAX(0,MIN(1,V36))^2/(MAX(0,MIN(1,V36))^2+(1-MAX(0,MIN(1,V36)))^2/$B$5))-(MAX(0,MIN(1,U36))^2/(MAX(0,MIN(1,U36))^2+(1-MAX(0,MIN(1,U36)))^2/$B$5))))</f>
        <v>0.644874085171121</v>
      </c>
      <c r="W37" s="16" t="n">
        <f aca="false">IF(ABS(W36-$B$11/$B$9*((MAX(0,MIN(1,W36))^2/(MAX(0,MIN(1,W36))^2+(1-MAX(0,MIN(1,W36)))^2/$B$5))-(MAX(0,MIN(1,V36))^2/(MAX(0,MIN(1,V36))^2+(1-MAX(0,MIN(1,V36)))^2/$B$5))))&lt;0.000000001,0,W36-$B$11/$B$9*((MAX(0,MIN(1,W36))^2/(MAX(0,MIN(1,W36))^2+(1-MAX(0,MIN(1,W36)))^2/$B$5))-(MAX(0,MIN(1,V36))^2/(MAX(0,MIN(1,V36))^2+(1-MAX(0,MIN(1,V36)))^2/$B$5))))</f>
        <v>0.623832970266892</v>
      </c>
      <c r="X37" s="16" t="n">
        <f aca="false">IF(ABS(X36-$B$11/$B$9*((MAX(0,MIN(1,X36))^2/(MAX(0,MIN(1,X36))^2+(1-MAX(0,MIN(1,X36)))^2/$B$5))-(MAX(0,MIN(1,W36))^2/(MAX(0,MIN(1,W36))^2+(1-MAX(0,MIN(1,W36)))^2/$B$5))))&lt;0.000000001,0,X36-$B$11/$B$9*((MAX(0,MIN(1,X36))^2/(MAX(0,MIN(1,X36))^2+(1-MAX(0,MIN(1,X36)))^2/$B$5))-(MAX(0,MIN(1,W36))^2/(MAX(0,MIN(1,W36))^2+(1-MAX(0,MIN(1,W36)))^2/$B$5))))</f>
        <v>0.601367492005317</v>
      </c>
      <c r="Y37" s="16" t="n">
        <f aca="false">IF(ABS(Y36-$B$11/$B$9*((MAX(0,MIN(1,Y36))^2/(MAX(0,MIN(1,Y36))^2+(1-MAX(0,MIN(1,Y36)))^2/$B$5))-(MAX(0,MIN(1,X36))^2/(MAX(0,MIN(1,X36))^2+(1-MAX(0,MIN(1,X36)))^2/$B$5))))&lt;0.000000001,0,Y36-$B$11/$B$9*((MAX(0,MIN(1,Y36))^2/(MAX(0,MIN(1,Y36))^2+(1-MAX(0,MIN(1,Y36)))^2/$B$5))-(MAX(0,MIN(1,X36))^2/(MAX(0,MIN(1,X36))^2+(1-MAX(0,MIN(1,X36)))^2/$B$5))))</f>
        <v>0.575023043348592</v>
      </c>
      <c r="Z37" s="16" t="n">
        <f aca="false">IF(ABS(Z36-$B$11/$B$9*((MAX(0,MIN(1,Z36))^2/(MAX(0,MIN(1,Z36))^2+(1-MAX(0,MIN(1,Z36)))^2/$B$5))-(MAX(0,MIN(1,Y36))^2/(MAX(0,MIN(1,Y36))^2+(1-MAX(0,MIN(1,Y36)))^2/$B$5))))&lt;0.000000001,0,Z36-$B$11/$B$9*((MAX(0,MIN(1,Z36))^2/(MAX(0,MIN(1,Z36))^2+(1-MAX(0,MIN(1,Z36)))^2/$B$5))-(MAX(0,MIN(1,Y36))^2/(MAX(0,MIN(1,Y36))^2+(1-MAX(0,MIN(1,Y36)))^2/$B$5))))</f>
        <v>0.536919612932237</v>
      </c>
      <c r="AA37" s="16" t="n">
        <f aca="false">IF(ABS(AA36-$B$11/$B$9*((MAX(0,MIN(1,AA36))^2/(MAX(0,MIN(1,AA36))^2+(1-MAX(0,MIN(1,AA36)))^2/$B$5))-(MAX(0,MIN(1,Z36))^2/(MAX(0,MIN(1,Z36))^2+(1-MAX(0,MIN(1,Z36)))^2/$B$5))))&lt;0.000000001,0,AA36-$B$11/$B$9*((MAX(0,MIN(1,AA36))^2/(MAX(0,MIN(1,AA36))^2+(1-MAX(0,MIN(1,AA36)))^2/$B$5))-(MAX(0,MIN(1,Z36))^2/(MAX(0,MIN(1,Z36))^2+(1-MAX(0,MIN(1,Z36)))^2/$B$5))))</f>
        <v>0.432935703365893</v>
      </c>
      <c r="AB37" s="16" t="n">
        <f aca="false">IF(ABS(AB36-$B$11/$B$9*((MAX(0,MIN(1,AB36))^2/(MAX(0,MIN(1,AB36))^2+(1-MAX(0,MIN(1,AB36)))^2/$B$5))-(MAX(0,MIN(1,AA36))^2/(MAX(0,MIN(1,AA36))^2+(1-MAX(0,MIN(1,AA36)))^2/$B$5))))&lt;0.000000001,0,AB36-$B$11/$B$9*((MAX(0,MIN(1,AB36))^2/(MAX(0,MIN(1,AB36))^2+(1-MAX(0,MIN(1,AB36)))^2/$B$5))-(MAX(0,MIN(1,AA36))^2/(MAX(0,MIN(1,AA36))^2+(1-MAX(0,MIN(1,AA36)))^2/$B$5))))</f>
        <v>0.0654153118678896</v>
      </c>
      <c r="AC37" s="16" t="n">
        <f aca="false">IF(ABS(AC36-$B$11/$B$9*((MAX(0,MIN(1,AC36))^2/(MAX(0,MIN(1,AC36))^2+(1-MAX(0,MIN(1,AC36)))^2/$B$5))-(MAX(0,MIN(1,AB36))^2/(MAX(0,MIN(1,AB36))^2+(1-MAX(0,MIN(1,AB36)))^2/$B$5))))&lt;0.000000001,0,AC36-$B$11/$B$9*((MAX(0,MIN(1,AC36))^2/(MAX(0,MIN(1,AC36))^2+(1-MAX(0,MIN(1,AC36)))^2/$B$5))-(MAX(0,MIN(1,AB36))^2/(MAX(0,MIN(1,AB36))^2+(1-MAX(0,MIN(1,AB36)))^2/$B$5))))</f>
        <v>2.93353920965638E-006</v>
      </c>
      <c r="AD37" s="16" t="n">
        <f aca="false">IF(ABS(AD36-$B$11/$B$9*((MAX(0,MIN(1,AD36))^2/(MAX(0,MIN(1,AD36))^2+(1-MAX(0,MIN(1,AD36)))^2/$B$5))-(MAX(0,MIN(1,AC36))^2/(MAX(0,MIN(1,AC36))^2+(1-MAX(0,MIN(1,AC36)))^2/$B$5))))&lt;0.000000001,0,AD36-$B$11/$B$9*((MAX(0,MIN(1,AD36))^2/(MAX(0,MIN(1,AD36))^2+(1-MAX(0,MIN(1,AD36)))^2/$B$5))-(MAX(0,MIN(1,AC36))^2/(MAX(0,MIN(1,AC36))^2+(1-MAX(0,MIN(1,AC36)))^2/$B$5))))</f>
        <v>0</v>
      </c>
      <c r="AE37" s="16" t="n">
        <f aca="false">IF(ABS(AE36-$B$11/$B$9*((MAX(0,MIN(1,AE36))^2/(MAX(0,MIN(1,AE36))^2+(1-MAX(0,MIN(1,AE36)))^2/$B$5))-(MAX(0,MIN(1,AD36))^2/(MAX(0,MIN(1,AD36))^2+(1-MAX(0,MIN(1,AD36)))^2/$B$5))))&lt;0.000000001,0,AE36-$B$11/$B$9*((MAX(0,MIN(1,AE36))^2/(MAX(0,MIN(1,AE36))^2+(1-MAX(0,MIN(1,AE36)))^2/$B$5))-(MAX(0,MIN(1,AD36))^2/(MAX(0,MIN(1,AD36))^2+(1-MAX(0,MIN(1,AD36)))^2/$B$5))))</f>
        <v>0</v>
      </c>
      <c r="AF37" s="16" t="n">
        <f aca="false">IF(ABS(AF36-$B$11/$B$9*((MAX(0,MIN(1,AF36))^2/(MAX(0,MIN(1,AF36))^2+(1-MAX(0,MIN(1,AF36)))^2/$B$5))-(MAX(0,MIN(1,AE36))^2/(MAX(0,MIN(1,AE36))^2+(1-MAX(0,MIN(1,AE36)))^2/$B$5))))&lt;0.000000001,0,AF36-$B$11/$B$9*((MAX(0,MIN(1,AF36))^2/(MAX(0,MIN(1,AF36))^2+(1-MAX(0,MIN(1,AF36)))^2/$B$5))-(MAX(0,MIN(1,AE36))^2/(MAX(0,MIN(1,AE36))^2+(1-MAX(0,MIN(1,AE36)))^2/$B$5))))</f>
        <v>0</v>
      </c>
    </row>
    <row r="38" customFormat="false" ht="15" hidden="false" customHeight="false" outlineLevel="0" collapsed="false">
      <c r="A38" s="0" t="n">
        <v>0.33</v>
      </c>
      <c r="D38" s="0" t="n">
        <f aca="false">A38</f>
        <v>0.33</v>
      </c>
      <c r="E38" s="0" t="n">
        <f aca="false">(G38-G37)/(A38-A37)</f>
        <v>1.97292293658698</v>
      </c>
      <c r="F38" s="0" t="n">
        <f aca="false">G38/A38</f>
        <v>0.989950502474876</v>
      </c>
      <c r="G38" s="0" t="n">
        <f aca="false">A38^2/(A38^2+(1-A38)^2/$B$5)</f>
        <v>0.326683665816709</v>
      </c>
      <c r="L38" s="0" t="n">
        <v>28</v>
      </c>
      <c r="M38" s="16" t="n">
        <f aca="false">IF(ABS(M37-$B$11/$B$9*((MAX(0,MIN(1,M37))^2/(MAX(0,MIN(1,M37))^2+(1-MAX(0,MIN(1,M37)))^2/$B$5))-(MAX(0,MIN(1,1))^2/(MAX(0,MIN(1,1))^2+(1-MAX(0,MIN(1,1)))^2/$B$5))))&lt;0.000000001,0,M37-$B$11/$B$9*((MAX(0,MIN(1,M37))^2/(MAX(0,MIN(1,M37))^2+(1-MAX(0,MIN(1,M37)))^2/$B$5))-(MAX(0,MIN(1,1))^2/(MAX(0,MIN(1,1))^2+(1-MAX(0,MIN(1,1)))^2/$B$5))))</f>
        <v>0.90208696638444</v>
      </c>
      <c r="N38" s="16" t="n">
        <f aca="false">IF(ABS(N37-$B$11/$B$9*((MAX(0,MIN(1,N37))^2/(MAX(0,MIN(1,N37))^2+(1-MAX(0,MIN(1,N37)))^2/$B$5))-(MAX(0,MIN(1,M37))^2/(MAX(0,MIN(1,M37))^2+(1-MAX(0,MIN(1,M37)))^2/$B$5))))&lt;0.000000001,0,N37-$B$11/$B$9*((MAX(0,MIN(1,N37))^2/(MAX(0,MIN(1,N37))^2+(1-MAX(0,MIN(1,N37)))^2/$B$5))-(MAX(0,MIN(1,M37))^2/(MAX(0,MIN(1,M37))^2+(1-MAX(0,MIN(1,M37)))^2/$B$5))))</f>
        <v>0.856071935910454</v>
      </c>
      <c r="O38" s="16" t="n">
        <f aca="false">IF(ABS(O37-$B$11/$B$9*((MAX(0,MIN(1,O37))^2/(MAX(0,MIN(1,O37))^2+(1-MAX(0,MIN(1,O37)))^2/$B$5))-(MAX(0,MIN(1,N37))^2/(MAX(0,MIN(1,N37))^2+(1-MAX(0,MIN(1,N37)))^2/$B$5))))&lt;0.000000001,0,O37-$B$11/$B$9*((MAX(0,MIN(1,O37))^2/(MAX(0,MIN(1,O37))^2+(1-MAX(0,MIN(1,O37)))^2/$B$5))-(MAX(0,MIN(1,N37))^2/(MAX(0,MIN(1,N37))^2+(1-MAX(0,MIN(1,N37)))^2/$B$5))))</f>
        <v>0.819732253316389</v>
      </c>
      <c r="P38" s="16" t="n">
        <f aca="false">IF(ABS(P37-$B$11/$B$9*((MAX(0,MIN(1,P37))^2/(MAX(0,MIN(1,P37))^2+(1-MAX(0,MIN(1,P37)))^2/$B$5))-(MAX(0,MIN(1,O37))^2/(MAX(0,MIN(1,O37))^2+(1-MAX(0,MIN(1,O37)))^2/$B$5))))&lt;0.000000001,0,P37-$B$11/$B$9*((MAX(0,MIN(1,P37))^2/(MAX(0,MIN(1,P37))^2+(1-MAX(0,MIN(1,P37)))^2/$B$5))-(MAX(0,MIN(1,O37))^2/(MAX(0,MIN(1,O37))^2+(1-MAX(0,MIN(1,O37)))^2/$B$5))))</f>
        <v>0.788876361161718</v>
      </c>
      <c r="Q38" s="16" t="n">
        <f aca="false">IF(ABS(Q37-$B$11/$B$9*((MAX(0,MIN(1,Q37))^2/(MAX(0,MIN(1,Q37))^2+(1-MAX(0,MIN(1,Q37)))^2/$B$5))-(MAX(0,MIN(1,P37))^2/(MAX(0,MIN(1,P37))^2+(1-MAX(0,MIN(1,P37)))^2/$B$5))))&lt;0.000000001,0,Q37-$B$11/$B$9*((MAX(0,MIN(1,Q37))^2/(MAX(0,MIN(1,Q37))^2+(1-MAX(0,MIN(1,Q37)))^2/$B$5))-(MAX(0,MIN(1,P37))^2/(MAX(0,MIN(1,P37))^2+(1-MAX(0,MIN(1,P37)))^2/$B$5))))</f>
        <v>0.761663960965873</v>
      </c>
      <c r="R38" s="16" t="n">
        <f aca="false">IF(ABS(R37-$B$11/$B$9*((MAX(0,MIN(1,R37))^2/(MAX(0,MIN(1,R37))^2+(1-MAX(0,MIN(1,R37)))^2/$B$5))-(MAX(0,MIN(1,Q37))^2/(MAX(0,MIN(1,Q37))^2+(1-MAX(0,MIN(1,Q37)))^2/$B$5))))&lt;0.000000001,0,R37-$B$11/$B$9*((MAX(0,MIN(1,R37))^2/(MAX(0,MIN(1,R37))^2+(1-MAX(0,MIN(1,R37)))^2/$B$5))-(MAX(0,MIN(1,Q37))^2/(MAX(0,MIN(1,Q37))^2+(1-MAX(0,MIN(1,Q37)))^2/$B$5))))</f>
        <v>0.737036701695632</v>
      </c>
      <c r="S38" s="16" t="n">
        <f aca="false">IF(ABS(S37-$B$11/$B$9*((MAX(0,MIN(1,S37))^2/(MAX(0,MIN(1,S37))^2+(1-MAX(0,MIN(1,S37)))^2/$B$5))-(MAX(0,MIN(1,R37))^2/(MAX(0,MIN(1,R37))^2+(1-MAX(0,MIN(1,R37)))^2/$B$5))))&lt;0.000000001,0,S37-$B$11/$B$9*((MAX(0,MIN(1,S37))^2/(MAX(0,MIN(1,S37))^2+(1-MAX(0,MIN(1,S37)))^2/$B$5))-(MAX(0,MIN(1,R37))^2/(MAX(0,MIN(1,R37))^2+(1-MAX(0,MIN(1,R37)))^2/$B$5))))</f>
        <v>0.71428998603825</v>
      </c>
      <c r="T38" s="16" t="n">
        <f aca="false">IF(ABS(T37-$B$11/$B$9*((MAX(0,MIN(1,T37))^2/(MAX(0,MIN(1,T37))^2+(1-MAX(0,MIN(1,T37)))^2/$B$5))-(MAX(0,MIN(1,S37))^2/(MAX(0,MIN(1,S37))^2+(1-MAX(0,MIN(1,S37)))^2/$B$5))))&lt;0.000000001,0,T37-$B$11/$B$9*((MAX(0,MIN(1,T37))^2/(MAX(0,MIN(1,T37))^2+(1-MAX(0,MIN(1,T37)))^2/$B$5))-(MAX(0,MIN(1,S37))^2/(MAX(0,MIN(1,S37))^2+(1-MAX(0,MIN(1,S37)))^2/$B$5))))</f>
        <v>0.692897525241518</v>
      </c>
      <c r="U38" s="16" t="n">
        <f aca="false">IF(ABS(U37-$B$11/$B$9*((MAX(0,MIN(1,U37))^2/(MAX(0,MIN(1,U37))^2+(1-MAX(0,MIN(1,U37)))^2/$B$5))-(MAX(0,MIN(1,T37))^2/(MAX(0,MIN(1,T37))^2+(1-MAX(0,MIN(1,T37)))^2/$B$5))))&lt;0.000000001,0,U37-$B$11/$B$9*((MAX(0,MIN(1,U37))^2/(MAX(0,MIN(1,U37))^2+(1-MAX(0,MIN(1,U37)))^2/$B$5))-(MAX(0,MIN(1,T37))^2/(MAX(0,MIN(1,T37))^2+(1-MAX(0,MIN(1,T37)))^2/$B$5))))</f>
        <v>0.672415551519662</v>
      </c>
      <c r="V38" s="16" t="n">
        <f aca="false">IF(ABS(V37-$B$11/$B$9*((MAX(0,MIN(1,V37))^2/(MAX(0,MIN(1,V37))^2+(1-MAX(0,MIN(1,V37)))^2/$B$5))-(MAX(0,MIN(1,U37))^2/(MAX(0,MIN(1,U37))^2+(1-MAX(0,MIN(1,U37)))^2/$B$5))))&lt;0.000000001,0,V37-$B$11/$B$9*((MAX(0,MIN(1,V37))^2/(MAX(0,MIN(1,V37))^2+(1-MAX(0,MIN(1,V37)))^2/$B$5))-(MAX(0,MIN(1,U37))^2/(MAX(0,MIN(1,U37))^2+(1-MAX(0,MIN(1,U37)))^2/$B$5))))</f>
        <v>0.652408600771316</v>
      </c>
      <c r="W38" s="16" t="n">
        <f aca="false">IF(ABS(W37-$B$11/$B$9*((MAX(0,MIN(1,W37))^2/(MAX(0,MIN(1,W37))^2+(1-MAX(0,MIN(1,W37)))^2/$B$5))-(MAX(0,MIN(1,V37))^2/(MAX(0,MIN(1,V37))^2+(1-MAX(0,MIN(1,V37)))^2/$B$5))))&lt;0.000000001,0,W37-$B$11/$B$9*((MAX(0,MIN(1,W37))^2/(MAX(0,MIN(1,W37))^2+(1-MAX(0,MIN(1,W37)))^2/$B$5))-(MAX(0,MIN(1,V37))^2/(MAX(0,MIN(1,V37))^2+(1-MAX(0,MIN(1,V37)))^2/$B$5))))</f>
        <v>0.632357234673752</v>
      </c>
      <c r="X38" s="16" t="n">
        <f aca="false">IF(ABS(X37-$B$11/$B$9*((MAX(0,MIN(1,X37))^2/(MAX(0,MIN(1,X37))^2+(1-MAX(0,MIN(1,X37)))^2/$B$5))-(MAX(0,MIN(1,W37))^2/(MAX(0,MIN(1,W37))^2+(1-MAX(0,MIN(1,W37)))^2/$B$5))))&lt;0.000000001,0,X37-$B$11/$B$9*((MAX(0,MIN(1,X37))^2/(MAX(0,MIN(1,X37))^2+(1-MAX(0,MIN(1,X37)))^2/$B$5))-(MAX(0,MIN(1,W37))^2/(MAX(0,MIN(1,W37))^2+(1-MAX(0,MIN(1,W37)))^2/$B$5))))</f>
        <v>0.611478632097371</v>
      </c>
      <c r="Y38" s="16" t="n">
        <f aca="false">IF(ABS(Y37-$B$11/$B$9*((MAX(0,MIN(1,Y37))^2/(MAX(0,MIN(1,Y37))^2+(1-MAX(0,MIN(1,Y37)))^2/$B$5))-(MAX(0,MIN(1,X37))^2/(MAX(0,MIN(1,X37))^2+(1-MAX(0,MIN(1,X37)))^2/$B$5))))&lt;0.000000001,0,Y37-$B$11/$B$9*((MAX(0,MIN(1,Y37))^2/(MAX(0,MIN(1,Y37))^2+(1-MAX(0,MIN(1,Y37)))^2/$B$5))-(MAX(0,MIN(1,X37))^2/(MAX(0,MIN(1,X37))^2+(1-MAX(0,MIN(1,X37)))^2/$B$5))))</f>
        <v>0.588247443639224</v>
      </c>
      <c r="Z38" s="16" t="n">
        <f aca="false">IF(ABS(Z37-$B$11/$B$9*((MAX(0,MIN(1,Z37))^2/(MAX(0,MIN(1,Z37))^2+(1-MAX(0,MIN(1,Z37)))^2/$B$5))-(MAX(0,MIN(1,Y37))^2/(MAX(0,MIN(1,Y37))^2+(1-MAX(0,MIN(1,Y37)))^2/$B$5))))&lt;0.000000001,0,Z37-$B$11/$B$9*((MAX(0,MIN(1,Z37))^2/(MAX(0,MIN(1,Z37))^2+(1-MAX(0,MIN(1,Z37)))^2/$B$5))-(MAX(0,MIN(1,Y37))^2/(MAX(0,MIN(1,Y37))^2+(1-MAX(0,MIN(1,Y37)))^2/$B$5))))</f>
        <v>0.558677222767613</v>
      </c>
      <c r="AA38" s="16" t="n">
        <f aca="false">IF(ABS(AA37-$B$11/$B$9*((MAX(0,MIN(1,AA37))^2/(MAX(0,MIN(1,AA37))^2+(1-MAX(0,MIN(1,AA37)))^2/$B$5))-(MAX(0,MIN(1,Z37))^2/(MAX(0,MIN(1,Z37))^2+(1-MAX(0,MIN(1,Z37)))^2/$B$5))))&lt;0.000000001,0,AA37-$B$11/$B$9*((MAX(0,MIN(1,AA37))^2/(MAX(0,MIN(1,AA37))^2+(1-MAX(0,MIN(1,AA37)))^2/$B$5))-(MAX(0,MIN(1,Z37))^2/(MAX(0,MIN(1,Z37))^2+(1-MAX(0,MIN(1,Z37)))^2/$B$5))))</f>
        <v>0.506238428993023</v>
      </c>
      <c r="AB38" s="16" t="n">
        <f aca="false">IF(ABS(AB37-$B$11/$B$9*((MAX(0,MIN(1,AB37))^2/(MAX(0,MIN(1,AB37))^2+(1-MAX(0,MIN(1,AB37)))^2/$B$5))-(MAX(0,MIN(1,AA37))^2/(MAX(0,MIN(1,AA37))^2+(1-MAX(0,MIN(1,AA37)))^2/$B$5))))&lt;0.000000001,0,AB37-$B$11/$B$9*((MAX(0,MIN(1,AB37))^2/(MAX(0,MIN(1,AB37))^2+(1-MAX(0,MIN(1,AB37)))^2/$B$5))-(MAX(0,MIN(1,AA37))^2/(MAX(0,MIN(1,AA37))^2+(1-MAX(0,MIN(1,AA37)))^2/$B$5))))</f>
        <v>0.268665843691194</v>
      </c>
      <c r="AC38" s="16" t="n">
        <f aca="false">IF(ABS(AC37-$B$11/$B$9*((MAX(0,MIN(1,AC37))^2/(MAX(0,MIN(1,AC37))^2+(1-MAX(0,MIN(1,AC37)))^2/$B$5))-(MAX(0,MIN(1,AB37))^2/(MAX(0,MIN(1,AB37))^2+(1-MAX(0,MIN(1,AB37)))^2/$B$5))))&lt;0.000000001,0,AC37-$B$11/$B$9*((MAX(0,MIN(1,AC37))^2/(MAX(0,MIN(1,AC37))^2+(1-MAX(0,MIN(1,AC37)))^2/$B$5))-(MAX(0,MIN(1,AB37))^2/(MAX(0,MIN(1,AB37))^2+(1-MAX(0,MIN(1,AB37)))^2/$B$5))))</f>
        <v>0.00373413461629582</v>
      </c>
      <c r="AD38" s="16" t="n">
        <f aca="false">IF(ABS(AD37-$B$11/$B$9*((MAX(0,MIN(1,AD37))^2/(MAX(0,MIN(1,AD37))^2+(1-MAX(0,MIN(1,AD37)))^2/$B$5))-(MAX(0,MIN(1,AC37))^2/(MAX(0,MIN(1,AC37))^2+(1-MAX(0,MIN(1,AC37)))^2/$B$5))))&lt;0.000000001,0,AD37-$B$11/$B$9*((MAX(0,MIN(1,AD37))^2/(MAX(0,MIN(1,AD37))^2+(1-MAX(0,MIN(1,AD37)))^2/$B$5))-(MAX(0,MIN(1,AC37))^2/(MAX(0,MIN(1,AC37))^2+(1-MAX(0,MIN(1,AC37)))^2/$B$5))))</f>
        <v>0</v>
      </c>
      <c r="AE38" s="16" t="n">
        <f aca="false">IF(ABS(AE37-$B$11/$B$9*((MAX(0,MIN(1,AE37))^2/(MAX(0,MIN(1,AE37))^2+(1-MAX(0,MIN(1,AE37)))^2/$B$5))-(MAX(0,MIN(1,AD37))^2/(MAX(0,MIN(1,AD37))^2+(1-MAX(0,MIN(1,AD37)))^2/$B$5))))&lt;0.000000001,0,AE37-$B$11/$B$9*((MAX(0,MIN(1,AE37))^2/(MAX(0,MIN(1,AE37))^2+(1-MAX(0,MIN(1,AE37)))^2/$B$5))-(MAX(0,MIN(1,AD37))^2/(MAX(0,MIN(1,AD37))^2+(1-MAX(0,MIN(1,AD37)))^2/$B$5))))</f>
        <v>0</v>
      </c>
      <c r="AF38" s="16" t="n">
        <f aca="false">IF(ABS(AF37-$B$11/$B$9*((MAX(0,MIN(1,AF37))^2/(MAX(0,MIN(1,AF37))^2+(1-MAX(0,MIN(1,AF37)))^2/$B$5))-(MAX(0,MIN(1,AE37))^2/(MAX(0,MIN(1,AE37))^2+(1-MAX(0,MIN(1,AE37)))^2/$B$5))))&lt;0.000000001,0,AF37-$B$11/$B$9*((MAX(0,MIN(1,AF37))^2/(MAX(0,MIN(1,AF37))^2+(1-MAX(0,MIN(1,AF37)))^2/$B$5))-(MAX(0,MIN(1,AE37))^2/(MAX(0,MIN(1,AE37))^2+(1-MAX(0,MIN(1,AE37)))^2/$B$5))))</f>
        <v>0</v>
      </c>
    </row>
    <row r="39" customFormat="false" ht="15" hidden="false" customHeight="false" outlineLevel="0" collapsed="false">
      <c r="A39" s="0" t="n">
        <v>0.34</v>
      </c>
      <c r="D39" s="0" t="n">
        <f aca="false">A39</f>
        <v>0.34</v>
      </c>
      <c r="E39" s="0" t="n">
        <f aca="false">(G39-G38)/(A39-A38)</f>
        <v>2.0046988052517</v>
      </c>
      <c r="F39" s="0" t="n">
        <f aca="false">G39/A39</f>
        <v>1.01979604079184</v>
      </c>
      <c r="G39" s="0" t="n">
        <f aca="false">A39^2/(A39^2+(1-A39)^2/$B$5)</f>
        <v>0.346730653869226</v>
      </c>
      <c r="L39" s="0" t="n">
        <v>29</v>
      </c>
      <c r="M39" s="16" t="n">
        <f aca="false">IF(ABS(M38-$B$11/$B$9*((MAX(0,MIN(1,M38))^2/(MAX(0,MIN(1,M38))^2+(1-MAX(0,MIN(1,M38)))^2/$B$5))-(MAX(0,MIN(1,1))^2/(MAX(0,MIN(1,1))^2+(1-MAX(0,MIN(1,1)))^2/$B$5))))&lt;0.000000001,0,M38-$B$11/$B$9*((MAX(0,MIN(1,M38))^2/(MAX(0,MIN(1,M38))^2+(1-MAX(0,MIN(1,M38)))^2/$B$5))-(MAX(0,MIN(1,1))^2/(MAX(0,MIN(1,1))^2+(1-MAX(0,MIN(1,1)))^2/$B$5))))</f>
        <v>0.904338794695163</v>
      </c>
      <c r="N39" s="16" t="n">
        <f aca="false">IF(ABS(N38-$B$11/$B$9*((MAX(0,MIN(1,N38))^2/(MAX(0,MIN(1,N38))^2+(1-MAX(0,MIN(1,N38)))^2/$B$5))-(MAX(0,MIN(1,M38))^2/(MAX(0,MIN(1,M38))^2+(1-MAX(0,MIN(1,M38)))^2/$B$5))))&lt;0.000000001,0,N38-$B$11/$B$9*((MAX(0,MIN(1,N38))^2/(MAX(0,MIN(1,N38))^2+(1-MAX(0,MIN(1,N38)))^2/$B$5))-(MAX(0,MIN(1,M38))^2/(MAX(0,MIN(1,M38))^2+(1-MAX(0,MIN(1,M38)))^2/$B$5))))</f>
        <v>0.859179027239181</v>
      </c>
      <c r="O39" s="16" t="n">
        <f aca="false">IF(ABS(O38-$B$11/$B$9*((MAX(0,MIN(1,O38))^2/(MAX(0,MIN(1,O38))^2+(1-MAX(0,MIN(1,O38)))^2/$B$5))-(MAX(0,MIN(1,N38))^2/(MAX(0,MIN(1,N38))^2+(1-MAX(0,MIN(1,N38)))^2/$B$5))))&lt;0.000000001,0,O38-$B$11/$B$9*((MAX(0,MIN(1,O38))^2/(MAX(0,MIN(1,O38))^2+(1-MAX(0,MIN(1,O38)))^2/$B$5))-(MAX(0,MIN(1,N38))^2/(MAX(0,MIN(1,N38))^2+(1-MAX(0,MIN(1,N38)))^2/$B$5))))</f>
        <v>0.823451902383642</v>
      </c>
      <c r="P39" s="16" t="n">
        <f aca="false">IF(ABS(P38-$B$11/$B$9*((MAX(0,MIN(1,P38))^2/(MAX(0,MIN(1,P38))^2+(1-MAX(0,MIN(1,P38)))^2/$B$5))-(MAX(0,MIN(1,O38))^2/(MAX(0,MIN(1,O38))^2+(1-MAX(0,MIN(1,O38)))^2/$B$5))))&lt;0.000000001,0,P38-$B$11/$B$9*((MAX(0,MIN(1,P38))^2/(MAX(0,MIN(1,P38))^2+(1-MAX(0,MIN(1,P38)))^2/$B$5))-(MAX(0,MIN(1,O38))^2/(MAX(0,MIN(1,O38))^2+(1-MAX(0,MIN(1,O38)))^2/$B$5))))</f>
        <v>0.793092438927033</v>
      </c>
      <c r="Q39" s="16" t="n">
        <f aca="false">IF(ABS(Q38-$B$11/$B$9*((MAX(0,MIN(1,Q38))^2/(MAX(0,MIN(1,Q38))^2+(1-MAX(0,MIN(1,Q38)))^2/$B$5))-(MAX(0,MIN(1,P38))^2/(MAX(0,MIN(1,P38))^2+(1-MAX(0,MIN(1,P38)))^2/$B$5))))&lt;0.000000001,0,Q38-$B$11/$B$9*((MAX(0,MIN(1,Q38))^2/(MAX(0,MIN(1,Q38))^2+(1-MAX(0,MIN(1,Q38)))^2/$B$5))-(MAX(0,MIN(1,P38))^2/(MAX(0,MIN(1,P38))^2+(1-MAX(0,MIN(1,P38)))^2/$B$5))))</f>
        <v>0.766316500621343</v>
      </c>
      <c r="R39" s="16" t="n">
        <f aca="false">IF(ABS(R38-$B$11/$B$9*((MAX(0,MIN(1,R38))^2/(MAX(0,MIN(1,R38))^2+(1-MAX(0,MIN(1,R38)))^2/$B$5))-(MAX(0,MIN(1,Q38))^2/(MAX(0,MIN(1,Q38))^2+(1-MAX(0,MIN(1,Q38)))^2/$B$5))))&lt;0.000000001,0,R38-$B$11/$B$9*((MAX(0,MIN(1,R38))^2/(MAX(0,MIN(1,R38))^2+(1-MAX(0,MIN(1,R38)))^2/$B$5))-(MAX(0,MIN(1,Q38))^2/(MAX(0,MIN(1,Q38))^2+(1-MAX(0,MIN(1,Q38)))^2/$B$5))))</f>
        <v>0.742099486947495</v>
      </c>
      <c r="S39" s="16" t="n">
        <f aca="false">IF(ABS(S38-$B$11/$B$9*((MAX(0,MIN(1,S38))^2/(MAX(0,MIN(1,S38))^2+(1-MAX(0,MIN(1,S38)))^2/$B$5))-(MAX(0,MIN(1,R38))^2/(MAX(0,MIN(1,R38))^2+(1-MAX(0,MIN(1,R38)))^2/$B$5))))&lt;0.000000001,0,S38-$B$11/$B$9*((MAX(0,MIN(1,S38))^2/(MAX(0,MIN(1,S38))^2+(1-MAX(0,MIN(1,S38)))^2/$B$5))-(MAX(0,MIN(1,R38))^2/(MAX(0,MIN(1,R38))^2+(1-MAX(0,MIN(1,R38)))^2/$B$5))))</f>
        <v>0.719762716884973</v>
      </c>
      <c r="T39" s="16" t="n">
        <f aca="false">IF(ABS(T38-$B$11/$B$9*((MAX(0,MIN(1,T38))^2/(MAX(0,MIN(1,T38))^2+(1-MAX(0,MIN(1,T38)))^2/$B$5))-(MAX(0,MIN(1,S38))^2/(MAX(0,MIN(1,S38))^2+(1-MAX(0,MIN(1,S38)))^2/$B$5))))&lt;0.000000001,0,T38-$B$11/$B$9*((MAX(0,MIN(1,T38))^2/(MAX(0,MIN(1,T38))^2+(1-MAX(0,MIN(1,T38)))^2/$B$5))-(MAX(0,MIN(1,S38))^2/(MAX(0,MIN(1,S38))^2+(1-MAX(0,MIN(1,S38)))^2/$B$5))))</f>
        <v>0.698805535836375</v>
      </c>
      <c r="U39" s="16" t="n">
        <f aca="false">IF(ABS(U38-$B$11/$B$9*((MAX(0,MIN(1,U38))^2/(MAX(0,MIN(1,U38))^2+(1-MAX(0,MIN(1,U38)))^2/$B$5))-(MAX(0,MIN(1,T38))^2/(MAX(0,MIN(1,T38))^2+(1-MAX(0,MIN(1,T38)))^2/$B$5))))&lt;0.000000001,0,U38-$B$11/$B$9*((MAX(0,MIN(1,U38))^2/(MAX(0,MIN(1,U38))^2+(1-MAX(0,MIN(1,U38)))^2/$B$5))-(MAX(0,MIN(1,T38))^2/(MAX(0,MIN(1,T38))^2+(1-MAX(0,MIN(1,T38)))^2/$B$5))))</f>
        <v>0.678816448706201</v>
      </c>
      <c r="V39" s="16" t="n">
        <f aca="false">IF(ABS(V38-$B$11/$B$9*((MAX(0,MIN(1,V38))^2/(MAX(0,MIN(1,V38))^2+(1-MAX(0,MIN(1,V38)))^2/$B$5))-(MAX(0,MIN(1,U38))^2/(MAX(0,MIN(1,U38))^2+(1-MAX(0,MIN(1,U38)))^2/$B$5))))&lt;0.000000001,0,V38-$B$11/$B$9*((MAX(0,MIN(1,V38))^2/(MAX(0,MIN(1,V38))^2+(1-MAX(0,MIN(1,V38)))^2/$B$5))-(MAX(0,MIN(1,U38))^2/(MAX(0,MIN(1,U38))^2+(1-MAX(0,MIN(1,U38)))^2/$B$5))))</f>
        <v>0.659409704051839</v>
      </c>
      <c r="W39" s="16" t="n">
        <f aca="false">IF(ABS(W38-$B$11/$B$9*((MAX(0,MIN(1,W38))^2/(MAX(0,MIN(1,W38))^2+(1-MAX(0,MIN(1,W38)))^2/$B$5))-(MAX(0,MIN(1,V38))^2/(MAX(0,MIN(1,V38))^2+(1-MAX(0,MIN(1,V38)))^2/$B$5))))&lt;0.000000001,0,W38-$B$11/$B$9*((MAX(0,MIN(1,W38))^2/(MAX(0,MIN(1,W38))^2+(1-MAX(0,MIN(1,W38)))^2/$B$5))-(MAX(0,MIN(1,V38))^2/(MAX(0,MIN(1,V38))^2+(1-MAX(0,MIN(1,V38)))^2/$B$5))))</f>
        <v>0.640156592228933</v>
      </c>
      <c r="X39" s="16" t="n">
        <f aca="false">IF(ABS(X38-$B$11/$B$9*((MAX(0,MIN(1,X38))^2/(MAX(0,MIN(1,X38))^2+(1-MAX(0,MIN(1,X38)))^2/$B$5))-(MAX(0,MIN(1,W38))^2/(MAX(0,MIN(1,W38))^2+(1-MAX(0,MIN(1,W38)))^2/$B$5))))&lt;0.000000001,0,X38-$B$11/$B$9*((MAX(0,MIN(1,X38))^2/(MAX(0,MIN(1,X38))^2+(1-MAX(0,MIN(1,X38)))^2/$B$5))-(MAX(0,MIN(1,W38))^2/(MAX(0,MIN(1,W38))^2+(1-MAX(0,MIN(1,W38)))^2/$B$5))))</f>
        <v>0.62046943250167</v>
      </c>
      <c r="Y39" s="16" t="n">
        <f aca="false">IF(ABS(Y38-$B$11/$B$9*((MAX(0,MIN(1,Y38))^2/(MAX(0,MIN(1,Y38))^2+(1-MAX(0,MIN(1,Y38)))^2/$B$5))-(MAX(0,MIN(1,X38))^2/(MAX(0,MIN(1,X38))^2+(1-MAX(0,MIN(1,X38)))^2/$B$5))))&lt;0.000000001,0,Y38-$B$11/$B$9*((MAX(0,MIN(1,Y38))^2/(MAX(0,MIN(1,Y38))^2+(1-MAX(0,MIN(1,Y38)))^2/$B$5))-(MAX(0,MIN(1,X38))^2/(MAX(0,MIN(1,X38))^2+(1-MAX(0,MIN(1,X38)))^2/$B$5))))</f>
        <v>0.599329309927415</v>
      </c>
      <c r="Z39" s="16" t="n">
        <f aca="false">IF(ABS(Z38-$B$11/$B$9*((MAX(0,MIN(1,Z38))^2/(MAX(0,MIN(1,Z38))^2+(1-MAX(0,MIN(1,Z38)))^2/$B$5))-(MAX(0,MIN(1,Y38))^2/(MAX(0,MIN(1,Y38))^2+(1-MAX(0,MIN(1,Y38)))^2/$B$5))))&lt;0.000000001,0,Z38-$B$11/$B$9*((MAX(0,MIN(1,Z38))^2/(MAX(0,MIN(1,Z38))^2+(1-MAX(0,MIN(1,Z38)))^2/$B$5))-(MAX(0,MIN(1,Y38))^2/(MAX(0,MIN(1,Y38))^2+(1-MAX(0,MIN(1,Y38)))^2/$B$5))))</f>
        <v>0.574456913649305</v>
      </c>
      <c r="AA39" s="16" t="n">
        <f aca="false">IF(ABS(AA38-$B$11/$B$9*((MAX(0,MIN(1,AA38))^2/(MAX(0,MIN(1,AA38))^2+(1-MAX(0,MIN(1,AA38)))^2/$B$5))-(MAX(0,MIN(1,Z38))^2/(MAX(0,MIN(1,Z38))^2+(1-MAX(0,MIN(1,Z38)))^2/$B$5))))&lt;0.000000001,0,AA38-$B$11/$B$9*((MAX(0,MIN(1,AA38))^2/(MAX(0,MIN(1,AA38))^2+(1-MAX(0,MIN(1,AA38)))^2/$B$5))-(MAX(0,MIN(1,Z38))^2/(MAX(0,MIN(1,Z38))^2+(1-MAX(0,MIN(1,Z38)))^2/$B$5))))</f>
        <v>0.538742301377214</v>
      </c>
      <c r="AB39" s="16" t="n">
        <f aca="false">IF(ABS(AB38-$B$11/$B$9*((MAX(0,MIN(1,AB38))^2/(MAX(0,MIN(1,AB38))^2+(1-MAX(0,MIN(1,AB38)))^2/$B$5))-(MAX(0,MIN(1,AA38))^2/(MAX(0,MIN(1,AA38))^2+(1-MAX(0,MIN(1,AA38)))^2/$B$5))))&lt;0.000000001,0,AB38-$B$11/$B$9*((MAX(0,MIN(1,AB38))^2/(MAX(0,MIN(1,AB38))^2+(1-MAX(0,MIN(1,AB38)))^2/$B$5))-(MAX(0,MIN(1,AA38))^2/(MAX(0,MIN(1,AA38))^2+(1-MAX(0,MIN(1,AA38)))^2/$B$5))))</f>
        <v>0.447518994226924</v>
      </c>
      <c r="AC39" s="16" t="n">
        <f aca="false">IF(ABS(AC38-$B$11/$B$9*((MAX(0,MIN(1,AC38))^2/(MAX(0,MIN(1,AC38))^2+(1-MAX(0,MIN(1,AC38)))^2/$B$5))-(MAX(0,MIN(1,AB38))^2/(MAX(0,MIN(1,AB38))^2+(1-MAX(0,MIN(1,AB38)))^2/$B$5))))&lt;0.000000001,0,AC38-$B$11/$B$9*((MAX(0,MIN(1,AC38))^2/(MAX(0,MIN(1,AC38))^2+(1-MAX(0,MIN(1,AC38)))^2/$B$5))-(MAX(0,MIN(1,AB38))^2/(MAX(0,MIN(1,AB38))^2+(1-MAX(0,MIN(1,AB38)))^2/$B$5))))</f>
        <v>0.0854532645522238</v>
      </c>
      <c r="AD39" s="16" t="n">
        <f aca="false">IF(ABS(AD38-$B$11/$B$9*((MAX(0,MIN(1,AD38))^2/(MAX(0,MIN(1,AD38))^2+(1-MAX(0,MIN(1,AD38)))^2/$B$5))-(MAX(0,MIN(1,AC38))^2/(MAX(0,MIN(1,AC38))^2+(1-MAX(0,MIN(1,AC38)))^2/$B$5))))&lt;0.000000001,0,AD38-$B$11/$B$9*((MAX(0,MIN(1,AD38))^2/(MAX(0,MIN(1,AD38))^2+(1-MAX(0,MIN(1,AD38)))^2/$B$5))-(MAX(0,MIN(1,AC38))^2/(MAX(0,MIN(1,AC38))^2+(1-MAX(0,MIN(1,AC38)))^2/$B$5))))</f>
        <v>1.08038619286697E-005</v>
      </c>
      <c r="AE39" s="16" t="n">
        <f aca="false">IF(ABS(AE38-$B$11/$B$9*((MAX(0,MIN(1,AE38))^2/(MAX(0,MIN(1,AE38))^2+(1-MAX(0,MIN(1,AE38)))^2/$B$5))-(MAX(0,MIN(1,AD38))^2/(MAX(0,MIN(1,AD38))^2+(1-MAX(0,MIN(1,AD38)))^2/$B$5))))&lt;0.000000001,0,AE38-$B$11/$B$9*((MAX(0,MIN(1,AE38))^2/(MAX(0,MIN(1,AE38))^2+(1-MAX(0,MIN(1,AE38)))^2/$B$5))-(MAX(0,MIN(1,AD38))^2/(MAX(0,MIN(1,AD38))^2+(1-MAX(0,MIN(1,AD38)))^2/$B$5))))</f>
        <v>0</v>
      </c>
      <c r="AF39" s="16" t="n">
        <f aca="false">IF(ABS(AF38-$B$11/$B$9*((MAX(0,MIN(1,AF38))^2/(MAX(0,MIN(1,AF38))^2+(1-MAX(0,MIN(1,AF38)))^2/$B$5))-(MAX(0,MIN(1,AE38))^2/(MAX(0,MIN(1,AE38))^2+(1-MAX(0,MIN(1,AE38)))^2/$B$5))))&lt;0.000000001,0,AF38-$B$11/$B$9*((MAX(0,MIN(1,AF38))^2/(MAX(0,MIN(1,AF38))^2+(1-MAX(0,MIN(1,AF38)))^2/$B$5))-(MAX(0,MIN(1,AE38))^2/(MAX(0,MIN(1,AE38))^2+(1-MAX(0,MIN(1,AE38)))^2/$B$5))))</f>
        <v>0</v>
      </c>
    </row>
    <row r="40" customFormat="false" ht="15" hidden="false" customHeight="false" outlineLevel="0" collapsed="false">
      <c r="A40" s="0" t="n">
        <v>0.35</v>
      </c>
      <c r="D40" s="0" t="n">
        <f aca="false">A40</f>
        <v>0.35</v>
      </c>
      <c r="E40" s="0" t="n">
        <f aca="false">(G40-G39)/(A40-A39)</f>
        <v>2.03105446326465</v>
      </c>
      <c r="F40" s="0" t="n">
        <f aca="false">G40/A40</f>
        <v>1.04868913857678</v>
      </c>
      <c r="G40" s="0" t="n">
        <f aca="false">A40^2/(A40^2+(1-A40)^2/$B$5)</f>
        <v>0.367041198501873</v>
      </c>
      <c r="L40" s="0" t="n">
        <v>30</v>
      </c>
      <c r="M40" s="16" t="n">
        <f aca="false">IF(ABS(M39-$B$11/$B$9*((MAX(0,MIN(1,M39))^2/(MAX(0,MIN(1,M39))^2+(1-MAX(0,MIN(1,M39)))^2/$B$5))-(MAX(0,MIN(1,1))^2/(MAX(0,MIN(1,1))^2+(1-MAX(0,MIN(1,1)))^2/$B$5))))&lt;0.000000001,0,M39-$B$11/$B$9*((MAX(0,MIN(1,M39))^2/(MAX(0,MIN(1,M39))^2+(1-MAX(0,MIN(1,M39)))^2/$B$5))-(MAX(0,MIN(1,1))^2/(MAX(0,MIN(1,1))^2+(1-MAX(0,MIN(1,1)))^2/$B$5))))</f>
        <v>0.906478175920284</v>
      </c>
      <c r="N40" s="16" t="n">
        <f aca="false">IF(ABS(N39-$B$11/$B$9*((MAX(0,MIN(1,N39))^2/(MAX(0,MIN(1,N39))^2+(1-MAX(0,MIN(1,N39)))^2/$B$5))-(MAX(0,MIN(1,M39))^2/(MAX(0,MIN(1,M39))^2+(1-MAX(0,MIN(1,M39)))^2/$B$5))))&lt;0.000000001,0,N39-$B$11/$B$9*((MAX(0,MIN(1,N39))^2/(MAX(0,MIN(1,N39))^2+(1-MAX(0,MIN(1,N39)))^2/$B$5))-(MAX(0,MIN(1,M39))^2/(MAX(0,MIN(1,M39))^2+(1-MAX(0,MIN(1,M39)))^2/$B$5))))</f>
        <v>0.862136175873123</v>
      </c>
      <c r="O40" s="16" t="n">
        <f aca="false">IF(ABS(O39-$B$11/$B$9*((MAX(0,MIN(1,O39))^2/(MAX(0,MIN(1,O39))^2+(1-MAX(0,MIN(1,O39)))^2/$B$5))-(MAX(0,MIN(1,N39))^2/(MAX(0,MIN(1,N39))^2+(1-MAX(0,MIN(1,N39)))^2/$B$5))))&lt;0.000000001,0,O39-$B$11/$B$9*((MAX(0,MIN(1,O39))^2/(MAX(0,MIN(1,O39))^2+(1-MAX(0,MIN(1,O39)))^2/$B$5))-(MAX(0,MIN(1,N39))^2/(MAX(0,MIN(1,N39))^2+(1-MAX(0,MIN(1,N39)))^2/$B$5))))</f>
        <v>0.826994754982445</v>
      </c>
      <c r="P40" s="16" t="n">
        <f aca="false">IF(ABS(P39-$B$11/$B$9*((MAX(0,MIN(1,P39))^2/(MAX(0,MIN(1,P39))^2+(1-MAX(0,MIN(1,P39)))^2/$B$5))-(MAX(0,MIN(1,O39))^2/(MAX(0,MIN(1,O39))^2+(1-MAX(0,MIN(1,O39)))^2/$B$5))))&lt;0.000000001,0,P39-$B$11/$B$9*((MAX(0,MIN(1,P39))^2/(MAX(0,MIN(1,P39))^2+(1-MAX(0,MIN(1,P39)))^2/$B$5))-(MAX(0,MIN(1,O39))^2/(MAX(0,MIN(1,O39))^2+(1-MAX(0,MIN(1,O39)))^2/$B$5))))</f>
        <v>0.797108382223978</v>
      </c>
      <c r="Q40" s="16" t="n">
        <f aca="false">IF(ABS(Q39-$B$11/$B$9*((MAX(0,MIN(1,Q39))^2/(MAX(0,MIN(1,Q39))^2+(1-MAX(0,MIN(1,Q39)))^2/$B$5))-(MAX(0,MIN(1,P39))^2/(MAX(0,MIN(1,P39))^2+(1-MAX(0,MIN(1,P39)))^2/$B$5))))&lt;0.000000001,0,Q39-$B$11/$B$9*((MAX(0,MIN(1,Q39))^2/(MAX(0,MIN(1,Q39))^2+(1-MAX(0,MIN(1,Q39)))^2/$B$5))-(MAX(0,MIN(1,P39))^2/(MAX(0,MIN(1,P39))^2+(1-MAX(0,MIN(1,P39)))^2/$B$5))))</f>
        <v>0.770745751639196</v>
      </c>
      <c r="R40" s="16" t="n">
        <f aca="false">IF(ABS(R39-$B$11/$B$9*((MAX(0,MIN(1,R39))^2/(MAX(0,MIN(1,R39))^2+(1-MAX(0,MIN(1,R39)))^2/$B$5))-(MAX(0,MIN(1,Q39))^2/(MAX(0,MIN(1,Q39))^2+(1-MAX(0,MIN(1,Q39)))^2/$B$5))))&lt;0.000000001,0,R39-$B$11/$B$9*((MAX(0,MIN(1,R39))^2/(MAX(0,MIN(1,R39))^2+(1-MAX(0,MIN(1,R39)))^2/$B$5))-(MAX(0,MIN(1,Q39))^2/(MAX(0,MIN(1,Q39))^2+(1-MAX(0,MIN(1,Q39)))^2/$B$5))))</f>
        <v>0.746913551475006</v>
      </c>
      <c r="S40" s="16" t="n">
        <f aca="false">IF(ABS(S39-$B$11/$B$9*((MAX(0,MIN(1,S39))^2/(MAX(0,MIN(1,S39))^2+(1-MAX(0,MIN(1,S39)))^2/$B$5))-(MAX(0,MIN(1,R39))^2/(MAX(0,MIN(1,R39))^2+(1-MAX(0,MIN(1,R39)))^2/$B$5))))&lt;0.000000001,0,S39-$B$11/$B$9*((MAX(0,MIN(1,S39))^2/(MAX(0,MIN(1,S39))^2+(1-MAX(0,MIN(1,S39)))^2/$B$5))-(MAX(0,MIN(1,R39))^2/(MAX(0,MIN(1,R39))^2+(1-MAX(0,MIN(1,R39)))^2/$B$5))))</f>
        <v>0.724956335127904</v>
      </c>
      <c r="T40" s="16" t="n">
        <f aca="false">IF(ABS(T39-$B$11/$B$9*((MAX(0,MIN(1,T39))^2/(MAX(0,MIN(1,T39))^2+(1-MAX(0,MIN(1,T39)))^2/$B$5))-(MAX(0,MIN(1,S39))^2/(MAX(0,MIN(1,S39))^2+(1-MAX(0,MIN(1,S39)))^2/$B$5))))&lt;0.000000001,0,T39-$B$11/$B$9*((MAX(0,MIN(1,T39))^2/(MAX(0,MIN(1,T39))^2+(1-MAX(0,MIN(1,T39)))^2/$B$5))-(MAX(0,MIN(1,S39))^2/(MAX(0,MIN(1,S39))^2+(1-MAX(0,MIN(1,S39)))^2/$B$5))))</f>
        <v>0.704395239970938</v>
      </c>
      <c r="U40" s="16" t="n">
        <f aca="false">IF(ABS(U39-$B$11/$B$9*((MAX(0,MIN(1,U39))^2/(MAX(0,MIN(1,U39))^2+(1-MAX(0,MIN(1,U39)))^2/$B$5))-(MAX(0,MIN(1,T39))^2/(MAX(0,MIN(1,T39))^2+(1-MAX(0,MIN(1,T39)))^2/$B$5))))&lt;0.000000001,0,U39-$B$11/$B$9*((MAX(0,MIN(1,U39))^2/(MAX(0,MIN(1,U39))^2+(1-MAX(0,MIN(1,U39)))^2/$B$5))-(MAX(0,MIN(1,T39))^2/(MAX(0,MIN(1,T39))^2+(1-MAX(0,MIN(1,T39)))^2/$B$5))))</f>
        <v>0.684844529577654</v>
      </c>
      <c r="V40" s="16" t="n">
        <f aca="false">IF(ABS(V39-$B$11/$B$9*((MAX(0,MIN(1,V39))^2/(MAX(0,MIN(1,V39))^2+(1-MAX(0,MIN(1,V39)))^2/$B$5))-(MAX(0,MIN(1,U39))^2/(MAX(0,MIN(1,U39))^2+(1-MAX(0,MIN(1,U39)))^2/$B$5))))&lt;0.000000001,0,V39-$B$11/$B$9*((MAX(0,MIN(1,V39))^2/(MAX(0,MIN(1,V39))^2+(1-MAX(0,MIN(1,V39)))^2/$B$5))-(MAX(0,MIN(1,U39))^2/(MAX(0,MIN(1,U39))^2+(1-MAX(0,MIN(1,U39)))^2/$B$5))))</f>
        <v>0.665955665254501</v>
      </c>
      <c r="W40" s="16" t="n">
        <f aca="false">IF(ABS(W39-$B$11/$B$9*((MAX(0,MIN(1,W39))^2/(MAX(0,MIN(1,W39))^2+(1-MAX(0,MIN(1,W39)))^2/$B$5))-(MAX(0,MIN(1,V39))^2/(MAX(0,MIN(1,V39))^2+(1-MAX(0,MIN(1,V39)))^2/$B$5))))&lt;0.000000001,0,W39-$B$11/$B$9*((MAX(0,MIN(1,W39))^2/(MAX(0,MIN(1,W39))^2+(1-MAX(0,MIN(1,W39)))^2/$B$5))-(MAX(0,MIN(1,V39))^2/(MAX(0,MIN(1,V39))^2+(1-MAX(0,MIN(1,V39)))^2/$B$5))))</f>
        <v>0.647363489545764</v>
      </c>
      <c r="X40" s="16" t="n">
        <f aca="false">IF(ABS(X39-$B$11/$B$9*((MAX(0,MIN(1,X39))^2/(MAX(0,MIN(1,X39))^2+(1-MAX(0,MIN(1,X39)))^2/$B$5))-(MAX(0,MIN(1,W39))^2/(MAX(0,MIN(1,W39))^2+(1-MAX(0,MIN(1,W39)))^2/$B$5))))&lt;0.000000001,0,X39-$B$11/$B$9*((MAX(0,MIN(1,X39))^2/(MAX(0,MIN(1,X39))^2+(1-MAX(0,MIN(1,X39)))^2/$B$5))-(MAX(0,MIN(1,W39))^2/(MAX(0,MIN(1,W39))^2+(1-MAX(0,MIN(1,W39)))^2/$B$5))))</f>
        <v>0.628606899273776</v>
      </c>
      <c r="Y40" s="16" t="n">
        <f aca="false">IF(ABS(Y39-$B$11/$B$9*((MAX(0,MIN(1,Y39))^2/(MAX(0,MIN(1,Y39))^2+(1-MAX(0,MIN(1,Y39)))^2/$B$5))-(MAX(0,MIN(1,X39))^2/(MAX(0,MIN(1,X39))^2+(1-MAX(0,MIN(1,X39)))^2/$B$5))))&lt;0.000000001,0,Y39-$B$11/$B$9*((MAX(0,MIN(1,Y39))^2/(MAX(0,MIN(1,Y39))^2+(1-MAX(0,MIN(1,Y39)))^2/$B$5))-(MAX(0,MIN(1,X39))^2/(MAX(0,MIN(1,X39))^2+(1-MAX(0,MIN(1,X39)))^2/$B$5))))</f>
        <v>0.608963929149269</v>
      </c>
      <c r="Z40" s="16" t="n">
        <f aca="false">IF(ABS(Z39-$B$11/$B$9*((MAX(0,MIN(1,Z39))^2/(MAX(0,MIN(1,Z39))^2+(1-MAX(0,MIN(1,Z39)))^2/$B$5))-(MAX(0,MIN(1,Y39))^2/(MAX(0,MIN(1,Y39))^2+(1-MAX(0,MIN(1,Y39)))^2/$B$5))))&lt;0.000000001,0,Z39-$B$11/$B$9*((MAX(0,MIN(1,Z39))^2/(MAX(0,MIN(1,Z39))^2+(1-MAX(0,MIN(1,Z39)))^2/$B$5))-(MAX(0,MIN(1,Y39))^2/(MAX(0,MIN(1,Y39))^2+(1-MAX(0,MIN(1,Y39)))^2/$B$5))))</f>
        <v>0.587011798686818</v>
      </c>
      <c r="AA40" s="16" t="n">
        <f aca="false">IF(ABS(AA39-$B$11/$B$9*((MAX(0,MIN(1,AA39))^2/(MAX(0,MIN(1,AA39))^2+(1-MAX(0,MIN(1,AA39)))^2/$B$5))-(MAX(0,MIN(1,Z39))^2/(MAX(0,MIN(1,Z39))^2+(1-MAX(0,MIN(1,Z39)))^2/$B$5))))&lt;0.000000001,0,AA39-$B$11/$B$9*((MAX(0,MIN(1,AA39))^2/(MAX(0,MIN(1,AA39))^2+(1-MAX(0,MIN(1,AA39)))^2/$B$5))-(MAX(0,MIN(1,Z39))^2/(MAX(0,MIN(1,Z39))^2+(1-MAX(0,MIN(1,Z39)))^2/$B$5))))</f>
        <v>0.559088738804538</v>
      </c>
      <c r="AB40" s="16" t="n">
        <f aca="false">IF(ABS(AB39-$B$11/$B$9*((MAX(0,MIN(1,AB39))^2/(MAX(0,MIN(1,AB39))^2+(1-MAX(0,MIN(1,AB39)))^2/$B$5))-(MAX(0,MIN(1,AA39))^2/(MAX(0,MIN(1,AA39))^2+(1-MAX(0,MIN(1,AA39)))^2/$B$5))))&lt;0.000000001,0,AB39-$B$11/$B$9*((MAX(0,MIN(1,AB39))^2/(MAX(0,MIN(1,AB39))^2+(1-MAX(0,MIN(1,AB39)))^2/$B$5))-(MAX(0,MIN(1,AA39))^2/(MAX(0,MIN(1,AA39))^2+(1-MAX(0,MIN(1,AA39)))^2/$B$5))))</f>
        <v>0.510684143416102</v>
      </c>
      <c r="AC40" s="16" t="n">
        <f aca="false">IF(ABS(AC39-$B$11/$B$9*((MAX(0,MIN(1,AC39))^2/(MAX(0,MIN(1,AC39))^2+(1-MAX(0,MIN(1,AC39)))^2/$B$5))-(MAX(0,MIN(1,AB39))^2/(MAX(0,MIN(1,AB39))^2+(1-MAX(0,MIN(1,AB39)))^2/$B$5))))&lt;0.000000001,0,AC39-$B$11/$B$9*((MAX(0,MIN(1,AC39))^2/(MAX(0,MIN(1,AC39))^2+(1-MAX(0,MIN(1,AC39)))^2/$B$5))-(MAX(0,MIN(1,AB39))^2/(MAX(0,MIN(1,AB39))^2+(1-MAX(0,MIN(1,AB39)))^2/$B$5))))</f>
        <v>0.297084017448097</v>
      </c>
      <c r="AD40" s="16" t="n">
        <f aca="false">IF(ABS(AD39-$B$11/$B$9*((MAX(0,MIN(1,AD39))^2/(MAX(0,MIN(1,AD39))^2+(1-MAX(0,MIN(1,AD39)))^2/$B$5))-(MAX(0,MIN(1,AC39))^2/(MAX(0,MIN(1,AC39))^2+(1-MAX(0,MIN(1,AC39)))^2/$B$5))))&lt;0.000000001,0,AD39-$B$11/$B$9*((MAX(0,MIN(1,AD39))^2/(MAX(0,MIN(1,AD39))^2+(1-MAX(0,MIN(1,AD39)))^2/$B$5))-(MAX(0,MIN(1,AC39))^2/(MAX(0,MIN(1,AC39))^2+(1-MAX(0,MIN(1,AC39)))^2/$B$5))))</f>
        <v>0.0066099752948321</v>
      </c>
      <c r="AE40" s="16" t="n">
        <f aca="false">IF(ABS(AE39-$B$11/$B$9*((MAX(0,MIN(1,AE39))^2/(MAX(0,MIN(1,AE39))^2+(1-MAX(0,MIN(1,AE39)))^2/$B$5))-(MAX(0,MIN(1,AD39))^2/(MAX(0,MIN(1,AD39))^2+(1-MAX(0,MIN(1,AD39)))^2/$B$5))))&lt;0.000000001,0,AE39-$B$11/$B$9*((MAX(0,MIN(1,AE39))^2/(MAX(0,MIN(1,AE39))^2+(1-MAX(0,MIN(1,AE39)))^2/$B$5))-(MAX(0,MIN(1,AD39))^2/(MAX(0,MIN(1,AD39))^2+(1-MAX(0,MIN(1,AD39)))^2/$B$5))))</f>
        <v>0</v>
      </c>
      <c r="AF40" s="16" t="n">
        <f aca="false">IF(ABS(AF39-$B$11/$B$9*((MAX(0,MIN(1,AF39))^2/(MAX(0,MIN(1,AF39))^2+(1-MAX(0,MIN(1,AF39)))^2/$B$5))-(MAX(0,MIN(1,AE39))^2/(MAX(0,MIN(1,AE39))^2+(1-MAX(0,MIN(1,AE39)))^2/$B$5))))&lt;0.000000001,0,AF39-$B$11/$B$9*((MAX(0,MIN(1,AF39))^2/(MAX(0,MIN(1,AF39))^2+(1-MAX(0,MIN(1,AF39)))^2/$B$5))-(MAX(0,MIN(1,AE39))^2/(MAX(0,MIN(1,AE39))^2+(1-MAX(0,MIN(1,AE39)))^2/$B$5))))</f>
        <v>0</v>
      </c>
    </row>
    <row r="41" customFormat="false" ht="15" hidden="false" customHeight="false" outlineLevel="0" collapsed="false">
      <c r="A41" s="0" t="n">
        <v>0.36</v>
      </c>
      <c r="D41" s="0" t="n">
        <f aca="false">A41</f>
        <v>0.36</v>
      </c>
      <c r="E41" s="0" t="n">
        <f aca="false">(G41-G40)/(A41-A40)</f>
        <v>2.05186101105675</v>
      </c>
      <c r="F41" s="0" t="n">
        <f aca="false">G41/A41</f>
        <v>1.07655502392345</v>
      </c>
      <c r="G41" s="0" t="n">
        <f aca="false">A41^2/(A41^2+(1-A41)^2/$B$5)</f>
        <v>0.38755980861244</v>
      </c>
      <c r="L41" s="0" t="n">
        <v>31</v>
      </c>
      <c r="M41" s="16" t="n">
        <f aca="false">IF(ABS(M40-$B$11/$B$9*((MAX(0,MIN(1,M40))^2/(MAX(0,MIN(1,M40))^2+(1-MAX(0,MIN(1,M40)))^2/$B$5))-(MAX(0,MIN(1,1))^2/(MAX(0,MIN(1,1))^2+(1-MAX(0,MIN(1,1)))^2/$B$5))))&lt;0.000000001,0,M40-$B$11/$B$9*((MAX(0,MIN(1,M40))^2/(MAX(0,MIN(1,M40))^2+(1-MAX(0,MIN(1,M40)))^2/$B$5))-(MAX(0,MIN(1,1))^2/(MAX(0,MIN(1,1))^2+(1-MAX(0,MIN(1,1)))^2/$B$5))))</f>
        <v>0.908513847947386</v>
      </c>
      <c r="N41" s="16" t="n">
        <f aca="false">IF(ABS(N40-$B$11/$B$9*((MAX(0,MIN(1,N40))^2/(MAX(0,MIN(1,N40))^2+(1-MAX(0,MIN(1,N40)))^2/$B$5))-(MAX(0,MIN(1,M40))^2/(MAX(0,MIN(1,M40))^2+(1-MAX(0,MIN(1,M40)))^2/$B$5))))&lt;0.000000001,0,N40-$B$11/$B$9*((MAX(0,MIN(1,N40))^2/(MAX(0,MIN(1,N40))^2+(1-MAX(0,MIN(1,N40)))^2/$B$5))-(MAX(0,MIN(1,M40))^2/(MAX(0,MIN(1,M40))^2+(1-MAX(0,MIN(1,M40)))^2/$B$5))))</f>
        <v>0.864954877600246</v>
      </c>
      <c r="O41" s="16" t="n">
        <f aca="false">IF(ABS(O40-$B$11/$B$9*((MAX(0,MIN(1,O40))^2/(MAX(0,MIN(1,O40))^2+(1-MAX(0,MIN(1,O40)))^2/$B$5))-(MAX(0,MIN(1,N40))^2/(MAX(0,MIN(1,N40))^2+(1-MAX(0,MIN(1,N40)))^2/$B$5))))&lt;0.000000001,0,O40-$B$11/$B$9*((MAX(0,MIN(1,O40))^2/(MAX(0,MIN(1,O40))^2+(1-MAX(0,MIN(1,O40)))^2/$B$5))-(MAX(0,MIN(1,N40))^2/(MAX(0,MIN(1,N40))^2+(1-MAX(0,MIN(1,N40)))^2/$B$5))))</f>
        <v>0.830374443782985</v>
      </c>
      <c r="P41" s="16" t="n">
        <f aca="false">IF(ABS(P40-$B$11/$B$9*((MAX(0,MIN(1,P40))^2/(MAX(0,MIN(1,P40))^2+(1-MAX(0,MIN(1,P40)))^2/$B$5))-(MAX(0,MIN(1,O40))^2/(MAX(0,MIN(1,O40))^2+(1-MAX(0,MIN(1,O40)))^2/$B$5))))&lt;0.000000001,0,P40-$B$11/$B$9*((MAX(0,MIN(1,P40))^2/(MAX(0,MIN(1,P40))^2+(1-MAX(0,MIN(1,P40)))^2/$B$5))-(MAX(0,MIN(1,O40))^2/(MAX(0,MIN(1,O40))^2+(1-MAX(0,MIN(1,O40)))^2/$B$5))))</f>
        <v>0.800939944513476</v>
      </c>
      <c r="Q41" s="16" t="n">
        <f aca="false">IF(ABS(Q40-$B$11/$B$9*((MAX(0,MIN(1,Q40))^2/(MAX(0,MIN(1,Q40))^2+(1-MAX(0,MIN(1,Q40)))^2/$B$5))-(MAX(0,MIN(1,P40))^2/(MAX(0,MIN(1,P40))^2+(1-MAX(0,MIN(1,P40)))^2/$B$5))))&lt;0.000000001,0,Q40-$B$11/$B$9*((MAX(0,MIN(1,Q40))^2/(MAX(0,MIN(1,Q40))^2+(1-MAX(0,MIN(1,Q40)))^2/$B$5))-(MAX(0,MIN(1,P40))^2/(MAX(0,MIN(1,P40))^2+(1-MAX(0,MIN(1,P40)))^2/$B$5))))</f>
        <v>0.774969912037859</v>
      </c>
      <c r="R41" s="16" t="n">
        <f aca="false">IF(ABS(R40-$B$11/$B$9*((MAX(0,MIN(1,R40))^2/(MAX(0,MIN(1,R40))^2+(1-MAX(0,MIN(1,R40)))^2/$B$5))-(MAX(0,MIN(1,Q40))^2/(MAX(0,MIN(1,Q40))^2+(1-MAX(0,MIN(1,Q40)))^2/$B$5))))&lt;0.000000001,0,R40-$B$11/$B$9*((MAX(0,MIN(1,R40))^2/(MAX(0,MIN(1,R40))^2+(1-MAX(0,MIN(1,R40)))^2/$B$5))-(MAX(0,MIN(1,Q40))^2/(MAX(0,MIN(1,Q40))^2+(1-MAX(0,MIN(1,Q40)))^2/$B$5))))</f>
        <v>0.751500213750067</v>
      </c>
      <c r="S41" s="16" t="n">
        <f aca="false">IF(ABS(S40-$B$11/$B$9*((MAX(0,MIN(1,S40))^2/(MAX(0,MIN(1,S40))^2+(1-MAX(0,MIN(1,S40)))^2/$B$5))-(MAX(0,MIN(1,R40))^2/(MAX(0,MIN(1,R40))^2+(1-MAX(0,MIN(1,R40)))^2/$B$5))))&lt;0.000000001,0,S40-$B$11/$B$9*((MAX(0,MIN(1,S40))^2/(MAX(0,MIN(1,S40))^2+(1-MAX(0,MIN(1,S40)))^2/$B$5))-(MAX(0,MIN(1,R40))^2/(MAX(0,MIN(1,R40))^2+(1-MAX(0,MIN(1,R40)))^2/$B$5))))</f>
        <v>0.729896478156771</v>
      </c>
      <c r="T41" s="16" t="n">
        <f aca="false">IF(ABS(T40-$B$11/$B$9*((MAX(0,MIN(1,T40))^2/(MAX(0,MIN(1,T40))^2+(1-MAX(0,MIN(1,T40)))^2/$B$5))-(MAX(0,MIN(1,S40))^2/(MAX(0,MIN(1,S40))^2+(1-MAX(0,MIN(1,S40)))^2/$B$5))))&lt;0.000000001,0,T40-$B$11/$B$9*((MAX(0,MIN(1,T40))^2/(MAX(0,MIN(1,T40))^2+(1-MAX(0,MIN(1,T40)))^2/$B$5))-(MAX(0,MIN(1,S40))^2/(MAX(0,MIN(1,S40))^2+(1-MAX(0,MIN(1,S40)))^2/$B$5))))</f>
        <v>0.709698713525748</v>
      </c>
      <c r="U41" s="16" t="n">
        <f aca="false">IF(ABS(U40-$B$11/$B$9*((MAX(0,MIN(1,U40))^2/(MAX(0,MIN(1,U40))^2+(1-MAX(0,MIN(1,U40)))^2/$B$5))-(MAX(0,MIN(1,T40))^2/(MAX(0,MIN(1,T40))^2+(1-MAX(0,MIN(1,T40)))^2/$B$5))))&lt;0.000000001,0,U40-$B$11/$B$9*((MAX(0,MIN(1,U40))^2/(MAX(0,MIN(1,U40))^2+(1-MAX(0,MIN(1,U40)))^2/$B$5))-(MAX(0,MIN(1,T40))^2/(MAX(0,MIN(1,T40))^2+(1-MAX(0,MIN(1,T40)))^2/$B$5))))</f>
        <v>0.690542230731703</v>
      </c>
      <c r="V41" s="16" t="n">
        <f aca="false">IF(ABS(V40-$B$11/$B$9*((MAX(0,MIN(1,V40))^2/(MAX(0,MIN(1,V40))^2+(1-MAX(0,MIN(1,V40)))^2/$B$5))-(MAX(0,MIN(1,U40))^2/(MAX(0,MIN(1,U40))^2+(1-MAX(0,MIN(1,U40)))^2/$B$5))))&lt;0.000000001,0,V40-$B$11/$B$9*((MAX(0,MIN(1,V40))^2/(MAX(0,MIN(1,V40))^2+(1-MAX(0,MIN(1,V40)))^2/$B$5))-(MAX(0,MIN(1,U40))^2/(MAX(0,MIN(1,U40))^2+(1-MAX(0,MIN(1,U40)))^2/$B$5))))</f>
        <v>0.672107109257432</v>
      </c>
      <c r="W41" s="16" t="n">
        <f aca="false">IF(ABS(W40-$B$11/$B$9*((MAX(0,MIN(1,W40))^2/(MAX(0,MIN(1,W40))^2+(1-MAX(0,MIN(1,W40)))^2/$B$5))-(MAX(0,MIN(1,V40))^2/(MAX(0,MIN(1,V40))^2+(1-MAX(0,MIN(1,V40)))^2/$B$5))))&lt;0.000000001,0,W40-$B$11/$B$9*((MAX(0,MIN(1,W40))^2/(MAX(0,MIN(1,W40))^2+(1-MAX(0,MIN(1,W40)))^2/$B$5))-(MAX(0,MIN(1,V40))^2/(MAX(0,MIN(1,V40))^2+(1-MAX(0,MIN(1,V40)))^2/$B$5))))</f>
        <v>0.654074147125505</v>
      </c>
      <c r="X41" s="16" t="n">
        <f aca="false">IF(ABS(X40-$B$11/$B$9*((MAX(0,MIN(1,X40))^2/(MAX(0,MIN(1,X40))^2+(1-MAX(0,MIN(1,X40)))^2/$B$5))-(MAX(0,MIN(1,W40))^2/(MAX(0,MIN(1,W40))^2+(1-MAX(0,MIN(1,W40)))^2/$B$5))))&lt;0.000000001,0,X40-$B$11/$B$9*((MAX(0,MIN(1,X40))^2/(MAX(0,MIN(1,X40))^2+(1-MAX(0,MIN(1,X40)))^2/$B$5))-(MAX(0,MIN(1,W40))^2/(MAX(0,MIN(1,W40))^2+(1-MAX(0,MIN(1,W40)))^2/$B$5))))</f>
        <v>0.636067748512388</v>
      </c>
      <c r="Y41" s="16" t="n">
        <f aca="false">IF(ABS(Y40-$B$11/$B$9*((MAX(0,MIN(1,Y40))^2/(MAX(0,MIN(1,Y40))^2+(1-MAX(0,MIN(1,Y40)))^2/$B$5))-(MAX(0,MIN(1,X40))^2/(MAX(0,MIN(1,X40))^2+(1-MAX(0,MIN(1,X40)))^2/$B$5))))&lt;0.000000001,0,Y40-$B$11/$B$9*((MAX(0,MIN(1,Y40))^2/(MAX(0,MIN(1,Y40))^2+(1-MAX(0,MIN(1,Y40)))^2/$B$5))-(MAX(0,MIN(1,X40))^2/(MAX(0,MIN(1,X40))^2+(1-MAX(0,MIN(1,X40)))^2/$B$5))))</f>
        <v>0.617550336545477</v>
      </c>
      <c r="Z41" s="16" t="n">
        <f aca="false">IF(ABS(Z40-$B$11/$B$9*((MAX(0,MIN(1,Z40))^2/(MAX(0,MIN(1,Z40))^2+(1-MAX(0,MIN(1,Z40)))^2/$B$5))-(MAX(0,MIN(1,Y40))^2/(MAX(0,MIN(1,Y40))^2+(1-MAX(0,MIN(1,Y40)))^2/$B$5))))&lt;0.000000001,0,Z40-$B$11/$B$9*((MAX(0,MIN(1,Z40))^2/(MAX(0,MIN(1,Z40))^2+(1-MAX(0,MIN(1,Z40)))^2/$B$5))-(MAX(0,MIN(1,Y40))^2/(MAX(0,MIN(1,Y40))^2+(1-MAX(0,MIN(1,Y40)))^2/$B$5))))</f>
        <v>0.597571150021048</v>
      </c>
      <c r="AA41" s="16" t="n">
        <f aca="false">IF(ABS(AA40-$B$11/$B$9*((MAX(0,MIN(1,AA40))^2/(MAX(0,MIN(1,AA40))^2+(1-MAX(0,MIN(1,AA40)))^2/$B$5))-(MAX(0,MIN(1,Z40))^2/(MAX(0,MIN(1,Z40))^2+(1-MAX(0,MIN(1,Z40)))^2/$B$5))))&lt;0.000000001,0,AA40-$B$11/$B$9*((MAX(0,MIN(1,AA40))^2/(MAX(0,MIN(1,AA40))^2+(1-MAX(0,MIN(1,AA40)))^2/$B$5))-(MAX(0,MIN(1,Z40))^2/(MAX(0,MIN(1,Z40))^2+(1-MAX(0,MIN(1,Z40)))^2/$B$5))))</f>
        <v>0.574014213452954</v>
      </c>
      <c r="AB41" s="16" t="n">
        <f aca="false">IF(ABS(AB40-$B$11/$B$9*((MAX(0,MIN(1,AB40))^2/(MAX(0,MIN(1,AB40))^2+(1-MAX(0,MIN(1,AB40)))^2/$B$5))-(MAX(0,MIN(1,AA40))^2/(MAX(0,MIN(1,AA40))^2+(1-MAX(0,MIN(1,AA40)))^2/$B$5))))&lt;0.000000001,0,AB40-$B$11/$B$9*((MAX(0,MIN(1,AB40))^2/(MAX(0,MIN(1,AB40))^2+(1-MAX(0,MIN(1,AB40)))^2/$B$5))-(MAX(0,MIN(1,AA40))^2/(MAX(0,MIN(1,AA40))^2+(1-MAX(0,MIN(1,AA40)))^2/$B$5))))</f>
        <v>0.540451346188324</v>
      </c>
      <c r="AC41" s="16" t="n">
        <f aca="false">IF(ABS(AC40-$B$11/$B$9*((MAX(0,MIN(1,AC40))^2/(MAX(0,MIN(1,AC40))^2+(1-MAX(0,MIN(1,AC40)))^2/$B$5))-(MAX(0,MIN(1,AB40))^2/(MAX(0,MIN(1,AB40))^2+(1-MAX(0,MIN(1,AB40)))^2/$B$5))))&lt;0.000000001,0,AC40-$B$11/$B$9*((MAX(0,MIN(1,AC40))^2/(MAX(0,MIN(1,AC40))^2+(1-MAX(0,MIN(1,AC40)))^2/$B$5))-(MAX(0,MIN(1,AB40))^2/(MAX(0,MIN(1,AB40))^2+(1-MAX(0,MIN(1,AB40)))^2/$B$5))))</f>
        <v>0.459419782518748</v>
      </c>
      <c r="AD41" s="16" t="n">
        <f aca="false">IF(ABS(AD40-$B$11/$B$9*((MAX(0,MIN(1,AD40))^2/(MAX(0,MIN(1,AD40))^2+(1-MAX(0,MIN(1,AD40)))^2/$B$5))-(MAX(0,MIN(1,AC40))^2/(MAX(0,MIN(1,AC40))^2+(1-MAX(0,MIN(1,AC40)))^2/$B$5))))&lt;0.000000001,0,AD40-$B$11/$B$9*((MAX(0,MIN(1,AD40))^2/(MAX(0,MIN(1,AD40))^2+(1-MAX(0,MIN(1,AD40)))^2/$B$5))-(MAX(0,MIN(1,AC40))^2/(MAX(0,MIN(1,AC40))^2+(1-MAX(0,MIN(1,AC40)))^2/$B$5))))</f>
        <v>0.107792395773334</v>
      </c>
      <c r="AE41" s="16" t="n">
        <f aca="false">IF(ABS(AE40-$B$11/$B$9*((MAX(0,MIN(1,AE40))^2/(MAX(0,MIN(1,AE40))^2+(1-MAX(0,MIN(1,AE40)))^2/$B$5))-(MAX(0,MIN(1,AD40))^2/(MAX(0,MIN(1,AD40))^2+(1-MAX(0,MIN(1,AD40)))^2/$B$5))))&lt;0.000000001,0,AE40-$B$11/$B$9*((MAX(0,MIN(1,AE40))^2/(MAX(0,MIN(1,AE40))^2+(1-MAX(0,MIN(1,AE40)))^2/$B$5))-(MAX(0,MIN(1,AD40))^2/(MAX(0,MIN(1,AD40))^2+(1-MAX(0,MIN(1,AD40)))^2/$B$5))))</f>
        <v>3.40473579086314E-005</v>
      </c>
      <c r="AF41" s="16" t="n">
        <f aca="false">IF(ABS(AF40-$B$11/$B$9*((MAX(0,MIN(1,AF40))^2/(MAX(0,MIN(1,AF40))^2+(1-MAX(0,MIN(1,AF40)))^2/$B$5))-(MAX(0,MIN(1,AE40))^2/(MAX(0,MIN(1,AE40))^2+(1-MAX(0,MIN(1,AE40)))^2/$B$5))))&lt;0.000000001,0,AF40-$B$11/$B$9*((MAX(0,MIN(1,AF40))^2/(MAX(0,MIN(1,AF40))^2+(1-MAX(0,MIN(1,AF40)))^2/$B$5))-(MAX(0,MIN(1,AE40))^2/(MAX(0,MIN(1,AE40))^2+(1-MAX(0,MIN(1,AE40)))^2/$B$5))))</f>
        <v>0</v>
      </c>
    </row>
    <row r="42" customFormat="false" ht="15" hidden="false" customHeight="false" outlineLevel="0" collapsed="false">
      <c r="A42" s="0" t="n">
        <v>0.37</v>
      </c>
      <c r="D42" s="0" t="n">
        <f aca="false">A42</f>
        <v>0.37</v>
      </c>
      <c r="E42" s="0" t="n">
        <f aca="false">(G42-G41)/(A42-A41)</f>
        <v>2.06703986337205</v>
      </c>
      <c r="F42" s="0" t="n">
        <f aca="false">G42/A42</f>
        <v>1.10332488444908</v>
      </c>
      <c r="G42" s="0" t="n">
        <f aca="false">A42^2/(A42^2+(1-A42)^2/$B$5)</f>
        <v>0.408230207246161</v>
      </c>
      <c r="L42" s="0" t="n">
        <v>32</v>
      </c>
      <c r="M42" s="16" t="n">
        <f aca="false">IF(ABS(M41-$B$11/$B$9*((MAX(0,MIN(1,M41))^2/(MAX(0,MIN(1,M41))^2+(1-MAX(0,MIN(1,M41)))^2/$B$5))-(MAX(0,MIN(1,1))^2/(MAX(0,MIN(1,1))^2+(1-MAX(0,MIN(1,1)))^2/$B$5))))&lt;0.000000001,0,M41-$B$11/$B$9*((MAX(0,MIN(1,M41))^2/(MAX(0,MIN(1,M41))^2+(1-MAX(0,MIN(1,M41)))^2/$B$5))-(MAX(0,MIN(1,1))^2/(MAX(0,MIN(1,1))^2+(1-MAX(0,MIN(1,1)))^2/$B$5))))</f>
        <v>0.910453630540415</v>
      </c>
      <c r="N42" s="16" t="n">
        <f aca="false">IF(ABS(N41-$B$11/$B$9*((MAX(0,MIN(1,N41))^2/(MAX(0,MIN(1,N41))^2+(1-MAX(0,MIN(1,N41)))^2/$B$5))-(MAX(0,MIN(1,M41))^2/(MAX(0,MIN(1,M41))^2+(1-MAX(0,MIN(1,M41)))^2/$B$5))))&lt;0.000000001,0,N41-$B$11/$B$9*((MAX(0,MIN(1,N41))^2/(MAX(0,MIN(1,N41))^2+(1-MAX(0,MIN(1,N41)))^2/$B$5))-(MAX(0,MIN(1,M41))^2/(MAX(0,MIN(1,M41))^2+(1-MAX(0,MIN(1,M41)))^2/$B$5))))</f>
        <v>0.867645419336866</v>
      </c>
      <c r="O42" s="16" t="n">
        <f aca="false">IF(ABS(O41-$B$11/$B$9*((MAX(0,MIN(1,O41))^2/(MAX(0,MIN(1,O41))^2+(1-MAX(0,MIN(1,O41)))^2/$B$5))-(MAX(0,MIN(1,N41))^2/(MAX(0,MIN(1,N41))^2+(1-MAX(0,MIN(1,N41)))^2/$B$5))))&lt;0.000000001,0,O41-$B$11/$B$9*((MAX(0,MIN(1,O41))^2/(MAX(0,MIN(1,O41))^2+(1-MAX(0,MIN(1,O41)))^2/$B$5))-(MAX(0,MIN(1,N41))^2/(MAX(0,MIN(1,N41))^2+(1-MAX(0,MIN(1,N41)))^2/$B$5))))</f>
        <v>0.833603139272494</v>
      </c>
      <c r="P42" s="16" t="n">
        <f aca="false">IF(ABS(P41-$B$11/$B$9*((MAX(0,MIN(1,P41))^2/(MAX(0,MIN(1,P41))^2+(1-MAX(0,MIN(1,P41)))^2/$B$5))-(MAX(0,MIN(1,O41))^2/(MAX(0,MIN(1,O41))^2+(1-MAX(0,MIN(1,O41)))^2/$B$5))))&lt;0.000000001,0,P41-$B$11/$B$9*((MAX(0,MIN(1,P41))^2/(MAX(0,MIN(1,P41))^2+(1-MAX(0,MIN(1,P41)))^2/$B$5))-(MAX(0,MIN(1,O41))^2/(MAX(0,MIN(1,O41))^2+(1-MAX(0,MIN(1,O41)))^2/$B$5))))</f>
        <v>0.804601129200629</v>
      </c>
      <c r="Q42" s="16" t="n">
        <f aca="false">IF(ABS(Q41-$B$11/$B$9*((MAX(0,MIN(1,Q41))^2/(MAX(0,MIN(1,Q41))^2+(1-MAX(0,MIN(1,Q41)))^2/$B$5))-(MAX(0,MIN(1,P41))^2/(MAX(0,MIN(1,P41))^2+(1-MAX(0,MIN(1,P41)))^2/$B$5))))&lt;0.000000001,0,Q41-$B$11/$B$9*((MAX(0,MIN(1,Q41))^2/(MAX(0,MIN(1,Q41))^2+(1-MAX(0,MIN(1,Q41)))^2/$B$5))-(MAX(0,MIN(1,P41))^2/(MAX(0,MIN(1,P41))^2+(1-MAX(0,MIN(1,P41)))^2/$B$5))))</f>
        <v>0.779005053192135</v>
      </c>
      <c r="R42" s="16" t="n">
        <f aca="false">IF(ABS(R41-$B$11/$B$9*((MAX(0,MIN(1,R41))^2/(MAX(0,MIN(1,R41))^2+(1-MAX(0,MIN(1,R41)))^2/$B$5))-(MAX(0,MIN(1,Q41))^2/(MAX(0,MIN(1,Q41))^2+(1-MAX(0,MIN(1,Q41)))^2/$B$5))))&lt;0.000000001,0,R41-$B$11/$B$9*((MAX(0,MIN(1,R41))^2/(MAX(0,MIN(1,R41))^2+(1-MAX(0,MIN(1,R41)))^2/$B$5))-(MAX(0,MIN(1,Q41))^2/(MAX(0,MIN(1,Q41))^2+(1-MAX(0,MIN(1,Q41)))^2/$B$5))))</f>
        <v>0.755878124868354</v>
      </c>
      <c r="S42" s="16" t="n">
        <f aca="false">IF(ABS(S41-$B$11/$B$9*((MAX(0,MIN(1,S41))^2/(MAX(0,MIN(1,S41))^2+(1-MAX(0,MIN(1,S41)))^2/$B$5))-(MAX(0,MIN(1,R41))^2/(MAX(0,MIN(1,R41))^2+(1-MAX(0,MIN(1,R41)))^2/$B$5))))&lt;0.000000001,0,S41-$B$11/$B$9*((MAX(0,MIN(1,S41))^2/(MAX(0,MIN(1,S41))^2+(1-MAX(0,MIN(1,S41)))^2/$B$5))-(MAX(0,MIN(1,R41))^2/(MAX(0,MIN(1,R41))^2+(1-MAX(0,MIN(1,R41)))^2/$B$5))))</f>
        <v>0.734605276931105</v>
      </c>
      <c r="T42" s="16" t="n">
        <f aca="false">IF(ABS(T41-$B$11/$B$9*((MAX(0,MIN(1,T41))^2/(MAX(0,MIN(1,T41))^2+(1-MAX(0,MIN(1,T41)))^2/$B$5))-(MAX(0,MIN(1,S41))^2/(MAX(0,MIN(1,S41))^2+(1-MAX(0,MIN(1,S41)))^2/$B$5))))&lt;0.000000001,0,T41-$B$11/$B$9*((MAX(0,MIN(1,T41))^2/(MAX(0,MIN(1,T41))^2+(1-MAX(0,MIN(1,T41)))^2/$B$5))-(MAX(0,MIN(1,S41))^2/(MAX(0,MIN(1,S41))^2+(1-MAX(0,MIN(1,S41)))^2/$B$5))))</f>
        <v>0.714743122704221</v>
      </c>
      <c r="U42" s="16" t="n">
        <f aca="false">IF(ABS(U41-$B$11/$B$9*((MAX(0,MIN(1,U41))^2/(MAX(0,MIN(1,U41))^2+(1-MAX(0,MIN(1,U41)))^2/$B$5))-(MAX(0,MIN(1,T41))^2/(MAX(0,MIN(1,T41))^2+(1-MAX(0,MIN(1,T41)))^2/$B$5))))&lt;0.000000001,0,U41-$B$11/$B$9*((MAX(0,MIN(1,U41))^2/(MAX(0,MIN(1,U41))^2+(1-MAX(0,MIN(1,U41)))^2/$B$5))-(MAX(0,MIN(1,T41))^2/(MAX(0,MIN(1,T41))^2+(1-MAX(0,MIN(1,T41)))^2/$B$5))))</f>
        <v>0.695944537529289</v>
      </c>
      <c r="V42" s="16" t="n">
        <f aca="false">IF(ABS(V41-$B$11/$B$9*((MAX(0,MIN(1,V41))^2/(MAX(0,MIN(1,V41))^2+(1-MAX(0,MIN(1,V41)))^2/$B$5))-(MAX(0,MIN(1,U41))^2/(MAX(0,MIN(1,U41))^2+(1-MAX(0,MIN(1,U41)))^2/$B$5))))&lt;0.000000001,0,V41-$B$11/$B$9*((MAX(0,MIN(1,V41))^2/(MAX(0,MIN(1,V41))^2+(1-MAX(0,MIN(1,V41)))^2/$B$5))-(MAX(0,MIN(1,U41))^2/(MAX(0,MIN(1,U41))^2+(1-MAX(0,MIN(1,U41)))^2/$B$5))))</f>
        <v>0.677912155972943</v>
      </c>
      <c r="W42" s="16" t="n">
        <f aca="false">IF(ABS(W41-$B$11/$B$9*((MAX(0,MIN(1,W41))^2/(MAX(0,MIN(1,W41))^2+(1-MAX(0,MIN(1,W41)))^2/$B$5))-(MAX(0,MIN(1,V41))^2/(MAX(0,MIN(1,V41))^2+(1-MAX(0,MIN(1,V41)))^2/$B$5))))&lt;0.000000001,0,W41-$B$11/$B$9*((MAX(0,MIN(1,W41))^2/(MAX(0,MIN(1,W41))^2+(1-MAX(0,MIN(1,W41)))^2/$B$5))-(MAX(0,MIN(1,V41))^2/(MAX(0,MIN(1,V41))^2+(1-MAX(0,MIN(1,V41)))^2/$B$5))))</f>
        <v>0.66036096162667</v>
      </c>
      <c r="X42" s="16" t="n">
        <f aca="false">IF(ABS(X41-$B$11/$B$9*((MAX(0,MIN(1,X41))^2/(MAX(0,MIN(1,X41))^2+(1-MAX(0,MIN(1,X41)))^2/$B$5))-(MAX(0,MIN(1,W41))^2/(MAX(0,MIN(1,W41))^2+(1-MAX(0,MIN(1,W41)))^2/$B$5))))&lt;0.000000001,0,X41-$B$11/$B$9*((MAX(0,MIN(1,X41))^2/(MAX(0,MIN(1,X41))^2+(1-MAX(0,MIN(1,X41)))^2/$B$5))-(MAX(0,MIN(1,W41))^2/(MAX(0,MIN(1,W41))^2+(1-MAX(0,MIN(1,W41)))^2/$B$5))))</f>
        <v>0.642975167299006</v>
      </c>
      <c r="Y42" s="16" t="n">
        <f aca="false">IF(ABS(Y41-$B$11/$B$9*((MAX(0,MIN(1,Y41))^2/(MAX(0,MIN(1,Y41))^2+(1-MAX(0,MIN(1,Y41)))^2/$B$5))-(MAX(0,MIN(1,X41))^2/(MAX(0,MIN(1,X41))^2+(1-MAX(0,MIN(1,X41)))^2/$B$5))))&lt;0.000000001,0,Y41-$B$11/$B$9*((MAX(0,MIN(1,Y41))^2/(MAX(0,MIN(1,Y41))^2+(1-MAX(0,MIN(1,Y41)))^2/$B$5))-(MAX(0,MIN(1,X41))^2/(MAX(0,MIN(1,X41))^2+(1-MAX(0,MIN(1,X41)))^2/$B$5))))</f>
        <v>0.625337153154419</v>
      </c>
      <c r="Z42" s="16" t="n">
        <f aca="false">IF(ABS(Z41-$B$11/$B$9*((MAX(0,MIN(1,Z41))^2/(MAX(0,MIN(1,Z41))^2+(1-MAX(0,MIN(1,Z41)))^2/$B$5))-(MAX(0,MIN(1,Y41))^2/(MAX(0,MIN(1,Y41))^2+(1-MAX(0,MIN(1,Y41)))^2/$B$5))))&lt;0.000000001,0,Z41-$B$11/$B$9*((MAX(0,MIN(1,Z41))^2/(MAX(0,MIN(1,Z41))^2+(1-MAX(0,MIN(1,Z41)))^2/$B$5))-(MAX(0,MIN(1,Y41))^2/(MAX(0,MIN(1,Y41))^2+(1-MAX(0,MIN(1,Y41)))^2/$B$5))))</f>
        <v>0.606775181143848</v>
      </c>
      <c r="AA42" s="16" t="n">
        <f aca="false">IF(ABS(AA41-$B$11/$B$9*((MAX(0,MIN(1,AA41))^2/(MAX(0,MIN(1,AA41))^2+(1-MAX(0,MIN(1,AA41)))^2/$B$5))-(MAX(0,MIN(1,Z41))^2/(MAX(0,MIN(1,Z41))^2+(1-MAX(0,MIN(1,Z41)))^2/$B$5))))&lt;0.000000001,0,AA41-$B$11/$B$9*((MAX(0,MIN(1,AA41))^2/(MAX(0,MIN(1,AA41))^2+(1-MAX(0,MIN(1,AA41)))^2/$B$5))-(MAX(0,MIN(1,Z41))^2/(MAX(0,MIN(1,Z41))^2+(1-MAX(0,MIN(1,Z41)))^2/$B$5))))</f>
        <v>0.585960697710416</v>
      </c>
      <c r="AB42" s="16" t="n">
        <f aca="false">IF(ABS(AB41-$B$11/$B$9*((MAX(0,MIN(1,AB41))^2/(MAX(0,MIN(1,AB41))^2+(1-MAX(0,MIN(1,AB41)))^2/$B$5))-(MAX(0,MIN(1,AA41))^2/(MAX(0,MIN(1,AA41))^2+(1-MAX(0,MIN(1,AA41)))^2/$B$5))))&lt;0.000000001,0,AB41-$B$11/$B$9*((MAX(0,MIN(1,AB41))^2/(MAX(0,MIN(1,AB41))^2+(1-MAX(0,MIN(1,AB41)))^2/$B$5))-(MAX(0,MIN(1,AA41))^2/(MAX(0,MIN(1,AA41))^2+(1-MAX(0,MIN(1,AA41)))^2/$B$5))))</f>
        <v>0.55952717289241</v>
      </c>
      <c r="AC42" s="16" t="n">
        <f aca="false">IF(ABS(AC41-$B$11/$B$9*((MAX(0,MIN(1,AC41))^2/(MAX(0,MIN(1,AC41))^2+(1-MAX(0,MIN(1,AC41)))^2/$B$5))-(MAX(0,MIN(1,AB41))^2/(MAX(0,MIN(1,AB41))^2+(1-MAX(0,MIN(1,AB41)))^2/$B$5))))&lt;0.000000001,0,AC41-$B$11/$B$9*((MAX(0,MIN(1,AC41))^2/(MAX(0,MIN(1,AC41))^2+(1-MAX(0,MIN(1,AC41)))^2/$B$5))-(MAX(0,MIN(1,AB41))^2/(MAX(0,MIN(1,AB41))^2+(1-MAX(0,MIN(1,AB41)))^2/$B$5))))</f>
        <v>0.514620822013191</v>
      </c>
      <c r="AD42" s="16" t="n">
        <f aca="false">IF(ABS(AD41-$B$11/$B$9*((MAX(0,MIN(1,AD41))^2/(MAX(0,MIN(1,AD41))^2+(1-MAX(0,MIN(1,AD41)))^2/$B$5))-(MAX(0,MIN(1,AC41))^2/(MAX(0,MIN(1,AC41))^2+(1-MAX(0,MIN(1,AC41)))^2/$B$5))))&lt;0.000000001,0,AD41-$B$11/$B$9*((MAX(0,MIN(1,AD41))^2/(MAX(0,MIN(1,AD41))^2+(1-MAX(0,MIN(1,AD41)))^2/$B$5))-(MAX(0,MIN(1,AC41))^2/(MAX(0,MIN(1,AC41))^2+(1-MAX(0,MIN(1,AC41)))^2/$B$5))))</f>
        <v>0.32411442615548</v>
      </c>
      <c r="AE42" s="16" t="n">
        <f aca="false">IF(ABS(AE41-$B$11/$B$9*((MAX(0,MIN(1,AE41))^2/(MAX(0,MIN(1,AE41))^2+(1-MAX(0,MIN(1,AE41)))^2/$B$5))-(MAX(0,MIN(1,AD41))^2/(MAX(0,MIN(1,AD41))^2+(1-MAX(0,MIN(1,AD41)))^2/$B$5))))&lt;0.000000001,0,AE41-$B$11/$B$9*((MAX(0,MIN(1,AE41))^2/(MAX(0,MIN(1,AE41))^2+(1-MAX(0,MIN(1,AE41)))^2/$B$5))-(MAX(0,MIN(1,AD41))^2/(MAX(0,MIN(1,AD41))^2+(1-MAX(0,MIN(1,AD41)))^2/$B$5))))</f>
        <v>0.010941151499025</v>
      </c>
      <c r="AF42" s="16" t="n">
        <f aca="false">IF(ABS(AF41-$B$11/$B$9*((MAX(0,MIN(1,AF41))^2/(MAX(0,MIN(1,AF41))^2+(1-MAX(0,MIN(1,AF41)))^2/$B$5))-(MAX(0,MIN(1,AE41))^2/(MAX(0,MIN(1,AE41))^2+(1-MAX(0,MIN(1,AE41)))^2/$B$5))))&lt;0.000000001,0,AF41-$B$11/$B$9*((MAX(0,MIN(1,AF41))^2/(MAX(0,MIN(1,AF41))^2+(1-MAX(0,MIN(1,AF41)))^2/$B$5))-(MAX(0,MIN(1,AE41))^2/(MAX(0,MIN(1,AE41))^2+(1-MAX(0,MIN(1,AE41)))^2/$B$5))))</f>
        <v>0</v>
      </c>
    </row>
    <row r="43" customFormat="false" ht="15" hidden="false" customHeight="false" outlineLevel="0" collapsed="false">
      <c r="A43" s="0" t="n">
        <v>0.38</v>
      </c>
      <c r="D43" s="0" t="n">
        <f aca="false">A43</f>
        <v>0.38</v>
      </c>
      <c r="E43" s="0" t="n">
        <f aca="false">(G43-G42)/(A43-A42)</f>
        <v>2.0765633514386</v>
      </c>
      <c r="F43" s="0" t="n">
        <f aca="false">G43/A43</f>
        <v>1.12893642305407</v>
      </c>
      <c r="G43" s="0" t="n">
        <f aca="false">A43^2/(A43^2+(1-A43)^2/$B$5)</f>
        <v>0.428995840760547</v>
      </c>
      <c r="L43" s="0" t="n">
        <v>33</v>
      </c>
      <c r="M43" s="16" t="n">
        <f aca="false">IF(ABS(M42-$B$11/$B$9*((MAX(0,MIN(1,M42))^2/(MAX(0,MIN(1,M42))^2+(1-MAX(0,MIN(1,M42)))^2/$B$5))-(MAX(0,MIN(1,1))^2/(MAX(0,MIN(1,1))^2+(1-MAX(0,MIN(1,1)))^2/$B$5))))&lt;0.000000001,0,M42-$B$11/$B$9*((MAX(0,MIN(1,M42))^2/(MAX(0,MIN(1,M42))^2+(1-MAX(0,MIN(1,M42)))^2/$B$5))-(MAX(0,MIN(1,1))^2/(MAX(0,MIN(1,1))^2+(1-MAX(0,MIN(1,1)))^2/$B$5))))</f>
        <v>0.912304546089033</v>
      </c>
      <c r="N43" s="16" t="n">
        <f aca="false">IF(ABS(N42-$B$11/$B$9*((MAX(0,MIN(1,N42))^2/(MAX(0,MIN(1,N42))^2+(1-MAX(0,MIN(1,N42)))^2/$B$5))-(MAX(0,MIN(1,M42))^2/(MAX(0,MIN(1,M42))^2+(1-MAX(0,MIN(1,M42)))^2/$B$5))))&lt;0.000000001,0,N42-$B$11/$B$9*((MAX(0,MIN(1,N42))^2/(MAX(0,MIN(1,N42))^2+(1-MAX(0,MIN(1,N42)))^2/$B$5))-(MAX(0,MIN(1,M42))^2/(MAX(0,MIN(1,M42))^2+(1-MAX(0,MIN(1,M42)))^2/$B$5))))</f>
        <v>0.870217039829152</v>
      </c>
      <c r="O43" s="16" t="n">
        <f aca="false">IF(ABS(O42-$B$11/$B$9*((MAX(0,MIN(1,O42))^2/(MAX(0,MIN(1,O42))^2+(1-MAX(0,MIN(1,O42)))^2/$B$5))-(MAX(0,MIN(1,N42))^2/(MAX(0,MIN(1,N42))^2+(1-MAX(0,MIN(1,N42)))^2/$B$5))))&lt;0.000000001,0,O42-$B$11/$B$9*((MAX(0,MIN(1,O42))^2/(MAX(0,MIN(1,O42))^2+(1-MAX(0,MIN(1,O42)))^2/$B$5))-(MAX(0,MIN(1,N42))^2/(MAX(0,MIN(1,N42))^2+(1-MAX(0,MIN(1,N42)))^2/$B$5))))</f>
        <v>0.83669174989758</v>
      </c>
      <c r="P43" s="16" t="n">
        <f aca="false">IF(ABS(P42-$B$11/$B$9*((MAX(0,MIN(1,P42))^2/(MAX(0,MIN(1,P42))^2+(1-MAX(0,MIN(1,P42)))^2/$B$5))-(MAX(0,MIN(1,O42))^2/(MAX(0,MIN(1,O42))^2+(1-MAX(0,MIN(1,O42)))^2/$B$5))))&lt;0.000000001,0,P42-$B$11/$B$9*((MAX(0,MIN(1,P42))^2/(MAX(0,MIN(1,P42))^2+(1-MAX(0,MIN(1,P42)))^2/$B$5))-(MAX(0,MIN(1,O42))^2/(MAX(0,MIN(1,O42))^2+(1-MAX(0,MIN(1,O42)))^2/$B$5))))</f>
        <v>0.808104440163762</v>
      </c>
      <c r="Q43" s="16" t="n">
        <f aca="false">IF(ABS(Q42-$B$11/$B$9*((MAX(0,MIN(1,Q42))^2/(MAX(0,MIN(1,Q42))^2+(1-MAX(0,MIN(1,Q42)))^2/$B$5))-(MAX(0,MIN(1,P42))^2/(MAX(0,MIN(1,P42))^2+(1-MAX(0,MIN(1,P42)))^2/$B$5))))&lt;0.000000001,0,Q42-$B$11/$B$9*((MAX(0,MIN(1,Q42))^2/(MAX(0,MIN(1,Q42))^2+(1-MAX(0,MIN(1,Q42)))^2/$B$5))-(MAX(0,MIN(1,P42))^2/(MAX(0,MIN(1,P42))^2+(1-MAX(0,MIN(1,P42)))^2/$B$5))))</f>
        <v>0.78286544342128</v>
      </c>
      <c r="R43" s="16" t="n">
        <f aca="false">IF(ABS(R42-$B$11/$B$9*((MAX(0,MIN(1,R42))^2/(MAX(0,MIN(1,R42))^2+(1-MAX(0,MIN(1,R42)))^2/$B$5))-(MAX(0,MIN(1,Q42))^2/(MAX(0,MIN(1,Q42))^2+(1-MAX(0,MIN(1,Q42)))^2/$B$5))))&lt;0.000000001,0,R42-$B$11/$B$9*((MAX(0,MIN(1,R42))^2/(MAX(0,MIN(1,R42))^2+(1-MAX(0,MIN(1,R42)))^2/$B$5))-(MAX(0,MIN(1,Q42))^2/(MAX(0,MIN(1,Q42))^2+(1-MAX(0,MIN(1,Q42)))^2/$B$5))))</f>
        <v>0.760063707795145</v>
      </c>
      <c r="S43" s="16" t="n">
        <f aca="false">IF(ABS(S42-$B$11/$B$9*((MAX(0,MIN(1,S42))^2/(MAX(0,MIN(1,S42))^2+(1-MAX(0,MIN(1,S42)))^2/$B$5))-(MAX(0,MIN(1,R42))^2/(MAX(0,MIN(1,R42))^2+(1-MAX(0,MIN(1,R42)))^2/$B$5))))&lt;0.000000001,0,S42-$B$11/$B$9*((MAX(0,MIN(1,S42))^2/(MAX(0,MIN(1,S42))^2+(1-MAX(0,MIN(1,S42)))^2/$B$5))-(MAX(0,MIN(1,R42))^2/(MAX(0,MIN(1,R42))^2+(1-MAX(0,MIN(1,R42)))^2/$B$5))))</f>
        <v>0.739101993153584</v>
      </c>
      <c r="T43" s="16" t="n">
        <f aca="false">IF(ABS(T42-$B$11/$B$9*((MAX(0,MIN(1,T42))^2/(MAX(0,MIN(1,T42))^2+(1-MAX(0,MIN(1,T42)))^2/$B$5))-(MAX(0,MIN(1,S42))^2/(MAX(0,MIN(1,S42))^2+(1-MAX(0,MIN(1,S42)))^2/$B$5))))&lt;0.000000001,0,T42-$B$11/$B$9*((MAX(0,MIN(1,T42))^2/(MAX(0,MIN(1,T42))^2+(1-MAX(0,MIN(1,T42)))^2/$B$5))-(MAX(0,MIN(1,S42))^2/(MAX(0,MIN(1,S42))^2+(1-MAX(0,MIN(1,S42)))^2/$B$5))))</f>
        <v>0.719551727162586</v>
      </c>
      <c r="U43" s="16" t="n">
        <f aca="false">IF(ABS(U42-$B$11/$B$9*((MAX(0,MIN(1,U42))^2/(MAX(0,MIN(1,U42))^2+(1-MAX(0,MIN(1,U42)))^2/$B$5))-(MAX(0,MIN(1,T42))^2/(MAX(0,MIN(1,T42))^2+(1-MAX(0,MIN(1,T42)))^2/$B$5))))&lt;0.000000001,0,U42-$B$11/$B$9*((MAX(0,MIN(1,U42))^2/(MAX(0,MIN(1,U42))^2+(1-MAX(0,MIN(1,U42)))^2/$B$5))-(MAX(0,MIN(1,T42))^2/(MAX(0,MIN(1,T42))^2+(1-MAX(0,MIN(1,T42)))^2/$B$5))))</f>
        <v>0.701080722878574</v>
      </c>
      <c r="V43" s="16" t="n">
        <f aca="false">IF(ABS(V42-$B$11/$B$9*((MAX(0,MIN(1,V42))^2/(MAX(0,MIN(1,V42))^2+(1-MAX(0,MIN(1,V42)))^2/$B$5))-(MAX(0,MIN(1,U42))^2/(MAX(0,MIN(1,U42))^2+(1-MAX(0,MIN(1,U42)))^2/$B$5))))&lt;0.000000001,0,V42-$B$11/$B$9*((MAX(0,MIN(1,V42))^2/(MAX(0,MIN(1,V42))^2+(1-MAX(0,MIN(1,V42)))^2/$B$5))-(MAX(0,MIN(1,U42))^2/(MAX(0,MIN(1,U42))^2+(1-MAX(0,MIN(1,U42)))^2/$B$5))))</f>
        <v>0.683409793429362</v>
      </c>
      <c r="W43" s="16" t="n">
        <f aca="false">IF(ABS(W42-$B$11/$B$9*((MAX(0,MIN(1,W42))^2/(MAX(0,MIN(1,W42))^2+(1-MAX(0,MIN(1,W42)))^2/$B$5))-(MAX(0,MIN(1,V42))^2/(MAX(0,MIN(1,V42))^2+(1-MAX(0,MIN(1,V42)))^2/$B$5))))&lt;0.000000001,0,W42-$B$11/$B$9*((MAX(0,MIN(1,W42))^2/(MAX(0,MIN(1,W42))^2+(1-MAX(0,MIN(1,W42)))^2/$B$5))-(MAX(0,MIN(1,V42))^2/(MAX(0,MIN(1,V42))^2+(1-MAX(0,MIN(1,V42)))^2/$B$5))))</f>
        <v>0.666280009865245</v>
      </c>
      <c r="X43" s="16" t="n">
        <f aca="false">IF(ABS(X42-$B$11/$B$9*((MAX(0,MIN(1,X42))^2/(MAX(0,MIN(1,X42))^2+(1-MAX(0,MIN(1,X42)))^2/$B$5))-(MAX(0,MIN(1,W42))^2/(MAX(0,MIN(1,W42))^2+(1-MAX(0,MIN(1,W42)))^2/$B$5))))&lt;0.000000001,0,X42-$B$11/$B$9*((MAX(0,MIN(1,X42))^2/(MAX(0,MIN(1,X42))^2+(1-MAX(0,MIN(1,X42)))^2/$B$5))-(MAX(0,MIN(1,W42))^2/(MAX(0,MIN(1,W42))^2+(1-MAX(0,MIN(1,W42)))^2/$B$5))))</f>
        <v>0.649418710128744</v>
      </c>
      <c r="Y43" s="16" t="n">
        <f aca="false">IF(ABS(Y42-$B$11/$B$9*((MAX(0,MIN(1,Y42))^2/(MAX(0,MIN(1,Y42))^2+(1-MAX(0,MIN(1,Y42)))^2/$B$5))-(MAX(0,MIN(1,X42))^2/(MAX(0,MIN(1,X42))^2+(1-MAX(0,MIN(1,X42)))^2/$B$5))))&lt;0.000000001,0,Y42-$B$11/$B$9*((MAX(0,MIN(1,Y42))^2/(MAX(0,MIN(1,Y42))^2+(1-MAX(0,MIN(1,Y42)))^2/$B$5))-(MAX(0,MIN(1,X42))^2/(MAX(0,MIN(1,X42))^2+(1-MAX(0,MIN(1,X42)))^2/$B$5))))</f>
        <v>0.632489418453306</v>
      </c>
      <c r="Z43" s="16" t="n">
        <f aca="false">IF(ABS(Z42-$B$11/$B$9*((MAX(0,MIN(1,Z42))^2/(MAX(0,MIN(1,Z42))^2+(1-MAX(0,MIN(1,Z42)))^2/$B$5))-(MAX(0,MIN(1,Y42))^2/(MAX(0,MIN(1,Y42))^2+(1-MAX(0,MIN(1,Y42)))^2/$B$5))))&lt;0.000000001,0,Z42-$B$11/$B$9*((MAX(0,MIN(1,Z42))^2/(MAX(0,MIN(1,Z42))^2+(1-MAX(0,MIN(1,Z42)))^2/$B$5))-(MAX(0,MIN(1,Y42))^2/(MAX(0,MIN(1,Y42))^2+(1-MAX(0,MIN(1,Y42)))^2/$B$5))))</f>
        <v>0.61499467325812</v>
      </c>
      <c r="AA43" s="16" t="n">
        <f aca="false">IF(ABS(AA42-$B$11/$B$9*((MAX(0,MIN(1,AA42))^2/(MAX(0,MIN(1,AA42))^2+(1-MAX(0,MIN(1,AA42)))^2/$B$5))-(MAX(0,MIN(1,Z42))^2/(MAX(0,MIN(1,Z42))^2+(1-MAX(0,MIN(1,Z42)))^2/$B$5))))&lt;0.000000001,0,AA42-$B$11/$B$9*((MAX(0,MIN(1,AA42))^2/(MAX(0,MIN(1,AA42))^2+(1-MAX(0,MIN(1,AA42)))^2/$B$5))-(MAX(0,MIN(1,Z42))^2/(MAX(0,MIN(1,Z42))^2+(1-MAX(0,MIN(1,Z42)))^2/$B$5))))</f>
        <v>0.596044712339185</v>
      </c>
      <c r="AB43" s="16" t="n">
        <f aca="false">IF(ABS(AB42-$B$11/$B$9*((MAX(0,MIN(1,AB42))^2/(MAX(0,MIN(1,AB42))^2+(1-MAX(0,MIN(1,AB42)))^2/$B$5))-(MAX(0,MIN(1,AA42))^2/(MAX(0,MIN(1,AA42))^2+(1-MAX(0,MIN(1,AA42)))^2/$B$5))))&lt;0.000000001,0,AB42-$B$11/$B$9*((MAX(0,MIN(1,AB42))^2/(MAX(0,MIN(1,AB42))^2+(1-MAX(0,MIN(1,AB42)))^2/$B$5))-(MAX(0,MIN(1,AA42))^2/(MAX(0,MIN(1,AA42))^2+(1-MAX(0,MIN(1,AA42)))^2/$B$5))))</f>
        <v>0.573673897204332</v>
      </c>
      <c r="AC43" s="16" t="n">
        <f aca="false">IF(ABS(AC42-$B$11/$B$9*((MAX(0,MIN(1,AC42))^2/(MAX(0,MIN(1,AC42))^2+(1-MAX(0,MIN(1,AC42)))^2/$B$5))-(MAX(0,MIN(1,AB42))^2/(MAX(0,MIN(1,AB42))^2+(1-MAX(0,MIN(1,AB42)))^2/$B$5))))&lt;0.000000001,0,AC42-$B$11/$B$9*((MAX(0,MIN(1,AC42))^2/(MAX(0,MIN(1,AC42))^2+(1-MAX(0,MIN(1,AC42)))^2/$B$5))-(MAX(0,MIN(1,AB42))^2/(MAX(0,MIN(1,AB42))^2+(1-MAX(0,MIN(1,AB42)))^2/$B$5))))</f>
        <v>0.54203766488069</v>
      </c>
      <c r="AD43" s="16" t="n">
        <f aca="false">IF(ABS(AD42-$B$11/$B$9*((MAX(0,MIN(1,AD42))^2/(MAX(0,MIN(1,AD42))^2+(1-MAX(0,MIN(1,AD42)))^2/$B$5))-(MAX(0,MIN(1,AC42))^2/(MAX(0,MIN(1,AC42))^2+(1-MAX(0,MIN(1,AC42)))^2/$B$5))))&lt;0.000000001,0,AD42-$B$11/$B$9*((MAX(0,MIN(1,AD42))^2/(MAX(0,MIN(1,AD42))^2+(1-MAX(0,MIN(1,AD42)))^2/$B$5))-(MAX(0,MIN(1,AC42))^2/(MAX(0,MIN(1,AC42))^2+(1-MAX(0,MIN(1,AC42)))^2/$B$5))))</f>
        <v>0.469125383928576</v>
      </c>
      <c r="AE43" s="16" t="n">
        <f aca="false">IF(ABS(AE42-$B$11/$B$9*((MAX(0,MIN(1,AE42))^2/(MAX(0,MIN(1,AE42))^2+(1-MAX(0,MIN(1,AE42)))^2/$B$5))-(MAX(0,MIN(1,AD42))^2/(MAX(0,MIN(1,AD42))^2+(1-MAX(0,MIN(1,AD42)))^2/$B$5))))&lt;0.000000001,0,AE42-$B$11/$B$9*((MAX(0,MIN(1,AE42))^2/(MAX(0,MIN(1,AE42))^2+(1-MAX(0,MIN(1,AE42)))^2/$B$5))-(MAX(0,MIN(1,AD42))^2/(MAX(0,MIN(1,AD42))^2+(1-MAX(0,MIN(1,AD42)))^2/$B$5))))</f>
        <v>0.131985985634461</v>
      </c>
      <c r="AF43" s="16" t="n">
        <f aca="false">IF(ABS(AF42-$B$11/$B$9*((MAX(0,MIN(1,AF42))^2/(MAX(0,MIN(1,AF42))^2+(1-MAX(0,MIN(1,AF42)))^2/$B$5))-(MAX(0,MIN(1,AE42))^2/(MAX(0,MIN(1,AE42))^2+(1-MAX(0,MIN(1,AE42)))^2/$B$5))))&lt;0.000000001,0,AF42-$B$11/$B$9*((MAX(0,MIN(1,AF42))^2/(MAX(0,MIN(1,AF42))^2+(1-MAX(0,MIN(1,AF42)))^2/$B$5))-(MAX(0,MIN(1,AE42))^2/(MAX(0,MIN(1,AE42))^2+(1-MAX(0,MIN(1,AE42)))^2/$B$5))))</f>
        <v>9.40886653342754E-005</v>
      </c>
    </row>
    <row r="44" customFormat="false" ht="15" hidden="false" customHeight="false" outlineLevel="0" collapsed="false">
      <c r="A44" s="0" t="n">
        <v>0.39</v>
      </c>
      <c r="D44" s="0" t="n">
        <f aca="false">A44</f>
        <v>0.39</v>
      </c>
      <c r="E44" s="0" t="n">
        <f aca="false">(G44-G43)/(A44-A43)</f>
        <v>2.08045436842264</v>
      </c>
      <c r="F44" s="0" t="n">
        <f aca="false">G44/A44</f>
        <v>1.15333431908916</v>
      </c>
      <c r="G44" s="0" t="n">
        <f aca="false">A44^2/(A44^2+(1-A44)^2/$B$5)</f>
        <v>0.449800384444773</v>
      </c>
      <c r="L44" s="0" t="n">
        <v>34</v>
      </c>
      <c r="M44" s="16" t="n">
        <f aca="false">IF(ABS(M43-$B$11/$B$9*((MAX(0,MIN(1,M43))^2/(MAX(0,MIN(1,M43))^2+(1-MAX(0,MIN(1,M43)))^2/$B$5))-(MAX(0,MIN(1,1))^2/(MAX(0,MIN(1,1))^2+(1-MAX(0,MIN(1,1)))^2/$B$5))))&lt;0.000000001,0,M43-$B$11/$B$9*((MAX(0,MIN(1,M43))^2/(MAX(0,MIN(1,M43))^2+(1-MAX(0,MIN(1,M43)))^2/$B$5))-(MAX(0,MIN(1,1))^2/(MAX(0,MIN(1,1))^2+(1-MAX(0,MIN(1,1)))^2/$B$5))))</f>
        <v>0.914072921420574</v>
      </c>
      <c r="N44" s="16" t="n">
        <f aca="false">IF(ABS(N43-$B$11/$B$9*((MAX(0,MIN(1,N43))^2/(MAX(0,MIN(1,N43))^2+(1-MAX(0,MIN(1,N43)))^2/$B$5))-(MAX(0,MIN(1,M43))^2/(MAX(0,MIN(1,M43))^2+(1-MAX(0,MIN(1,M43)))^2/$B$5))))&lt;0.000000001,0,N43-$B$11/$B$9*((MAX(0,MIN(1,N43))^2/(MAX(0,MIN(1,N43))^2+(1-MAX(0,MIN(1,N43)))^2/$B$5))-(MAX(0,MIN(1,M43))^2/(MAX(0,MIN(1,M43))^2+(1-MAX(0,MIN(1,M43)))^2/$B$5))))</f>
        <v>0.872678064699234</v>
      </c>
      <c r="O44" s="16" t="n">
        <f aca="false">IF(ABS(O43-$B$11/$B$9*((MAX(0,MIN(1,O43))^2/(MAX(0,MIN(1,O43))^2+(1-MAX(0,MIN(1,O43)))^2/$B$5))-(MAX(0,MIN(1,N43))^2/(MAX(0,MIN(1,N43))^2+(1-MAX(0,MIN(1,N43)))^2/$B$5))))&lt;0.000000001,0,O43-$B$11/$B$9*((MAX(0,MIN(1,O43))^2/(MAX(0,MIN(1,O43))^2+(1-MAX(0,MIN(1,O43)))^2/$B$5))-(MAX(0,MIN(1,N43))^2/(MAX(0,MIN(1,N43))^2+(1-MAX(0,MIN(1,N43)))^2/$B$5))))</f>
        <v>0.839650089090357</v>
      </c>
      <c r="P44" s="16" t="n">
        <f aca="false">IF(ABS(P43-$B$11/$B$9*((MAX(0,MIN(1,P43))^2/(MAX(0,MIN(1,P43))^2+(1-MAX(0,MIN(1,P43)))^2/$B$5))-(MAX(0,MIN(1,O43))^2/(MAX(0,MIN(1,O43))^2+(1-MAX(0,MIN(1,O43)))^2/$B$5))))&lt;0.000000001,0,P43-$B$11/$B$9*((MAX(0,MIN(1,P43))^2/(MAX(0,MIN(1,P43))^2+(1-MAX(0,MIN(1,P43)))^2/$B$5))-(MAX(0,MIN(1,O43))^2/(MAX(0,MIN(1,O43))^2+(1-MAX(0,MIN(1,O43)))^2/$B$5))))</f>
        <v>0.811461088646923</v>
      </c>
      <c r="Q44" s="16" t="n">
        <f aca="false">IF(ABS(Q43-$B$11/$B$9*((MAX(0,MIN(1,Q43))^2/(MAX(0,MIN(1,Q43))^2+(1-MAX(0,MIN(1,Q43)))^2/$B$5))-(MAX(0,MIN(1,P43))^2/(MAX(0,MIN(1,P43))^2+(1-MAX(0,MIN(1,P43)))^2/$B$5))))&lt;0.000000001,0,Q43-$B$11/$B$9*((MAX(0,MIN(1,Q43))^2/(MAX(0,MIN(1,Q43))^2+(1-MAX(0,MIN(1,Q43)))^2/$B$5))-(MAX(0,MIN(1,P43))^2/(MAX(0,MIN(1,P43))^2+(1-MAX(0,MIN(1,P43)))^2/$B$5))))</f>
        <v>0.786563811285842</v>
      </c>
      <c r="R44" s="16" t="n">
        <f aca="false">IF(ABS(R43-$B$11/$B$9*((MAX(0,MIN(1,R43))^2/(MAX(0,MIN(1,R43))^2+(1-MAX(0,MIN(1,R43)))^2/$B$5))-(MAX(0,MIN(1,Q43))^2/(MAX(0,MIN(1,Q43))^2+(1-MAX(0,MIN(1,Q43)))^2/$B$5))))&lt;0.000000001,0,R43-$B$11/$B$9*((MAX(0,MIN(1,R43))^2/(MAX(0,MIN(1,R43))^2+(1-MAX(0,MIN(1,R43)))^2/$B$5))-(MAX(0,MIN(1,Q43))^2/(MAX(0,MIN(1,Q43))^2+(1-MAX(0,MIN(1,Q43)))^2/$B$5))))</f>
        <v>0.764071507571693</v>
      </c>
      <c r="S44" s="16" t="n">
        <f aca="false">IF(ABS(S43-$B$11/$B$9*((MAX(0,MIN(1,S43))^2/(MAX(0,MIN(1,S43))^2+(1-MAX(0,MIN(1,S43)))^2/$B$5))-(MAX(0,MIN(1,R43))^2/(MAX(0,MIN(1,R43))^2+(1-MAX(0,MIN(1,R43)))^2/$B$5))))&lt;0.000000001,0,S43-$B$11/$B$9*((MAX(0,MIN(1,S43))^2/(MAX(0,MIN(1,S43))^2+(1-MAX(0,MIN(1,S43)))^2/$B$5))-(MAX(0,MIN(1,R43))^2/(MAX(0,MIN(1,R43))^2+(1-MAX(0,MIN(1,R43)))^2/$B$5))))</f>
        <v>0.743403513653624</v>
      </c>
      <c r="T44" s="16" t="n">
        <f aca="false">IF(ABS(T43-$B$11/$B$9*((MAX(0,MIN(1,T43))^2/(MAX(0,MIN(1,T43))^2+(1-MAX(0,MIN(1,T43)))^2/$B$5))-(MAX(0,MIN(1,S43))^2/(MAX(0,MIN(1,S43))^2+(1-MAX(0,MIN(1,S43)))^2/$B$5))))&lt;0.000000001,0,T43-$B$11/$B$9*((MAX(0,MIN(1,T43))^2/(MAX(0,MIN(1,T43))^2+(1-MAX(0,MIN(1,T43)))^2/$B$5))-(MAX(0,MIN(1,S43))^2/(MAX(0,MIN(1,S43))^2+(1-MAX(0,MIN(1,S43)))^2/$B$5))))</f>
        <v>0.724144631485074</v>
      </c>
      <c r="U44" s="16" t="n">
        <f aca="false">IF(ABS(U43-$B$11/$B$9*((MAX(0,MIN(1,U43))^2/(MAX(0,MIN(1,U43))^2+(1-MAX(0,MIN(1,U43)))^2/$B$5))-(MAX(0,MIN(1,T43))^2/(MAX(0,MIN(1,T43))^2+(1-MAX(0,MIN(1,T43)))^2/$B$5))))&lt;0.000000001,0,U43-$B$11/$B$9*((MAX(0,MIN(1,U43))^2/(MAX(0,MIN(1,U43))^2+(1-MAX(0,MIN(1,U43)))^2/$B$5))-(MAX(0,MIN(1,T43))^2/(MAX(0,MIN(1,T43))^2+(1-MAX(0,MIN(1,T43)))^2/$B$5))))</f>
        <v>0.705975593711693</v>
      </c>
      <c r="V44" s="16" t="n">
        <f aca="false">IF(ABS(V43-$B$11/$B$9*((MAX(0,MIN(1,V43))^2/(MAX(0,MIN(1,V43))^2+(1-MAX(0,MIN(1,V43)))^2/$B$5))-(MAX(0,MIN(1,U43))^2/(MAX(0,MIN(1,U43))^2+(1-MAX(0,MIN(1,U43)))^2/$B$5))))&lt;0.000000001,0,V43-$B$11/$B$9*((MAX(0,MIN(1,V43))^2/(MAX(0,MIN(1,V43))^2+(1-MAX(0,MIN(1,V43)))^2/$B$5))-(MAX(0,MIN(1,U43))^2/(MAX(0,MIN(1,U43))^2+(1-MAX(0,MIN(1,U43)))^2/$B$5))))</f>
        <v>0.68863216675169</v>
      </c>
      <c r="W44" s="16" t="n">
        <f aca="false">IF(ABS(W43-$B$11/$B$9*((MAX(0,MIN(1,W43))^2/(MAX(0,MIN(1,W43))^2+(1-MAX(0,MIN(1,W43)))^2/$B$5))-(MAX(0,MIN(1,V43))^2/(MAX(0,MIN(1,V43))^2+(1-MAX(0,MIN(1,V43)))^2/$B$5))))&lt;0.000000001,0,W43-$B$11/$B$9*((MAX(0,MIN(1,W43))^2/(MAX(0,MIN(1,W43))^2+(1-MAX(0,MIN(1,W43)))^2/$B$5))-(MAX(0,MIN(1,V43))^2/(MAX(0,MIN(1,V43))^2+(1-MAX(0,MIN(1,V43)))^2/$B$5))))</f>
        <v>0.671875796894827</v>
      </c>
      <c r="X44" s="16" t="n">
        <f aca="false">IF(ABS(X43-$B$11/$B$9*((MAX(0,MIN(1,X43))^2/(MAX(0,MIN(1,X43))^2+(1-MAX(0,MIN(1,X43)))^2/$B$5))-(MAX(0,MIN(1,W43))^2/(MAX(0,MIN(1,W43))^2+(1-MAX(0,MIN(1,W43)))^2/$B$5))))&lt;0.000000001,0,X43-$B$11/$B$9*((MAX(0,MIN(1,X43))^2/(MAX(0,MIN(1,X43))^2+(1-MAX(0,MIN(1,X43)))^2/$B$5))-(MAX(0,MIN(1,W43))^2/(MAX(0,MIN(1,W43))^2+(1-MAX(0,MIN(1,W43)))^2/$B$5))))</f>
        <v>0.655465768594962</v>
      </c>
      <c r="Y44" s="16" t="n">
        <f aca="false">IF(ABS(Y43-$B$11/$B$9*((MAX(0,MIN(1,Y43))^2/(MAX(0,MIN(1,Y43))^2+(1-MAX(0,MIN(1,Y43)))^2/$B$5))-(MAX(0,MIN(1,X43))^2/(MAX(0,MIN(1,X43))^2+(1-MAX(0,MIN(1,X43)))^2/$B$5))))&lt;0.000000001,0,Y43-$B$11/$B$9*((MAX(0,MIN(1,Y43))^2/(MAX(0,MIN(1,Y43))^2+(1-MAX(0,MIN(1,Y43)))^2/$B$5))-(MAX(0,MIN(1,X43))^2/(MAX(0,MIN(1,X43))^2+(1-MAX(0,MIN(1,X43)))^2/$B$5))))</f>
        <v>0.639122359604545</v>
      </c>
      <c r="Z44" s="16" t="n">
        <f aca="false">IF(ABS(Z43-$B$11/$B$9*((MAX(0,MIN(1,Z43))^2/(MAX(0,MIN(1,Z43))^2+(1-MAX(0,MIN(1,Z43)))^2/$B$5))-(MAX(0,MIN(1,Y43))^2/(MAX(0,MIN(1,Y43))^2+(1-MAX(0,MIN(1,Y43)))^2/$B$5))))&lt;0.000000001,0,Z43-$B$11/$B$9*((MAX(0,MIN(1,Z43))^2/(MAX(0,MIN(1,Z43))^2+(1-MAX(0,MIN(1,Z43)))^2/$B$5))-(MAX(0,MIN(1,Y43))^2/(MAX(0,MIN(1,Y43))^2+(1-MAX(0,MIN(1,Y43)))^2/$B$5))))</f>
        <v>0.622461950138952</v>
      </c>
      <c r="AA44" s="16" t="n">
        <f aca="false">IF(ABS(AA43-$B$11/$B$9*((MAX(0,MIN(1,AA43))^2/(MAX(0,MIN(1,AA43))^2+(1-MAX(0,MIN(1,AA43)))^2/$B$5))-(MAX(0,MIN(1,Z43))^2/(MAX(0,MIN(1,Z43))^2+(1-MAX(0,MIN(1,Z43)))^2/$B$5))))&lt;0.000000001,0,AA43-$B$11/$B$9*((MAX(0,MIN(1,AA43))^2/(MAX(0,MIN(1,AA43))^2+(1-MAX(0,MIN(1,AA43)))^2/$B$5))-(MAX(0,MIN(1,Z43))^2/(MAX(0,MIN(1,Z43))^2+(1-MAX(0,MIN(1,Z43)))^2/$B$5))))</f>
        <v>0.604856359752143</v>
      </c>
      <c r="AB44" s="16" t="n">
        <f aca="false">IF(ABS(AB43-$B$11/$B$9*((MAX(0,MIN(1,AB43))^2/(MAX(0,MIN(1,AB43))^2+(1-MAX(0,MIN(1,AB43)))^2/$B$5))-(MAX(0,MIN(1,AA43))^2/(MAX(0,MIN(1,AA43))^2+(1-MAX(0,MIN(1,AA43)))^2/$B$5))))&lt;0.000000001,0,AB43-$B$11/$B$9*((MAX(0,MIN(1,AB43))^2/(MAX(0,MIN(1,AB43))^2+(1-MAX(0,MIN(1,AB43)))^2/$B$5))-(MAX(0,MIN(1,AA43))^2/(MAX(0,MIN(1,AA43))^2+(1-MAX(0,MIN(1,AA43)))^2/$B$5))))</f>
        <v>0.585063674830698</v>
      </c>
      <c r="AC44" s="16" t="n">
        <f aca="false">IF(ABS(AC43-$B$11/$B$9*((MAX(0,MIN(1,AC43))^2/(MAX(0,MIN(1,AC43))^2+(1-MAX(0,MIN(1,AC43)))^2/$B$5))-(MAX(0,MIN(1,AB43))^2/(MAX(0,MIN(1,AB43))^2+(1-MAX(0,MIN(1,AB43)))^2/$B$5))))&lt;0.000000001,0,AC43-$B$11/$B$9*((MAX(0,MIN(1,AC43))^2/(MAX(0,MIN(1,AC43))^2+(1-MAX(0,MIN(1,AC43)))^2/$B$5))-(MAX(0,MIN(1,AB43))^2/(MAX(0,MIN(1,AB43))^2+(1-MAX(0,MIN(1,AB43)))^2/$B$5))))</f>
        <v>0.559976837111672</v>
      </c>
      <c r="AD44" s="16" t="n">
        <f aca="false">IF(ABS(AD43-$B$11/$B$9*((MAX(0,MIN(1,AD43))^2/(MAX(0,MIN(1,AD43))^2+(1-MAX(0,MIN(1,AD43)))^2/$B$5))-(MAX(0,MIN(1,AC43))^2/(MAX(0,MIN(1,AC43))^2+(1-MAX(0,MIN(1,AC43)))^2/$B$5))))&lt;0.000000001,0,AD43-$B$11/$B$9*((MAX(0,MIN(1,AD43))^2/(MAX(0,MIN(1,AD43))^2+(1-MAX(0,MIN(1,AD43)))^2/$B$5))-(MAX(0,MIN(1,AC43))^2/(MAX(0,MIN(1,AC43))^2+(1-MAX(0,MIN(1,AC43)))^2/$B$5))))</f>
        <v>0.518081841672404</v>
      </c>
      <c r="AE44" s="16" t="n">
        <f aca="false">IF(ABS(AE43-$B$11/$B$9*((MAX(0,MIN(1,AE43))^2/(MAX(0,MIN(1,AE43))^2+(1-MAX(0,MIN(1,AE43)))^2/$B$5))-(MAX(0,MIN(1,AD43))^2/(MAX(0,MIN(1,AD43))^2+(1-MAX(0,MIN(1,AD43)))^2/$B$5))))&lt;0.000000001,0,AE43-$B$11/$B$9*((MAX(0,MIN(1,AE43))^2/(MAX(0,MIN(1,AE43))^2+(1-MAX(0,MIN(1,AE43)))^2/$B$5))-(MAX(0,MIN(1,AD43))^2/(MAX(0,MIN(1,AD43))^2+(1-MAX(0,MIN(1,AD43)))^2/$B$5))))</f>
        <v>0.349419603872164</v>
      </c>
      <c r="AF44" s="16" t="n">
        <f aca="false">IF(ABS(AF43-$B$11/$B$9*((MAX(0,MIN(1,AF43))^2/(MAX(0,MIN(1,AF43))^2+(1-MAX(0,MIN(1,AF43)))^2/$B$5))-(MAX(0,MIN(1,AE43))^2/(MAX(0,MIN(1,AE43))^2+(1-MAX(0,MIN(1,AE43)))^2/$B$5))))&lt;0.000000001,0,AF43-$B$11/$B$9*((MAX(0,MIN(1,AF43))^2/(MAX(0,MIN(1,AF43))^2+(1-MAX(0,MIN(1,AF43)))^2/$B$5))-(MAX(0,MIN(1,AE43))^2/(MAX(0,MIN(1,AE43))^2+(1-MAX(0,MIN(1,AE43)))^2/$B$5))))</f>
        <v>0.0170895057145714</v>
      </c>
    </row>
    <row r="45" customFormat="false" ht="15" hidden="false" customHeight="false" outlineLevel="0" collapsed="false">
      <c r="A45" s="0" t="n">
        <v>0.4</v>
      </c>
      <c r="D45" s="0" t="n">
        <f aca="false">A45</f>
        <v>0.4</v>
      </c>
      <c r="E45" s="0" t="n">
        <f aca="false">(G45-G44)/(A45-A44)</f>
        <v>2.07878508493446</v>
      </c>
      <c r="F45" s="0" t="n">
        <f aca="false">G45/A45</f>
        <v>1.17647058823529</v>
      </c>
      <c r="G45" s="0" t="n">
        <f aca="false">A45^2/(A45^2+(1-A45)^2/$B$5)</f>
        <v>0.470588235294118</v>
      </c>
      <c r="L45" s="0" t="n">
        <v>35</v>
      </c>
      <c r="M45" s="16" t="n">
        <f aca="false">IF(ABS(M44-$B$11/$B$9*((MAX(0,MIN(1,M44))^2/(MAX(0,MIN(1,M44))^2+(1-MAX(0,MIN(1,M44)))^2/$B$5))-(MAX(0,MIN(1,1))^2/(MAX(0,MIN(1,1))^2+(1-MAX(0,MIN(1,1)))^2/$B$5))))&lt;0.000000001,0,M44-$B$11/$B$9*((MAX(0,MIN(1,M44))^2/(MAX(0,MIN(1,M44))^2+(1-MAX(0,MIN(1,M44)))^2/$B$5))-(MAX(0,MIN(1,1))^2/(MAX(0,MIN(1,1))^2+(1-MAX(0,MIN(1,1)))^2/$B$5))))</f>
        <v>0.915764474101489</v>
      </c>
      <c r="N45" s="16" t="n">
        <f aca="false">IF(ABS(N44-$B$11/$B$9*((MAX(0,MIN(1,N44))^2/(MAX(0,MIN(1,N44))^2+(1-MAX(0,MIN(1,N44)))^2/$B$5))-(MAX(0,MIN(1,M44))^2/(MAX(0,MIN(1,M44))^2+(1-MAX(0,MIN(1,M44)))^2/$B$5))))&lt;0.000000001,0,N44-$B$11/$B$9*((MAX(0,MIN(1,N44))^2/(MAX(0,MIN(1,N44))^2+(1-MAX(0,MIN(1,N44)))^2/$B$5))-(MAX(0,MIN(1,M44))^2/(MAX(0,MIN(1,M44))^2+(1-MAX(0,MIN(1,M44)))^2/$B$5))))</f>
        <v>0.875036020586117</v>
      </c>
      <c r="O45" s="16" t="n">
        <f aca="false">IF(ABS(O44-$B$11/$B$9*((MAX(0,MIN(1,O44))^2/(MAX(0,MIN(1,O44))^2+(1-MAX(0,MIN(1,O44)))^2/$B$5))-(MAX(0,MIN(1,N44))^2/(MAX(0,MIN(1,N44))^2+(1-MAX(0,MIN(1,N44)))^2/$B$5))))&lt;0.000000001,0,O44-$B$11/$B$9*((MAX(0,MIN(1,O44))^2/(MAX(0,MIN(1,O44))^2+(1-MAX(0,MIN(1,O44)))^2/$B$5))-(MAX(0,MIN(1,N44))^2/(MAX(0,MIN(1,N44))^2+(1-MAX(0,MIN(1,N44)))^2/$B$5))))</f>
        <v>0.842487015562551</v>
      </c>
      <c r="P45" s="16" t="n">
        <f aca="false">IF(ABS(P44-$B$11/$B$9*((MAX(0,MIN(1,P44))^2/(MAX(0,MIN(1,P44))^2+(1-MAX(0,MIN(1,P44)))^2/$B$5))-(MAX(0,MIN(1,O44))^2/(MAX(0,MIN(1,O44))^2+(1-MAX(0,MIN(1,O44)))^2/$B$5))))&lt;0.000000001,0,P44-$B$11/$B$9*((MAX(0,MIN(1,P44))^2/(MAX(0,MIN(1,P44))^2+(1-MAX(0,MIN(1,P44)))^2/$B$5))-(MAX(0,MIN(1,O44))^2/(MAX(0,MIN(1,O44))^2+(1-MAX(0,MIN(1,O44)))^2/$B$5))))</f>
        <v>0.814681165408827</v>
      </c>
      <c r="Q45" s="16" t="n">
        <f aca="false">IF(ABS(Q44-$B$11/$B$9*((MAX(0,MIN(1,Q44))^2/(MAX(0,MIN(1,Q44))^2+(1-MAX(0,MIN(1,Q44)))^2/$B$5))-(MAX(0,MIN(1,P44))^2/(MAX(0,MIN(1,P44))^2+(1-MAX(0,MIN(1,P44)))^2/$B$5))))&lt;0.000000001,0,Q44-$B$11/$B$9*((MAX(0,MIN(1,Q44))^2/(MAX(0,MIN(1,Q44))^2+(1-MAX(0,MIN(1,Q44)))^2/$B$5))-(MAX(0,MIN(1,P44))^2/(MAX(0,MIN(1,P44))^2+(1-MAX(0,MIN(1,P44)))^2/$B$5))))</f>
        <v>0.790111561782673</v>
      </c>
      <c r="R45" s="16" t="n">
        <f aca="false">IF(ABS(R44-$B$11/$B$9*((MAX(0,MIN(1,R44))^2/(MAX(0,MIN(1,R44))^2+(1-MAX(0,MIN(1,R44)))^2/$B$5))-(MAX(0,MIN(1,Q44))^2/(MAX(0,MIN(1,Q44))^2+(1-MAX(0,MIN(1,Q44)))^2/$B$5))))&lt;0.000000001,0,R44-$B$11/$B$9*((MAX(0,MIN(1,R44))^2/(MAX(0,MIN(1,R44))^2+(1-MAX(0,MIN(1,R44)))^2/$B$5))-(MAX(0,MIN(1,Q44))^2/(MAX(0,MIN(1,Q44))^2+(1-MAX(0,MIN(1,Q44)))^2/$B$5))))</f>
        <v>0.767914473701833</v>
      </c>
      <c r="S45" s="16" t="n">
        <f aca="false">IF(ABS(S44-$B$11/$B$9*((MAX(0,MIN(1,S44))^2/(MAX(0,MIN(1,S44))^2+(1-MAX(0,MIN(1,S44)))^2/$B$5))-(MAX(0,MIN(1,R44))^2/(MAX(0,MIN(1,R44))^2+(1-MAX(0,MIN(1,R44)))^2/$B$5))))&lt;0.000000001,0,S44-$B$11/$B$9*((MAX(0,MIN(1,S44))^2/(MAX(0,MIN(1,S44))^2+(1-MAX(0,MIN(1,S44)))^2/$B$5))-(MAX(0,MIN(1,R44))^2/(MAX(0,MIN(1,R44))^2+(1-MAX(0,MIN(1,R44)))^2/$B$5))))</f>
        <v>0.747524739496558</v>
      </c>
      <c r="T45" s="16" t="n">
        <f aca="false">IF(ABS(T44-$B$11/$B$9*((MAX(0,MIN(1,T44))^2/(MAX(0,MIN(1,T44))^2+(1-MAX(0,MIN(1,T44)))^2/$B$5))-(MAX(0,MIN(1,S44))^2/(MAX(0,MIN(1,S44))^2+(1-MAX(0,MIN(1,S44)))^2/$B$5))))&lt;0.000000001,0,T44-$B$11/$B$9*((MAX(0,MIN(1,T44))^2/(MAX(0,MIN(1,T44))^2+(1-MAX(0,MIN(1,T44)))^2/$B$5))-(MAX(0,MIN(1,S44))^2/(MAX(0,MIN(1,S44))^2+(1-MAX(0,MIN(1,S44)))^2/$B$5))))</f>
        <v>0.728539358427848</v>
      </c>
      <c r="U45" s="16" t="n">
        <f aca="false">IF(ABS(U44-$B$11/$B$9*((MAX(0,MIN(1,U44))^2/(MAX(0,MIN(1,U44))^2+(1-MAX(0,MIN(1,U44)))^2/$B$5))-(MAX(0,MIN(1,T44))^2/(MAX(0,MIN(1,T44))^2+(1-MAX(0,MIN(1,T44)))^2/$B$5))))&lt;0.000000001,0,U44-$B$11/$B$9*((MAX(0,MIN(1,U44))^2/(MAX(0,MIN(1,U44))^2+(1-MAX(0,MIN(1,U44)))^2/$B$5))-(MAX(0,MIN(1,T44))^2/(MAX(0,MIN(1,T44))^2+(1-MAX(0,MIN(1,T44)))^2/$B$5))))</f>
        <v>0.710650405265137</v>
      </c>
      <c r="V45" s="16" t="n">
        <f aca="false">IF(ABS(V44-$B$11/$B$9*((MAX(0,MIN(1,V44))^2/(MAX(0,MIN(1,V44))^2+(1-MAX(0,MIN(1,V44)))^2/$B$5))-(MAX(0,MIN(1,U44))^2/(MAX(0,MIN(1,U44))^2+(1-MAX(0,MIN(1,U44)))^2/$B$5))))&lt;0.000000001,0,V44-$B$11/$B$9*((MAX(0,MIN(1,V44))^2/(MAX(0,MIN(1,V44))^2+(1-MAX(0,MIN(1,V44)))^2/$B$5))-(MAX(0,MIN(1,U44))^2/(MAX(0,MIN(1,U44))^2+(1-MAX(0,MIN(1,U44)))^2/$B$5))))</f>
        <v>0.693606177491211</v>
      </c>
      <c r="W45" s="16" t="n">
        <f aca="false">IF(ABS(W44-$B$11/$B$9*((MAX(0,MIN(1,W44))^2/(MAX(0,MIN(1,W44))^2+(1-MAX(0,MIN(1,W44)))^2/$B$5))-(MAX(0,MIN(1,V44))^2/(MAX(0,MIN(1,V44))^2+(1-MAX(0,MIN(1,V44)))^2/$B$5))))&lt;0.000000001,0,W44-$B$11/$B$9*((MAX(0,MIN(1,W44))^2/(MAX(0,MIN(1,W44))^2+(1-MAX(0,MIN(1,W44)))^2/$B$5))-(MAX(0,MIN(1,V44))^2/(MAX(0,MIN(1,V44))^2+(1-MAX(0,MIN(1,V44)))^2/$B$5))))</f>
        <v>0.677184376986426</v>
      </c>
      <c r="X45" s="16" t="n">
        <f aca="false">IF(ABS(X44-$B$11/$B$9*((MAX(0,MIN(1,X44))^2/(MAX(0,MIN(1,X44))^2+(1-MAX(0,MIN(1,X44)))^2/$B$5))-(MAX(0,MIN(1,W44))^2/(MAX(0,MIN(1,W44))^2+(1-MAX(0,MIN(1,W44)))^2/$B$5))))&lt;0.000000001,0,X44-$B$11/$B$9*((MAX(0,MIN(1,X44))^2/(MAX(0,MIN(1,X44))^2+(1-MAX(0,MIN(1,X44)))^2/$B$5))-(MAX(0,MIN(1,W44))^2/(MAX(0,MIN(1,W44))^2+(1-MAX(0,MIN(1,W44)))^2/$B$5))))</f>
        <v>0.661168535663055</v>
      </c>
      <c r="Y45" s="16" t="n">
        <f aca="false">IF(ABS(Y44-$B$11/$B$9*((MAX(0,MIN(1,Y44))^2/(MAX(0,MIN(1,Y44))^2+(1-MAX(0,MIN(1,Y44)))^2/$B$5))-(MAX(0,MIN(1,X44))^2/(MAX(0,MIN(1,X44))^2+(1-MAX(0,MIN(1,X44)))^2/$B$5))))&lt;0.000000001,0,Y44-$B$11/$B$9*((MAX(0,MIN(1,Y44))^2/(MAX(0,MIN(1,Y44))^2+(1-MAX(0,MIN(1,Y44)))^2/$B$5))-(MAX(0,MIN(1,X44))^2/(MAX(0,MIN(1,X44))^2+(1-MAX(0,MIN(1,X44)))^2/$B$5))))</f>
        <v>0.645319799582527</v>
      </c>
      <c r="Z45" s="16" t="n">
        <f aca="false">IF(ABS(Z44-$B$11/$B$9*((MAX(0,MIN(1,Z44))^2/(MAX(0,MIN(1,Z44))^2+(1-MAX(0,MIN(1,Z44)))^2/$B$5))-(MAX(0,MIN(1,Y44))^2/(MAX(0,MIN(1,Y44))^2+(1-MAX(0,MIN(1,Y44)))^2/$B$5))))&lt;0.000000001,0,Z44-$B$11/$B$9*((MAX(0,MIN(1,Z44))^2/(MAX(0,MIN(1,Z44))^2+(1-MAX(0,MIN(1,Z44)))^2/$B$5))-(MAX(0,MIN(1,Y44))^2/(MAX(0,MIN(1,Y44))^2+(1-MAX(0,MIN(1,Y44)))^2/$B$5))))</f>
        <v>0.629331755036749</v>
      </c>
      <c r="AA45" s="16" t="n">
        <f aca="false">IF(ABS(AA44-$B$11/$B$9*((MAX(0,MIN(1,AA44))^2/(MAX(0,MIN(1,AA44))^2+(1-MAX(0,MIN(1,AA44)))^2/$B$5))-(MAX(0,MIN(1,Z44))^2/(MAX(0,MIN(1,Z44))^2+(1-MAX(0,MIN(1,Z44)))^2/$B$5))))&lt;0.000000001,0,AA44-$B$11/$B$9*((MAX(0,MIN(1,AA44))^2/(MAX(0,MIN(1,AA44))^2+(1-MAX(0,MIN(1,AA44)))^2/$B$5))-(MAX(0,MIN(1,Z44))^2/(MAX(0,MIN(1,Z44))^2+(1-MAX(0,MIN(1,Z44)))^2/$B$5))))</f>
        <v>0.61274066230873</v>
      </c>
      <c r="AB45" s="16" t="n">
        <f aca="false">IF(ABS(AB44-$B$11/$B$9*((MAX(0,MIN(1,AB44))^2/(MAX(0,MIN(1,AB44))^2+(1-MAX(0,MIN(1,AB44)))^2/$B$5))-(MAX(0,MIN(1,AA44))^2/(MAX(0,MIN(1,AA44))^2+(1-MAX(0,MIN(1,AA44)))^2/$B$5))))&lt;0.000000001,0,AB44-$B$11/$B$9*((MAX(0,MIN(1,AB44))^2/(MAX(0,MIN(1,AB44))^2+(1-MAX(0,MIN(1,AB44)))^2/$B$5))-(MAX(0,MIN(1,AA44))^2/(MAX(0,MIN(1,AA44))^2+(1-MAX(0,MIN(1,AA44)))^2/$B$5))))</f>
        <v>0.594712148944874</v>
      </c>
      <c r="AC45" s="16" t="n">
        <f aca="false">IF(ABS(AC44-$B$11/$B$9*((MAX(0,MIN(1,AC44))^2/(MAX(0,MIN(1,AC44))^2+(1-MAX(0,MIN(1,AC44)))^2/$B$5))-(MAX(0,MIN(1,AB44))^2/(MAX(0,MIN(1,AB44))^2+(1-MAX(0,MIN(1,AB44)))^2/$B$5))))&lt;0.000000001,0,AC44-$B$11/$B$9*((MAX(0,MIN(1,AC44))^2/(MAX(0,MIN(1,AC44))^2+(1-MAX(0,MIN(1,AC44)))^2/$B$5))-(MAX(0,MIN(1,AB44))^2/(MAX(0,MIN(1,AB44))^2+(1-MAX(0,MIN(1,AB44)))^2/$B$5))))</f>
        <v>0.573414931524254</v>
      </c>
      <c r="AD45" s="16" t="n">
        <f aca="false">IF(ABS(AD44-$B$11/$B$9*((MAX(0,MIN(1,AD44))^2/(MAX(0,MIN(1,AD44))^2+(1-MAX(0,MIN(1,AD44)))^2/$B$5))-(MAX(0,MIN(1,AC44))^2/(MAX(0,MIN(1,AC44))^2+(1-MAX(0,MIN(1,AC44)))^2/$B$5))))&lt;0.000000001,0,AD44-$B$11/$B$9*((MAX(0,MIN(1,AD44))^2/(MAX(0,MIN(1,AD44))^2+(1-MAX(0,MIN(1,AD44)))^2/$B$5))-(MAX(0,MIN(1,AC44))^2/(MAX(0,MIN(1,AC44))^2+(1-MAX(0,MIN(1,AC44)))^2/$B$5))))</f>
        <v>0.543492941218509</v>
      </c>
      <c r="AE45" s="16" t="n">
        <f aca="false">IF(ABS(AE44-$B$11/$B$9*((MAX(0,MIN(1,AE44))^2/(MAX(0,MIN(1,AE44))^2+(1-MAX(0,MIN(1,AE44)))^2/$B$5))-(MAX(0,MIN(1,AD44))^2/(MAX(0,MIN(1,AD44))^2+(1-MAX(0,MIN(1,AD44)))^2/$B$5))))&lt;0.000000001,0,AE44-$B$11/$B$9*((MAX(0,MIN(1,AE44))^2/(MAX(0,MIN(1,AE44))^2+(1-MAX(0,MIN(1,AE44)))^2/$B$5))-(MAX(0,MIN(1,AD44))^2/(MAX(0,MIN(1,AD44))^2+(1-MAX(0,MIN(1,AD44)))^2/$B$5))))</f>
        <v>0.477145248734353</v>
      </c>
      <c r="AF45" s="16" t="n">
        <f aca="false">IF(ABS(AF44-$B$11/$B$9*((MAX(0,MIN(1,AF44))^2/(MAX(0,MIN(1,AF44))^2+(1-MAX(0,MIN(1,AF44)))^2/$B$5))-(MAX(0,MIN(1,AE44))^2/(MAX(0,MIN(1,AE44))^2+(1-MAX(0,MIN(1,AE44)))^2/$B$5))))&lt;0.000000001,0,AF44-$B$11/$B$9*((MAX(0,MIN(1,AF44))^2/(MAX(0,MIN(1,AF44))^2+(1-MAX(0,MIN(1,AF44)))^2/$B$5))-(MAX(0,MIN(1,AE44))^2/(MAX(0,MIN(1,AE44))^2+(1-MAX(0,MIN(1,AE44)))^2/$B$5))))</f>
        <v>0.157540336406339</v>
      </c>
    </row>
    <row r="46" customFormat="false" ht="15" hidden="false" customHeight="false" outlineLevel="0" collapsed="false">
      <c r="A46" s="0" t="n">
        <v>0.41</v>
      </c>
      <c r="D46" s="0" t="n">
        <f aca="false">A46</f>
        <v>0.41</v>
      </c>
      <c r="E46" s="0" t="n">
        <f aca="false">(G46-G45)/(A46-A45)</f>
        <v>2.07167479003876</v>
      </c>
      <c r="F46" s="0" t="n">
        <f aca="false">G46/A46</f>
        <v>1.19830483705977</v>
      </c>
      <c r="G46" s="0" t="n">
        <f aca="false">A46^2/(A46^2+(1-A46)^2/$B$5)</f>
        <v>0.491304983194505</v>
      </c>
      <c r="L46" s="0" t="n">
        <v>36</v>
      </c>
      <c r="M46" s="16" t="n">
        <f aca="false">IF(ABS(M45-$B$11/$B$9*((MAX(0,MIN(1,M45))^2/(MAX(0,MIN(1,M45))^2+(1-MAX(0,MIN(1,M45)))^2/$B$5))-(MAX(0,MIN(1,1))^2/(MAX(0,MIN(1,1))^2+(1-MAX(0,MIN(1,1)))^2/$B$5))))&lt;0.000000001,0,M45-$B$11/$B$9*((MAX(0,MIN(1,M45))^2/(MAX(0,MIN(1,M45))^2+(1-MAX(0,MIN(1,M45)))^2/$B$5))-(MAX(0,MIN(1,1))^2/(MAX(0,MIN(1,1))^2+(1-MAX(0,MIN(1,1)))^2/$B$5))))</f>
        <v>0.917384385956382</v>
      </c>
      <c r="N46" s="16" t="n">
        <f aca="false">IF(ABS(N45-$B$11/$B$9*((MAX(0,MIN(1,N45))^2/(MAX(0,MIN(1,N45))^2+(1-MAX(0,MIN(1,N45)))^2/$B$5))-(MAX(0,MIN(1,M45))^2/(MAX(0,MIN(1,M45))^2+(1-MAX(0,MIN(1,M45)))^2/$B$5))))&lt;0.000000001,0,N45-$B$11/$B$9*((MAX(0,MIN(1,N45))^2/(MAX(0,MIN(1,N45))^2+(1-MAX(0,MIN(1,N45)))^2/$B$5))-(MAX(0,MIN(1,M45))^2/(MAX(0,MIN(1,M45))^2+(1-MAX(0,MIN(1,M45)))^2/$B$5))))</f>
        <v>0.877297732136763</v>
      </c>
      <c r="O46" s="16" t="n">
        <f aca="false">IF(ABS(O45-$B$11/$B$9*((MAX(0,MIN(1,O45))^2/(MAX(0,MIN(1,O45))^2+(1-MAX(0,MIN(1,O45)))^2/$B$5))-(MAX(0,MIN(1,N45))^2/(MAX(0,MIN(1,N45))^2+(1-MAX(0,MIN(1,N45)))^2/$B$5))))&lt;0.000000001,0,O45-$B$11/$B$9*((MAX(0,MIN(1,O45))^2/(MAX(0,MIN(1,O45))^2+(1-MAX(0,MIN(1,O45)))^2/$B$5))-(MAX(0,MIN(1,N45))^2/(MAX(0,MIN(1,N45))^2+(1-MAX(0,MIN(1,N45)))^2/$B$5))))</f>
        <v>0.845210551855232</v>
      </c>
      <c r="P46" s="16" t="n">
        <f aca="false">IF(ABS(P45-$B$11/$B$9*((MAX(0,MIN(1,P45))^2/(MAX(0,MIN(1,P45))^2+(1-MAX(0,MIN(1,P45)))^2/$B$5))-(MAX(0,MIN(1,O45))^2/(MAX(0,MIN(1,O45))^2+(1-MAX(0,MIN(1,O45)))^2/$B$5))))&lt;0.000000001,0,P45-$B$11/$B$9*((MAX(0,MIN(1,P45))^2/(MAX(0,MIN(1,P45))^2+(1-MAX(0,MIN(1,P45)))^2/$B$5))-(MAX(0,MIN(1,O45))^2/(MAX(0,MIN(1,O45))^2+(1-MAX(0,MIN(1,O45)))^2/$B$5))))</f>
        <v>0.817773784959426</v>
      </c>
      <c r="Q46" s="16" t="n">
        <f aca="false">IF(ABS(Q45-$B$11/$B$9*((MAX(0,MIN(1,Q45))^2/(MAX(0,MIN(1,Q45))^2+(1-MAX(0,MIN(1,Q45)))^2/$B$5))-(MAX(0,MIN(1,P45))^2/(MAX(0,MIN(1,P45))^2+(1-MAX(0,MIN(1,P45)))^2/$B$5))))&lt;0.000000001,0,Q45-$B$11/$B$9*((MAX(0,MIN(1,Q45))^2/(MAX(0,MIN(1,Q45))^2+(1-MAX(0,MIN(1,Q45)))^2/$B$5))-(MAX(0,MIN(1,P45))^2/(MAX(0,MIN(1,P45))^2+(1-MAX(0,MIN(1,P45)))^2/$B$5))))</f>
        <v>0.793518955340722</v>
      </c>
      <c r="R46" s="16" t="n">
        <f aca="false">IF(ABS(R45-$B$11/$B$9*((MAX(0,MIN(1,R45))^2/(MAX(0,MIN(1,R45))^2+(1-MAX(0,MIN(1,R45)))^2/$B$5))-(MAX(0,MIN(1,Q45))^2/(MAX(0,MIN(1,Q45))^2+(1-MAX(0,MIN(1,Q45)))^2/$B$5))))&lt;0.000000001,0,R45-$B$11/$B$9*((MAX(0,MIN(1,R45))^2/(MAX(0,MIN(1,R45))^2+(1-MAX(0,MIN(1,R45)))^2/$B$5))-(MAX(0,MIN(1,Q45))^2/(MAX(0,MIN(1,Q45))^2+(1-MAX(0,MIN(1,Q45)))^2/$B$5))))</f>
        <v>0.771604190185108</v>
      </c>
      <c r="S46" s="16" t="n">
        <f aca="false">IF(ABS(S45-$B$11/$B$9*((MAX(0,MIN(1,S45))^2/(MAX(0,MIN(1,S45))^2+(1-MAX(0,MIN(1,S45)))^2/$B$5))-(MAX(0,MIN(1,R45))^2/(MAX(0,MIN(1,R45))^2+(1-MAX(0,MIN(1,R45)))^2/$B$5))))&lt;0.000000001,0,S45-$B$11/$B$9*((MAX(0,MIN(1,S45))^2/(MAX(0,MIN(1,S45))^2+(1-MAX(0,MIN(1,S45)))^2/$B$5))-(MAX(0,MIN(1,R45))^2/(MAX(0,MIN(1,R45))^2+(1-MAX(0,MIN(1,R45)))^2/$B$5))))</f>
        <v>0.751478896176018</v>
      </c>
      <c r="T46" s="16" t="n">
        <f aca="false">IF(ABS(T45-$B$11/$B$9*((MAX(0,MIN(1,T45))^2/(MAX(0,MIN(1,T45))^2+(1-MAX(0,MIN(1,T45)))^2/$B$5))-(MAX(0,MIN(1,S45))^2/(MAX(0,MIN(1,S45))^2+(1-MAX(0,MIN(1,S45)))^2/$B$5))))&lt;0.000000001,0,T45-$B$11/$B$9*((MAX(0,MIN(1,T45))^2/(MAX(0,MIN(1,T45))^2+(1-MAX(0,MIN(1,T45)))^2/$B$5))-(MAX(0,MIN(1,S45))^2/(MAX(0,MIN(1,S45))^2+(1-MAX(0,MIN(1,S45)))^2/$B$5))))</f>
        <v>0.732751293311818</v>
      </c>
      <c r="U46" s="16" t="n">
        <f aca="false">IF(ABS(U45-$B$11/$B$9*((MAX(0,MIN(1,U45))^2/(MAX(0,MIN(1,U45))^2+(1-MAX(0,MIN(1,U45)))^2/$B$5))-(MAX(0,MIN(1,T45))^2/(MAX(0,MIN(1,T45))^2+(1-MAX(0,MIN(1,T45)))^2/$B$5))))&lt;0.000000001,0,U45-$B$11/$B$9*((MAX(0,MIN(1,U45))^2/(MAX(0,MIN(1,U45))^2+(1-MAX(0,MIN(1,U45)))^2/$B$5))-(MAX(0,MIN(1,T45))^2/(MAX(0,MIN(1,T45))^2+(1-MAX(0,MIN(1,T45)))^2/$B$5))))</f>
        <v>0.71512354544288</v>
      </c>
      <c r="V46" s="16" t="n">
        <f aca="false">IF(ABS(V45-$B$11/$B$9*((MAX(0,MIN(1,V45))^2/(MAX(0,MIN(1,V45))^2+(1-MAX(0,MIN(1,V45)))^2/$B$5))-(MAX(0,MIN(1,U45))^2/(MAX(0,MIN(1,U45))^2+(1-MAX(0,MIN(1,U45)))^2/$B$5))))&lt;0.000000001,0,V45-$B$11/$B$9*((MAX(0,MIN(1,V45))^2/(MAX(0,MIN(1,V45))^2+(1-MAX(0,MIN(1,V45)))^2/$B$5))-(MAX(0,MIN(1,U45))^2/(MAX(0,MIN(1,U45))^2+(1-MAX(0,MIN(1,U45)))^2/$B$5))))</f>
        <v>0.698354630068306</v>
      </c>
      <c r="W46" s="16" t="n">
        <f aca="false">IF(ABS(W45-$B$11/$B$9*((MAX(0,MIN(1,W45))^2/(MAX(0,MIN(1,W45))^2+(1-MAX(0,MIN(1,W45)))^2/$B$5))-(MAX(0,MIN(1,V45))^2/(MAX(0,MIN(1,V45))^2+(1-MAX(0,MIN(1,V45)))^2/$B$5))))&lt;0.000000001,0,W45-$B$11/$B$9*((MAX(0,MIN(1,W45))^2/(MAX(0,MIN(1,W45))^2+(1-MAX(0,MIN(1,W45)))^2/$B$5))-(MAX(0,MIN(1,V45))^2/(MAX(0,MIN(1,V45))^2+(1-MAX(0,MIN(1,V45)))^2/$B$5))))</f>
        <v>0.682235473639625</v>
      </c>
      <c r="X46" s="16" t="n">
        <f aca="false">IF(ABS(X45-$B$11/$B$9*((MAX(0,MIN(1,X45))^2/(MAX(0,MIN(1,X45))^2+(1-MAX(0,MIN(1,X45)))^2/$B$5))-(MAX(0,MIN(1,W45))^2/(MAX(0,MIN(1,W45))^2+(1-MAX(0,MIN(1,W45)))^2/$B$5))))&lt;0.000000001,0,X45-$B$11/$B$9*((MAX(0,MIN(1,X45))^2/(MAX(0,MIN(1,X45))^2+(1-MAX(0,MIN(1,X45)))^2/$B$5))-(MAX(0,MIN(1,W45))^2/(MAX(0,MIN(1,W45))^2+(1-MAX(0,MIN(1,W45)))^2/$B$5))))</f>
        <v>0.666568422867324</v>
      </c>
      <c r="Y46" s="16" t="n">
        <f aca="false">IF(ABS(Y45-$B$11/$B$9*((MAX(0,MIN(1,Y45))^2/(MAX(0,MIN(1,Y45))^2+(1-MAX(0,MIN(1,Y45)))^2/$B$5))-(MAX(0,MIN(1,X45))^2/(MAX(0,MIN(1,X45))^2+(1-MAX(0,MIN(1,X45)))^2/$B$5))))&lt;0.000000001,0,Y45-$B$11/$B$9*((MAX(0,MIN(1,Y45))^2/(MAX(0,MIN(1,Y45))^2+(1-MAX(0,MIN(1,Y45)))^2/$B$5))-(MAX(0,MIN(1,X45))^2/(MAX(0,MIN(1,X45))^2+(1-MAX(0,MIN(1,X45)))^2/$B$5))))</f>
        <v>0.651144823479735</v>
      </c>
      <c r="Z46" s="16" t="n">
        <f aca="false">IF(ABS(Z45-$B$11/$B$9*((MAX(0,MIN(1,Z45))^2/(MAX(0,MIN(1,Z45))^2+(1-MAX(0,MIN(1,Z45)))^2/$B$5))-(MAX(0,MIN(1,Y45))^2/(MAX(0,MIN(1,Y45))^2+(1-MAX(0,MIN(1,Y45)))^2/$B$5))))&lt;0.000000001,0,Z45-$B$11/$B$9*((MAX(0,MIN(1,Z45))^2/(MAX(0,MIN(1,Z45))^2+(1-MAX(0,MIN(1,Z45)))^2/$B$5))-(MAX(0,MIN(1,Y45))^2/(MAX(0,MIN(1,Y45))^2+(1-MAX(0,MIN(1,Y45)))^2/$B$5))))</f>
        <v>0.635712329434041</v>
      </c>
      <c r="AA46" s="16" t="n">
        <f aca="false">IF(ABS(AA45-$B$11/$B$9*((MAX(0,MIN(1,AA45))^2/(MAX(0,MIN(1,AA45))^2+(1-MAX(0,MIN(1,AA45)))^2/$B$5))-(MAX(0,MIN(1,Z45))^2/(MAX(0,MIN(1,Z45))^2+(1-MAX(0,MIN(1,Z45)))^2/$B$5))))&lt;0.000000001,0,AA45-$B$11/$B$9*((MAX(0,MIN(1,AA45))^2/(MAX(0,MIN(1,AA45))^2+(1-MAX(0,MIN(1,AA45)))^2/$B$5))-(MAX(0,MIN(1,Z45))^2/(MAX(0,MIN(1,Z45))^2+(1-MAX(0,MIN(1,Z45)))^2/$B$5))))</f>
        <v>0.619915140823677</v>
      </c>
      <c r="AB46" s="16" t="n">
        <f aca="false">IF(ABS(AB45-$B$11/$B$9*((MAX(0,MIN(1,AB45))^2/(MAX(0,MIN(1,AB45))^2+(1-MAX(0,MIN(1,AB45)))^2/$B$5))-(MAX(0,MIN(1,AA45))^2/(MAX(0,MIN(1,AA45))^2+(1-MAX(0,MIN(1,AA45)))^2/$B$5))))&lt;0.000000001,0,AB45-$B$11/$B$9*((MAX(0,MIN(1,AB45))^2/(MAX(0,MIN(1,AB45))^2+(1-MAX(0,MIN(1,AB45)))^2/$B$5))-(MAX(0,MIN(1,AA45))^2/(MAX(0,MIN(1,AA45))^2+(1-MAX(0,MIN(1,AA45)))^2/$B$5))))</f>
        <v>0.603163819088835</v>
      </c>
      <c r="AC46" s="16" t="n">
        <f aca="false">IF(ABS(AC45-$B$11/$B$9*((MAX(0,MIN(1,AC45))^2/(MAX(0,MIN(1,AC45))^2+(1-MAX(0,MIN(1,AC45)))^2/$B$5))-(MAX(0,MIN(1,AB45))^2/(MAX(0,MIN(1,AB45))^2+(1-MAX(0,MIN(1,AB45)))^2/$B$5))))&lt;0.000000001,0,AC45-$B$11/$B$9*((MAX(0,MIN(1,AC45))^2/(MAX(0,MIN(1,AC45))^2+(1-MAX(0,MIN(1,AC45)))^2/$B$5))-(MAX(0,MIN(1,AB45))^2/(MAX(0,MIN(1,AB45))^2+(1-MAX(0,MIN(1,AB45)))^2/$B$5))))</f>
        <v>0.584294490955436</v>
      </c>
      <c r="AD46" s="16" t="n">
        <f aca="false">IF(ABS(AD45-$B$11/$B$9*((MAX(0,MIN(1,AD45))^2/(MAX(0,MIN(1,AD45))^2+(1-MAX(0,MIN(1,AD45)))^2/$B$5))-(MAX(0,MIN(1,AC45))^2/(MAX(0,MIN(1,AC45))^2+(1-MAX(0,MIN(1,AC45)))^2/$B$5))))&lt;0.000000001,0,AD45-$B$11/$B$9*((MAX(0,MIN(1,AD45))^2/(MAX(0,MIN(1,AD45))^2+(1-MAX(0,MIN(1,AD45)))^2/$B$5))-(MAX(0,MIN(1,AC45))^2/(MAX(0,MIN(1,AC45))^2+(1-MAX(0,MIN(1,AC45)))^2/$B$5))))</f>
        <v>0.560422179783037</v>
      </c>
      <c r="AE46" s="16" t="n">
        <f aca="false">IF(ABS(AE45-$B$11/$B$9*((MAX(0,MIN(1,AE45))^2/(MAX(0,MIN(1,AE45))^2+(1-MAX(0,MIN(1,AE45)))^2/$B$5))-(MAX(0,MIN(1,AD45))^2/(MAX(0,MIN(1,AD45))^2+(1-MAX(0,MIN(1,AD45)))^2/$B$5))))&lt;0.000000001,0,AE45-$B$11/$B$9*((MAX(0,MIN(1,AE45))^2/(MAX(0,MIN(1,AE45))^2+(1-MAX(0,MIN(1,AE45)))^2/$B$5))-(MAX(0,MIN(1,AD45))^2/(MAX(0,MIN(1,AD45))^2+(1-MAX(0,MIN(1,AD45)))^2/$B$5))))</f>
        <v>0.521128456228238</v>
      </c>
      <c r="AF46" s="16" t="n">
        <f aca="false">IF(ABS(AF45-$B$11/$B$9*((MAX(0,MIN(1,AF45))^2/(MAX(0,MIN(1,AF45))^2+(1-MAX(0,MIN(1,AF45)))^2/$B$5))-(MAX(0,MIN(1,AE45))^2/(MAX(0,MIN(1,AE45))^2+(1-MAX(0,MIN(1,AE45)))^2/$B$5))))&lt;0.000000001,0,AF45-$B$11/$B$9*((MAX(0,MIN(1,AF45))^2/(MAX(0,MIN(1,AF45))^2+(1-MAX(0,MIN(1,AF45)))^2/$B$5))-(MAX(0,MIN(1,AE45))^2/(MAX(0,MIN(1,AE45))^2+(1-MAX(0,MIN(1,AE45)))^2/$B$5))))</f>
        <v>0.372678864476989</v>
      </c>
    </row>
    <row r="47" customFormat="false" ht="15" hidden="false" customHeight="false" outlineLevel="0" collapsed="false">
      <c r="A47" s="0" t="n">
        <v>0.42</v>
      </c>
      <c r="D47" s="0" t="n">
        <f aca="false">A47</f>
        <v>0.42</v>
      </c>
      <c r="E47" s="0" t="n">
        <f aca="false">(G47-G46)/(A47-A46)</f>
        <v>2.05928693881992</v>
      </c>
      <c r="F47" s="0" t="n">
        <f aca="false">G47/A47</f>
        <v>1.2188044109112</v>
      </c>
      <c r="G47" s="0" t="n">
        <f aca="false">A47^2/(A47^2+(1-A47)^2/$B$5)</f>
        <v>0.511897852582705</v>
      </c>
      <c r="L47" s="0" t="n">
        <v>37</v>
      </c>
      <c r="M47" s="16" t="n">
        <f aca="false">IF(ABS(M46-$B$11/$B$9*((MAX(0,MIN(1,M46))^2/(MAX(0,MIN(1,M46))^2+(1-MAX(0,MIN(1,M46)))^2/$B$5))-(MAX(0,MIN(1,1))^2/(MAX(0,MIN(1,1))^2+(1-MAX(0,MIN(1,1)))^2/$B$5))))&lt;0.000000001,0,M46-$B$11/$B$9*((MAX(0,MIN(1,M46))^2/(MAX(0,MIN(1,M46))^2+(1-MAX(0,MIN(1,M46)))^2/$B$5))-(MAX(0,MIN(1,1))^2/(MAX(0,MIN(1,1))^2+(1-MAX(0,MIN(1,1)))^2/$B$5))))</f>
        <v>0.918937365991739</v>
      </c>
      <c r="N47" s="16" t="n">
        <f aca="false">IF(ABS(N46-$B$11/$B$9*((MAX(0,MIN(1,N46))^2/(MAX(0,MIN(1,N46))^2+(1-MAX(0,MIN(1,N46)))^2/$B$5))-(MAX(0,MIN(1,M46))^2/(MAX(0,MIN(1,M46))^2+(1-MAX(0,MIN(1,M46)))^2/$B$5))))&lt;0.000000001,0,N46-$B$11/$B$9*((MAX(0,MIN(1,N46))^2/(MAX(0,MIN(1,N46))^2+(1-MAX(0,MIN(1,N46)))^2/$B$5))-(MAX(0,MIN(1,M46))^2/(MAX(0,MIN(1,M46))^2+(1-MAX(0,MIN(1,M46)))^2/$B$5))))</f>
        <v>0.879469404839188</v>
      </c>
      <c r="O47" s="16" t="n">
        <f aca="false">IF(ABS(O46-$B$11/$B$9*((MAX(0,MIN(1,O46))^2/(MAX(0,MIN(1,O46))^2+(1-MAX(0,MIN(1,O46)))^2/$B$5))-(MAX(0,MIN(1,N46))^2/(MAX(0,MIN(1,N46))^2+(1-MAX(0,MIN(1,N46)))^2/$B$5))))&lt;0.000000001,0,O46-$B$11/$B$9*((MAX(0,MIN(1,O46))^2/(MAX(0,MIN(1,O46))^2+(1-MAX(0,MIN(1,O46)))^2/$B$5))-(MAX(0,MIN(1,N46))^2/(MAX(0,MIN(1,N46))^2+(1-MAX(0,MIN(1,N46)))^2/$B$5))))</f>
        <v>0.84782798507513</v>
      </c>
      <c r="P47" s="16" t="n">
        <f aca="false">IF(ABS(P46-$B$11/$B$9*((MAX(0,MIN(1,P46))^2/(MAX(0,MIN(1,P46))^2+(1-MAX(0,MIN(1,P46)))^2/$B$5))-(MAX(0,MIN(1,O46))^2/(MAX(0,MIN(1,O46))^2+(1-MAX(0,MIN(1,O46)))^2/$B$5))))&lt;0.000000001,0,P46-$B$11/$B$9*((MAX(0,MIN(1,P46))^2/(MAX(0,MIN(1,P46))^2+(1-MAX(0,MIN(1,P46)))^2/$B$5))-(MAX(0,MIN(1,O46))^2/(MAX(0,MIN(1,O46))^2+(1-MAX(0,MIN(1,O46)))^2/$B$5))))</f>
        <v>0.820747207185984</v>
      </c>
      <c r="Q47" s="16" t="n">
        <f aca="false">IF(ABS(Q46-$B$11/$B$9*((MAX(0,MIN(1,Q46))^2/(MAX(0,MIN(1,Q46))^2+(1-MAX(0,MIN(1,Q46)))^2/$B$5))-(MAX(0,MIN(1,P46))^2/(MAX(0,MIN(1,P46))^2+(1-MAX(0,MIN(1,P46)))^2/$B$5))))&lt;0.000000001,0,Q46-$B$11/$B$9*((MAX(0,MIN(1,Q46))^2/(MAX(0,MIN(1,Q46))^2+(1-MAX(0,MIN(1,Q46)))^2/$B$5))-(MAX(0,MIN(1,P46))^2/(MAX(0,MIN(1,P46))^2+(1-MAX(0,MIN(1,P46)))^2/$B$5))))</f>
        <v>0.796795257145685</v>
      </c>
      <c r="R47" s="16" t="n">
        <f aca="false">IF(ABS(R46-$B$11/$B$9*((MAX(0,MIN(1,R46))^2/(MAX(0,MIN(1,R46))^2+(1-MAX(0,MIN(1,R46)))^2/$B$5))-(MAX(0,MIN(1,Q46))^2/(MAX(0,MIN(1,Q46))^2+(1-MAX(0,MIN(1,Q46)))^2/$B$5))))&lt;0.000000001,0,R46-$B$11/$B$9*((MAX(0,MIN(1,R46))^2/(MAX(0,MIN(1,R46))^2+(1-MAX(0,MIN(1,R46)))^2/$B$5))-(MAX(0,MIN(1,Q46))^2/(MAX(0,MIN(1,Q46))^2+(1-MAX(0,MIN(1,Q46)))^2/$B$5))))</f>
        <v>0.775151064641989</v>
      </c>
      <c r="S47" s="16" t="n">
        <f aca="false">IF(ABS(S46-$B$11/$B$9*((MAX(0,MIN(1,S46))^2/(MAX(0,MIN(1,S46))^2+(1-MAX(0,MIN(1,S46)))^2/$B$5))-(MAX(0,MIN(1,R46))^2/(MAX(0,MIN(1,R46))^2+(1-MAX(0,MIN(1,R46)))^2/$B$5))))&lt;0.000000001,0,S46-$B$11/$B$9*((MAX(0,MIN(1,S46))^2/(MAX(0,MIN(1,S46))^2+(1-MAX(0,MIN(1,S46)))^2/$B$5))-(MAX(0,MIN(1,R46))^2/(MAX(0,MIN(1,R46))^2+(1-MAX(0,MIN(1,R46)))^2/$B$5))))</f>
        <v>0.755277783754416</v>
      </c>
      <c r="T47" s="16" t="n">
        <f aca="false">IF(ABS(T46-$B$11/$B$9*((MAX(0,MIN(1,T46))^2/(MAX(0,MIN(1,T46))^2+(1-MAX(0,MIN(1,T46)))^2/$B$5))-(MAX(0,MIN(1,S46))^2/(MAX(0,MIN(1,S46))^2+(1-MAX(0,MIN(1,S46)))^2/$B$5))))&lt;0.000000001,0,T46-$B$11/$B$9*((MAX(0,MIN(1,T46))^2/(MAX(0,MIN(1,T46))^2+(1-MAX(0,MIN(1,T46)))^2/$B$5))-(MAX(0,MIN(1,S46))^2/(MAX(0,MIN(1,S46))^2+(1-MAX(0,MIN(1,S46)))^2/$B$5))))</f>
        <v>0.736794033528923</v>
      </c>
      <c r="U47" s="16" t="n">
        <f aca="false">IF(ABS(U46-$B$11/$B$9*((MAX(0,MIN(1,U46))^2/(MAX(0,MIN(1,U46))^2+(1-MAX(0,MIN(1,U46)))^2/$B$5))-(MAX(0,MIN(1,T46))^2/(MAX(0,MIN(1,T46))^2+(1-MAX(0,MIN(1,T46)))^2/$B$5))))&lt;0.000000001,0,U46-$B$11/$B$9*((MAX(0,MIN(1,U46))^2/(MAX(0,MIN(1,U46))^2+(1-MAX(0,MIN(1,U46)))^2/$B$5))-(MAX(0,MIN(1,T46))^2/(MAX(0,MIN(1,T46))^2+(1-MAX(0,MIN(1,T46)))^2/$B$5))))</f>
        <v>0.719411056409434</v>
      </c>
      <c r="V47" s="16" t="n">
        <f aca="false">IF(ABS(V46-$B$11/$B$9*((MAX(0,MIN(1,V46))^2/(MAX(0,MIN(1,V46))^2+(1-MAX(0,MIN(1,V46)))^2/$B$5))-(MAX(0,MIN(1,U46))^2/(MAX(0,MIN(1,U46))^2+(1-MAX(0,MIN(1,U46)))^2/$B$5))))&lt;0.000000001,0,V46-$B$11/$B$9*((MAX(0,MIN(1,V46))^2/(MAX(0,MIN(1,V46))^2+(1-MAX(0,MIN(1,V46)))^2/$B$5))-(MAX(0,MIN(1,U46))^2/(MAX(0,MIN(1,U46))^2+(1-MAX(0,MIN(1,U46)))^2/$B$5))))</f>
        <v>0.702897072361628</v>
      </c>
      <c r="W47" s="16" t="n">
        <f aca="false">IF(ABS(W46-$B$11/$B$9*((MAX(0,MIN(1,W46))^2/(MAX(0,MIN(1,W46))^2+(1-MAX(0,MIN(1,W46)))^2/$B$5))-(MAX(0,MIN(1,V46))^2/(MAX(0,MIN(1,V46))^2+(1-MAX(0,MIN(1,V46)))^2/$B$5))))&lt;0.000000001,0,W46-$B$11/$B$9*((MAX(0,MIN(1,W46))^2/(MAX(0,MIN(1,W46))^2+(1-MAX(0,MIN(1,W46)))^2/$B$5))-(MAX(0,MIN(1,V46))^2/(MAX(0,MIN(1,V46))^2+(1-MAX(0,MIN(1,V46)))^2/$B$5))))</f>
        <v>0.687053961512448</v>
      </c>
      <c r="X47" s="16" t="n">
        <f aca="false">IF(ABS(X46-$B$11/$B$9*((MAX(0,MIN(1,X46))^2/(MAX(0,MIN(1,X46))^2+(1-MAX(0,MIN(1,X46)))^2/$B$5))-(MAX(0,MIN(1,W46))^2/(MAX(0,MIN(1,W46))^2+(1-MAX(0,MIN(1,W46)))^2/$B$5))))&lt;0.000000001,0,X46-$B$11/$B$9*((MAX(0,MIN(1,X46))^2/(MAX(0,MIN(1,X46))^2+(1-MAX(0,MIN(1,X46)))^2/$B$5))-(MAX(0,MIN(1,W46))^2/(MAX(0,MIN(1,W46))^2+(1-MAX(0,MIN(1,W46)))^2/$B$5))))</f>
        <v>0.671698968313925</v>
      </c>
      <c r="Y47" s="16" t="n">
        <f aca="false">IF(ABS(Y46-$B$11/$B$9*((MAX(0,MIN(1,Y46))^2/(MAX(0,MIN(1,Y46))^2+(1-MAX(0,MIN(1,Y46)))^2/$B$5))-(MAX(0,MIN(1,X46))^2/(MAX(0,MIN(1,X46))^2+(1-MAX(0,MIN(1,X46)))^2/$B$5))))&lt;0.000000001,0,Y46-$B$11/$B$9*((MAX(0,MIN(1,Y46))^2/(MAX(0,MIN(1,Y46))^2+(1-MAX(0,MIN(1,Y46)))^2/$B$5))-(MAX(0,MIN(1,X46))^2/(MAX(0,MIN(1,X46))^2+(1-MAX(0,MIN(1,X46)))^2/$B$5))))</f>
        <v>0.656646278585771</v>
      </c>
      <c r="Z47" s="16" t="n">
        <f aca="false">IF(ABS(Z46-$B$11/$B$9*((MAX(0,MIN(1,Z46))^2/(MAX(0,MIN(1,Z46))^2+(1-MAX(0,MIN(1,Z46)))^2/$B$5))-(MAX(0,MIN(1,Y46))^2/(MAX(0,MIN(1,Y46))^2+(1-MAX(0,MIN(1,Y46)))^2/$B$5))))&lt;0.000000001,0,Z46-$B$11/$B$9*((MAX(0,MIN(1,Z46))^2/(MAX(0,MIN(1,Z46))^2+(1-MAX(0,MIN(1,Z46)))^2/$B$5))-(MAX(0,MIN(1,Y46))^2/(MAX(0,MIN(1,Y46))^2+(1-MAX(0,MIN(1,Y46)))^2/$B$5))))</f>
        <v>0.64168248411691</v>
      </c>
      <c r="AA47" s="16" t="n">
        <f aca="false">IF(ABS(AA46-$B$11/$B$9*((MAX(0,MIN(1,AA46))^2/(MAX(0,MIN(1,AA46))^2+(1-MAX(0,MIN(1,AA46)))^2/$B$5))-(MAX(0,MIN(1,Z46))^2/(MAX(0,MIN(1,Z46))^2+(1-MAX(0,MIN(1,Z46)))^2/$B$5))))&lt;0.000000001,0,AA46-$B$11/$B$9*((MAX(0,MIN(1,AA46))^2/(MAX(0,MIN(1,AA46))^2+(1-MAX(0,MIN(1,AA46)))^2/$B$5))-(MAX(0,MIN(1,Z46))^2/(MAX(0,MIN(1,Z46))^2+(1-MAX(0,MIN(1,Z46)))^2/$B$5))))</f>
        <v>0.626525245420453</v>
      </c>
      <c r="AB47" s="16" t="n">
        <f aca="false">IF(ABS(AB46-$B$11/$B$9*((MAX(0,MIN(1,AB46))^2/(MAX(0,MIN(1,AB46))^2+(1-MAX(0,MIN(1,AB46)))^2/$B$5))-(MAX(0,MIN(1,AA46))^2/(MAX(0,MIN(1,AA46))^2+(1-MAX(0,MIN(1,AA46)))^2/$B$5))))&lt;0.000000001,0,AB46-$B$11/$B$9*((MAX(0,MIN(1,AB46))^2/(MAX(0,MIN(1,AB46))^2+(1-MAX(0,MIN(1,AB46)))^2/$B$5))-(MAX(0,MIN(1,AA46))^2/(MAX(0,MIN(1,AA46))^2+(1-MAX(0,MIN(1,AA46)))^2/$B$5))))</f>
        <v>0.610740090109713</v>
      </c>
      <c r="AC47" s="16" t="n">
        <f aca="false">IF(ABS(AC46-$B$11/$B$9*((MAX(0,MIN(1,AC46))^2/(MAX(0,MIN(1,AC46))^2+(1-MAX(0,MIN(1,AC46)))^2/$B$5))-(MAX(0,MIN(1,AB46))^2/(MAX(0,MIN(1,AB46))^2+(1-MAX(0,MIN(1,AB46)))^2/$B$5))))&lt;0.000000001,0,AC46-$B$11/$B$9*((MAX(0,MIN(1,AC46))^2/(MAX(0,MIN(1,AC46))^2+(1-MAX(0,MIN(1,AC46)))^2/$B$5))-(MAX(0,MIN(1,AB46))^2/(MAX(0,MIN(1,AB46))^2+(1-MAX(0,MIN(1,AB46)))^2/$B$5))))</f>
        <v>0.593542485285366</v>
      </c>
      <c r="AD47" s="16" t="n">
        <f aca="false">IF(ABS(AD46-$B$11/$B$9*((MAX(0,MIN(1,AD46))^2/(MAX(0,MIN(1,AD46))^2+(1-MAX(0,MIN(1,AD46)))^2/$B$5))-(MAX(0,MIN(1,AC46))^2/(MAX(0,MIN(1,AC46))^2+(1-MAX(0,MIN(1,AC46)))^2/$B$5))))&lt;0.000000001,0,AD46-$B$11/$B$9*((MAX(0,MIN(1,AD46))^2/(MAX(0,MIN(1,AD46))^2+(1-MAX(0,MIN(1,AD46)))^2/$B$5))-(MAX(0,MIN(1,AC46))^2/(MAX(0,MIN(1,AC46))^2+(1-MAX(0,MIN(1,AC46)))^2/$B$5))))</f>
        <v>0.573218032252869</v>
      </c>
      <c r="AE47" s="16" t="n">
        <f aca="false">IF(ABS(AE46-$B$11/$B$9*((MAX(0,MIN(1,AE46))^2/(MAX(0,MIN(1,AE46))^2+(1-MAX(0,MIN(1,AE46)))^2/$B$5))-(MAX(0,MIN(1,AD46))^2/(MAX(0,MIN(1,AD46))^2+(1-MAX(0,MIN(1,AD46)))^2/$B$5))))&lt;0.000000001,0,AE46-$B$11/$B$9*((MAX(0,MIN(1,AE46))^2/(MAX(0,MIN(1,AE46))^2+(1-MAX(0,MIN(1,AE46)))^2/$B$5))-(MAX(0,MIN(1,AD46))^2/(MAX(0,MIN(1,AD46))^2+(1-MAX(0,MIN(1,AD46)))^2/$B$5))))</f>
        <v>0.544820903457121</v>
      </c>
      <c r="AF47" s="16" t="n">
        <f aca="false">IF(ABS(AF46-$B$11/$B$9*((MAX(0,MIN(1,AF46))^2/(MAX(0,MIN(1,AF46))^2+(1-MAX(0,MIN(1,AF46)))^2/$B$5))-(MAX(0,MIN(1,AE46))^2/(MAX(0,MIN(1,AE46))^2+(1-MAX(0,MIN(1,AE46)))^2/$B$5))))&lt;0.000000001,0,AF46-$B$11/$B$9*((MAX(0,MIN(1,AF46))^2/(MAX(0,MIN(1,AF46))^2+(1-MAX(0,MIN(1,AF46)))^2/$B$5))-(MAX(0,MIN(1,AE46))^2/(MAX(0,MIN(1,AE46))^2+(1-MAX(0,MIN(1,AE46)))^2/$B$5))))</f>
        <v>0.483942951230374</v>
      </c>
    </row>
    <row r="48" customFormat="false" ht="15" hidden="false" customHeight="false" outlineLevel="0" collapsed="false">
      <c r="A48" s="0" t="n">
        <v>0.43</v>
      </c>
      <c r="D48" s="0" t="n">
        <f aca="false">A48</f>
        <v>0.43</v>
      </c>
      <c r="E48" s="0" t="n">
        <f aca="false">(G48-G47)/(A48-A47)</f>
        <v>2.0418255089672</v>
      </c>
      <c r="F48" s="0" t="n">
        <f aca="false">G48/A48</f>
        <v>1.23794443644739</v>
      </c>
      <c r="G48" s="0" t="n">
        <f aca="false">A48^2/(A48^2+(1-A48)^2/$B$5)</f>
        <v>0.532316107672377</v>
      </c>
      <c r="L48" s="0" t="n">
        <v>38</v>
      </c>
      <c r="M48" s="16" t="n">
        <f aca="false">IF(ABS(M47-$B$11/$B$9*((MAX(0,MIN(1,M47))^2/(MAX(0,MIN(1,M47))^2+(1-MAX(0,MIN(1,M47)))^2/$B$5))-(MAX(0,MIN(1,1))^2/(MAX(0,MIN(1,1))^2+(1-MAX(0,MIN(1,1)))^2/$B$5))))&lt;0.000000001,0,M47-$B$11/$B$9*((MAX(0,MIN(1,M47))^2/(MAX(0,MIN(1,M47))^2+(1-MAX(0,MIN(1,M47)))^2/$B$5))-(MAX(0,MIN(1,1))^2/(MAX(0,MIN(1,1))^2+(1-MAX(0,MIN(1,1)))^2/$B$5))))</f>
        <v>0.920427704489237</v>
      </c>
      <c r="N48" s="16" t="n">
        <f aca="false">IF(ABS(N47-$B$11/$B$9*((MAX(0,MIN(1,N47))^2/(MAX(0,MIN(1,N47))^2+(1-MAX(0,MIN(1,N47)))^2/$B$5))-(MAX(0,MIN(1,M47))^2/(MAX(0,MIN(1,M47))^2+(1-MAX(0,MIN(1,M47)))^2/$B$5))))&lt;0.000000001,0,N47-$B$11/$B$9*((MAX(0,MIN(1,N47))^2/(MAX(0,MIN(1,N47))^2+(1-MAX(0,MIN(1,N47)))^2/$B$5))-(MAX(0,MIN(1,M47))^2/(MAX(0,MIN(1,M47))^2+(1-MAX(0,MIN(1,M47)))^2/$B$5))))</f>
        <v>0.881556696098321</v>
      </c>
      <c r="O48" s="16" t="n">
        <f aca="false">IF(ABS(O47-$B$11/$B$9*((MAX(0,MIN(1,O47))^2/(MAX(0,MIN(1,O47))^2+(1-MAX(0,MIN(1,O47)))^2/$B$5))-(MAX(0,MIN(1,N47))^2/(MAX(0,MIN(1,N47))^2+(1-MAX(0,MIN(1,N47)))^2/$B$5))))&lt;0.000000001,0,O47-$B$11/$B$9*((MAX(0,MIN(1,O47))^2/(MAX(0,MIN(1,O47))^2+(1-MAX(0,MIN(1,O47)))^2/$B$5))-(MAX(0,MIN(1,N47))^2/(MAX(0,MIN(1,N47))^2+(1-MAX(0,MIN(1,N47)))^2/$B$5))))</f>
        <v>0.850345952941076</v>
      </c>
      <c r="P48" s="16" t="n">
        <f aca="false">IF(ABS(P47-$B$11/$B$9*((MAX(0,MIN(1,P47))^2/(MAX(0,MIN(1,P47))^2+(1-MAX(0,MIN(1,P47)))^2/$B$5))-(MAX(0,MIN(1,O47))^2/(MAX(0,MIN(1,O47))^2+(1-MAX(0,MIN(1,O47)))^2/$B$5))))&lt;0.000000001,0,P47-$B$11/$B$9*((MAX(0,MIN(1,P47))^2/(MAX(0,MIN(1,P47))^2+(1-MAX(0,MIN(1,P47)))^2/$B$5))-(MAX(0,MIN(1,O47))^2/(MAX(0,MIN(1,O47))^2+(1-MAX(0,MIN(1,O47)))^2/$B$5))))</f>
        <v>0.823608940522986</v>
      </c>
      <c r="Q48" s="16" t="n">
        <f aca="false">IF(ABS(Q47-$B$11/$B$9*((MAX(0,MIN(1,Q47))^2/(MAX(0,MIN(1,Q47))^2+(1-MAX(0,MIN(1,Q47)))^2/$B$5))-(MAX(0,MIN(1,P47))^2/(MAX(0,MIN(1,P47))^2+(1-MAX(0,MIN(1,P47)))^2/$B$5))))&lt;0.000000001,0,Q47-$B$11/$B$9*((MAX(0,MIN(1,Q47))^2/(MAX(0,MIN(1,Q47))^2+(1-MAX(0,MIN(1,Q47)))^2/$B$5))-(MAX(0,MIN(1,P47))^2/(MAX(0,MIN(1,P47))^2+(1-MAX(0,MIN(1,P47)))^2/$B$5))))</f>
        <v>0.799948862582111</v>
      </c>
      <c r="R48" s="16" t="n">
        <f aca="false">IF(ABS(R47-$B$11/$B$9*((MAX(0,MIN(1,R47))^2/(MAX(0,MIN(1,R47))^2+(1-MAX(0,MIN(1,R47)))^2/$B$5))-(MAX(0,MIN(1,Q47))^2/(MAX(0,MIN(1,Q47))^2+(1-MAX(0,MIN(1,Q47)))^2/$B$5))))&lt;0.000000001,0,R47-$B$11/$B$9*((MAX(0,MIN(1,R47))^2/(MAX(0,MIN(1,R47))^2+(1-MAX(0,MIN(1,R47)))^2/$B$5))-(MAX(0,MIN(1,Q47))^2/(MAX(0,MIN(1,Q47))^2+(1-MAX(0,MIN(1,Q47)))^2/$B$5))))</f>
        <v>0.778564485119391</v>
      </c>
      <c r="S48" s="16" t="n">
        <f aca="false">IF(ABS(S47-$B$11/$B$9*((MAX(0,MIN(1,S47))^2/(MAX(0,MIN(1,S47))^2+(1-MAX(0,MIN(1,S47)))^2/$B$5))-(MAX(0,MIN(1,R47))^2/(MAX(0,MIN(1,R47))^2+(1-MAX(0,MIN(1,R47)))^2/$B$5))))&lt;0.000000001,0,S47-$B$11/$B$9*((MAX(0,MIN(1,S47))^2/(MAX(0,MIN(1,S47))^2+(1-MAX(0,MIN(1,S47)))^2/$B$5))-(MAX(0,MIN(1,R47))^2/(MAX(0,MIN(1,R47))^2+(1-MAX(0,MIN(1,R47)))^2/$B$5))))</f>
        <v>0.75893198068252</v>
      </c>
      <c r="T48" s="16" t="n">
        <f aca="false">IF(ABS(T47-$B$11/$B$9*((MAX(0,MIN(1,T47))^2/(MAX(0,MIN(1,T47))^2+(1-MAX(0,MIN(1,T47)))^2/$B$5))-(MAX(0,MIN(1,S47))^2/(MAX(0,MIN(1,S47))^2+(1-MAX(0,MIN(1,S47)))^2/$B$5))))&lt;0.000000001,0,T47-$B$11/$B$9*((MAX(0,MIN(1,T47))^2/(MAX(0,MIN(1,T47))^2+(1-MAX(0,MIN(1,T47)))^2/$B$5))-(MAX(0,MIN(1,S47))^2/(MAX(0,MIN(1,S47))^2+(1-MAX(0,MIN(1,S47)))^2/$B$5))))</f>
        <v>0.740679667001895</v>
      </c>
      <c r="U48" s="16" t="n">
        <f aca="false">IF(ABS(U47-$B$11/$B$9*((MAX(0,MIN(1,U47))^2/(MAX(0,MIN(1,U47))^2+(1-MAX(0,MIN(1,U47)))^2/$B$5))-(MAX(0,MIN(1,T47))^2/(MAX(0,MIN(1,T47))^2+(1-MAX(0,MIN(1,T47)))^2/$B$5))))&lt;0.000000001,0,U47-$B$11/$B$9*((MAX(0,MIN(1,U47))^2/(MAX(0,MIN(1,U47))^2+(1-MAX(0,MIN(1,U47)))^2/$B$5))-(MAX(0,MIN(1,T47))^2/(MAX(0,MIN(1,T47))^2+(1-MAX(0,MIN(1,T47)))^2/$B$5))))</f>
        <v>0.723527038588189</v>
      </c>
      <c r="V48" s="16" t="n">
        <f aca="false">IF(ABS(V47-$B$11/$B$9*((MAX(0,MIN(1,V47))^2/(MAX(0,MIN(1,V47))^2+(1-MAX(0,MIN(1,V47)))^2/$B$5))-(MAX(0,MIN(1,U47))^2/(MAX(0,MIN(1,U47))^2+(1-MAX(0,MIN(1,U47)))^2/$B$5))))&lt;0.000000001,0,V47-$B$11/$B$9*((MAX(0,MIN(1,V47))^2/(MAX(0,MIN(1,V47))^2+(1-MAX(0,MIN(1,V47)))^2/$B$5))-(MAX(0,MIN(1,U47))^2/(MAX(0,MIN(1,U47))^2+(1-MAX(0,MIN(1,U47)))^2/$B$5))))</f>
        <v>0.707250424538434</v>
      </c>
      <c r="W48" s="16" t="n">
        <f aca="false">IF(ABS(W47-$B$11/$B$9*((MAX(0,MIN(1,W47))^2/(MAX(0,MIN(1,W47))^2+(1-MAX(0,MIN(1,W47)))^2/$B$5))-(MAX(0,MIN(1,V47))^2/(MAX(0,MIN(1,V47))^2+(1-MAX(0,MIN(1,V47)))^2/$B$5))))&lt;0.000000001,0,W47-$B$11/$B$9*((MAX(0,MIN(1,W47))^2/(MAX(0,MIN(1,W47))^2+(1-MAX(0,MIN(1,W47)))^2/$B$5))-(MAX(0,MIN(1,V47))^2/(MAX(0,MIN(1,V47))^2+(1-MAX(0,MIN(1,V47)))^2/$B$5))))</f>
        <v>0.691660928741029</v>
      </c>
      <c r="X48" s="16" t="n">
        <f aca="false">IF(ABS(X47-$B$11/$B$9*((MAX(0,MIN(1,X47))^2/(MAX(0,MIN(1,X47))^2+(1-MAX(0,MIN(1,X47)))^2/$B$5))-(MAX(0,MIN(1,W47))^2/(MAX(0,MIN(1,W47))^2+(1-MAX(0,MIN(1,W47)))^2/$B$5))))&lt;0.000000001,0,X47-$B$11/$B$9*((MAX(0,MIN(1,X47))^2/(MAX(0,MIN(1,X47))^2+(1-MAX(0,MIN(1,X47)))^2/$B$5))-(MAX(0,MIN(1,W47))^2/(MAX(0,MIN(1,W47))^2+(1-MAX(0,MIN(1,W47)))^2/$B$5))))</f>
        <v>0.676587813800441</v>
      </c>
      <c r="Y48" s="16" t="n">
        <f aca="false">IF(ABS(Y47-$B$11/$B$9*((MAX(0,MIN(1,Y47))^2/(MAX(0,MIN(1,Y47))^2+(1-MAX(0,MIN(1,Y47)))^2/$B$5))-(MAX(0,MIN(1,X47))^2/(MAX(0,MIN(1,X47))^2+(1-MAX(0,MIN(1,X47)))^2/$B$5))))&lt;0.000000001,0,Y47-$B$11/$B$9*((MAX(0,MIN(1,Y47))^2/(MAX(0,MIN(1,Y47))^2+(1-MAX(0,MIN(1,Y47)))^2/$B$5))-(MAX(0,MIN(1,X47))^2/(MAX(0,MIN(1,X47))^2+(1-MAX(0,MIN(1,X47)))^2/$B$5))))</f>
        <v>0.66186290751419</v>
      </c>
      <c r="Z48" s="16" t="n">
        <f aca="false">IF(ABS(Z47-$B$11/$B$9*((MAX(0,MIN(1,Z47))^2/(MAX(0,MIN(1,Z47))^2+(1-MAX(0,MIN(1,Z47)))^2/$B$5))-(MAX(0,MIN(1,Y47))^2/(MAX(0,MIN(1,Y47))^2+(1-MAX(0,MIN(1,Y47)))^2/$B$5))))&lt;0.000000001,0,Z47-$B$11/$B$9*((MAX(0,MIN(1,Z47))^2/(MAX(0,MIN(1,Z47))^2+(1-MAX(0,MIN(1,Z47)))^2/$B$5))-(MAX(0,MIN(1,Y47))^2/(MAX(0,MIN(1,Y47))^2+(1-MAX(0,MIN(1,Y47)))^2/$B$5))))</f>
        <v>0.647301546583396</v>
      </c>
      <c r="AA48" s="16" t="n">
        <f aca="false">IF(ABS(AA47-$B$11/$B$9*((MAX(0,MIN(1,AA47))^2/(MAX(0,MIN(1,AA47))^2+(1-MAX(0,MIN(1,AA47)))^2/$B$5))-(MAX(0,MIN(1,Z47))^2/(MAX(0,MIN(1,Z47))^2+(1-MAX(0,MIN(1,Z47)))^2/$B$5))))&lt;0.000000001,0,AA47-$B$11/$B$9*((MAX(0,MIN(1,AA47))^2/(MAX(0,MIN(1,AA47))^2+(1-MAX(0,MIN(1,AA47)))^2/$B$5))-(MAX(0,MIN(1,Z47))^2/(MAX(0,MIN(1,Z47))^2+(1-MAX(0,MIN(1,Z47)))^2/$B$5))))</f>
        <v>0.632672955426127</v>
      </c>
      <c r="AB48" s="16" t="n">
        <f aca="false">IF(ABS(AB47-$B$11/$B$9*((MAX(0,MIN(1,AB47))^2/(MAX(0,MIN(1,AB47))^2+(1-MAX(0,MIN(1,AB47)))^2/$B$5))-(MAX(0,MIN(1,AA47))^2/(MAX(0,MIN(1,AA47))^2+(1-MAX(0,MIN(1,AA47)))^2/$B$5))))&lt;0.000000001,0,AB47-$B$11/$B$9*((MAX(0,MIN(1,AB47))^2/(MAX(0,MIN(1,AB47))^2+(1-MAX(0,MIN(1,AB47)))^2/$B$5))-(MAX(0,MIN(1,AA47))^2/(MAX(0,MIN(1,AA47))^2+(1-MAX(0,MIN(1,AA47)))^2/$B$5))))</f>
        <v>0.617644898337196</v>
      </c>
      <c r="AC48" s="16" t="n">
        <f aca="false">IF(ABS(AC47-$B$11/$B$9*((MAX(0,MIN(1,AC47))^2/(MAX(0,MIN(1,AC47))^2+(1-MAX(0,MIN(1,AC47)))^2/$B$5))-(MAX(0,MIN(1,AB47))^2/(MAX(0,MIN(1,AB47))^2+(1-MAX(0,MIN(1,AB47)))^2/$B$5))))&lt;0.000000001,0,AC47-$B$11/$B$9*((MAX(0,MIN(1,AC47))^2/(MAX(0,MIN(1,AC47))^2+(1-MAX(0,MIN(1,AC47)))^2/$B$5))-(MAX(0,MIN(1,AB47))^2/(MAX(0,MIN(1,AB47))^2+(1-MAX(0,MIN(1,AB47)))^2/$B$5))))</f>
        <v>0.60166248538881</v>
      </c>
      <c r="AD48" s="16" t="n">
        <f aca="false">IF(ABS(AD47-$B$11/$B$9*((MAX(0,MIN(1,AD47))^2/(MAX(0,MIN(1,AD47))^2+(1-MAX(0,MIN(1,AD47)))^2/$B$5))-(MAX(0,MIN(1,AC47))^2/(MAX(0,MIN(1,AC47))^2+(1-MAX(0,MIN(1,AC47)))^2/$B$5))))&lt;0.000000001,0,AD47-$B$11/$B$9*((MAX(0,MIN(1,AD47))^2/(MAX(0,MIN(1,AD47))^2+(1-MAX(0,MIN(1,AD47)))^2/$B$5))-(MAX(0,MIN(1,AC47))^2/(MAX(0,MIN(1,AC47))^2+(1-MAX(0,MIN(1,AC47)))^2/$B$5))))</f>
        <v>0.583630488736574</v>
      </c>
      <c r="AE48" s="16" t="n">
        <f aca="false">IF(ABS(AE47-$B$11/$B$9*((MAX(0,MIN(1,AE47))^2/(MAX(0,MIN(1,AE47))^2+(1-MAX(0,MIN(1,AE47)))^2/$B$5))-(MAX(0,MIN(1,AD47))^2/(MAX(0,MIN(1,AD47))^2+(1-MAX(0,MIN(1,AD47)))^2/$B$5))))&lt;0.000000001,0,AE47-$B$11/$B$9*((MAX(0,MIN(1,AE47))^2/(MAX(0,MIN(1,AE47))^2+(1-MAX(0,MIN(1,AE47)))^2/$B$5))-(MAX(0,MIN(1,AD47))^2/(MAX(0,MIN(1,AD47))^2+(1-MAX(0,MIN(1,AD47)))^2/$B$5))))</f>
        <v>0.560853361360113</v>
      </c>
      <c r="AF48" s="16" t="n">
        <f aca="false">IF(ABS(AF47-$B$11/$B$9*((MAX(0,MIN(1,AF47))^2/(MAX(0,MIN(1,AF47))^2+(1-MAX(0,MIN(1,AF47)))^2/$B$5))-(MAX(0,MIN(1,AE47))^2/(MAX(0,MIN(1,AE47))^2+(1-MAX(0,MIN(1,AE47)))^2/$B$5))))&lt;0.000000001,0,AF47-$B$11/$B$9*((MAX(0,MIN(1,AF47))^2/(MAX(0,MIN(1,AF47))^2+(1-MAX(0,MIN(1,AF47)))^2/$B$5))-(MAX(0,MIN(1,AE47))^2/(MAX(0,MIN(1,AE47))^2+(1-MAX(0,MIN(1,AE47)))^2/$B$5))))</f>
        <v>0.523842740813253</v>
      </c>
    </row>
    <row r="49" customFormat="false" ht="15" hidden="false" customHeight="false" outlineLevel="0" collapsed="false">
      <c r="A49" s="0" t="n">
        <v>0.44</v>
      </c>
      <c r="D49" s="0" t="n">
        <f aca="false">A49</f>
        <v>0.44</v>
      </c>
      <c r="E49" s="0" t="n">
        <f aca="false">(G49-G48)/(A49-A48)</f>
        <v>2.01953078527376</v>
      </c>
      <c r="F49" s="0" t="n">
        <f aca="false">G49/A49</f>
        <v>1.25570776255708</v>
      </c>
      <c r="G49" s="0" t="n">
        <f aca="false">A49^2/(A49^2+(1-A49)^2/$B$5)</f>
        <v>0.552511415525114</v>
      </c>
      <c r="L49" s="0" t="n">
        <v>39</v>
      </c>
      <c r="M49" s="16" t="n">
        <f aca="false">IF(ABS(M48-$B$11/$B$9*((MAX(0,MIN(1,M48))^2/(MAX(0,MIN(1,M48))^2+(1-MAX(0,MIN(1,M48)))^2/$B$5))-(MAX(0,MIN(1,1))^2/(MAX(0,MIN(1,1))^2+(1-MAX(0,MIN(1,1)))^2/$B$5))))&lt;0.000000001,0,M48-$B$11/$B$9*((MAX(0,MIN(1,M48))^2/(MAX(0,MIN(1,M48))^2+(1-MAX(0,MIN(1,M48)))^2/$B$5))-(MAX(0,MIN(1,1))^2/(MAX(0,MIN(1,1))^2+(1-MAX(0,MIN(1,1)))^2/$B$5))))</f>
        <v>0.921859319701669</v>
      </c>
      <c r="N49" s="16" t="n">
        <f aca="false">IF(ABS(N48-$B$11/$B$9*((MAX(0,MIN(1,N48))^2/(MAX(0,MIN(1,N48))^2+(1-MAX(0,MIN(1,N48)))^2/$B$5))-(MAX(0,MIN(1,M48))^2/(MAX(0,MIN(1,M48))^2+(1-MAX(0,MIN(1,M48)))^2/$B$5))))&lt;0.000000001,0,N48-$B$11/$B$9*((MAX(0,MIN(1,N48))^2/(MAX(0,MIN(1,N48))^2+(1-MAX(0,MIN(1,N48)))^2/$B$5))-(MAX(0,MIN(1,M48))^2/(MAX(0,MIN(1,M48))^2+(1-MAX(0,MIN(1,M48)))^2/$B$5))))</f>
        <v>0.883564776494109</v>
      </c>
      <c r="O49" s="16" t="n">
        <f aca="false">IF(ABS(O48-$B$11/$B$9*((MAX(0,MIN(1,O48))^2/(MAX(0,MIN(1,O48))^2+(1-MAX(0,MIN(1,O48)))^2/$B$5))-(MAX(0,MIN(1,N48))^2/(MAX(0,MIN(1,N48))^2+(1-MAX(0,MIN(1,N48)))^2/$B$5))))&lt;0.000000001,0,O48-$B$11/$B$9*((MAX(0,MIN(1,O48))^2/(MAX(0,MIN(1,O48))^2+(1-MAX(0,MIN(1,O48)))^2/$B$5))-(MAX(0,MIN(1,N48))^2/(MAX(0,MIN(1,N48))^2+(1-MAX(0,MIN(1,N48)))^2/$B$5))))</f>
        <v>0.852770517641417</v>
      </c>
      <c r="P49" s="16" t="n">
        <f aca="false">IF(ABS(P48-$B$11/$B$9*((MAX(0,MIN(1,P48))^2/(MAX(0,MIN(1,P48))^2+(1-MAX(0,MIN(1,P48)))^2/$B$5))-(MAX(0,MIN(1,O48))^2/(MAX(0,MIN(1,O48))^2+(1-MAX(0,MIN(1,O48)))^2/$B$5))))&lt;0.000000001,0,P48-$B$11/$B$9*((MAX(0,MIN(1,P48))^2/(MAX(0,MIN(1,P48))^2+(1-MAX(0,MIN(1,P48)))^2/$B$5))-(MAX(0,MIN(1,O48))^2/(MAX(0,MIN(1,O48))^2+(1-MAX(0,MIN(1,O48)))^2/$B$5))))</f>
        <v>0.82636582994988</v>
      </c>
      <c r="Q49" s="16" t="n">
        <f aca="false">IF(ABS(Q48-$B$11/$B$9*((MAX(0,MIN(1,Q48))^2/(MAX(0,MIN(1,Q48))^2+(1-MAX(0,MIN(1,Q48)))^2/$B$5))-(MAX(0,MIN(1,P48))^2/(MAX(0,MIN(1,P48))^2+(1-MAX(0,MIN(1,P48)))^2/$B$5))))&lt;0.000000001,0,Q48-$B$11/$B$9*((MAX(0,MIN(1,Q48))^2/(MAX(0,MIN(1,Q48))^2+(1-MAX(0,MIN(1,Q48)))^2/$B$5))-(MAX(0,MIN(1,P48))^2/(MAX(0,MIN(1,P48))^2+(1-MAX(0,MIN(1,P48)))^2/$B$5))))</f>
        <v>0.802987403290933</v>
      </c>
      <c r="R49" s="16" t="n">
        <f aca="false">IF(ABS(R48-$B$11/$B$9*((MAX(0,MIN(1,R48))^2/(MAX(0,MIN(1,R48))^2+(1-MAX(0,MIN(1,R48)))^2/$B$5))-(MAX(0,MIN(1,Q48))^2/(MAX(0,MIN(1,Q48))^2+(1-MAX(0,MIN(1,Q48)))^2/$B$5))))&lt;0.000000001,0,R48-$B$11/$B$9*((MAX(0,MIN(1,R48))^2/(MAX(0,MIN(1,R48))^2+(1-MAX(0,MIN(1,R48)))^2/$B$5))-(MAX(0,MIN(1,Q48))^2/(MAX(0,MIN(1,Q48))^2+(1-MAX(0,MIN(1,Q48)))^2/$B$5))))</f>
        <v>0.781852951102727</v>
      </c>
      <c r="S49" s="16" t="n">
        <f aca="false">IF(ABS(S48-$B$11/$B$9*((MAX(0,MIN(1,S48))^2/(MAX(0,MIN(1,S48))^2+(1-MAX(0,MIN(1,S48)))^2/$B$5))-(MAX(0,MIN(1,R48))^2/(MAX(0,MIN(1,R48))^2+(1-MAX(0,MIN(1,R48)))^2/$B$5))))&lt;0.000000001,0,S48-$B$11/$B$9*((MAX(0,MIN(1,S48))^2/(MAX(0,MIN(1,S48))^2+(1-MAX(0,MIN(1,S48)))^2/$B$5))-(MAX(0,MIN(1,R48))^2/(MAX(0,MIN(1,R48))^2+(1-MAX(0,MIN(1,R48)))^2/$B$5))))</f>
        <v>0.76245101144649</v>
      </c>
      <c r="T49" s="16" t="n">
        <f aca="false">IF(ABS(T48-$B$11/$B$9*((MAX(0,MIN(1,T48))^2/(MAX(0,MIN(1,T48))^2+(1-MAX(0,MIN(1,T48)))^2/$B$5))-(MAX(0,MIN(1,S48))^2/(MAX(0,MIN(1,S48))^2+(1-MAX(0,MIN(1,S48)))^2/$B$5))))&lt;0.000000001,0,T48-$B$11/$B$9*((MAX(0,MIN(1,T48))^2/(MAX(0,MIN(1,T48))^2+(1-MAX(0,MIN(1,T48)))^2/$B$5))-(MAX(0,MIN(1,S48))^2/(MAX(0,MIN(1,S48))^2+(1-MAX(0,MIN(1,S48)))^2/$B$5))))</f>
        <v>0.744418996641522</v>
      </c>
      <c r="U49" s="16" t="n">
        <f aca="false">IF(ABS(U48-$B$11/$B$9*((MAX(0,MIN(1,U48))^2/(MAX(0,MIN(1,U48))^2+(1-MAX(0,MIN(1,U48)))^2/$B$5))-(MAX(0,MIN(1,T48))^2/(MAX(0,MIN(1,T48))^2+(1-MAX(0,MIN(1,T48)))^2/$B$5))))&lt;0.000000001,0,U48-$B$11/$B$9*((MAX(0,MIN(1,U48))^2/(MAX(0,MIN(1,U48))^2+(1-MAX(0,MIN(1,U48)))^2/$B$5))-(MAX(0,MIN(1,T48))^2/(MAX(0,MIN(1,T48))^2+(1-MAX(0,MIN(1,T48)))^2/$B$5))))</f>
        <v>0.727483968135685</v>
      </c>
      <c r="V49" s="16" t="n">
        <f aca="false">IF(ABS(V48-$B$11/$B$9*((MAX(0,MIN(1,V48))^2/(MAX(0,MIN(1,V48))^2+(1-MAX(0,MIN(1,V48)))^2/$B$5))-(MAX(0,MIN(1,U48))^2/(MAX(0,MIN(1,U48))^2+(1-MAX(0,MIN(1,U48)))^2/$B$5))))&lt;0.000000001,0,V48-$B$11/$B$9*((MAX(0,MIN(1,V48))^2/(MAX(0,MIN(1,V48))^2+(1-MAX(0,MIN(1,V48)))^2/$B$5))-(MAX(0,MIN(1,U48))^2/(MAX(0,MIN(1,U48))^2+(1-MAX(0,MIN(1,U48)))^2/$B$5))))</f>
        <v>0.711429457975888</v>
      </c>
      <c r="W49" s="16" t="n">
        <f aca="false">IF(ABS(W48-$B$11/$B$9*((MAX(0,MIN(1,W48))^2/(MAX(0,MIN(1,W48))^2+(1-MAX(0,MIN(1,W48)))^2/$B$5))-(MAX(0,MIN(1,V48))^2/(MAX(0,MIN(1,V48))^2+(1-MAX(0,MIN(1,V48)))^2/$B$5))))&lt;0.000000001,0,W48-$B$11/$B$9*((MAX(0,MIN(1,W48))^2/(MAX(0,MIN(1,W48))^2+(1-MAX(0,MIN(1,W48)))^2/$B$5))-(MAX(0,MIN(1,V48))^2/(MAX(0,MIN(1,V48))^2+(1-MAX(0,MIN(1,V48)))^2/$B$5))))</f>
        <v>0.696074455632308</v>
      </c>
      <c r="X49" s="16" t="n">
        <f aca="false">IF(ABS(X48-$B$11/$B$9*((MAX(0,MIN(1,X48))^2/(MAX(0,MIN(1,X48))^2+(1-MAX(0,MIN(1,X48)))^2/$B$5))-(MAX(0,MIN(1,W48))^2/(MAX(0,MIN(1,W48))^2+(1-MAX(0,MIN(1,W48)))^2/$B$5))))&lt;0.000000001,0,X48-$B$11/$B$9*((MAX(0,MIN(1,X48))^2/(MAX(0,MIN(1,X48))^2+(1-MAX(0,MIN(1,X48)))^2/$B$5))-(MAX(0,MIN(1,W48))^2/(MAX(0,MIN(1,W48))^2+(1-MAX(0,MIN(1,W48)))^2/$B$5))))</f>
        <v>0.681258087411251</v>
      </c>
      <c r="Y49" s="16" t="n">
        <f aca="false">IF(ABS(Y48-$B$11/$B$9*((MAX(0,MIN(1,Y48))^2/(MAX(0,MIN(1,Y48))^2+(1-MAX(0,MIN(1,Y48)))^2/$B$5))-(MAX(0,MIN(1,X48))^2/(MAX(0,MIN(1,X48))^2+(1-MAX(0,MIN(1,X48)))^2/$B$5))))&lt;0.000000001,0,Y48-$B$11/$B$9*((MAX(0,MIN(1,Y48))^2/(MAX(0,MIN(1,Y48))^2+(1-MAX(0,MIN(1,Y48)))^2/$B$5))-(MAX(0,MIN(1,X48))^2/(MAX(0,MIN(1,X48))^2+(1-MAX(0,MIN(1,X48)))^2/$B$5))))</f>
        <v>0.666826073661317</v>
      </c>
      <c r="Z49" s="16" t="n">
        <f aca="false">IF(ABS(Z48-$B$11/$B$9*((MAX(0,MIN(1,Z48))^2/(MAX(0,MIN(1,Z48))^2+(1-MAX(0,MIN(1,Z48)))^2/$B$5))-(MAX(0,MIN(1,Y48))^2/(MAX(0,MIN(1,Y48))^2+(1-MAX(0,MIN(1,Y48)))^2/$B$5))))&lt;0.000000001,0,Z48-$B$11/$B$9*((MAX(0,MIN(1,Z48))^2/(MAX(0,MIN(1,Z48))^2+(1-MAX(0,MIN(1,Z48)))^2/$B$5))-(MAX(0,MIN(1,Y48))^2/(MAX(0,MIN(1,Y48))^2+(1-MAX(0,MIN(1,Y48)))^2/$B$5))))</f>
        <v>0.652615448001228</v>
      </c>
      <c r="AA49" s="16" t="n">
        <f aca="false">IF(ABS(AA48-$B$11/$B$9*((MAX(0,MIN(1,AA48))^2/(MAX(0,MIN(1,AA48))^2+(1-MAX(0,MIN(1,AA48)))^2/$B$5))-(MAX(0,MIN(1,Z48))^2/(MAX(0,MIN(1,Z48))^2+(1-MAX(0,MIN(1,Z48)))^2/$B$5))))&lt;0.000000001,0,AA48-$B$11/$B$9*((MAX(0,MIN(1,AA48))^2/(MAX(0,MIN(1,AA48))^2+(1-MAX(0,MIN(1,AA48)))^2/$B$5))-(MAX(0,MIN(1,Z48))^2/(MAX(0,MIN(1,Z48))^2+(1-MAX(0,MIN(1,Z48)))^2/$B$5))))</f>
        <v>0.638432615851371</v>
      </c>
      <c r="AB49" s="16" t="n">
        <f aca="false">IF(ABS(AB48-$B$11/$B$9*((MAX(0,MIN(1,AB48))^2/(MAX(0,MIN(1,AB48))^2+(1-MAX(0,MIN(1,AB48)))^2/$B$5))-(MAX(0,MIN(1,AA48))^2/(MAX(0,MIN(1,AA48))^2+(1-MAX(0,MIN(1,AA48)))^2/$B$5))))&lt;0.000000001,0,AB48-$B$11/$B$9*((MAX(0,MIN(1,AB48))^2/(MAX(0,MIN(1,AB48))^2+(1-MAX(0,MIN(1,AB48)))^2/$B$5))-(MAX(0,MIN(1,AA48))^2/(MAX(0,MIN(1,AA48))^2+(1-MAX(0,MIN(1,AA48)))^2/$B$5))))</f>
        <v>0.624015193485767</v>
      </c>
      <c r="AC49" s="16" t="n">
        <f aca="false">IF(ABS(AC48-$B$11/$B$9*((MAX(0,MIN(1,AC48))^2/(MAX(0,MIN(1,AC48))^2+(1-MAX(0,MIN(1,AC48)))^2/$B$5))-(MAX(0,MIN(1,AB48))^2/(MAX(0,MIN(1,AB48))^2+(1-MAX(0,MIN(1,AB48)))^2/$B$5))))&lt;0.000000001,0,AC48-$B$11/$B$9*((MAX(0,MIN(1,AC48))^2/(MAX(0,MIN(1,AC48))^2+(1-MAX(0,MIN(1,AC48)))^2/$B$5))-(MAX(0,MIN(1,AB48))^2/(MAX(0,MIN(1,AB48))^2+(1-MAX(0,MIN(1,AB48)))^2/$B$5))))</f>
        <v>0.608954429052024</v>
      </c>
      <c r="AD49" s="16" t="n">
        <f aca="false">IF(ABS(AD48-$B$11/$B$9*((MAX(0,MIN(1,AD48))^2/(MAX(0,MIN(1,AD48))^2+(1-MAX(0,MIN(1,AD48)))^2/$B$5))-(MAX(0,MIN(1,AC48))^2/(MAX(0,MIN(1,AC48))^2+(1-MAX(0,MIN(1,AC48)))^2/$B$5))))&lt;0.000000001,0,AD48-$B$11/$B$9*((MAX(0,MIN(1,AD48))^2/(MAX(0,MIN(1,AD48))^2+(1-MAX(0,MIN(1,AD48)))^2/$B$5))-(MAX(0,MIN(1,AC48))^2/(MAX(0,MIN(1,AC48))^2+(1-MAX(0,MIN(1,AC48)))^2/$B$5))))</f>
        <v>0.592509858707608</v>
      </c>
      <c r="AE49" s="16" t="n">
        <f aca="false">IF(ABS(AE48-$B$11/$B$9*((MAX(0,MIN(1,AE48))^2/(MAX(0,MIN(1,AE48))^2+(1-MAX(0,MIN(1,AE48)))^2/$B$5))-(MAX(0,MIN(1,AD48))^2/(MAX(0,MIN(1,AD48))^2+(1-MAX(0,MIN(1,AD48)))^2/$B$5))))&lt;0.000000001,0,AE48-$B$11/$B$9*((MAX(0,MIN(1,AE48))^2/(MAX(0,MIN(1,AE48))^2+(1-MAX(0,MIN(1,AE48)))^2/$B$5))-(MAX(0,MIN(1,AD48))^2/(MAX(0,MIN(1,AD48))^2+(1-MAX(0,MIN(1,AD48)))^2/$B$5))))</f>
        <v>0.573067904098534</v>
      </c>
      <c r="AF49" s="16" t="n">
        <f aca="false">IF(ABS(AF48-$B$11/$B$9*((MAX(0,MIN(1,AF48))^2/(MAX(0,MIN(1,AF48))^2+(1-MAX(0,MIN(1,AF48)))^2/$B$5))-(MAX(0,MIN(1,AE48))^2/(MAX(0,MIN(1,AE48))^2+(1-MAX(0,MIN(1,AE48)))^2/$B$5))))&lt;0.000000001,0,AF48-$B$11/$B$9*((MAX(0,MIN(1,AF48))^2/(MAX(0,MIN(1,AF48))^2+(1-MAX(0,MIN(1,AF48)))^2/$B$5))-(MAX(0,MIN(1,AE48))^2/(MAX(0,MIN(1,AE48))^2+(1-MAX(0,MIN(1,AE48)))^2/$B$5))))</f>
        <v>0.546038469596139</v>
      </c>
    </row>
    <row r="50" customFormat="false" ht="15" hidden="false" customHeight="false" outlineLevel="0" collapsed="false">
      <c r="A50" s="0" t="n">
        <v>0.45</v>
      </c>
      <c r="D50" s="0" t="n">
        <f aca="false">A50</f>
        <v>0.45</v>
      </c>
      <c r="E50" s="0" t="n">
        <f aca="false">(G50-G49)/(A50-A49)</f>
        <v>1.99267470190556</v>
      </c>
      <c r="F50" s="0" t="n">
        <f aca="false">G50/A50</f>
        <v>1.27208480565371</v>
      </c>
      <c r="G50" s="0" t="n">
        <f aca="false">A50^2/(A50^2+(1-A50)^2/$B$5)</f>
        <v>0.57243816254417</v>
      </c>
      <c r="L50" s="0" t="n">
        <v>40</v>
      </c>
      <c r="M50" s="16" t="n">
        <f aca="false">IF(ABS(M49-$B$11/$B$9*((MAX(0,MIN(1,M49))^2/(MAX(0,MIN(1,M49))^2+(1-MAX(0,MIN(1,M49)))^2/$B$5))-(MAX(0,MIN(1,1))^2/(MAX(0,MIN(1,1))^2+(1-MAX(0,MIN(1,1)))^2/$B$5))))&lt;0.000000001,0,M49-$B$11/$B$9*((MAX(0,MIN(1,M49))^2/(MAX(0,MIN(1,M49))^2+(1-MAX(0,MIN(1,M49)))^2/$B$5))-(MAX(0,MIN(1,1))^2/(MAX(0,MIN(1,1))^2+(1-MAX(0,MIN(1,1)))^2/$B$5))))</f>
        <v>0.923235798321875</v>
      </c>
      <c r="N50" s="16" t="n">
        <f aca="false">IF(ABS(N49-$B$11/$B$9*((MAX(0,MIN(1,N49))^2/(MAX(0,MIN(1,N49))^2+(1-MAX(0,MIN(1,N49)))^2/$B$5))-(MAX(0,MIN(1,M49))^2/(MAX(0,MIN(1,M49))^2+(1-MAX(0,MIN(1,M49)))^2/$B$5))))&lt;0.000000001,0,N49-$B$11/$B$9*((MAX(0,MIN(1,N49))^2/(MAX(0,MIN(1,N49))^2+(1-MAX(0,MIN(1,N49)))^2/$B$5))-(MAX(0,MIN(1,M49))^2/(MAX(0,MIN(1,M49))^2+(1-MAX(0,MIN(1,M49)))^2/$B$5))))</f>
        <v>0.88549838279862</v>
      </c>
      <c r="O50" s="16" t="n">
        <f aca="false">IF(ABS(O49-$B$11/$B$9*((MAX(0,MIN(1,O49))^2/(MAX(0,MIN(1,O49))^2+(1-MAX(0,MIN(1,O49)))^2/$B$5))-(MAX(0,MIN(1,N49))^2/(MAX(0,MIN(1,N49))^2+(1-MAX(0,MIN(1,N49)))^2/$B$5))))&lt;0.000000001,0,O49-$B$11/$B$9*((MAX(0,MIN(1,O49))^2/(MAX(0,MIN(1,O49))^2+(1-MAX(0,MIN(1,O49)))^2/$B$5))-(MAX(0,MIN(1,N49))^2/(MAX(0,MIN(1,N49))^2+(1-MAX(0,MIN(1,N49)))^2/$B$5))))</f>
        <v>0.855107229519007</v>
      </c>
      <c r="P50" s="16" t="n">
        <f aca="false">IF(ABS(P49-$B$11/$B$9*((MAX(0,MIN(1,P49))^2/(MAX(0,MIN(1,P49))^2+(1-MAX(0,MIN(1,P49)))^2/$B$5))-(MAX(0,MIN(1,O49))^2/(MAX(0,MIN(1,O49))^2+(1-MAX(0,MIN(1,O49)))^2/$B$5))))&lt;0.000000001,0,P49-$B$11/$B$9*((MAX(0,MIN(1,P49))^2/(MAX(0,MIN(1,P49))^2+(1-MAX(0,MIN(1,P49)))^2/$B$5))-(MAX(0,MIN(1,O49))^2/(MAX(0,MIN(1,O49))^2+(1-MAX(0,MIN(1,O49)))^2/$B$5))))</f>
        <v>0.829024132433981</v>
      </c>
      <c r="Q50" s="16" t="n">
        <f aca="false">IF(ABS(Q49-$B$11/$B$9*((MAX(0,MIN(1,Q49))^2/(MAX(0,MIN(1,Q49))^2+(1-MAX(0,MIN(1,Q49)))^2/$B$5))-(MAX(0,MIN(1,P49))^2/(MAX(0,MIN(1,P49))^2+(1-MAX(0,MIN(1,P49)))^2/$B$5))))&lt;0.000000001,0,Q49-$B$11/$B$9*((MAX(0,MIN(1,Q49))^2/(MAX(0,MIN(1,Q49))^2+(1-MAX(0,MIN(1,Q49)))^2/$B$5))-(MAX(0,MIN(1,P49))^2/(MAX(0,MIN(1,P49))^2+(1-MAX(0,MIN(1,P49)))^2/$B$5))))</f>
        <v>0.805917837371454</v>
      </c>
      <c r="R50" s="16" t="n">
        <f aca="false">IF(ABS(R49-$B$11/$B$9*((MAX(0,MIN(1,R49))^2/(MAX(0,MIN(1,R49))^2+(1-MAX(0,MIN(1,R49)))^2/$B$5))-(MAX(0,MIN(1,Q49))^2/(MAX(0,MIN(1,Q49))^2+(1-MAX(0,MIN(1,Q49)))^2/$B$5))))&lt;0.000000001,0,R49-$B$11/$B$9*((MAX(0,MIN(1,R49))^2/(MAX(0,MIN(1,R49))^2+(1-MAX(0,MIN(1,R49)))^2/$B$5))-(MAX(0,MIN(1,Q49))^2/(MAX(0,MIN(1,Q49))^2+(1-MAX(0,MIN(1,Q49)))^2/$B$5))))</f>
        <v>0.785024183751702</v>
      </c>
      <c r="S50" s="16" t="n">
        <f aca="false">IF(ABS(S49-$B$11/$B$9*((MAX(0,MIN(1,S49))^2/(MAX(0,MIN(1,S49))^2+(1-MAX(0,MIN(1,S49)))^2/$B$5))-(MAX(0,MIN(1,R49))^2/(MAX(0,MIN(1,R49))^2+(1-MAX(0,MIN(1,R49)))^2/$B$5))))&lt;0.000000001,0,S49-$B$11/$B$9*((MAX(0,MIN(1,S49))^2/(MAX(0,MIN(1,S49))^2+(1-MAX(0,MIN(1,S49)))^2/$B$5))-(MAX(0,MIN(1,R49))^2/(MAX(0,MIN(1,R49))^2+(1-MAX(0,MIN(1,R49)))^2/$B$5))))</f>
        <v>0.765843485648327</v>
      </c>
      <c r="T50" s="16" t="n">
        <f aca="false">IF(ABS(T49-$B$11/$B$9*((MAX(0,MIN(1,T49))^2/(MAX(0,MIN(1,T49))^2+(1-MAX(0,MIN(1,T49)))^2/$B$5))-(MAX(0,MIN(1,S49))^2/(MAX(0,MIN(1,S49))^2+(1-MAX(0,MIN(1,S49)))^2/$B$5))))&lt;0.000000001,0,T49-$B$11/$B$9*((MAX(0,MIN(1,T49))^2/(MAX(0,MIN(1,T49))^2+(1-MAX(0,MIN(1,T49)))^2/$B$5))-(MAX(0,MIN(1,S49))^2/(MAX(0,MIN(1,S49))^2+(1-MAX(0,MIN(1,S49)))^2/$B$5))))</f>
        <v>0.748021723192203</v>
      </c>
      <c r="U50" s="16" t="n">
        <f aca="false">IF(ABS(U49-$B$11/$B$9*((MAX(0,MIN(1,U49))^2/(MAX(0,MIN(1,U49))^2+(1-MAX(0,MIN(1,U49)))^2/$B$5))-(MAX(0,MIN(1,T49))^2/(MAX(0,MIN(1,T49))^2+(1-MAX(0,MIN(1,T49)))^2/$B$5))))&lt;0.000000001,0,U49-$B$11/$B$9*((MAX(0,MIN(1,U49))^2/(MAX(0,MIN(1,U49))^2+(1-MAX(0,MIN(1,U49)))^2/$B$5))-(MAX(0,MIN(1,T49))^2/(MAX(0,MIN(1,T49))^2+(1-MAX(0,MIN(1,T49)))^2/$B$5))))</f>
        <v>0.731292949692295</v>
      </c>
      <c r="V50" s="16" t="n">
        <f aca="false">IF(ABS(V49-$B$11/$B$9*((MAX(0,MIN(1,V49))^2/(MAX(0,MIN(1,V49))^2+(1-MAX(0,MIN(1,V49)))^2/$B$5))-(MAX(0,MIN(1,U49))^2/(MAX(0,MIN(1,U49))^2+(1-MAX(0,MIN(1,U49)))^2/$B$5))))&lt;0.000000001,0,V49-$B$11/$B$9*((MAX(0,MIN(1,V49))^2/(MAX(0,MIN(1,V49))^2+(1-MAX(0,MIN(1,V49)))^2/$B$5))-(MAX(0,MIN(1,U49))^2/(MAX(0,MIN(1,U49))^2+(1-MAX(0,MIN(1,U49)))^2/$B$5))))</f>
        <v>0.715447165915481</v>
      </c>
      <c r="W50" s="16" t="n">
        <f aca="false">IF(ABS(W49-$B$11/$B$9*((MAX(0,MIN(1,W49))^2/(MAX(0,MIN(1,W49))^2+(1-MAX(0,MIN(1,W49)))^2/$B$5))-(MAX(0,MIN(1,V49))^2/(MAX(0,MIN(1,V49))^2+(1-MAX(0,MIN(1,V49)))^2/$B$5))))&lt;0.000000001,0,W49-$B$11/$B$9*((MAX(0,MIN(1,W49))^2/(MAX(0,MIN(1,W49))^2+(1-MAX(0,MIN(1,W49)))^2/$B$5))-(MAX(0,MIN(1,V49))^2/(MAX(0,MIN(1,V49))^2+(1-MAX(0,MIN(1,V49)))^2/$B$5))))</f>
        <v>0.700310196901069</v>
      </c>
      <c r="X50" s="16" t="n">
        <f aca="false">IF(ABS(X49-$B$11/$B$9*((MAX(0,MIN(1,X49))^2/(MAX(0,MIN(1,X49))^2+(1-MAX(0,MIN(1,X49)))^2/$B$5))-(MAX(0,MIN(1,W49))^2/(MAX(0,MIN(1,W49))^2+(1-MAX(0,MIN(1,W49)))^2/$B$5))))&lt;0.000000001,0,X49-$B$11/$B$9*((MAX(0,MIN(1,X49))^2/(MAX(0,MIN(1,X49))^2+(1-MAX(0,MIN(1,X49)))^2/$B$5))-(MAX(0,MIN(1,W49))^2/(MAX(0,MIN(1,W49))^2+(1-MAX(0,MIN(1,W49)))^2/$B$5))))</f>
        <v>0.68572939464357</v>
      </c>
      <c r="Y50" s="16" t="n">
        <f aca="false">IF(ABS(Y49-$B$11/$B$9*((MAX(0,MIN(1,Y49))^2/(MAX(0,MIN(1,Y49))^2+(1-MAX(0,MIN(1,Y49)))^2/$B$5))-(MAX(0,MIN(1,X49))^2/(MAX(0,MIN(1,X49))^2+(1-MAX(0,MIN(1,X49)))^2/$B$5))))&lt;0.000000001,0,Y49-$B$11/$B$9*((MAX(0,MIN(1,Y49))^2/(MAX(0,MIN(1,Y49))^2+(1-MAX(0,MIN(1,Y49)))^2/$B$5))-(MAX(0,MIN(1,X49))^2/(MAX(0,MIN(1,X49))^2+(1-MAX(0,MIN(1,X49)))^2/$B$5))))</f>
        <v>0.671561616021174</v>
      </c>
      <c r="Z50" s="16" t="n">
        <f aca="false">IF(ABS(Z49-$B$11/$B$9*((MAX(0,MIN(1,Z49))^2/(MAX(0,MIN(1,Z49))^2+(1-MAX(0,MIN(1,Z49)))^2/$B$5))-(MAX(0,MIN(1,Y49))^2/(MAX(0,MIN(1,Y49))^2+(1-MAX(0,MIN(1,Y49)))^2/$B$5))))&lt;0.000000001,0,Z49-$B$11/$B$9*((MAX(0,MIN(1,Z49))^2/(MAX(0,MIN(1,Z49))^2+(1-MAX(0,MIN(1,Z49)))^2/$B$5))-(MAX(0,MIN(1,Y49))^2/(MAX(0,MIN(1,Y49))^2+(1-MAX(0,MIN(1,Y49)))^2/$B$5))))</f>
        <v>0.657660605020479</v>
      </c>
      <c r="AA50" s="16" t="n">
        <f aca="false">IF(ABS(AA49-$B$11/$B$9*((MAX(0,MIN(1,AA49))^2/(MAX(0,MIN(1,AA49))^2+(1-MAX(0,MIN(1,AA49)))^2/$B$5))-(MAX(0,MIN(1,Z49))^2/(MAX(0,MIN(1,Z49))^2+(1-MAX(0,MIN(1,Z49)))^2/$B$5))))&lt;0.000000001,0,AA49-$B$11/$B$9*((MAX(0,MIN(1,AA49))^2/(MAX(0,MIN(1,AA49))^2+(1-MAX(0,MIN(1,AA49)))^2/$B$5))-(MAX(0,MIN(1,Z49))^2/(MAX(0,MIN(1,Z49))^2+(1-MAX(0,MIN(1,Z49)))^2/$B$5))))</f>
        <v>0.643860222231978</v>
      </c>
      <c r="AB50" s="16" t="n">
        <f aca="false">IF(ABS(AB49-$B$11/$B$9*((MAX(0,MIN(1,AB49))^2/(MAX(0,MIN(1,AB49))^2+(1-MAX(0,MIN(1,AB49)))^2/$B$5))-(MAX(0,MIN(1,AA49))^2/(MAX(0,MIN(1,AA49))^2+(1-MAX(0,MIN(1,AA49)))^2/$B$5))))&lt;0.000000001,0,AB49-$B$11/$B$9*((MAX(0,MIN(1,AB49))^2/(MAX(0,MIN(1,AB49))^2+(1-MAX(0,MIN(1,AB49)))^2/$B$5))-(MAX(0,MIN(1,AA49))^2/(MAX(0,MIN(1,AA49))^2+(1-MAX(0,MIN(1,AA49)))^2/$B$5))))</f>
        <v>0.629947257511046</v>
      </c>
      <c r="AC50" s="16" t="n">
        <f aca="false">IF(ABS(AC49-$B$11/$B$9*((MAX(0,MIN(1,AC49))^2/(MAX(0,MIN(1,AC49))^2+(1-MAX(0,MIN(1,AC49)))^2/$B$5))-(MAX(0,MIN(1,AB49))^2/(MAX(0,MIN(1,AB49))^2+(1-MAX(0,MIN(1,AB49)))^2/$B$5))))&lt;0.000000001,0,AC49-$B$11/$B$9*((MAX(0,MIN(1,AC49))^2/(MAX(0,MIN(1,AC49))^2+(1-MAX(0,MIN(1,AC49)))^2/$B$5))-(MAX(0,MIN(1,AB49))^2/(MAX(0,MIN(1,AB49))^2+(1-MAX(0,MIN(1,AB49)))^2/$B$5))))</f>
        <v>0.615609826040495</v>
      </c>
      <c r="AD50" s="16" t="n">
        <f aca="false">IF(ABS(AD49-$B$11/$B$9*((MAX(0,MIN(1,AD49))^2/(MAX(0,MIN(1,AD49))^2+(1-MAX(0,MIN(1,AD49)))^2/$B$5))-(MAX(0,MIN(1,AC49))^2/(MAX(0,MIN(1,AC49))^2+(1-MAX(0,MIN(1,AC49)))^2/$B$5))))&lt;0.000000001,0,AD49-$B$11/$B$9*((MAX(0,MIN(1,AD49))^2/(MAX(0,MIN(1,AD49))^2+(1-MAX(0,MIN(1,AD49)))^2/$B$5))-(MAX(0,MIN(1,AC49))^2/(MAX(0,MIN(1,AC49))^2+(1-MAX(0,MIN(1,AC49)))^2/$B$5))))</f>
        <v>0.600323562250077</v>
      </c>
      <c r="AE50" s="16" t="n">
        <f aca="false">IF(ABS(AE49-$B$11/$B$9*((MAX(0,MIN(1,AE49))^2/(MAX(0,MIN(1,AE49))^2+(1-MAX(0,MIN(1,AE49)))^2/$B$5))-(MAX(0,MIN(1,AD49))^2/(MAX(0,MIN(1,AD49))^2+(1-MAX(0,MIN(1,AD49)))^2/$B$5))))&lt;0.000000001,0,AE49-$B$11/$B$9*((MAX(0,MIN(1,AE49))^2/(MAX(0,MIN(1,AE49))^2+(1-MAX(0,MIN(1,AE49)))^2/$B$5))-(MAX(0,MIN(1,AD49))^2/(MAX(0,MIN(1,AD49))^2+(1-MAX(0,MIN(1,AD49)))^2/$B$5))))</f>
        <v>0.583052948346566</v>
      </c>
      <c r="AF50" s="16" t="n">
        <f aca="false">IF(ABS(AF49-$B$11/$B$9*((MAX(0,MIN(1,AF49))^2/(MAX(0,MIN(1,AF49))^2+(1-MAX(0,MIN(1,AF49)))^2/$B$5))-(MAX(0,MIN(1,AE49))^2/(MAX(0,MIN(1,AE49))^2+(1-MAX(0,MIN(1,AE49)))^2/$B$5))))&lt;0.000000001,0,AF49-$B$11/$B$9*((MAX(0,MIN(1,AF49))^2/(MAX(0,MIN(1,AF49))^2+(1-MAX(0,MIN(1,AF49)))^2/$B$5))-(MAX(0,MIN(1,AE49))^2/(MAX(0,MIN(1,AE49))^2+(1-MAX(0,MIN(1,AE49)))^2/$B$5))))</f>
        <v>0.561268129309233</v>
      </c>
    </row>
    <row r="51" customFormat="false" ht="15" hidden="false" customHeight="false" outlineLevel="0" collapsed="false">
      <c r="A51" s="0" t="n">
        <v>0.46</v>
      </c>
      <c r="D51" s="0" t="n">
        <f aca="false">A51</f>
        <v>0.46</v>
      </c>
      <c r="E51" s="0" t="n">
        <f aca="false">(G51-G50)/(A51-A50)</f>
        <v>1.96155587764793</v>
      </c>
      <c r="F51" s="0" t="n">
        <f aca="false">G51/A51</f>
        <v>1.2870733072188</v>
      </c>
      <c r="G51" s="0" t="n">
        <f aca="false">A51^2/(A51^2+(1-A51)^2/$B$5)</f>
        <v>0.592053721320649</v>
      </c>
      <c r="L51" s="0" t="n">
        <v>41</v>
      </c>
      <c r="M51" s="16" t="n">
        <f aca="false">IF(ABS(M50-$B$11/$B$9*((MAX(0,MIN(1,M50))^2/(MAX(0,MIN(1,M50))^2+(1-MAX(0,MIN(1,M50)))^2/$B$5))-(MAX(0,MIN(1,1))^2/(MAX(0,MIN(1,1))^2+(1-MAX(0,MIN(1,1)))^2/$B$5))))&lt;0.000000001,0,M50-$B$11/$B$9*((MAX(0,MIN(1,M50))^2/(MAX(0,MIN(1,M50))^2+(1-MAX(0,MIN(1,M50)))^2/$B$5))-(MAX(0,MIN(1,1))^2/(MAX(0,MIN(1,1))^2+(1-MAX(0,MIN(1,1)))^2/$B$5))))</f>
        <v>0.924560430685792</v>
      </c>
      <c r="N51" s="16" t="n">
        <f aca="false">IF(ABS(N50-$B$11/$B$9*((MAX(0,MIN(1,N50))^2/(MAX(0,MIN(1,N50))^2+(1-MAX(0,MIN(1,N50)))^2/$B$5))-(MAX(0,MIN(1,M50))^2/(MAX(0,MIN(1,M50))^2+(1-MAX(0,MIN(1,M50)))^2/$B$5))))&lt;0.000000001,0,N50-$B$11/$B$9*((MAX(0,MIN(1,N50))^2/(MAX(0,MIN(1,N50))^2+(1-MAX(0,MIN(1,N50)))^2/$B$5))-(MAX(0,MIN(1,M50))^2/(MAX(0,MIN(1,M50))^2+(1-MAX(0,MIN(1,M50)))^2/$B$5))))</f>
        <v>0.887361864041675</v>
      </c>
      <c r="O51" s="16" t="n">
        <f aca="false">IF(ABS(O50-$B$11/$B$9*((MAX(0,MIN(1,O50))^2/(MAX(0,MIN(1,O50))^2+(1-MAX(0,MIN(1,O50)))^2/$B$5))-(MAX(0,MIN(1,N50))^2/(MAX(0,MIN(1,N50))^2+(1-MAX(0,MIN(1,N50)))^2/$B$5))))&lt;0.000000001,0,O50-$B$11/$B$9*((MAX(0,MIN(1,O50))^2/(MAX(0,MIN(1,O50))^2+(1-MAX(0,MIN(1,O50)))^2/$B$5))-(MAX(0,MIN(1,N50))^2/(MAX(0,MIN(1,N50))^2+(1-MAX(0,MIN(1,N50)))^2/$B$5))))</f>
        <v>0.857361182220676</v>
      </c>
      <c r="P51" s="16" t="n">
        <f aca="false">IF(ABS(P50-$B$11/$B$9*((MAX(0,MIN(1,P50))^2/(MAX(0,MIN(1,P50))^2+(1-MAX(0,MIN(1,P50)))^2/$B$5))-(MAX(0,MIN(1,O50))^2/(MAX(0,MIN(1,O50))^2+(1-MAX(0,MIN(1,O50)))^2/$B$5))))&lt;0.000000001,0,P50-$B$11/$B$9*((MAX(0,MIN(1,P50))^2/(MAX(0,MIN(1,P50))^2+(1-MAX(0,MIN(1,P50)))^2/$B$5))-(MAX(0,MIN(1,O50))^2/(MAX(0,MIN(1,O50))^2+(1-MAX(0,MIN(1,O50)))^2/$B$5))))</f>
        <v>0.83158958192044</v>
      </c>
      <c r="Q51" s="16" t="n">
        <f aca="false">IF(ABS(Q50-$B$11/$B$9*((MAX(0,MIN(1,Q50))^2/(MAX(0,MIN(1,Q50))^2+(1-MAX(0,MIN(1,Q50)))^2/$B$5))-(MAX(0,MIN(1,P50))^2/(MAX(0,MIN(1,P50))^2+(1-MAX(0,MIN(1,P50)))^2/$B$5))))&lt;0.000000001,0,Q50-$B$11/$B$9*((MAX(0,MIN(1,Q50))^2/(MAX(0,MIN(1,Q50))^2+(1-MAX(0,MIN(1,Q50)))^2/$B$5))-(MAX(0,MIN(1,P50))^2/(MAX(0,MIN(1,P50))^2+(1-MAX(0,MIN(1,P50)))^2/$B$5))))</f>
        <v>0.808746526521441</v>
      </c>
      <c r="R51" s="16" t="n">
        <f aca="false">IF(ABS(R50-$B$11/$B$9*((MAX(0,MIN(1,R50))^2/(MAX(0,MIN(1,R50))^2+(1-MAX(0,MIN(1,R50)))^2/$B$5))-(MAX(0,MIN(1,Q50))^2/(MAX(0,MIN(1,Q50))^2+(1-MAX(0,MIN(1,Q50)))^2/$B$5))))&lt;0.000000001,0,R50-$B$11/$B$9*((MAX(0,MIN(1,R50))^2/(MAX(0,MIN(1,R50))^2+(1-MAX(0,MIN(1,R50)))^2/$B$5))-(MAX(0,MIN(1,Q50))^2/(MAX(0,MIN(1,Q50))^2+(1-MAX(0,MIN(1,Q50)))^2/$B$5))))</f>
        <v>0.788085219258281</v>
      </c>
      <c r="S51" s="16" t="n">
        <f aca="false">IF(ABS(S50-$B$11/$B$9*((MAX(0,MIN(1,S50))^2/(MAX(0,MIN(1,S50))^2+(1-MAX(0,MIN(1,S50)))^2/$B$5))-(MAX(0,MIN(1,R50))^2/(MAX(0,MIN(1,R50))^2+(1-MAX(0,MIN(1,R50)))^2/$B$5))))&lt;0.000000001,0,S50-$B$11/$B$9*((MAX(0,MIN(1,S50))^2/(MAX(0,MIN(1,S50))^2+(1-MAX(0,MIN(1,S50)))^2/$B$5))-(MAX(0,MIN(1,R50))^2/(MAX(0,MIN(1,R50))^2+(1-MAX(0,MIN(1,R50)))^2/$B$5))))</f>
        <v>0.769117214293643</v>
      </c>
      <c r="T51" s="16" t="n">
        <f aca="false">IF(ABS(T50-$B$11/$B$9*((MAX(0,MIN(1,T50))^2/(MAX(0,MIN(1,T50))^2+(1-MAX(0,MIN(1,T50)))^2/$B$5))-(MAX(0,MIN(1,S50))^2/(MAX(0,MIN(1,S50))^2+(1-MAX(0,MIN(1,S50)))^2/$B$5))))&lt;0.000000001,0,T50-$B$11/$B$9*((MAX(0,MIN(1,T50))^2/(MAX(0,MIN(1,T50))^2+(1-MAX(0,MIN(1,T50)))^2/$B$5))-(MAX(0,MIN(1,S50))^2/(MAX(0,MIN(1,S50))^2+(1-MAX(0,MIN(1,S50)))^2/$B$5))))</f>
        <v>0.751496595612455</v>
      </c>
      <c r="U51" s="16" t="n">
        <f aca="false">IF(ABS(U50-$B$11/$B$9*((MAX(0,MIN(1,U50))^2/(MAX(0,MIN(1,U50))^2+(1-MAX(0,MIN(1,U50)))^2/$B$5))-(MAX(0,MIN(1,T50))^2/(MAX(0,MIN(1,T50))^2+(1-MAX(0,MIN(1,T50)))^2/$B$5))))&lt;0.000000001,0,U50-$B$11/$B$9*((MAX(0,MIN(1,U50))^2/(MAX(0,MIN(1,U50))^2+(1-MAX(0,MIN(1,U50)))^2/$B$5))-(MAX(0,MIN(1,T50))^2/(MAX(0,MIN(1,T50))^2+(1-MAX(0,MIN(1,T50)))^2/$B$5))))</f>
        <v>0.734963919985442</v>
      </c>
      <c r="V51" s="16" t="n">
        <f aca="false">IF(ABS(V50-$B$11/$B$9*((MAX(0,MIN(1,V50))^2/(MAX(0,MIN(1,V50))^2+(1-MAX(0,MIN(1,V50)))^2/$B$5))-(MAX(0,MIN(1,U50))^2/(MAX(0,MIN(1,U50))^2+(1-MAX(0,MIN(1,U50)))^2/$B$5))))&lt;0.000000001,0,V50-$B$11/$B$9*((MAX(0,MIN(1,V50))^2/(MAX(0,MIN(1,V50))^2+(1-MAX(0,MIN(1,V50)))^2/$B$5))-(MAX(0,MIN(1,U50))^2/(MAX(0,MIN(1,U50))^2+(1-MAX(0,MIN(1,U50)))^2/$B$5))))</f>
        <v>0.719315054500842</v>
      </c>
      <c r="W51" s="16" t="n">
        <f aca="false">IF(ABS(W50-$B$11/$B$9*((MAX(0,MIN(1,W50))^2/(MAX(0,MIN(1,W50))^2+(1-MAX(0,MIN(1,W50)))^2/$B$5))-(MAX(0,MIN(1,V50))^2/(MAX(0,MIN(1,V50))^2+(1-MAX(0,MIN(1,V50)))^2/$B$5))))&lt;0.000000001,0,W50-$B$11/$B$9*((MAX(0,MIN(1,W50))^2/(MAX(0,MIN(1,W50))^2+(1-MAX(0,MIN(1,W50)))^2/$B$5))-(MAX(0,MIN(1,V50))^2/(MAX(0,MIN(1,V50))^2+(1-MAX(0,MIN(1,V50)))^2/$B$5))))</f>
        <v>0.70438182481941</v>
      </c>
      <c r="X51" s="16" t="n">
        <f aca="false">IF(ABS(X50-$B$11/$B$9*((MAX(0,MIN(1,X50))^2/(MAX(0,MIN(1,X50))^2+(1-MAX(0,MIN(1,X50)))^2/$B$5))-(MAX(0,MIN(1,W50))^2/(MAX(0,MIN(1,W50))^2+(1-MAX(0,MIN(1,W50)))^2/$B$5))))&lt;0.000000001,0,X50-$B$11/$B$9*((MAX(0,MIN(1,X50))^2/(MAX(0,MIN(1,X50))^2+(1-MAX(0,MIN(1,X50)))^2/$B$5))-(MAX(0,MIN(1,W50))^2/(MAX(0,MIN(1,W50))^2+(1-MAX(0,MIN(1,W50)))^2/$B$5))))</f>
        <v>0.690018544715701</v>
      </c>
      <c r="Y51" s="16" t="n">
        <f aca="false">IF(ABS(Y50-$B$11/$B$9*((MAX(0,MIN(1,Y50))^2/(MAX(0,MIN(1,Y50))^2+(1-MAX(0,MIN(1,Y50)))^2/$B$5))-(MAX(0,MIN(1,X50))^2/(MAX(0,MIN(1,X50))^2+(1-MAX(0,MIN(1,X50)))^2/$B$5))))&lt;0.000000001,0,Y50-$B$11/$B$9*((MAX(0,MIN(1,Y50))^2/(MAX(0,MIN(1,Y50))^2+(1-MAX(0,MIN(1,Y50)))^2/$B$5))-(MAX(0,MIN(1,X50))^2/(MAX(0,MIN(1,X50))^2+(1-MAX(0,MIN(1,X50)))^2/$B$5))))</f>
        <v>0.676091146849705</v>
      </c>
      <c r="Z51" s="16" t="n">
        <f aca="false">IF(ABS(Z50-$B$11/$B$9*((MAX(0,MIN(1,Z50))^2/(MAX(0,MIN(1,Z50))^2+(1-MAX(0,MIN(1,Z50)))^2/$B$5))-(MAX(0,MIN(1,Y50))^2/(MAX(0,MIN(1,Y50))^2+(1-MAX(0,MIN(1,Y50)))^2/$B$5))))&lt;0.000000001,0,Z50-$B$11/$B$9*((MAX(0,MIN(1,Z50))^2/(MAX(0,MIN(1,Z50))^2+(1-MAX(0,MIN(1,Z50)))^2/$B$5))-(MAX(0,MIN(1,Y50))^2/(MAX(0,MIN(1,Y50))^2+(1-MAX(0,MIN(1,Y50)))^2/$B$5))))</f>
        <v>0.662466484664917</v>
      </c>
      <c r="AA51" s="16" t="n">
        <f aca="false">IF(ABS(AA50-$B$11/$B$9*((MAX(0,MIN(1,AA50))^2/(MAX(0,MIN(1,AA50))^2+(1-MAX(0,MIN(1,AA50)))^2/$B$5))-(MAX(0,MIN(1,Z50))^2/(MAX(0,MIN(1,Z50))^2+(1-MAX(0,MIN(1,Z50)))^2/$B$5))))&lt;0.000000001,0,AA50-$B$11/$B$9*((MAX(0,MIN(1,AA50))^2/(MAX(0,MIN(1,AA50))^2+(1-MAX(0,MIN(1,AA50)))^2/$B$5))-(MAX(0,MIN(1,Z50))^2/(MAX(0,MIN(1,Z50))^2+(1-MAX(0,MIN(1,Z50)))^2/$B$5))))</f>
        <v>0.648999128631407</v>
      </c>
      <c r="AB51" s="16" t="n">
        <f aca="false">IF(ABS(AB50-$B$11/$B$9*((MAX(0,MIN(1,AB50))^2/(MAX(0,MIN(1,AB50))^2+(1-MAX(0,MIN(1,AB50)))^2/$B$5))-(MAX(0,MIN(1,AA50))^2/(MAX(0,MIN(1,AA50))^2+(1-MAX(0,MIN(1,AA50)))^2/$B$5))))&lt;0.000000001,0,AB50-$B$11/$B$9*((MAX(0,MIN(1,AB50))^2/(MAX(0,MIN(1,AB50))^2+(1-MAX(0,MIN(1,AB50)))^2/$B$5))-(MAX(0,MIN(1,AA50))^2/(MAX(0,MIN(1,AA50))^2+(1-MAX(0,MIN(1,AA50)))^2/$B$5))))</f>
        <v>0.635511396344815</v>
      </c>
      <c r="AC51" s="16" t="n">
        <f aca="false">IF(ABS(AC50-$B$11/$B$9*((MAX(0,MIN(1,AC50))^2/(MAX(0,MIN(1,AC50))^2+(1-MAX(0,MIN(1,AC50)))^2/$B$5))-(MAX(0,MIN(1,AB50))^2/(MAX(0,MIN(1,AB50))^2+(1-MAX(0,MIN(1,AB50)))^2/$B$5))))&lt;0.000000001,0,AC50-$B$11/$B$9*((MAX(0,MIN(1,AC50))^2/(MAX(0,MIN(1,AC50))^2+(1-MAX(0,MIN(1,AC50)))^2/$B$5))-(MAX(0,MIN(1,AB50))^2/(MAX(0,MIN(1,AB50))^2+(1-MAX(0,MIN(1,AB50)))^2/$B$5))))</f>
        <v>0.621757837422955</v>
      </c>
      <c r="AD51" s="16" t="n">
        <f aca="false">IF(ABS(AD50-$B$11/$B$9*((MAX(0,MIN(1,AD50))^2/(MAX(0,MIN(1,AD50))^2+(1-MAX(0,MIN(1,AD50)))^2/$B$5))-(MAX(0,MIN(1,AC50))^2/(MAX(0,MIN(1,AC50))^2+(1-MAX(0,MIN(1,AC50)))^2/$B$5))))&lt;0.000000001,0,AD50-$B$11/$B$9*((MAX(0,MIN(1,AD50))^2/(MAX(0,MIN(1,AD50))^2+(1-MAX(0,MIN(1,AD50)))^2/$B$5))-(MAX(0,MIN(1,AC50))^2/(MAX(0,MIN(1,AC50))^2+(1-MAX(0,MIN(1,AC50)))^2/$B$5))))</f>
        <v>0.60735228612312</v>
      </c>
      <c r="AE51" s="16" t="n">
        <f aca="false">IF(ABS(AE50-$B$11/$B$9*((MAX(0,MIN(1,AE50))^2/(MAX(0,MIN(1,AE50))^2+(1-MAX(0,MIN(1,AE50)))^2/$B$5))-(MAX(0,MIN(1,AD50))^2/(MAX(0,MIN(1,AD50))^2+(1-MAX(0,MIN(1,AD50)))^2/$B$5))))&lt;0.000000001,0,AE50-$B$11/$B$9*((MAX(0,MIN(1,AE50))^2/(MAX(0,MIN(1,AE50))^2+(1-MAX(0,MIN(1,AE50)))^2/$B$5))-(MAX(0,MIN(1,AD50))^2/(MAX(0,MIN(1,AD50))^2+(1-MAX(0,MIN(1,AD50)))^2/$B$5))))</f>
        <v>0.591592819401119</v>
      </c>
      <c r="AF51" s="16" t="n">
        <f aca="false">IF(ABS(AF50-$B$11/$B$9*((MAX(0,MIN(1,AF50))^2/(MAX(0,MIN(1,AF50))^2+(1-MAX(0,MIN(1,AF50)))^2/$B$5))-(MAX(0,MIN(1,AE50))^2/(MAX(0,MIN(1,AE50))^2+(1-MAX(0,MIN(1,AE50)))^2/$B$5))))&lt;0.000000001,0,AF50-$B$11/$B$9*((MAX(0,MIN(1,AF50))^2/(MAX(0,MIN(1,AF50))^2+(1-MAX(0,MIN(1,AF50)))^2/$B$5))-(MAX(0,MIN(1,AE50))^2/(MAX(0,MIN(1,AE50))^2+(1-MAX(0,MIN(1,AE50)))^2/$B$5))))</f>
        <v>0.572954363923241</v>
      </c>
    </row>
    <row r="52" customFormat="false" ht="15" hidden="false" customHeight="false" outlineLevel="0" collapsed="false">
      <c r="A52" s="0" t="n">
        <v>0.47</v>
      </c>
      <c r="D52" s="0" t="n">
        <f aca="false">A52</f>
        <v>0.47</v>
      </c>
      <c r="E52" s="0" t="n">
        <f aca="false">(G52-G51)/(A52-A51)</f>
        <v>1.92649447925377</v>
      </c>
      <c r="F52" s="0" t="n">
        <f aca="false">G52/A52</f>
        <v>1.30067801300678</v>
      </c>
      <c r="G52" s="0" t="n">
        <f aca="false">A52^2/(A52^2+(1-A52)^2/$B$5)</f>
        <v>0.611318666113187</v>
      </c>
      <c r="L52" s="0" t="n">
        <v>42</v>
      </c>
      <c r="M52" s="16" t="n">
        <f aca="false">IF(ABS(M51-$B$11/$B$9*((MAX(0,MIN(1,M51))^2/(MAX(0,MIN(1,M51))^2+(1-MAX(0,MIN(1,M51)))^2/$B$5))-(MAX(0,MIN(1,1))^2/(MAX(0,MIN(1,1))^2+(1-MAX(0,MIN(1,1)))^2/$B$5))))&lt;0.000000001,0,M51-$B$11/$B$9*((MAX(0,MIN(1,M51))^2/(MAX(0,MIN(1,M51))^2+(1-MAX(0,MIN(1,M51)))^2/$B$5))-(MAX(0,MIN(1,1))^2/(MAX(0,MIN(1,1))^2+(1-MAX(0,MIN(1,1)))^2/$B$5))))</f>
        <v>0.925836241503065</v>
      </c>
      <c r="N52" s="16" t="n">
        <f aca="false">IF(ABS(N51-$B$11/$B$9*((MAX(0,MIN(1,N51))^2/(MAX(0,MIN(1,N51))^2+(1-MAX(0,MIN(1,N51)))^2/$B$5))-(MAX(0,MIN(1,M51))^2/(MAX(0,MIN(1,M51))^2+(1-MAX(0,MIN(1,M51)))^2/$B$5))))&lt;0.000000001,0,N51-$B$11/$B$9*((MAX(0,MIN(1,N51))^2/(MAX(0,MIN(1,N51))^2+(1-MAX(0,MIN(1,N51)))^2/$B$5))-(MAX(0,MIN(1,M51))^2/(MAX(0,MIN(1,M51))^2+(1-MAX(0,MIN(1,M51)))^2/$B$5))))</f>
        <v>0.889159221685569</v>
      </c>
      <c r="O52" s="16" t="n">
        <f aca="false">IF(ABS(O51-$B$11/$B$9*((MAX(0,MIN(1,O51))^2/(MAX(0,MIN(1,O51))^2+(1-MAX(0,MIN(1,O51)))^2/$B$5))-(MAX(0,MIN(1,N51))^2/(MAX(0,MIN(1,N51))^2+(1-MAX(0,MIN(1,N51)))^2/$B$5))))&lt;0.000000001,0,O51-$B$11/$B$9*((MAX(0,MIN(1,O51))^2/(MAX(0,MIN(1,O51))^2+(1-MAX(0,MIN(1,O51)))^2/$B$5))-(MAX(0,MIN(1,N51))^2/(MAX(0,MIN(1,N51))^2+(1-MAX(0,MIN(1,N51)))^2/$B$5))))</f>
        <v>0.859537060648183</v>
      </c>
      <c r="P52" s="16" t="n">
        <f aca="false">IF(ABS(P51-$B$11/$B$9*((MAX(0,MIN(1,P51))^2/(MAX(0,MIN(1,P51))^2+(1-MAX(0,MIN(1,P51)))^2/$B$5))-(MAX(0,MIN(1,O51))^2/(MAX(0,MIN(1,O51))^2+(1-MAX(0,MIN(1,O51)))^2/$B$5))))&lt;0.000000001,0,P51-$B$11/$B$9*((MAX(0,MIN(1,P51))^2/(MAX(0,MIN(1,P51))^2+(1-MAX(0,MIN(1,P51)))^2/$B$5))-(MAX(0,MIN(1,O51))^2/(MAX(0,MIN(1,O51))^2+(1-MAX(0,MIN(1,O51)))^2/$B$5))))</f>
        <v>0.834067445569273</v>
      </c>
      <c r="Q52" s="16" t="n">
        <f aca="false">IF(ABS(Q51-$B$11/$B$9*((MAX(0,MIN(1,Q51))^2/(MAX(0,MIN(1,Q51))^2+(1-MAX(0,MIN(1,Q51)))^2/$B$5))-(MAX(0,MIN(1,P51))^2/(MAX(0,MIN(1,P51))^2+(1-MAX(0,MIN(1,P51)))^2/$B$5))))&lt;0.000000001,0,Q51-$B$11/$B$9*((MAX(0,MIN(1,Q51))^2/(MAX(0,MIN(1,Q51))^2+(1-MAX(0,MIN(1,Q51)))^2/$B$5))-(MAX(0,MIN(1,P51))^2/(MAX(0,MIN(1,P51))^2+(1-MAX(0,MIN(1,P51)))^2/$B$5))))</f>
        <v>0.811479302345243</v>
      </c>
      <c r="R52" s="16" t="n">
        <f aca="false">IF(ABS(R51-$B$11/$B$9*((MAX(0,MIN(1,R51))^2/(MAX(0,MIN(1,R51))^2+(1-MAX(0,MIN(1,R51)))^2/$B$5))-(MAX(0,MIN(1,Q51))^2/(MAX(0,MIN(1,Q51))^2+(1-MAX(0,MIN(1,Q51)))^2/$B$5))))&lt;0.000000001,0,R51-$B$11/$B$9*((MAX(0,MIN(1,R51))^2/(MAX(0,MIN(1,R51))^2+(1-MAX(0,MIN(1,R51)))^2/$B$5))-(MAX(0,MIN(1,Q51))^2/(MAX(0,MIN(1,Q51))^2+(1-MAX(0,MIN(1,Q51)))^2/$B$5))))</f>
        <v>0.791042488385878</v>
      </c>
      <c r="S52" s="16" t="n">
        <f aca="false">IF(ABS(S51-$B$11/$B$9*((MAX(0,MIN(1,S51))^2/(MAX(0,MIN(1,S51))^2+(1-MAX(0,MIN(1,S51)))^2/$B$5))-(MAX(0,MIN(1,R51))^2/(MAX(0,MIN(1,R51))^2+(1-MAX(0,MIN(1,R51)))^2/$B$5))))&lt;0.000000001,0,S51-$B$11/$B$9*((MAX(0,MIN(1,S51))^2/(MAX(0,MIN(1,S51))^2+(1-MAX(0,MIN(1,S51)))^2/$B$5))-(MAX(0,MIN(1,R51))^2/(MAX(0,MIN(1,R51))^2+(1-MAX(0,MIN(1,R51)))^2/$B$5))))</f>
        <v>0.772279307721635</v>
      </c>
      <c r="T52" s="16" t="n">
        <f aca="false">IF(ABS(T51-$B$11/$B$9*((MAX(0,MIN(1,T51))^2/(MAX(0,MIN(1,T51))^2+(1-MAX(0,MIN(1,T51)))^2/$B$5))-(MAX(0,MIN(1,S51))^2/(MAX(0,MIN(1,S51))^2+(1-MAX(0,MIN(1,S51)))^2/$B$5))))&lt;0.000000001,0,T51-$B$11/$B$9*((MAX(0,MIN(1,T51))^2/(MAX(0,MIN(1,T51))^2+(1-MAX(0,MIN(1,T51)))^2/$B$5))-(MAX(0,MIN(1,S51))^2/(MAX(0,MIN(1,S51))^2+(1-MAX(0,MIN(1,S51)))^2/$B$5))))</f>
        <v>0.754851535837233</v>
      </c>
      <c r="U52" s="16" t="n">
        <f aca="false">IF(ABS(U51-$B$11/$B$9*((MAX(0,MIN(1,U51))^2/(MAX(0,MIN(1,U51))^2+(1-MAX(0,MIN(1,U51)))^2/$B$5))-(MAX(0,MIN(1,T51))^2/(MAX(0,MIN(1,T51))^2+(1-MAX(0,MIN(1,T51)))^2/$B$5))))&lt;0.000000001,0,U51-$B$11/$B$9*((MAX(0,MIN(1,U51))^2/(MAX(0,MIN(1,U51))^2+(1-MAX(0,MIN(1,U51)))^2/$B$5))-(MAX(0,MIN(1,T51))^2/(MAX(0,MIN(1,T51))^2+(1-MAX(0,MIN(1,T51)))^2/$B$5))))</f>
        <v>0.738505813599967</v>
      </c>
      <c r="V52" s="16" t="n">
        <f aca="false">IF(ABS(V51-$B$11/$B$9*((MAX(0,MIN(1,V51))^2/(MAX(0,MIN(1,V51))^2+(1-MAX(0,MIN(1,V51)))^2/$B$5))-(MAX(0,MIN(1,U51))^2/(MAX(0,MIN(1,U51))^2+(1-MAX(0,MIN(1,U51)))^2/$B$5))))&lt;0.000000001,0,V51-$B$11/$B$9*((MAX(0,MIN(1,V51))^2/(MAX(0,MIN(1,V51))^2+(1-MAX(0,MIN(1,V51)))^2/$B$5))-(MAX(0,MIN(1,U51))^2/(MAX(0,MIN(1,U51))^2+(1-MAX(0,MIN(1,U51)))^2/$B$5))))</f>
        <v>0.723043374301357</v>
      </c>
      <c r="W52" s="16" t="n">
        <f aca="false">IF(ABS(W51-$B$11/$B$9*((MAX(0,MIN(1,W51))^2/(MAX(0,MIN(1,W51))^2+(1-MAX(0,MIN(1,W51)))^2/$B$5))-(MAX(0,MIN(1,V51))^2/(MAX(0,MIN(1,V51))^2+(1-MAX(0,MIN(1,V51)))^2/$B$5))))&lt;0.000000001,0,W51-$B$11/$B$9*((MAX(0,MIN(1,W51))^2/(MAX(0,MIN(1,W51))^2+(1-MAX(0,MIN(1,W51)))^2/$B$5))-(MAX(0,MIN(1,V51))^2/(MAX(0,MIN(1,V51))^2+(1-MAX(0,MIN(1,V51)))^2/$B$5))))</f>
        <v>0.708301371934006</v>
      </c>
      <c r="X52" s="16" t="n">
        <f aca="false">IF(ABS(X51-$B$11/$B$9*((MAX(0,MIN(1,X51))^2/(MAX(0,MIN(1,X51))^2+(1-MAX(0,MIN(1,X51)))^2/$B$5))-(MAX(0,MIN(1,W51))^2/(MAX(0,MIN(1,W51))^2+(1-MAX(0,MIN(1,W51)))^2/$B$5))))&lt;0.000000001,0,X51-$B$11/$B$9*((MAX(0,MIN(1,X51))^2/(MAX(0,MIN(1,X51))^2+(1-MAX(0,MIN(1,X51)))^2/$B$5))-(MAX(0,MIN(1,W51))^2/(MAX(0,MIN(1,W51))^2+(1-MAX(0,MIN(1,W51)))^2/$B$5))))</f>
        <v>0.694140093372817</v>
      </c>
      <c r="Y52" s="16" t="n">
        <f aca="false">IF(ABS(Y51-$B$11/$B$9*((MAX(0,MIN(1,Y51))^2/(MAX(0,MIN(1,Y51))^2+(1-MAX(0,MIN(1,Y51)))^2/$B$5))-(MAX(0,MIN(1,X51))^2/(MAX(0,MIN(1,X51))^2+(1-MAX(0,MIN(1,X51)))^2/$B$5))))&lt;0.000000001,0,Y51-$B$11/$B$9*((MAX(0,MIN(1,Y51))^2/(MAX(0,MIN(1,Y51))^2+(1-MAX(0,MIN(1,Y51)))^2/$B$5))-(MAX(0,MIN(1,X51))^2/(MAX(0,MIN(1,X51))^2+(1-MAX(0,MIN(1,X51)))^2/$B$5))))</f>
        <v>0.680432981968506</v>
      </c>
      <c r="Z52" s="16" t="n">
        <f aca="false">IF(ABS(Z51-$B$11/$B$9*((MAX(0,MIN(1,Z51))^2/(MAX(0,MIN(1,Z51))^2+(1-MAX(0,MIN(1,Z51)))^2/$B$5))-(MAX(0,MIN(1,Y51))^2/(MAX(0,MIN(1,Y51))^2+(1-MAX(0,MIN(1,Y51)))^2/$B$5))))&lt;0.000000001,0,Z51-$B$11/$B$9*((MAX(0,MIN(1,Z51))^2/(MAX(0,MIN(1,Z51))^2+(1-MAX(0,MIN(1,Z51)))^2/$B$5))-(MAX(0,MIN(1,Y51))^2/(MAX(0,MIN(1,Y51))^2+(1-MAX(0,MIN(1,Y51)))^2/$B$5))))</f>
        <v>0.667057352120065</v>
      </c>
      <c r="AA52" s="16" t="n">
        <f aca="false">IF(ABS(AA51-$B$11/$B$9*((MAX(0,MIN(1,AA51))^2/(MAX(0,MIN(1,AA51))^2+(1-MAX(0,MIN(1,AA51)))^2/$B$5))-(MAX(0,MIN(1,Z51))^2/(MAX(0,MIN(1,Z51))^2+(1-MAX(0,MIN(1,Z51)))^2/$B$5))))&lt;0.000000001,0,AA51-$B$11/$B$9*((MAX(0,MIN(1,AA51))^2/(MAX(0,MIN(1,AA51))^2+(1-MAX(0,MIN(1,AA51)))^2/$B$5))-(MAX(0,MIN(1,Z51))^2/(MAX(0,MIN(1,Z51))^2+(1-MAX(0,MIN(1,Z51)))^2/$B$5))))</f>
        <v>0.653883700411438</v>
      </c>
      <c r="AB52" s="16" t="n">
        <f aca="false">IF(ABS(AB51-$B$11/$B$9*((MAX(0,MIN(1,AB51))^2/(MAX(0,MIN(1,AB51))^2+(1-MAX(0,MIN(1,AB51)))^2/$B$5))-(MAX(0,MIN(1,AA51))^2/(MAX(0,MIN(1,AA51))^2+(1-MAX(0,MIN(1,AA51)))^2/$B$5))))&lt;0.000000001,0,AB51-$B$11/$B$9*((MAX(0,MIN(1,AB51))^2/(MAX(0,MIN(1,AB51))^2+(1-MAX(0,MIN(1,AB51)))^2/$B$5))-(MAX(0,MIN(1,AA51))^2/(MAX(0,MIN(1,AA51))^2+(1-MAX(0,MIN(1,AA51)))^2/$B$5))))</f>
        <v>0.640760608335728</v>
      </c>
      <c r="AC52" s="16" t="n">
        <f aca="false">IF(ABS(AC51-$B$11/$B$9*((MAX(0,MIN(1,AC51))^2/(MAX(0,MIN(1,AC51))^2+(1-MAX(0,MIN(1,AC51)))^2/$B$5))-(MAX(0,MIN(1,AB51))^2/(MAX(0,MIN(1,AB51))^2+(1-MAX(0,MIN(1,AB51)))^2/$B$5))))&lt;0.000000001,0,AC51-$B$11/$B$9*((MAX(0,MIN(1,AC51))^2/(MAX(0,MIN(1,AC51))^2+(1-MAX(0,MIN(1,AC51)))^2/$B$5))-(MAX(0,MIN(1,AB51))^2/(MAX(0,MIN(1,AB51))^2+(1-MAX(0,MIN(1,AB51)))^2/$B$5))))</f>
        <v>0.627489532979919</v>
      </c>
      <c r="AD52" s="16" t="n">
        <f aca="false">IF(ABS(AD51-$B$11/$B$9*((MAX(0,MIN(1,AD51))^2/(MAX(0,MIN(1,AD51))^2+(1-MAX(0,MIN(1,AD51)))^2/$B$5))-(MAX(0,MIN(1,AC51))^2/(MAX(0,MIN(1,AC51))^2+(1-MAX(0,MIN(1,AC51)))^2/$B$5))))&lt;0.000000001,0,AD51-$B$11/$B$9*((MAX(0,MIN(1,AD51))^2/(MAX(0,MIN(1,AD51))^2+(1-MAX(0,MIN(1,AD51)))^2/$B$5))-(MAX(0,MIN(1,AC51))^2/(MAX(0,MIN(1,AC51))^2+(1-MAX(0,MIN(1,AC51)))^2/$B$5))))</f>
        <v>0.613776283728592</v>
      </c>
      <c r="AE52" s="16" t="n">
        <f aca="false">IF(ABS(AE51-$B$11/$B$9*((MAX(0,MIN(1,AE51))^2/(MAX(0,MIN(1,AE51))^2+(1-MAX(0,MIN(1,AE51)))^2/$B$5))-(MAX(0,MIN(1,AD51))^2/(MAX(0,MIN(1,AD51))^2+(1-MAX(0,MIN(1,AD51)))^2/$B$5))))&lt;0.000000001,0,AE51-$B$11/$B$9*((MAX(0,MIN(1,AE51))^2/(MAX(0,MIN(1,AE51))^2+(1-MAX(0,MIN(1,AE51)))^2/$B$5))-(MAX(0,MIN(1,AD51))^2/(MAX(0,MIN(1,AD51))^2+(1-MAX(0,MIN(1,AD51)))^2/$B$5))))</f>
        <v>0.599123241186988</v>
      </c>
      <c r="AF52" s="16" t="n">
        <f aca="false">IF(ABS(AF51-$B$11/$B$9*((MAX(0,MIN(1,AF51))^2/(MAX(0,MIN(1,AF51))^2+(1-MAX(0,MIN(1,AF51)))^2/$B$5))-(MAX(0,MIN(1,AE51))^2/(MAX(0,MIN(1,AE51))^2+(1-MAX(0,MIN(1,AE51)))^2/$B$5))))&lt;0.000000001,0,AF51-$B$11/$B$9*((MAX(0,MIN(1,AF51))^2/(MAX(0,MIN(1,AF51))^2+(1-MAX(0,MIN(1,AF51)))^2/$B$5))-(MAX(0,MIN(1,AE51))^2/(MAX(0,MIN(1,AE51))^2+(1-MAX(0,MIN(1,AE51)))^2/$B$5))))</f>
        <v>0.582547384361606</v>
      </c>
    </row>
    <row r="53" customFormat="false" ht="15" hidden="false" customHeight="false" outlineLevel="0" collapsed="false">
      <c r="A53" s="0" t="n">
        <v>0.48</v>
      </c>
      <c r="D53" s="0" t="n">
        <f aca="false">A53</f>
        <v>0.48</v>
      </c>
      <c r="E53" s="0" t="n">
        <f aca="false">(G53-G52)/(A53-A52)</f>
        <v>1.88782704294829</v>
      </c>
      <c r="F53" s="0" t="n">
        <f aca="false">G53/A53</f>
        <v>1.3129102844639</v>
      </c>
      <c r="G53" s="0" t="n">
        <f aca="false">A53^2/(A53^2+(1-A53)^2/$B$5)</f>
        <v>0.63019693654267</v>
      </c>
      <c r="L53" s="0" t="n">
        <v>43</v>
      </c>
      <c r="M53" s="16" t="n">
        <f aca="false">IF(ABS(M52-$B$11/$B$9*((MAX(0,MIN(1,M52))^2/(MAX(0,MIN(1,M52))^2+(1-MAX(0,MIN(1,M52)))^2/$B$5))-(MAX(0,MIN(1,1))^2/(MAX(0,MIN(1,1))^2+(1-MAX(0,MIN(1,1)))^2/$B$5))))&lt;0.000000001,0,M52-$B$11/$B$9*((MAX(0,MIN(1,M52))^2/(MAX(0,MIN(1,M52))^2+(1-MAX(0,MIN(1,M52)))^2/$B$5))-(MAX(0,MIN(1,1))^2/(MAX(0,MIN(1,1))^2+(1-MAX(0,MIN(1,1)))^2/$B$5))))</f>
        <v>0.927066016773415</v>
      </c>
      <c r="N53" s="16" t="n">
        <f aca="false">IF(ABS(N52-$B$11/$B$9*((MAX(0,MIN(1,N52))^2/(MAX(0,MIN(1,N52))^2+(1-MAX(0,MIN(1,N52)))^2/$B$5))-(MAX(0,MIN(1,M52))^2/(MAX(0,MIN(1,M52))^2+(1-MAX(0,MIN(1,M52)))^2/$B$5))))&lt;0.000000001,0,N52-$B$11/$B$9*((MAX(0,MIN(1,N52))^2/(MAX(0,MIN(1,N52))^2+(1-MAX(0,MIN(1,N52)))^2/$B$5))-(MAX(0,MIN(1,M52))^2/(MAX(0,MIN(1,M52))^2+(1-MAX(0,MIN(1,M52)))^2/$B$5))))</f>
        <v>0.890894144785739</v>
      </c>
      <c r="O53" s="16" t="n">
        <f aca="false">IF(ABS(O52-$B$11/$B$9*((MAX(0,MIN(1,O52))^2/(MAX(0,MIN(1,O52))^2+(1-MAX(0,MIN(1,O52)))^2/$B$5))-(MAX(0,MIN(1,N52))^2/(MAX(0,MIN(1,N52))^2+(1-MAX(0,MIN(1,N52)))^2/$B$5))))&lt;0.000000001,0,O52-$B$11/$B$9*((MAX(0,MIN(1,O52))^2/(MAX(0,MIN(1,O52))^2+(1-MAX(0,MIN(1,O52)))^2/$B$5))-(MAX(0,MIN(1,N52))^2/(MAX(0,MIN(1,N52))^2+(1-MAX(0,MIN(1,N52)))^2/$B$5))))</f>
        <v>0.861639182809154</v>
      </c>
      <c r="P53" s="16" t="n">
        <f aca="false">IF(ABS(P52-$B$11/$B$9*((MAX(0,MIN(1,P52))^2/(MAX(0,MIN(1,P52))^2+(1-MAX(0,MIN(1,P52)))^2/$B$5))-(MAX(0,MIN(1,O52))^2/(MAX(0,MIN(1,O52))^2+(1-MAX(0,MIN(1,O52)))^2/$B$5))))&lt;0.000000001,0,P52-$B$11/$B$9*((MAX(0,MIN(1,P52))^2/(MAX(0,MIN(1,P52))^2+(1-MAX(0,MIN(1,P52)))^2/$B$5))-(MAX(0,MIN(1,O52))^2/(MAX(0,MIN(1,O52))^2+(1-MAX(0,MIN(1,O52)))^2/$B$5))))</f>
        <v>0.836462572623593</v>
      </c>
      <c r="Q53" s="16" t="n">
        <f aca="false">IF(ABS(Q52-$B$11/$B$9*((MAX(0,MIN(1,Q52))^2/(MAX(0,MIN(1,Q52))^2+(1-MAX(0,MIN(1,Q52)))^2/$B$5))-(MAX(0,MIN(1,P52))^2/(MAX(0,MIN(1,P52))^2+(1-MAX(0,MIN(1,P52)))^2/$B$5))))&lt;0.000000001,0,Q52-$B$11/$B$9*((MAX(0,MIN(1,Q52))^2/(MAX(0,MIN(1,Q52))^2+(1-MAX(0,MIN(1,Q52)))^2/$B$5))-(MAX(0,MIN(1,P52))^2/(MAX(0,MIN(1,P52))^2+(1-MAX(0,MIN(1,P52)))^2/$B$5))))</f>
        <v>0.814121523623604</v>
      </c>
      <c r="R53" s="16" t="n">
        <f aca="false">IF(ABS(R52-$B$11/$B$9*((MAX(0,MIN(1,R52))^2/(MAX(0,MIN(1,R52))^2+(1-MAX(0,MIN(1,R52)))^2/$B$5))-(MAX(0,MIN(1,Q52))^2/(MAX(0,MIN(1,Q52))^2+(1-MAX(0,MIN(1,Q52)))^2/$B$5))))&lt;0.000000001,0,R52-$B$11/$B$9*((MAX(0,MIN(1,R52))^2/(MAX(0,MIN(1,R52))^2+(1-MAX(0,MIN(1,R52)))^2/$B$5))-(MAX(0,MIN(1,Q52))^2/(MAX(0,MIN(1,Q52))^2+(1-MAX(0,MIN(1,Q52)))^2/$B$5))))</f>
        <v>0.793901884612105</v>
      </c>
      <c r="S53" s="16" t="n">
        <f aca="false">IF(ABS(S52-$B$11/$B$9*((MAX(0,MIN(1,S52))^2/(MAX(0,MIN(1,S52))^2+(1-MAX(0,MIN(1,S52)))^2/$B$5))-(MAX(0,MIN(1,R52))^2/(MAX(0,MIN(1,R52))^2+(1-MAX(0,MIN(1,R52)))^2/$B$5))))&lt;0.000000001,0,S52-$B$11/$B$9*((MAX(0,MIN(1,S52))^2/(MAX(0,MIN(1,S52))^2+(1-MAX(0,MIN(1,S52)))^2/$B$5))-(MAX(0,MIN(1,R52))^2/(MAX(0,MIN(1,R52))^2+(1-MAX(0,MIN(1,R52)))^2/$B$5))))</f>
        <v>0.775336258620736</v>
      </c>
      <c r="T53" s="16" t="n">
        <f aca="false">IF(ABS(T52-$B$11/$B$9*((MAX(0,MIN(1,T52))^2/(MAX(0,MIN(1,T52))^2+(1-MAX(0,MIN(1,T52)))^2/$B$5))-(MAX(0,MIN(1,S52))^2/(MAX(0,MIN(1,S52))^2+(1-MAX(0,MIN(1,S52)))^2/$B$5))))&lt;0.000000001,0,T52-$B$11/$B$9*((MAX(0,MIN(1,T52))^2/(MAX(0,MIN(1,T52))^2+(1-MAX(0,MIN(1,T52)))^2/$B$5))-(MAX(0,MIN(1,S52))^2/(MAX(0,MIN(1,S52))^2+(1-MAX(0,MIN(1,S52)))^2/$B$5))))</f>
        <v>0.758093743113685</v>
      </c>
      <c r="U53" s="16" t="n">
        <f aca="false">IF(ABS(U52-$B$11/$B$9*((MAX(0,MIN(1,U52))^2/(MAX(0,MIN(1,U52))^2+(1-MAX(0,MIN(1,U52)))^2/$B$5))-(MAX(0,MIN(1,T52))^2/(MAX(0,MIN(1,T52))^2+(1-MAX(0,MIN(1,T52)))^2/$B$5))))&lt;0.000000001,0,U52-$B$11/$B$9*((MAX(0,MIN(1,U52))^2/(MAX(0,MIN(1,U52))^2+(1-MAX(0,MIN(1,U52)))^2/$B$5))-(MAX(0,MIN(1,T52))^2/(MAX(0,MIN(1,T52))^2+(1-MAX(0,MIN(1,T52)))^2/$B$5))))</f>
        <v>0.741926699260115</v>
      </c>
      <c r="V53" s="16" t="n">
        <f aca="false">IF(ABS(V52-$B$11/$B$9*((MAX(0,MIN(1,V52))^2/(MAX(0,MIN(1,V52))^2+(1-MAX(0,MIN(1,V52)))^2/$B$5))-(MAX(0,MIN(1,U52))^2/(MAX(0,MIN(1,U52))^2+(1-MAX(0,MIN(1,U52)))^2/$B$5))))&lt;0.000000001,0,V52-$B$11/$B$9*((MAX(0,MIN(1,V52))^2/(MAX(0,MIN(1,V52))^2+(1-MAX(0,MIN(1,V52)))^2/$B$5))-(MAX(0,MIN(1,U52))^2/(MAX(0,MIN(1,U52))^2+(1-MAX(0,MIN(1,U52)))^2/$B$5))))</f>
        <v>0.726641306680786</v>
      </c>
      <c r="W53" s="16" t="n">
        <f aca="false">IF(ABS(W52-$B$11/$B$9*((MAX(0,MIN(1,W52))^2/(MAX(0,MIN(1,W52))^2+(1-MAX(0,MIN(1,W52)))^2/$B$5))-(MAX(0,MIN(1,V52))^2/(MAX(0,MIN(1,V52))^2+(1-MAX(0,MIN(1,V52)))^2/$B$5))))&lt;0.000000001,0,W52-$B$11/$B$9*((MAX(0,MIN(1,W52))^2/(MAX(0,MIN(1,W52))^2+(1-MAX(0,MIN(1,W52)))^2/$B$5))-(MAX(0,MIN(1,V52))^2/(MAX(0,MIN(1,V52))^2+(1-MAX(0,MIN(1,V52)))^2/$B$5))))</f>
        <v>0.712079499958294</v>
      </c>
      <c r="X53" s="16" t="n">
        <f aca="false">IF(ABS(X52-$B$11/$B$9*((MAX(0,MIN(1,X52))^2/(MAX(0,MIN(1,X52))^2+(1-MAX(0,MIN(1,X52)))^2/$B$5))-(MAX(0,MIN(1,W52))^2/(MAX(0,MIN(1,W52))^2+(1-MAX(0,MIN(1,W52)))^2/$B$5))))&lt;0.000000001,0,X52-$B$11/$B$9*((MAX(0,MIN(1,X52))^2/(MAX(0,MIN(1,X52))^2+(1-MAX(0,MIN(1,X52)))^2/$B$5))-(MAX(0,MIN(1,W52))^2/(MAX(0,MIN(1,W52))^2+(1-MAX(0,MIN(1,W52)))^2/$B$5))))</f>
        <v>0.698106755763821</v>
      </c>
      <c r="Y53" s="16" t="n">
        <f aca="false">IF(ABS(Y52-$B$11/$B$9*((MAX(0,MIN(1,Y52))^2/(MAX(0,MIN(1,Y52))^2+(1-MAX(0,MIN(1,Y52)))^2/$B$5))-(MAX(0,MIN(1,X52))^2/(MAX(0,MIN(1,X52))^2+(1-MAX(0,MIN(1,X52)))^2/$B$5))))&lt;0.000000001,0,Y52-$B$11/$B$9*((MAX(0,MIN(1,Y52))^2/(MAX(0,MIN(1,Y52))^2+(1-MAX(0,MIN(1,Y52)))^2/$B$5))-(MAX(0,MIN(1,X52))^2/(MAX(0,MIN(1,X52))^2+(1-MAX(0,MIN(1,X52)))^2/$B$5))))</f>
        <v>0.684602822343847</v>
      </c>
      <c r="Z53" s="16" t="n">
        <f aca="false">IF(ABS(Z52-$B$11/$B$9*((MAX(0,MIN(1,Z52))^2/(MAX(0,MIN(1,Z52))^2+(1-MAX(0,MIN(1,Z52)))^2/$B$5))-(MAX(0,MIN(1,Y52))^2/(MAX(0,MIN(1,Y52))^2+(1-MAX(0,MIN(1,Y52)))^2/$B$5))))&lt;0.000000001,0,Z52-$B$11/$B$9*((MAX(0,MIN(1,Z52))^2/(MAX(0,MIN(1,Z52))^2+(1-MAX(0,MIN(1,Z52)))^2/$B$5))-(MAX(0,MIN(1,Y52))^2/(MAX(0,MIN(1,Y52))^2+(1-MAX(0,MIN(1,Y52)))^2/$B$5))))</f>
        <v>0.671453494398774</v>
      </c>
      <c r="AA53" s="16" t="n">
        <f aca="false">IF(ABS(AA52-$B$11/$B$9*((MAX(0,MIN(1,AA52))^2/(MAX(0,MIN(1,AA52))^2+(1-MAX(0,MIN(1,AA52)))^2/$B$5))-(MAX(0,MIN(1,Z52))^2/(MAX(0,MIN(1,Z52))^2+(1-MAX(0,MIN(1,Z52)))^2/$B$5))))&lt;0.000000001,0,AA52-$B$11/$B$9*((MAX(0,MIN(1,AA52))^2/(MAX(0,MIN(1,AA52))^2+(1-MAX(0,MIN(1,AA52)))^2/$B$5))-(MAX(0,MIN(1,Z52))^2/(MAX(0,MIN(1,Z52))^2+(1-MAX(0,MIN(1,Z52)))^2/$B$5))))</f>
        <v>0.658541733846636</v>
      </c>
      <c r="AB53" s="16" t="n">
        <f aca="false">IF(ABS(AB52-$B$11/$B$9*((MAX(0,MIN(1,AB52))^2/(MAX(0,MIN(1,AB52))^2+(1-MAX(0,MIN(1,AB52)))^2/$B$5))-(MAX(0,MIN(1,AA52))^2/(MAX(0,MIN(1,AA52))^2+(1-MAX(0,MIN(1,AA52)))^2/$B$5))))&lt;0.000000001,0,AB52-$B$11/$B$9*((MAX(0,MIN(1,AB52))^2/(MAX(0,MIN(1,AB52))^2+(1-MAX(0,MIN(1,AB52)))^2/$B$5))-(MAX(0,MIN(1,AA52))^2/(MAX(0,MIN(1,AA52))^2+(1-MAX(0,MIN(1,AA52)))^2/$B$5))))</f>
        <v>0.645735939789519</v>
      </c>
      <c r="AC53" s="16" t="n">
        <f aca="false">IF(ABS(AC52-$B$11/$B$9*((MAX(0,MIN(1,AC52))^2/(MAX(0,MIN(1,AC52))^2+(1-MAX(0,MIN(1,AC52)))^2/$B$5))-(MAX(0,MIN(1,AB52))^2/(MAX(0,MIN(1,AB52))^2+(1-MAX(0,MIN(1,AB52)))^2/$B$5))))&lt;0.000000001,0,AC52-$B$11/$B$9*((MAX(0,MIN(1,AC52))^2/(MAX(0,MIN(1,AC52))^2+(1-MAX(0,MIN(1,AC52)))^2/$B$5))-(MAX(0,MIN(1,AB52))^2/(MAX(0,MIN(1,AB52))^2+(1-MAX(0,MIN(1,AB52)))^2/$B$5))))</f>
        <v>0.632871535980756</v>
      </c>
      <c r="AD53" s="16" t="n">
        <f aca="false">IF(ABS(AD52-$B$11/$B$9*((MAX(0,MIN(1,AD52))^2/(MAX(0,MIN(1,AD52))^2+(1-MAX(0,MIN(1,AD52)))^2/$B$5))-(MAX(0,MIN(1,AC52))^2/(MAX(0,MIN(1,AC52))^2+(1-MAX(0,MIN(1,AC52)))^2/$B$5))))&lt;0.000000001,0,AD52-$B$11/$B$9*((MAX(0,MIN(1,AD52))^2/(MAX(0,MIN(1,AD52))^2+(1-MAX(0,MIN(1,AD52)))^2/$B$5))-(MAX(0,MIN(1,AC52))^2/(MAX(0,MIN(1,AC52))^2+(1-MAX(0,MIN(1,AC52)))^2/$B$5))))</f>
        <v>0.61971762019117</v>
      </c>
      <c r="AE53" s="16" t="n">
        <f aca="false">IF(ABS(AE52-$B$11/$B$9*((MAX(0,MIN(1,AE52))^2/(MAX(0,MIN(1,AE52))^2+(1-MAX(0,MIN(1,AE52)))^2/$B$5))-(MAX(0,MIN(1,AD52))^2/(MAX(0,MIN(1,AD52))^2+(1-MAX(0,MIN(1,AD52)))^2/$B$5))))&lt;0.000000001,0,AE52-$B$11/$B$9*((MAX(0,MIN(1,AE52))^2/(MAX(0,MIN(1,AE52))^2+(1-MAX(0,MIN(1,AE52)))^2/$B$5))-(MAX(0,MIN(1,AD52))^2/(MAX(0,MIN(1,AD52))^2+(1-MAX(0,MIN(1,AD52)))^2/$B$5))))</f>
        <v>0.60590778263054</v>
      </c>
      <c r="AF53" s="16" t="n">
        <f aca="false">IF(ABS(AF52-$B$11/$B$9*((MAX(0,MIN(1,AF52))^2/(MAX(0,MIN(1,AF52))^2+(1-MAX(0,MIN(1,AF52)))^2/$B$5))-(MAX(0,MIN(1,AE52))^2/(MAX(0,MIN(1,AE52))^2+(1-MAX(0,MIN(1,AE52)))^2/$B$5))))&lt;0.000000001,0,AF52-$B$11/$B$9*((MAX(0,MIN(1,AF52))^2/(MAX(0,MIN(1,AF52))^2+(1-MAX(0,MIN(1,AF52)))^2/$B$5))-(MAX(0,MIN(1,AE52))^2/(MAX(0,MIN(1,AE52))^2+(1-MAX(0,MIN(1,AE52)))^2/$B$5))))</f>
        <v>0.590773997202706</v>
      </c>
    </row>
    <row r="54" customFormat="false" ht="15" hidden="false" customHeight="false" outlineLevel="0" collapsed="false">
      <c r="A54" s="0" t="n">
        <v>0.49</v>
      </c>
      <c r="D54" s="0" t="n">
        <f aca="false">A54</f>
        <v>0.49</v>
      </c>
      <c r="E54" s="0" t="n">
        <f aca="false">(G54-G53)/(A54-A53)</f>
        <v>1.84590137477533</v>
      </c>
      <c r="F54" s="0" t="n">
        <f aca="false">G54/A54</f>
        <v>1.32378765365392</v>
      </c>
      <c r="G54" s="0" t="n">
        <f aca="false">A54^2/(A54^2+(1-A54)^2/$B$5)</f>
        <v>0.648655950290423</v>
      </c>
      <c r="L54" s="0" t="n">
        <v>44</v>
      </c>
      <c r="M54" s="16" t="n">
        <f aca="false">IF(ABS(M53-$B$11/$B$9*((MAX(0,MIN(1,M53))^2/(MAX(0,MIN(1,M53))^2+(1-MAX(0,MIN(1,M53)))^2/$B$5))-(MAX(0,MIN(1,1))^2/(MAX(0,MIN(1,1))^2+(1-MAX(0,MIN(1,1)))^2/$B$5))))&lt;0.000000001,0,M53-$B$11/$B$9*((MAX(0,MIN(1,M53))^2/(MAX(0,MIN(1,M53))^2+(1-MAX(0,MIN(1,M53)))^2/$B$5))-(MAX(0,MIN(1,1))^2/(MAX(0,MIN(1,1))^2+(1-MAX(0,MIN(1,1)))^2/$B$5))))</f>
        <v>0.928252327437362</v>
      </c>
      <c r="N54" s="16" t="n">
        <f aca="false">IF(ABS(N53-$B$11/$B$9*((MAX(0,MIN(1,N53))^2/(MAX(0,MIN(1,N53))^2+(1-MAX(0,MIN(1,N53)))^2/$B$5))-(MAX(0,MIN(1,M53))^2/(MAX(0,MIN(1,M53))^2+(1-MAX(0,MIN(1,M53)))^2/$B$5))))&lt;0.000000001,0,N53-$B$11/$B$9*((MAX(0,MIN(1,N53))^2/(MAX(0,MIN(1,N53))^2+(1-MAX(0,MIN(1,N53)))^2/$B$5))-(MAX(0,MIN(1,M53))^2/(MAX(0,MIN(1,M53))^2+(1-MAX(0,MIN(1,M53)))^2/$B$5))))</f>
        <v>0.892570040866034</v>
      </c>
      <c r="O54" s="16" t="n">
        <f aca="false">IF(ABS(O53-$B$11/$B$9*((MAX(0,MIN(1,O53))^2/(MAX(0,MIN(1,O53))^2+(1-MAX(0,MIN(1,O53)))^2/$B$5))-(MAX(0,MIN(1,N53))^2/(MAX(0,MIN(1,N53))^2+(1-MAX(0,MIN(1,N53)))^2/$B$5))))&lt;0.000000001,0,O53-$B$11/$B$9*((MAX(0,MIN(1,O53))^2/(MAX(0,MIN(1,O53))^2+(1-MAX(0,MIN(1,O53)))^2/$B$5))-(MAX(0,MIN(1,N53))^2/(MAX(0,MIN(1,N53))^2+(1-MAX(0,MIN(1,N53)))^2/$B$5))))</f>
        <v>0.863671536475442</v>
      </c>
      <c r="P54" s="16" t="n">
        <f aca="false">IF(ABS(P53-$B$11/$B$9*((MAX(0,MIN(1,P53))^2/(MAX(0,MIN(1,P53))^2+(1-MAX(0,MIN(1,P53)))^2/$B$5))-(MAX(0,MIN(1,O53))^2/(MAX(0,MIN(1,O53))^2+(1-MAX(0,MIN(1,O53)))^2/$B$5))))&lt;0.000000001,0,P53-$B$11/$B$9*((MAX(0,MIN(1,P53))^2/(MAX(0,MIN(1,P53))^2+(1-MAX(0,MIN(1,P53)))^2/$B$5))-(MAX(0,MIN(1,O53))^2/(MAX(0,MIN(1,O53))^2+(1-MAX(0,MIN(1,O53)))^2/$B$5))))</f>
        <v>0.838779437042942</v>
      </c>
      <c r="Q54" s="16" t="n">
        <f aca="false">IF(ABS(Q53-$B$11/$B$9*((MAX(0,MIN(1,Q53))^2/(MAX(0,MIN(1,Q53))^2+(1-MAX(0,MIN(1,Q53)))^2/$B$5))-(MAX(0,MIN(1,P53))^2/(MAX(0,MIN(1,P53))^2+(1-MAX(0,MIN(1,P53)))^2/$B$5))))&lt;0.000000001,0,Q53-$B$11/$B$9*((MAX(0,MIN(1,Q53))^2/(MAX(0,MIN(1,Q53))^2+(1-MAX(0,MIN(1,Q53)))^2/$B$5))-(MAX(0,MIN(1,P53))^2/(MAX(0,MIN(1,P53))^2+(1-MAX(0,MIN(1,P53)))^2/$B$5))))</f>
        <v>0.816678125998324</v>
      </c>
      <c r="R54" s="16" t="n">
        <f aca="false">IF(ABS(R53-$B$11/$B$9*((MAX(0,MIN(1,R53))^2/(MAX(0,MIN(1,R53))^2+(1-MAX(0,MIN(1,R53)))^2/$B$5))-(MAX(0,MIN(1,Q53))^2/(MAX(0,MIN(1,Q53))^2+(1-MAX(0,MIN(1,Q53)))^2/$B$5))))&lt;0.000000001,0,R53-$B$11/$B$9*((MAX(0,MIN(1,R53))^2/(MAX(0,MIN(1,R53))^2+(1-MAX(0,MIN(1,R53)))^2/$B$5))-(MAX(0,MIN(1,Q53))^2/(MAX(0,MIN(1,Q53))^2+(1-MAX(0,MIN(1,Q53)))^2/$B$5))))</f>
        <v>0.796668822809417</v>
      </c>
      <c r="S54" s="16" t="n">
        <f aca="false">IF(ABS(S53-$B$11/$B$9*((MAX(0,MIN(1,S53))^2/(MAX(0,MIN(1,S53))^2+(1-MAX(0,MIN(1,S53)))^2/$B$5))-(MAX(0,MIN(1,R53))^2/(MAX(0,MIN(1,R53))^2+(1-MAX(0,MIN(1,R53)))^2/$B$5))))&lt;0.000000001,0,S53-$B$11/$B$9*((MAX(0,MIN(1,S53))^2/(MAX(0,MIN(1,S53))^2+(1-MAX(0,MIN(1,S53)))^2/$B$5))-(MAX(0,MIN(1,R53))^2/(MAX(0,MIN(1,R53))^2+(1-MAX(0,MIN(1,R53)))^2/$B$5))))</f>
        <v>0.778294012830415</v>
      </c>
      <c r="T54" s="16" t="n">
        <f aca="false">IF(ABS(T53-$B$11/$B$9*((MAX(0,MIN(1,T53))^2/(MAX(0,MIN(1,T53))^2+(1-MAX(0,MIN(1,T53)))^2/$B$5))-(MAX(0,MIN(1,S53))^2/(MAX(0,MIN(1,S53))^2+(1-MAX(0,MIN(1,S53)))^2/$B$5))))&lt;0.000000001,0,T53-$B$11/$B$9*((MAX(0,MIN(1,T53))^2/(MAX(0,MIN(1,T53))^2+(1-MAX(0,MIN(1,T53)))^2/$B$5))-(MAX(0,MIN(1,S53))^2/(MAX(0,MIN(1,S53))^2+(1-MAX(0,MIN(1,S53)))^2/$B$5))))</f>
        <v>0.761229781893598</v>
      </c>
      <c r="U54" s="16" t="n">
        <f aca="false">IF(ABS(U53-$B$11/$B$9*((MAX(0,MIN(1,U53))^2/(MAX(0,MIN(1,U53))^2+(1-MAX(0,MIN(1,U53)))^2/$B$5))-(MAX(0,MIN(1,T53))^2/(MAX(0,MIN(1,T53))^2+(1-MAX(0,MIN(1,T53)))^2/$B$5))))&lt;0.000000001,0,U53-$B$11/$B$9*((MAX(0,MIN(1,U53))^2/(MAX(0,MIN(1,U53))^2+(1-MAX(0,MIN(1,U53)))^2/$B$5))-(MAX(0,MIN(1,T53))^2/(MAX(0,MIN(1,T53))^2+(1-MAX(0,MIN(1,T53)))^2/$B$5))))</f>
        <v>0.745233892863369</v>
      </c>
      <c r="V54" s="16" t="n">
        <f aca="false">IF(ABS(V53-$B$11/$B$9*((MAX(0,MIN(1,V53))^2/(MAX(0,MIN(1,V53))^2+(1-MAX(0,MIN(1,V53)))^2/$B$5))-(MAX(0,MIN(1,U53))^2/(MAX(0,MIN(1,U53))^2+(1-MAX(0,MIN(1,U53)))^2/$B$5))))&lt;0.000000001,0,V53-$B$11/$B$9*((MAX(0,MIN(1,V53))^2/(MAX(0,MIN(1,V53))^2+(1-MAX(0,MIN(1,V53)))^2/$B$5))-(MAX(0,MIN(1,U53))^2/(MAX(0,MIN(1,U53))^2+(1-MAX(0,MIN(1,U53)))^2/$B$5))))</f>
        <v>0.730117115436609</v>
      </c>
      <c r="W54" s="16" t="n">
        <f aca="false">IF(ABS(W53-$B$11/$B$9*((MAX(0,MIN(1,W53))^2/(MAX(0,MIN(1,W53))^2+(1-MAX(0,MIN(1,W53)))^2/$B$5))-(MAX(0,MIN(1,V53))^2/(MAX(0,MIN(1,V53))^2+(1-MAX(0,MIN(1,V53)))^2/$B$5))))&lt;0.000000001,0,W53-$B$11/$B$9*((MAX(0,MIN(1,W53))^2/(MAX(0,MIN(1,W53))^2+(1-MAX(0,MIN(1,W53)))^2/$B$5))-(MAX(0,MIN(1,V53))^2/(MAX(0,MIN(1,V53))^2+(1-MAX(0,MIN(1,V53)))^2/$B$5))))</f>
        <v>0.715725713511228</v>
      </c>
      <c r="X54" s="16" t="n">
        <f aca="false">IF(ABS(X53-$B$11/$B$9*((MAX(0,MIN(1,X53))^2/(MAX(0,MIN(1,X53))^2+(1-MAX(0,MIN(1,X53)))^2/$B$5))-(MAX(0,MIN(1,W53))^2/(MAX(0,MIN(1,W53))^2+(1-MAX(0,MIN(1,W53)))^2/$B$5))))&lt;0.000000001,0,X53-$B$11/$B$9*((MAX(0,MIN(1,X53))^2/(MAX(0,MIN(1,X53))^2+(1-MAX(0,MIN(1,X53)))^2/$B$5))-(MAX(0,MIN(1,W53))^2/(MAX(0,MIN(1,W53))^2+(1-MAX(0,MIN(1,W53)))^2/$B$5))))</f>
        <v>0.701929725514408</v>
      </c>
      <c r="Y54" s="16" t="n">
        <f aca="false">IF(ABS(Y53-$B$11/$B$9*((MAX(0,MIN(1,Y53))^2/(MAX(0,MIN(1,Y53))^2+(1-MAX(0,MIN(1,Y53)))^2/$B$5))-(MAX(0,MIN(1,X53))^2/(MAX(0,MIN(1,X53))^2+(1-MAX(0,MIN(1,X53)))^2/$B$5))))&lt;0.000000001,0,Y53-$B$11/$B$9*((MAX(0,MIN(1,Y53))^2/(MAX(0,MIN(1,Y53))^2+(1-MAX(0,MIN(1,Y53)))^2/$B$5))-(MAX(0,MIN(1,X53))^2/(MAX(0,MIN(1,X53))^2+(1-MAX(0,MIN(1,X53)))^2/$B$5))))</f>
        <v>0.688614263233704</v>
      </c>
      <c r="Z54" s="16" t="n">
        <f aca="false">IF(ABS(Z53-$B$11/$B$9*((MAX(0,MIN(1,Z53))^2/(MAX(0,MIN(1,Z53))^2+(1-MAX(0,MIN(1,Z53)))^2/$B$5))-(MAX(0,MIN(1,Y53))^2/(MAX(0,MIN(1,Y53))^2+(1-MAX(0,MIN(1,Y53)))^2/$B$5))))&lt;0.000000001,0,Z53-$B$11/$B$9*((MAX(0,MIN(1,Z53))^2/(MAX(0,MIN(1,Z53))^2+(1-MAX(0,MIN(1,Z53)))^2/$B$5))-(MAX(0,MIN(1,Y53))^2/(MAX(0,MIN(1,Y53))^2+(1-MAX(0,MIN(1,Y53)))^2/$B$5))))</f>
        <v>0.675672097837609</v>
      </c>
      <c r="AA54" s="16" t="n">
        <f aca="false">IF(ABS(AA53-$B$11/$B$9*((MAX(0,MIN(1,AA53))^2/(MAX(0,MIN(1,AA53))^2+(1-MAX(0,MIN(1,AA53)))^2/$B$5))-(MAX(0,MIN(1,Z53))^2/(MAX(0,MIN(1,Z53))^2+(1-MAX(0,MIN(1,Z53)))^2/$B$5))))&lt;0.000000001,0,AA53-$B$11/$B$9*((MAX(0,MIN(1,AA53))^2/(MAX(0,MIN(1,AA53))^2+(1-MAX(0,MIN(1,AA53)))^2/$B$5))-(MAX(0,MIN(1,Z53))^2/(MAX(0,MIN(1,Z53))^2+(1-MAX(0,MIN(1,Z53)))^2/$B$5))))</f>
        <v>0.662996107784685</v>
      </c>
      <c r="AB54" s="16" t="n">
        <f aca="false">IF(ABS(AB53-$B$11/$B$9*((MAX(0,MIN(1,AB53))^2/(MAX(0,MIN(1,AB53))^2+(1-MAX(0,MIN(1,AB53)))^2/$B$5))-(MAX(0,MIN(1,AA53))^2/(MAX(0,MIN(1,AA53))^2+(1-MAX(0,MIN(1,AA53)))^2/$B$5))))&lt;0.000000001,0,AB53-$B$11/$B$9*((MAX(0,MIN(1,AB53))^2/(MAX(0,MIN(1,AB53))^2+(1-MAX(0,MIN(1,AB53)))^2/$B$5))-(MAX(0,MIN(1,AA53))^2/(MAX(0,MIN(1,AA53))^2+(1-MAX(0,MIN(1,AA53)))^2/$B$5))))</f>
        <v>0.650469925361038</v>
      </c>
      <c r="AC54" s="16" t="n">
        <f aca="false">IF(ABS(AC53-$B$11/$B$9*((MAX(0,MIN(1,AC53))^2/(MAX(0,MIN(1,AC53))^2+(1-MAX(0,MIN(1,AC53)))^2/$B$5))-(MAX(0,MIN(1,AB53))^2/(MAX(0,MIN(1,AB53))^2+(1-MAX(0,MIN(1,AB53)))^2/$B$5))))&lt;0.000000001,0,AC53-$B$11/$B$9*((MAX(0,MIN(1,AC53))^2/(MAX(0,MIN(1,AC53))^2+(1-MAX(0,MIN(1,AC53)))^2/$B$5))-(MAX(0,MIN(1,AB53))^2/(MAX(0,MIN(1,AB53))^2+(1-MAX(0,MIN(1,AB53)))^2/$B$5))))</f>
        <v>0.637954123166068</v>
      </c>
      <c r="AD54" s="16" t="n">
        <f aca="false">IF(ABS(AD53-$B$11/$B$9*((MAX(0,MIN(1,AD53))^2/(MAX(0,MIN(1,AD53))^2+(1-MAX(0,MIN(1,AD53)))^2/$B$5))-(MAX(0,MIN(1,AC53))^2/(MAX(0,MIN(1,AC53))^2+(1-MAX(0,MIN(1,AC53)))^2/$B$5))))&lt;0.000000001,0,AD53-$B$11/$B$9*((MAX(0,MIN(1,AD53))^2/(MAX(0,MIN(1,AD53))^2+(1-MAX(0,MIN(1,AD53)))^2/$B$5))-(MAX(0,MIN(1,AC53))^2/(MAX(0,MIN(1,AC53))^2+(1-MAX(0,MIN(1,AC53)))^2/$B$5))))</f>
        <v>0.625262605458743</v>
      </c>
      <c r="AE54" s="16" t="n">
        <f aca="false">IF(ABS(AE53-$B$11/$B$9*((MAX(0,MIN(1,AE53))^2/(MAX(0,MIN(1,AE53))^2+(1-MAX(0,MIN(1,AE53)))^2/$B$5))-(MAX(0,MIN(1,AD53))^2/(MAX(0,MIN(1,AD53))^2+(1-MAX(0,MIN(1,AD53)))^2/$B$5))))&lt;0.000000001,0,AE53-$B$11/$B$9*((MAX(0,MIN(1,AE53))^2/(MAX(0,MIN(1,AE53))^2+(1-MAX(0,MIN(1,AE53)))^2/$B$5))-(MAX(0,MIN(1,AD53))^2/(MAX(0,MIN(1,AD53))^2+(1-MAX(0,MIN(1,AD53)))^2/$B$5))))</f>
        <v>0.612116582227965</v>
      </c>
      <c r="AF54" s="16" t="n">
        <f aca="false">IF(ABS(AF53-$B$11/$B$9*((MAX(0,MIN(1,AF53))^2/(MAX(0,MIN(1,AF53))^2+(1-MAX(0,MIN(1,AF53)))^2/$B$5))-(MAX(0,MIN(1,AE53))^2/(MAX(0,MIN(1,AE53))^2+(1-MAX(0,MIN(1,AE53)))^2/$B$5))))&lt;0.000000001,0,AF53-$B$11/$B$9*((MAX(0,MIN(1,AF53))^2/(MAX(0,MIN(1,AF53))^2+(1-MAX(0,MIN(1,AF53)))^2/$B$5))-(MAX(0,MIN(1,AE53))^2/(MAX(0,MIN(1,AE53))^2+(1-MAX(0,MIN(1,AE53)))^2/$B$5))))</f>
        <v>0.598041937008338</v>
      </c>
    </row>
    <row r="55" customFormat="false" ht="15" hidden="false" customHeight="false" outlineLevel="0" collapsed="false">
      <c r="A55" s="0" t="n">
        <v>0.5</v>
      </c>
      <c r="D55" s="0" t="n">
        <f aca="false">A55</f>
        <v>0.5</v>
      </c>
      <c r="E55" s="0" t="n">
        <f aca="false">(G55-G54)/(A55-A54)</f>
        <v>1.80107163762438</v>
      </c>
      <c r="F55" s="0" t="n">
        <f aca="false">G55/A55</f>
        <v>1.33333333333333</v>
      </c>
      <c r="G55" s="0" t="n">
        <f aca="false">A55^2/(A55^2+(1-A55)^2/$B$5)</f>
        <v>0.666666666666667</v>
      </c>
      <c r="L55" s="0" t="n">
        <v>45</v>
      </c>
      <c r="M55" s="16" t="n">
        <f aca="false">IF(ABS(M54-$B$11/$B$9*((MAX(0,MIN(1,M54))^2/(MAX(0,MIN(1,M54))^2+(1-MAX(0,MIN(1,M54)))^2/$B$5))-(MAX(0,MIN(1,1))^2/(MAX(0,MIN(1,1))^2+(1-MAX(0,MIN(1,1)))^2/$B$5))))&lt;0.000000001,0,M54-$B$11/$B$9*((MAX(0,MIN(1,M54))^2/(MAX(0,MIN(1,M54))^2+(1-MAX(0,MIN(1,M54)))^2/$B$5))-(MAX(0,MIN(1,1))^2/(MAX(0,MIN(1,1))^2+(1-MAX(0,MIN(1,1)))^2/$B$5))))</f>
        <v>0.929397550220611</v>
      </c>
      <c r="N55" s="16" t="n">
        <f aca="false">IF(ABS(N54-$B$11/$B$9*((MAX(0,MIN(1,N54))^2/(MAX(0,MIN(1,N54))^2+(1-MAX(0,MIN(1,N54)))^2/$B$5))-(MAX(0,MIN(1,M54))^2/(MAX(0,MIN(1,M54))^2+(1-MAX(0,MIN(1,M54)))^2/$B$5))))&lt;0.000000001,0,N54-$B$11/$B$9*((MAX(0,MIN(1,N54))^2/(MAX(0,MIN(1,N54))^2+(1-MAX(0,MIN(1,N54)))^2/$B$5))-(MAX(0,MIN(1,M54))^2/(MAX(0,MIN(1,M54))^2+(1-MAX(0,MIN(1,M54)))^2/$B$5))))</f>
        <v>0.894190063116898</v>
      </c>
      <c r="O55" s="16" t="n">
        <f aca="false">IF(ABS(O54-$B$11/$B$9*((MAX(0,MIN(1,O54))^2/(MAX(0,MIN(1,O54))^2+(1-MAX(0,MIN(1,O54)))^2/$B$5))-(MAX(0,MIN(1,N54))^2/(MAX(0,MIN(1,N54))^2+(1-MAX(0,MIN(1,N54)))^2/$B$5))))&lt;0.000000001,0,O54-$B$11/$B$9*((MAX(0,MIN(1,O54))^2/(MAX(0,MIN(1,O54))^2+(1-MAX(0,MIN(1,O54)))^2/$B$5))-(MAX(0,MIN(1,N54))^2/(MAX(0,MIN(1,N54))^2+(1-MAX(0,MIN(1,N54)))^2/$B$5))))</f>
        <v>0.865637811402544</v>
      </c>
      <c r="P55" s="16" t="n">
        <f aca="false">IF(ABS(P54-$B$11/$B$9*((MAX(0,MIN(1,P54))^2/(MAX(0,MIN(1,P54))^2+(1-MAX(0,MIN(1,P54)))^2/$B$5))-(MAX(0,MIN(1,O54))^2/(MAX(0,MIN(1,O54))^2+(1-MAX(0,MIN(1,O54)))^2/$B$5))))&lt;0.000000001,0,P54-$B$11/$B$9*((MAX(0,MIN(1,P54))^2/(MAX(0,MIN(1,P54))^2+(1-MAX(0,MIN(1,P54)))^2/$B$5))-(MAX(0,MIN(1,O54))^2/(MAX(0,MIN(1,O54))^2+(1-MAX(0,MIN(1,O54)))^2/$B$5))))</f>
        <v>0.84102217483616</v>
      </c>
      <c r="Q55" s="16" t="n">
        <f aca="false">IF(ABS(Q54-$B$11/$B$9*((MAX(0,MIN(1,Q54))^2/(MAX(0,MIN(1,Q54))^2+(1-MAX(0,MIN(1,Q54)))^2/$B$5))-(MAX(0,MIN(1,P54))^2/(MAX(0,MIN(1,P54))^2+(1-MAX(0,MIN(1,P54)))^2/$B$5))))&lt;0.000000001,0,Q54-$B$11/$B$9*((MAX(0,MIN(1,Q54))^2/(MAX(0,MIN(1,Q54))^2+(1-MAX(0,MIN(1,Q54)))^2/$B$5))-(MAX(0,MIN(1,P54))^2/(MAX(0,MIN(1,P54))^2+(1-MAX(0,MIN(1,P54)))^2/$B$5))))</f>
        <v>0.819153665256961</v>
      </c>
      <c r="R55" s="16" t="n">
        <f aca="false">IF(ABS(R54-$B$11/$B$9*((MAX(0,MIN(1,R54))^2/(MAX(0,MIN(1,R54))^2+(1-MAX(0,MIN(1,R54)))^2/$B$5))-(MAX(0,MIN(1,Q54))^2/(MAX(0,MIN(1,Q54))^2+(1-MAX(0,MIN(1,Q54)))^2/$B$5))))&lt;0.000000001,0,R54-$B$11/$B$9*((MAX(0,MIN(1,R54))^2/(MAX(0,MIN(1,R54))^2+(1-MAX(0,MIN(1,R54)))^2/$B$5))-(MAX(0,MIN(1,Q54))^2/(MAX(0,MIN(1,Q54))^2+(1-MAX(0,MIN(1,Q54)))^2/$B$5))))</f>
        <v>0.799348290020468</v>
      </c>
      <c r="S55" s="16" t="n">
        <f aca="false">IF(ABS(S54-$B$11/$B$9*((MAX(0,MIN(1,S54))^2/(MAX(0,MIN(1,S54))^2+(1-MAX(0,MIN(1,S54)))^2/$B$5))-(MAX(0,MIN(1,R54))^2/(MAX(0,MIN(1,R54))^2+(1-MAX(0,MIN(1,R54)))^2/$B$5))))&lt;0.000000001,0,S54-$B$11/$B$9*((MAX(0,MIN(1,S54))^2/(MAX(0,MIN(1,S54))^2+(1-MAX(0,MIN(1,S54)))^2/$B$5))-(MAX(0,MIN(1,R54))^2/(MAX(0,MIN(1,R54))^2+(1-MAX(0,MIN(1,R54)))^2/$B$5))))</f>
        <v>0.781158030066587</v>
      </c>
      <c r="T55" s="16" t="n">
        <f aca="false">IF(ABS(T54-$B$11/$B$9*((MAX(0,MIN(1,T54))^2/(MAX(0,MIN(1,T54))^2+(1-MAX(0,MIN(1,T54)))^2/$B$5))-(MAX(0,MIN(1,S54))^2/(MAX(0,MIN(1,S54))^2+(1-MAX(0,MIN(1,S54)))^2/$B$5))))&lt;0.000000001,0,T54-$B$11/$B$9*((MAX(0,MIN(1,T54))^2/(MAX(0,MIN(1,T54))^2+(1-MAX(0,MIN(1,T54)))^2/$B$5))-(MAX(0,MIN(1,S54))^2/(MAX(0,MIN(1,S54))^2+(1-MAX(0,MIN(1,S54)))^2/$B$5))))</f>
        <v>0.764265656372228</v>
      </c>
      <c r="U55" s="16" t="n">
        <f aca="false">IF(ABS(U54-$B$11/$B$9*((MAX(0,MIN(1,U54))^2/(MAX(0,MIN(1,U54))^2+(1-MAX(0,MIN(1,U54)))^2/$B$5))-(MAX(0,MIN(1,T54))^2/(MAX(0,MIN(1,T54))^2+(1-MAX(0,MIN(1,T54)))^2/$B$5))))&lt;0.000000001,0,U54-$B$11/$B$9*((MAX(0,MIN(1,U54))^2/(MAX(0,MIN(1,U54))^2+(1-MAX(0,MIN(1,U54)))^2/$B$5))-(MAX(0,MIN(1,T54))^2/(MAX(0,MIN(1,T54))^2+(1-MAX(0,MIN(1,T54)))^2/$B$5))))</f>
        <v>0.748434051992794</v>
      </c>
      <c r="V55" s="16" t="n">
        <f aca="false">IF(ABS(V54-$B$11/$B$9*((MAX(0,MIN(1,V54))^2/(MAX(0,MIN(1,V54))^2+(1-MAX(0,MIN(1,V54)))^2/$B$5))-(MAX(0,MIN(1,U54))^2/(MAX(0,MIN(1,U54))^2+(1-MAX(0,MIN(1,U54)))^2/$B$5))))&lt;0.000000001,0,V54-$B$11/$B$9*((MAX(0,MIN(1,V54))^2/(MAX(0,MIN(1,V54))^2+(1-MAX(0,MIN(1,V54)))^2/$B$5))-(MAX(0,MIN(1,U54))^2/(MAX(0,MIN(1,U54))^2+(1-MAX(0,MIN(1,U54)))^2/$B$5))))</f>
        <v>0.733478271394206</v>
      </c>
      <c r="W55" s="16" t="n">
        <f aca="false">IF(ABS(W54-$B$11/$B$9*((MAX(0,MIN(1,W54))^2/(MAX(0,MIN(1,W54))^2+(1-MAX(0,MIN(1,W54)))^2/$B$5))-(MAX(0,MIN(1,V54))^2/(MAX(0,MIN(1,V54))^2+(1-MAX(0,MIN(1,V54)))^2/$B$5))))&lt;0.000000001,0,W54-$B$11/$B$9*((MAX(0,MIN(1,W54))^2/(MAX(0,MIN(1,W54))^2+(1-MAX(0,MIN(1,W54)))^2/$B$5))-(MAX(0,MIN(1,V54))^2/(MAX(0,MIN(1,V54))^2+(1-MAX(0,MIN(1,V54)))^2/$B$5))))</f>
        <v>0.719248532038554</v>
      </c>
      <c r="X55" s="16" t="n">
        <f aca="false">IF(ABS(X54-$B$11/$B$9*((MAX(0,MIN(1,X54))^2/(MAX(0,MIN(1,X54))^2+(1-MAX(0,MIN(1,X54)))^2/$B$5))-(MAX(0,MIN(1,W54))^2/(MAX(0,MIN(1,W54))^2+(1-MAX(0,MIN(1,W54)))^2/$B$5))))&lt;0.000000001,0,X54-$B$11/$B$9*((MAX(0,MIN(1,X54))^2/(MAX(0,MIN(1,X54))^2+(1-MAX(0,MIN(1,X54)))^2/$B$5))-(MAX(0,MIN(1,W54))^2/(MAX(0,MIN(1,W54))^2+(1-MAX(0,MIN(1,W54)))^2/$B$5))))</f>
        <v>0.705618924872485</v>
      </c>
      <c r="Y55" s="16" t="n">
        <f aca="false">IF(ABS(Y54-$B$11/$B$9*((MAX(0,MIN(1,Y54))^2/(MAX(0,MIN(1,Y54))^2+(1-MAX(0,MIN(1,Y54)))^2/$B$5))-(MAX(0,MIN(1,X54))^2/(MAX(0,MIN(1,X54))^2+(1-MAX(0,MIN(1,X54)))^2/$B$5))))&lt;0.000000001,0,Y54-$B$11/$B$9*((MAX(0,MIN(1,Y54))^2/(MAX(0,MIN(1,Y54))^2+(1-MAX(0,MIN(1,Y54)))^2/$B$5))-(MAX(0,MIN(1,X54))^2/(MAX(0,MIN(1,X54))^2+(1-MAX(0,MIN(1,X54)))^2/$B$5))))</f>
        <v>0.692479181226187</v>
      </c>
      <c r="Z55" s="16" t="n">
        <f aca="false">IF(ABS(Z54-$B$11/$B$9*((MAX(0,MIN(1,Z54))^2/(MAX(0,MIN(1,Z54))^2+(1-MAX(0,MIN(1,Z54)))^2/$B$5))-(MAX(0,MIN(1,Y54))^2/(MAX(0,MIN(1,Y54))^2+(1-MAX(0,MIN(1,Y54)))^2/$B$5))))&lt;0.000000001,0,Z54-$B$11/$B$9*((MAX(0,MIN(1,Z54))^2/(MAX(0,MIN(1,Z54))^2+(1-MAX(0,MIN(1,Z54)))^2/$B$5))-(MAX(0,MIN(1,Y54))^2/(MAX(0,MIN(1,Y54))^2+(1-MAX(0,MIN(1,Y54)))^2/$B$5))))</f>
        <v>0.679727890945913</v>
      </c>
      <c r="AA55" s="16" t="n">
        <f aca="false">IF(ABS(AA54-$B$11/$B$9*((MAX(0,MIN(1,AA54))^2/(MAX(0,MIN(1,AA54))^2+(1-MAX(0,MIN(1,AA54)))^2/$B$5))-(MAX(0,MIN(1,Z54))^2/(MAX(0,MIN(1,Z54))^2+(1-MAX(0,MIN(1,Z54)))^2/$B$5))))&lt;0.000000001,0,AA54-$B$11/$B$9*((MAX(0,MIN(1,AA54))^2/(MAX(0,MIN(1,AA54))^2+(1-MAX(0,MIN(1,AA54)))^2/$B$5))-(MAX(0,MIN(1,Z54))^2/(MAX(0,MIN(1,Z54))^2+(1-MAX(0,MIN(1,Z54)))^2/$B$5))))</f>
        <v>0.667265941303589</v>
      </c>
      <c r="AB55" s="16" t="n">
        <f aca="false">IF(ABS(AB54-$B$11/$B$9*((MAX(0,MIN(1,AB54))^2/(MAX(0,MIN(1,AB54))^2+(1-MAX(0,MIN(1,AB54)))^2/$B$5))-(MAX(0,MIN(1,AA54))^2/(MAX(0,MIN(1,AA54))^2+(1-MAX(0,MIN(1,AA54)))^2/$B$5))))&lt;0.000000001,0,AB54-$B$11/$B$9*((MAX(0,MIN(1,AB54))^2/(MAX(0,MIN(1,AB54))^2+(1-MAX(0,MIN(1,AB54)))^2/$B$5))-(MAX(0,MIN(1,AA54))^2/(MAX(0,MIN(1,AA54))^2+(1-MAX(0,MIN(1,AA54)))^2/$B$5))))</f>
        <v>0.654988873640138</v>
      </c>
      <c r="AC55" s="16" t="n">
        <f aca="false">IF(ABS(AC54-$B$11/$B$9*((MAX(0,MIN(1,AC54))^2/(MAX(0,MIN(1,AC54))^2+(1-MAX(0,MIN(1,AC54)))^2/$B$5))-(MAX(0,MIN(1,AB54))^2/(MAX(0,MIN(1,AB54))^2+(1-MAX(0,MIN(1,AB54)))^2/$B$5))))&lt;0.000000001,0,AC54-$B$11/$B$9*((MAX(0,MIN(1,AC54))^2/(MAX(0,MIN(1,AC54))^2+(1-MAX(0,MIN(1,AC54)))^2/$B$5))-(MAX(0,MIN(1,AB54))^2/(MAX(0,MIN(1,AB54))^2+(1-MAX(0,MIN(1,AB54)))^2/$B$5))))</f>
        <v>0.642776253628845</v>
      </c>
      <c r="AD55" s="16" t="n">
        <f aca="false">IF(ABS(AD54-$B$11/$B$9*((MAX(0,MIN(1,AD54))^2/(MAX(0,MIN(1,AD54))^2+(1-MAX(0,MIN(1,AD54)))^2/$B$5))-(MAX(0,MIN(1,AC54))^2/(MAX(0,MIN(1,AC54))^2+(1-MAX(0,MIN(1,AC54)))^2/$B$5))))&lt;0.000000001,0,AD54-$B$11/$B$9*((MAX(0,MIN(1,AD54))^2/(MAX(0,MIN(1,AD54))^2+(1-MAX(0,MIN(1,AD54)))^2/$B$5))-(MAX(0,MIN(1,AC54))^2/(MAX(0,MIN(1,AC54))^2+(1-MAX(0,MIN(1,AC54)))^2/$B$5))))</f>
        <v>0.630474500001228</v>
      </c>
      <c r="AE55" s="16" t="n">
        <f aca="false">IF(ABS(AE54-$B$11/$B$9*((MAX(0,MIN(1,AE54))^2/(MAX(0,MIN(1,AE54))^2+(1-MAX(0,MIN(1,AE54)))^2/$B$5))-(MAX(0,MIN(1,AD54))^2/(MAX(0,MIN(1,AD54))^2+(1-MAX(0,MIN(1,AD54)))^2/$B$5))))&lt;0.000000001,0,AE54-$B$11/$B$9*((MAX(0,MIN(1,AE54))^2/(MAX(0,MIN(1,AE54))^2+(1-MAX(0,MIN(1,AE54)))^2/$B$5))-(MAX(0,MIN(1,AD54))^2/(MAX(0,MIN(1,AD54))^2+(1-MAX(0,MIN(1,AD54)))^2/$B$5))))</f>
        <v>0.617865281536723</v>
      </c>
      <c r="AF55" s="16" t="n">
        <f aca="false">IF(ABS(AF54-$B$11/$B$9*((MAX(0,MIN(1,AF54))^2/(MAX(0,MIN(1,AF54))^2+(1-MAX(0,MIN(1,AF54)))^2/$B$5))-(MAX(0,MIN(1,AE54))^2/(MAX(0,MIN(1,AE54))^2+(1-MAX(0,MIN(1,AE54)))^2/$B$5))))&lt;0.000000001,0,AF54-$B$11/$B$9*((MAX(0,MIN(1,AF54))^2/(MAX(0,MIN(1,AF54))^2+(1-MAX(0,MIN(1,AF54)))^2/$B$5))-(MAX(0,MIN(1,AE54))^2/(MAX(0,MIN(1,AE54))^2+(1-MAX(0,MIN(1,AE54)))^2/$B$5))))</f>
        <v>0.604599507550883</v>
      </c>
    </row>
    <row r="56" customFormat="false" ht="15" hidden="false" customHeight="false" outlineLevel="0" collapsed="false">
      <c r="A56" s="0" t="n">
        <v>0.51</v>
      </c>
      <c r="D56" s="0" t="n">
        <f aca="false">A56</f>
        <v>0.51</v>
      </c>
      <c r="E56" s="0" t="n">
        <f aca="false">(G56-G55)/(A56-A55)</f>
        <v>1.75369371739226</v>
      </c>
      <c r="F56" s="0" t="n">
        <f aca="false">G56/A56</f>
        <v>1.34157569380508</v>
      </c>
      <c r="G56" s="0" t="n">
        <f aca="false">A56^2/(A56^2+(1-A56)^2/$B$5)</f>
        <v>0.684203603840589</v>
      </c>
      <c r="L56" s="0" t="n">
        <v>46</v>
      </c>
      <c r="M56" s="16" t="n">
        <f aca="false">IF(ABS(M55-$B$11/$B$9*((MAX(0,MIN(1,M55))^2/(MAX(0,MIN(1,M55))^2+(1-MAX(0,MIN(1,M55)))^2/$B$5))-(MAX(0,MIN(1,1))^2/(MAX(0,MIN(1,1))^2+(1-MAX(0,MIN(1,1)))^2/$B$5))))&lt;0.000000001,0,M55-$B$11/$B$9*((MAX(0,MIN(1,M55))^2/(MAX(0,MIN(1,M55))^2+(1-MAX(0,MIN(1,M55)))^2/$B$5))-(MAX(0,MIN(1,1))^2/(MAX(0,MIN(1,1))^2+(1-MAX(0,MIN(1,1)))^2/$B$5))))</f>
        <v>0.930503886058212</v>
      </c>
      <c r="N56" s="16" t="n">
        <f aca="false">IF(ABS(N55-$B$11/$B$9*((MAX(0,MIN(1,N55))^2/(MAX(0,MIN(1,N55))^2+(1-MAX(0,MIN(1,N55)))^2/$B$5))-(MAX(0,MIN(1,M55))^2/(MAX(0,MIN(1,M55))^2+(1-MAX(0,MIN(1,M55)))^2/$B$5))))&lt;0.000000001,0,N55-$B$11/$B$9*((MAX(0,MIN(1,N55))^2/(MAX(0,MIN(1,N55))^2+(1-MAX(0,MIN(1,N55)))^2/$B$5))-(MAX(0,MIN(1,M55))^2/(MAX(0,MIN(1,M55))^2+(1-MAX(0,MIN(1,M55)))^2/$B$5))))</f>
        <v>0.895757134426678</v>
      </c>
      <c r="O56" s="16" t="n">
        <f aca="false">IF(ABS(O55-$B$11/$B$9*((MAX(0,MIN(1,O55))^2/(MAX(0,MIN(1,O55))^2+(1-MAX(0,MIN(1,O55)))^2/$B$5))-(MAX(0,MIN(1,N55))^2/(MAX(0,MIN(1,N55))^2+(1-MAX(0,MIN(1,N55)))^2/$B$5))))&lt;0.000000001,0,O55-$B$11/$B$9*((MAX(0,MIN(1,O55))^2/(MAX(0,MIN(1,O55))^2+(1-MAX(0,MIN(1,O55)))^2/$B$5))-(MAX(0,MIN(1,N55))^2/(MAX(0,MIN(1,N55))^2+(1-MAX(0,MIN(1,N55)))^2/$B$5))))</f>
        <v>0.867541427738929</v>
      </c>
      <c r="P56" s="16" t="n">
        <f aca="false">IF(ABS(P55-$B$11/$B$9*((MAX(0,MIN(1,P55))^2/(MAX(0,MIN(1,P55))^2+(1-MAX(0,MIN(1,P55)))^2/$B$5))-(MAX(0,MIN(1,O55))^2/(MAX(0,MIN(1,O55))^2+(1-MAX(0,MIN(1,O55)))^2/$B$5))))&lt;0.000000001,0,P55-$B$11/$B$9*((MAX(0,MIN(1,P55))^2/(MAX(0,MIN(1,P55))^2+(1-MAX(0,MIN(1,P55)))^2/$B$5))-(MAX(0,MIN(1,O55))^2/(MAX(0,MIN(1,O55))^2+(1-MAX(0,MIN(1,O55)))^2/$B$5))))</f>
        <v>0.843194616868012</v>
      </c>
      <c r="Q56" s="16" t="n">
        <f aca="false">IF(ABS(Q55-$B$11/$B$9*((MAX(0,MIN(1,Q55))^2/(MAX(0,MIN(1,Q55))^2+(1-MAX(0,MIN(1,Q55)))^2/$B$5))-(MAX(0,MIN(1,P55))^2/(MAX(0,MIN(1,P55))^2+(1-MAX(0,MIN(1,P55)))^2/$B$5))))&lt;0.000000001,0,Q55-$B$11/$B$9*((MAX(0,MIN(1,Q55))^2/(MAX(0,MIN(1,Q55))^2+(1-MAX(0,MIN(1,Q55)))^2/$B$5))-(MAX(0,MIN(1,P55))^2/(MAX(0,MIN(1,P55))^2+(1-MAX(0,MIN(1,P55)))^2/$B$5))))</f>
        <v>0.82155235519029</v>
      </c>
      <c r="R56" s="16" t="n">
        <f aca="false">IF(ABS(R55-$B$11/$B$9*((MAX(0,MIN(1,R55))^2/(MAX(0,MIN(1,R55))^2+(1-MAX(0,MIN(1,R55)))^2/$B$5))-(MAX(0,MIN(1,Q55))^2/(MAX(0,MIN(1,Q55))^2+(1-MAX(0,MIN(1,Q55)))^2/$B$5))))&lt;0.000000001,0,R55-$B$11/$B$9*((MAX(0,MIN(1,R55))^2/(MAX(0,MIN(1,R55))^2+(1-MAX(0,MIN(1,R55)))^2/$B$5))-(MAX(0,MIN(1,Q55))^2/(MAX(0,MIN(1,Q55))^2+(1-MAX(0,MIN(1,Q55)))^2/$B$5))))</f>
        <v>0.801944889590264</v>
      </c>
      <c r="S56" s="16" t="n">
        <f aca="false">IF(ABS(S55-$B$11/$B$9*((MAX(0,MIN(1,S55))^2/(MAX(0,MIN(1,S55))^2+(1-MAX(0,MIN(1,S55)))^2/$B$5))-(MAX(0,MIN(1,R55))^2/(MAX(0,MIN(1,R55))^2+(1-MAX(0,MIN(1,R55)))^2/$B$5))))&lt;0.000000001,0,S55-$B$11/$B$9*((MAX(0,MIN(1,S55))^2/(MAX(0,MIN(1,S55))^2+(1-MAX(0,MIN(1,S55)))^2/$B$5))-(MAX(0,MIN(1,R55))^2/(MAX(0,MIN(1,R55))^2+(1-MAX(0,MIN(1,R55)))^2/$B$5))))</f>
        <v>0.783933336277002</v>
      </c>
      <c r="T56" s="16" t="n">
        <f aca="false">IF(ABS(T55-$B$11/$B$9*((MAX(0,MIN(1,T55))^2/(MAX(0,MIN(1,T55))^2+(1-MAX(0,MIN(1,T55)))^2/$B$5))-(MAX(0,MIN(1,S55))^2/(MAX(0,MIN(1,S55))^2+(1-MAX(0,MIN(1,S55)))^2/$B$5))))&lt;0.000000001,0,T55-$B$11/$B$9*((MAX(0,MIN(1,T55))^2/(MAX(0,MIN(1,T55))^2+(1-MAX(0,MIN(1,T55)))^2/$B$5))-(MAX(0,MIN(1,S55))^2/(MAX(0,MIN(1,S55))^2+(1-MAX(0,MIN(1,S55)))^2/$B$5))))</f>
        <v>0.76720687409434</v>
      </c>
      <c r="U56" s="16" t="n">
        <f aca="false">IF(ABS(U55-$B$11/$B$9*((MAX(0,MIN(1,U55))^2/(MAX(0,MIN(1,U55))^2+(1-MAX(0,MIN(1,U55)))^2/$B$5))-(MAX(0,MIN(1,T55))^2/(MAX(0,MIN(1,T55))^2+(1-MAX(0,MIN(1,T55)))^2/$B$5))))&lt;0.000000001,0,U55-$B$11/$B$9*((MAX(0,MIN(1,U55))^2/(MAX(0,MIN(1,U55))^2+(1-MAX(0,MIN(1,U55)))^2/$B$5))-(MAX(0,MIN(1,T55))^2/(MAX(0,MIN(1,T55))^2+(1-MAX(0,MIN(1,T55)))^2/$B$5))))</f>
        <v>0.751533255530736</v>
      </c>
      <c r="V56" s="16" t="n">
        <f aca="false">IF(ABS(V55-$B$11/$B$9*((MAX(0,MIN(1,V55))^2/(MAX(0,MIN(1,V55))^2+(1-MAX(0,MIN(1,V55)))^2/$B$5))-(MAX(0,MIN(1,U55))^2/(MAX(0,MIN(1,U55))^2+(1-MAX(0,MIN(1,U55)))^2/$B$5))))&lt;0.000000001,0,V55-$B$11/$B$9*((MAX(0,MIN(1,V55))^2/(MAX(0,MIN(1,V55))^2+(1-MAX(0,MIN(1,V55)))^2/$B$5))-(MAX(0,MIN(1,U55))^2/(MAX(0,MIN(1,U55))^2+(1-MAX(0,MIN(1,U55)))^2/$B$5))))</f>
        <v>0.736731555697919</v>
      </c>
      <c r="W56" s="16" t="n">
        <f aca="false">IF(ABS(W55-$B$11/$B$9*((MAX(0,MIN(1,W55))^2/(MAX(0,MIN(1,W55))^2+(1-MAX(0,MIN(1,W55)))^2/$B$5))-(MAX(0,MIN(1,V55))^2/(MAX(0,MIN(1,V55))^2+(1-MAX(0,MIN(1,V55)))^2/$B$5))))&lt;0.000000001,0,W55-$B$11/$B$9*((MAX(0,MIN(1,W55))^2/(MAX(0,MIN(1,W55))^2+(1-MAX(0,MIN(1,W55)))^2/$B$5))-(MAX(0,MIN(1,V55))^2/(MAX(0,MIN(1,V55))^2+(1-MAX(0,MIN(1,V55)))^2/$B$5))))</f>
        <v>0.722655629596531</v>
      </c>
      <c r="X56" s="16" t="n">
        <f aca="false">IF(ABS(X55-$B$11/$B$9*((MAX(0,MIN(1,X55))^2/(MAX(0,MIN(1,X55))^2+(1-MAX(0,MIN(1,X55)))^2/$B$5))-(MAX(0,MIN(1,W55))^2/(MAX(0,MIN(1,W55))^2+(1-MAX(0,MIN(1,W55)))^2/$B$5))))&lt;0.000000001,0,X55-$B$11/$B$9*((MAX(0,MIN(1,X55))^2/(MAX(0,MIN(1,X55))^2+(1-MAX(0,MIN(1,X55)))^2/$B$5))-(MAX(0,MIN(1,W55))^2/(MAX(0,MIN(1,W55))^2+(1-MAX(0,MIN(1,W55)))^2/$B$5))))</f>
        <v>0.709183203385711</v>
      </c>
      <c r="Y56" s="16" t="n">
        <f aca="false">IF(ABS(Y55-$B$11/$B$9*((MAX(0,MIN(1,Y55))^2/(MAX(0,MIN(1,Y55))^2+(1-MAX(0,MIN(1,Y55)))^2/$B$5))-(MAX(0,MIN(1,X55))^2/(MAX(0,MIN(1,X55))^2+(1-MAX(0,MIN(1,X55)))^2/$B$5))))&lt;0.000000001,0,Y55-$B$11/$B$9*((MAX(0,MIN(1,Y55))^2/(MAX(0,MIN(1,Y55))^2+(1-MAX(0,MIN(1,Y55)))^2/$B$5))-(MAX(0,MIN(1,X55))^2/(MAX(0,MIN(1,X55))^2+(1-MAX(0,MIN(1,X55)))^2/$B$5))))</f>
        <v>0.696208033129735</v>
      </c>
      <c r="Z56" s="16" t="n">
        <f aca="false">IF(ABS(Z55-$B$11/$B$9*((MAX(0,MIN(1,Z55))^2/(MAX(0,MIN(1,Z55))^2+(1-MAX(0,MIN(1,Z55)))^2/$B$5))-(MAX(0,MIN(1,Y55))^2/(MAX(0,MIN(1,Y55))^2+(1-MAX(0,MIN(1,Y55)))^2/$B$5))))&lt;0.000000001,0,Z55-$B$11/$B$9*((MAX(0,MIN(1,Z55))^2/(MAX(0,MIN(1,Z55))^2+(1-MAX(0,MIN(1,Z55)))^2/$B$5))-(MAX(0,MIN(1,Y55))^2/(MAX(0,MIN(1,Y55))^2+(1-MAX(0,MIN(1,Y55)))^2/$B$5))))</f>
        <v>0.683633624466511</v>
      </c>
      <c r="AA56" s="16" t="n">
        <f aca="false">IF(ABS(AA55-$B$11/$B$9*((MAX(0,MIN(1,AA55))^2/(MAX(0,MIN(1,AA55))^2+(1-MAX(0,MIN(1,AA55)))^2/$B$5))-(MAX(0,MIN(1,Z55))^2/(MAX(0,MIN(1,Z55))^2+(1-MAX(0,MIN(1,Z55)))^2/$B$5))))&lt;0.000000001,0,AA55-$B$11/$B$9*((MAX(0,MIN(1,AA55))^2/(MAX(0,MIN(1,AA55))^2+(1-MAX(0,MIN(1,AA55)))^2/$B$5))-(MAX(0,MIN(1,Z55))^2/(MAX(0,MIN(1,Z55))^2+(1-MAX(0,MIN(1,Z55)))^2/$B$5))))</f>
        <v>0.671367424388471</v>
      </c>
      <c r="AB56" s="16" t="n">
        <f aca="false">IF(ABS(AB55-$B$11/$B$9*((MAX(0,MIN(1,AB55))^2/(MAX(0,MIN(1,AB55))^2+(1-MAX(0,MIN(1,AB55)))^2/$B$5))-(MAX(0,MIN(1,AA55))^2/(MAX(0,MIN(1,AA55))^2+(1-MAX(0,MIN(1,AA55)))^2/$B$5))))&lt;0.000000001,0,AB55-$B$11/$B$9*((MAX(0,MIN(1,AB55))^2/(MAX(0,MIN(1,AB55))^2+(1-MAX(0,MIN(1,AB55)))^2/$B$5))-(MAX(0,MIN(1,AA55))^2/(MAX(0,MIN(1,AA55))^2+(1-MAX(0,MIN(1,AA55)))^2/$B$5))))</f>
        <v>0.659314430680251</v>
      </c>
      <c r="AC56" s="16" t="n">
        <f aca="false">IF(ABS(AC55-$B$11/$B$9*((MAX(0,MIN(1,AC55))^2/(MAX(0,MIN(1,AC55))^2+(1-MAX(0,MIN(1,AC55)))^2/$B$5))-(MAX(0,MIN(1,AB55))^2/(MAX(0,MIN(1,AB55))^2+(1-MAX(0,MIN(1,AB55)))^2/$B$5))))&lt;0.000000001,0,AC55-$B$11/$B$9*((MAX(0,MIN(1,AC55))^2/(MAX(0,MIN(1,AC55))^2+(1-MAX(0,MIN(1,AC55)))^2/$B$5))-(MAX(0,MIN(1,AB55))^2/(MAX(0,MIN(1,AB55))^2+(1-MAX(0,MIN(1,AB55)))^2/$B$5))))</f>
        <v>0.647368812002873</v>
      </c>
      <c r="AD56" s="16" t="n">
        <f aca="false">IF(ABS(AD55-$B$11/$B$9*((MAX(0,MIN(1,AD55))^2/(MAX(0,MIN(1,AD55))^2+(1-MAX(0,MIN(1,AD55)))^2/$B$5))-(MAX(0,MIN(1,AC55))^2/(MAX(0,MIN(1,AC55))^2+(1-MAX(0,MIN(1,AC55)))^2/$B$5))))&lt;0.000000001,0,AD55-$B$11/$B$9*((MAX(0,MIN(1,AD55))^2/(MAX(0,MIN(1,AD55))^2+(1-MAX(0,MIN(1,AD55)))^2/$B$5))-(MAX(0,MIN(1,AC55))^2/(MAX(0,MIN(1,AC55))^2+(1-MAX(0,MIN(1,AC55)))^2/$B$5))))</f>
        <v>0.635401099290402</v>
      </c>
      <c r="AE56" s="16" t="n">
        <f aca="false">IF(ABS(AE55-$B$11/$B$9*((MAX(0,MIN(1,AE55))^2/(MAX(0,MIN(1,AE55))^2+(1-MAX(0,MIN(1,AE55)))^2/$B$5))-(MAX(0,MIN(1,AD55))^2/(MAX(0,MIN(1,AD55))^2+(1-MAX(0,MIN(1,AD55)))^2/$B$5))))&lt;0.000000001,0,AE55-$B$11/$B$9*((MAX(0,MIN(1,AE55))^2/(MAX(0,MIN(1,AE55))^2+(1-MAX(0,MIN(1,AE55)))^2/$B$5))-(MAX(0,MIN(1,AD55))^2/(MAX(0,MIN(1,AD55))^2+(1-MAX(0,MIN(1,AD55)))^2/$B$5))))</f>
        <v>0.623235861788577</v>
      </c>
      <c r="AF56" s="16" t="n">
        <f aca="false">IF(ABS(AF55-$B$11/$B$9*((MAX(0,MIN(1,AF55))^2/(MAX(0,MIN(1,AF55))^2+(1-MAX(0,MIN(1,AF55)))^2/$B$5))-(MAX(0,MIN(1,AE55))^2/(MAX(0,MIN(1,AE55))^2+(1-MAX(0,MIN(1,AE55)))^2/$B$5))))&lt;0.000000001,0,AF55-$B$11/$B$9*((MAX(0,MIN(1,AF55))^2/(MAX(0,MIN(1,AF55))^2+(1-MAX(0,MIN(1,AF55)))^2/$B$5))-(MAX(0,MIN(1,AE55))^2/(MAX(0,MIN(1,AE55))^2+(1-MAX(0,MIN(1,AE55)))^2/$B$5))))</f>
        <v>0.610607756921573</v>
      </c>
    </row>
    <row r="57" customFormat="false" ht="15" hidden="false" customHeight="false" outlineLevel="0" collapsed="false">
      <c r="A57" s="0" t="n">
        <v>0.52</v>
      </c>
      <c r="D57" s="0" t="n">
        <f aca="false">A57</f>
        <v>0.52</v>
      </c>
      <c r="E57" s="0" t="n">
        <f aca="false">(G57-G56)/(A57-A56)</f>
        <v>1.7041209437419</v>
      </c>
      <c r="F57" s="0" t="n">
        <f aca="false">G57/A57</f>
        <v>1.34854771784232</v>
      </c>
      <c r="G57" s="0" t="n">
        <f aca="false">A57^2/(A57^2+(1-A57)^2/$B$5)</f>
        <v>0.701244813278008</v>
      </c>
      <c r="L57" s="0" t="n">
        <v>47</v>
      </c>
      <c r="M57" s="16" t="n">
        <f aca="false">IF(ABS(M56-$B$11/$B$9*((MAX(0,MIN(1,M56))^2/(MAX(0,MIN(1,M56))^2+(1-MAX(0,MIN(1,M56)))^2/$B$5))-(MAX(0,MIN(1,1))^2/(MAX(0,MIN(1,1))^2+(1-MAX(0,MIN(1,1)))^2/$B$5))))&lt;0.000000001,0,M56-$B$11/$B$9*((MAX(0,MIN(1,M56))^2/(MAX(0,MIN(1,M56))^2+(1-MAX(0,MIN(1,M56)))^2/$B$5))-(MAX(0,MIN(1,1))^2/(MAX(0,MIN(1,1))^2+(1-MAX(0,MIN(1,1)))^2/$B$5))))</f>
        <v>0.931573376424468</v>
      </c>
      <c r="N57" s="16" t="n">
        <f aca="false">IF(ABS(N56-$B$11/$B$9*((MAX(0,MIN(1,N56))^2/(MAX(0,MIN(1,N56))^2+(1-MAX(0,MIN(1,N56)))^2/$B$5))-(MAX(0,MIN(1,M56))^2/(MAX(0,MIN(1,M56))^2+(1-MAX(0,MIN(1,M56)))^2/$B$5))))&lt;0.000000001,0,N56-$B$11/$B$9*((MAX(0,MIN(1,N56))^2/(MAX(0,MIN(1,N56))^2+(1-MAX(0,MIN(1,N56)))^2/$B$5))-(MAX(0,MIN(1,M56))^2/(MAX(0,MIN(1,M56))^2+(1-MAX(0,MIN(1,M56)))^2/$B$5))))</f>
        <v>0.897273968675755</v>
      </c>
      <c r="O57" s="16" t="n">
        <f aca="false">IF(ABS(O56-$B$11/$B$9*((MAX(0,MIN(1,O56))^2/(MAX(0,MIN(1,O56))^2+(1-MAX(0,MIN(1,O56)))^2/$B$5))-(MAX(0,MIN(1,N56))^2/(MAX(0,MIN(1,N56))^2+(1-MAX(0,MIN(1,N56)))^2/$B$5))))&lt;0.000000001,0,O56-$B$11/$B$9*((MAX(0,MIN(1,O56))^2/(MAX(0,MIN(1,O56))^2+(1-MAX(0,MIN(1,O56)))^2/$B$5))-(MAX(0,MIN(1,N56))^2/(MAX(0,MIN(1,N56))^2+(1-MAX(0,MIN(1,N56)))^2/$B$5))))</f>
        <v>0.869385561152572</v>
      </c>
      <c r="P57" s="16" t="n">
        <f aca="false">IF(ABS(P56-$B$11/$B$9*((MAX(0,MIN(1,P56))^2/(MAX(0,MIN(1,P56))^2+(1-MAX(0,MIN(1,P56)))^2/$B$5))-(MAX(0,MIN(1,O56))^2/(MAX(0,MIN(1,O56))^2+(1-MAX(0,MIN(1,O56)))^2/$B$5))))&lt;0.000000001,0,P56-$B$11/$B$9*((MAX(0,MIN(1,P56))^2/(MAX(0,MIN(1,P56))^2+(1-MAX(0,MIN(1,P56)))^2/$B$5))-(MAX(0,MIN(1,O56))^2/(MAX(0,MIN(1,O56))^2+(1-MAX(0,MIN(1,O56)))^2/$B$5))))</f>
        <v>0.845300317784413</v>
      </c>
      <c r="Q57" s="16" t="n">
        <f aca="false">IF(ABS(Q56-$B$11/$B$9*((MAX(0,MIN(1,Q56))^2/(MAX(0,MIN(1,Q56))^2+(1-MAX(0,MIN(1,Q56)))^2/$B$5))-(MAX(0,MIN(1,P56))^2/(MAX(0,MIN(1,P56))^2+(1-MAX(0,MIN(1,P56)))^2/$B$5))))&lt;0.000000001,0,Q56-$B$11/$B$9*((MAX(0,MIN(1,Q56))^2/(MAX(0,MIN(1,Q56))^2+(1-MAX(0,MIN(1,Q56)))^2/$B$5))-(MAX(0,MIN(1,P56))^2/(MAX(0,MIN(1,P56))^2+(1-MAX(0,MIN(1,P56)))^2/$B$5))))</f>
        <v>0.823878100825546</v>
      </c>
      <c r="R57" s="16" t="n">
        <f aca="false">IF(ABS(R56-$B$11/$B$9*((MAX(0,MIN(1,R56))^2/(MAX(0,MIN(1,R56))^2+(1-MAX(0,MIN(1,R56)))^2/$B$5))-(MAX(0,MIN(1,Q56))^2/(MAX(0,MIN(1,Q56))^2+(1-MAX(0,MIN(1,Q56)))^2/$B$5))))&lt;0.000000001,0,R56-$B$11/$B$9*((MAX(0,MIN(1,R56))^2/(MAX(0,MIN(1,R56))^2+(1-MAX(0,MIN(1,R56)))^2/$B$5))-(MAX(0,MIN(1,Q56))^2/(MAX(0,MIN(1,Q56))^2+(1-MAX(0,MIN(1,Q56)))^2/$B$5))))</f>
        <v>0.804462879685322</v>
      </c>
      <c r="S57" s="16" t="n">
        <f aca="false">IF(ABS(S56-$B$11/$B$9*((MAX(0,MIN(1,S56))^2/(MAX(0,MIN(1,S56))^2+(1-MAX(0,MIN(1,S56)))^2/$B$5))-(MAX(0,MIN(1,R56))^2/(MAX(0,MIN(1,R56))^2+(1-MAX(0,MIN(1,R56)))^2/$B$5))))&lt;0.000000001,0,S56-$B$11/$B$9*((MAX(0,MIN(1,S56))^2/(MAX(0,MIN(1,S56))^2+(1-MAX(0,MIN(1,S56)))^2/$B$5))-(MAX(0,MIN(1,R56))^2/(MAX(0,MIN(1,R56))^2+(1-MAX(0,MIN(1,R56)))^2/$B$5))))</f>
        <v>0.786624568999704</v>
      </c>
      <c r="T57" s="16" t="n">
        <f aca="false">IF(ABS(T56-$B$11/$B$9*((MAX(0,MIN(1,T56))^2/(MAX(0,MIN(1,T56))^2+(1-MAX(0,MIN(1,T56)))^2/$B$5))-(MAX(0,MIN(1,S56))^2/(MAX(0,MIN(1,S56))^2+(1-MAX(0,MIN(1,S56)))^2/$B$5))))&lt;0.000000001,0,T56-$B$11/$B$9*((MAX(0,MIN(1,T56))^2/(MAX(0,MIN(1,T56))^2+(1-MAX(0,MIN(1,T56)))^2/$B$5))-(MAX(0,MIN(1,S56))^2/(MAX(0,MIN(1,S56))^2+(1-MAX(0,MIN(1,S56)))^2/$B$5))))</f>
        <v>0.770058500542023</v>
      </c>
      <c r="U57" s="16" t="n">
        <f aca="false">IF(ABS(U56-$B$11/$B$9*((MAX(0,MIN(1,U56))^2/(MAX(0,MIN(1,U56))^2+(1-MAX(0,MIN(1,U56)))^2/$B$5))-(MAX(0,MIN(1,T56))^2/(MAX(0,MIN(1,T56))^2+(1-MAX(0,MIN(1,T56)))^2/$B$5))))&lt;0.000000001,0,U56-$B$11/$B$9*((MAX(0,MIN(1,U56))^2/(MAX(0,MIN(1,U56))^2+(1-MAX(0,MIN(1,U56)))^2/$B$5))-(MAX(0,MIN(1,T56))^2/(MAX(0,MIN(1,T56))^2+(1-MAX(0,MIN(1,T56)))^2/$B$5))))</f>
        <v>0.754537071181096</v>
      </c>
      <c r="V57" s="16" t="n">
        <f aca="false">IF(ABS(V56-$B$11/$B$9*((MAX(0,MIN(1,V56))^2/(MAX(0,MIN(1,V56))^2+(1-MAX(0,MIN(1,V56)))^2/$B$5))-(MAX(0,MIN(1,U56))^2/(MAX(0,MIN(1,U56))^2+(1-MAX(0,MIN(1,U56)))^2/$B$5))))&lt;0.000000001,0,V56-$B$11/$B$9*((MAX(0,MIN(1,V56))^2/(MAX(0,MIN(1,V56))^2+(1-MAX(0,MIN(1,V56)))^2/$B$5))-(MAX(0,MIN(1,U56))^2/(MAX(0,MIN(1,U56))^2+(1-MAX(0,MIN(1,U56)))^2/$B$5))))</f>
        <v>0.739883146144738</v>
      </c>
      <c r="W57" s="16" t="n">
        <f aca="false">IF(ABS(W56-$B$11/$B$9*((MAX(0,MIN(1,W56))^2/(MAX(0,MIN(1,W56))^2+(1-MAX(0,MIN(1,W56)))^2/$B$5))-(MAX(0,MIN(1,V56))^2/(MAX(0,MIN(1,V56))^2+(1-MAX(0,MIN(1,V56)))^2/$B$5))))&lt;0.000000001,0,W56-$B$11/$B$9*((MAX(0,MIN(1,W56))^2/(MAX(0,MIN(1,W56))^2+(1-MAX(0,MIN(1,W56)))^2/$B$5))-(MAX(0,MIN(1,V56))^2/(MAX(0,MIN(1,V56))^2+(1-MAX(0,MIN(1,V56)))^2/$B$5))))</f>
        <v>0.725953949629269</v>
      </c>
      <c r="X57" s="16" t="n">
        <f aca="false">IF(ABS(X56-$B$11/$B$9*((MAX(0,MIN(1,X56))^2/(MAX(0,MIN(1,X56))^2+(1-MAX(0,MIN(1,X56)))^2/$B$5))-(MAX(0,MIN(1,W56))^2/(MAX(0,MIN(1,W56))^2+(1-MAX(0,MIN(1,W56)))^2/$B$5))))&lt;0.000000001,0,X56-$B$11/$B$9*((MAX(0,MIN(1,X56))^2/(MAX(0,MIN(1,X56))^2+(1-MAX(0,MIN(1,X56)))^2/$B$5))-(MAX(0,MIN(1,W56))^2/(MAX(0,MIN(1,W56))^2+(1-MAX(0,MIN(1,W56)))^2/$B$5))))</f>
        <v>0.712630497580855</v>
      </c>
      <c r="Y57" s="16" t="n">
        <f aca="false">IF(ABS(Y56-$B$11/$B$9*((MAX(0,MIN(1,Y56))^2/(MAX(0,MIN(1,Y56))^2+(1-MAX(0,MIN(1,Y56)))^2/$B$5))-(MAX(0,MIN(1,X56))^2/(MAX(0,MIN(1,X56))^2+(1-MAX(0,MIN(1,X56)))^2/$B$5))))&lt;0.000000001,0,Y56-$B$11/$B$9*((MAX(0,MIN(1,Y56))^2/(MAX(0,MIN(1,Y56))^2+(1-MAX(0,MIN(1,Y56)))^2/$B$5))-(MAX(0,MIN(1,X56))^2/(MAX(0,MIN(1,X56))^2+(1-MAX(0,MIN(1,X56)))^2/$B$5))))</f>
        <v>0.699810090111735</v>
      </c>
      <c r="Z57" s="16" t="n">
        <f aca="false">IF(ABS(Z56-$B$11/$B$9*((MAX(0,MIN(1,Z56))^2/(MAX(0,MIN(1,Z56))^2+(1-MAX(0,MIN(1,Z56)))^2/$B$5))-(MAX(0,MIN(1,Y56))^2/(MAX(0,MIN(1,Y56))^2+(1-MAX(0,MIN(1,Y56)))^2/$B$5))))&lt;0.000000001,0,Z56-$B$11/$B$9*((MAX(0,MIN(1,Z56))^2/(MAX(0,MIN(1,Z56))^2+(1-MAX(0,MIN(1,Z56)))^2/$B$5))-(MAX(0,MIN(1,Y56))^2/(MAX(0,MIN(1,Y56))^2+(1-MAX(0,MIN(1,Y56)))^2/$B$5))))</f>
        <v>0.687400436116412</v>
      </c>
      <c r="AA57" s="16" t="n">
        <f aca="false">IF(ABS(AA56-$B$11/$B$9*((MAX(0,MIN(1,AA56))^2/(MAX(0,MIN(1,AA56))^2+(1-MAX(0,MIN(1,AA56)))^2/$B$5))-(MAX(0,MIN(1,Z56))^2/(MAX(0,MIN(1,Z56))^2+(1-MAX(0,MIN(1,Z56)))^2/$B$5))))&lt;0.000000001,0,AA56-$B$11/$B$9*((MAX(0,MIN(1,AA56))^2/(MAX(0,MIN(1,AA56))^2+(1-MAX(0,MIN(1,AA56)))^2/$B$5))-(MAX(0,MIN(1,Z56))^2/(MAX(0,MIN(1,Z56))^2+(1-MAX(0,MIN(1,Z56)))^2/$B$5))))</f>
        <v>0.675314426618769</v>
      </c>
      <c r="AB57" s="16" t="n">
        <f aca="false">IF(ABS(AB56-$B$11/$B$9*((MAX(0,MIN(1,AB56))^2/(MAX(0,MIN(1,AB56))^2+(1-MAX(0,MIN(1,AB56)))^2/$B$5))-(MAX(0,MIN(1,AA56))^2/(MAX(0,MIN(1,AA56))^2+(1-MAX(0,MIN(1,AA56)))^2/$B$5))))&lt;0.000000001,0,AB56-$B$11/$B$9*((MAX(0,MIN(1,AB56))^2/(MAX(0,MIN(1,AB56))^2+(1-MAX(0,MIN(1,AB56)))^2/$B$5))-(MAX(0,MIN(1,AA56))^2/(MAX(0,MIN(1,AA56))^2+(1-MAX(0,MIN(1,AA56)))^2/$B$5))))</f>
        <v>0.66346467754596</v>
      </c>
      <c r="AC57" s="16" t="n">
        <f aca="false">IF(ABS(AC56-$B$11/$B$9*((MAX(0,MIN(1,AC56))^2/(MAX(0,MIN(1,AC56))^2+(1-MAX(0,MIN(1,AC56)))^2/$B$5))-(MAX(0,MIN(1,AB56))^2/(MAX(0,MIN(1,AB56))^2+(1-MAX(0,MIN(1,AB56)))^2/$B$5))))&lt;0.000000001,0,AC56-$B$11/$B$9*((MAX(0,MIN(1,AC56))^2/(MAX(0,MIN(1,AC56))^2+(1-MAX(0,MIN(1,AC56)))^2/$B$5))-(MAX(0,MIN(1,AB56))^2/(MAX(0,MIN(1,AB56))^2+(1-MAX(0,MIN(1,AB56)))^2/$B$5))))</f>
        <v>0.651756769683621</v>
      </c>
      <c r="AD57" s="16" t="n">
        <f aca="false">IF(ABS(AD56-$B$11/$B$9*((MAX(0,MIN(1,AD56))^2/(MAX(0,MIN(1,AD56))^2+(1-MAX(0,MIN(1,AD56)))^2/$B$5))-(MAX(0,MIN(1,AC56))^2/(MAX(0,MIN(1,AC56))^2+(1-MAX(0,MIN(1,AC56)))^2/$B$5))))&lt;0.000000001,0,AD56-$B$11/$B$9*((MAX(0,MIN(1,AD56))^2/(MAX(0,MIN(1,AD56))^2+(1-MAX(0,MIN(1,AD56)))^2/$B$5))-(MAX(0,MIN(1,AC56))^2/(MAX(0,MIN(1,AC56))^2+(1-MAX(0,MIN(1,AC56)))^2/$B$5))))</f>
        <v>0.640079463951925</v>
      </c>
      <c r="AE57" s="16" t="n">
        <f aca="false">IF(ABS(AE56-$B$11/$B$9*((MAX(0,MIN(1,AE56))^2/(MAX(0,MIN(1,AE56))^2+(1-MAX(0,MIN(1,AE56)))^2/$B$5))-(MAX(0,MIN(1,AD56))^2/(MAX(0,MIN(1,AD56))^2+(1-MAX(0,MIN(1,AD56)))^2/$B$5))))&lt;0.000000001,0,AE56-$B$11/$B$9*((MAX(0,MIN(1,AE56))^2/(MAX(0,MIN(1,AE56))^2+(1-MAX(0,MIN(1,AE56)))^2/$B$5))-(MAX(0,MIN(1,AD56))^2/(MAX(0,MIN(1,AD56))^2+(1-MAX(0,MIN(1,AD56)))^2/$B$5))))</f>
        <v>0.628288518086167</v>
      </c>
      <c r="AF57" s="16" t="n">
        <f aca="false">IF(ABS(AF56-$B$11/$B$9*((MAX(0,MIN(1,AF56))^2/(MAX(0,MIN(1,AF56))^2+(1-MAX(0,MIN(1,AF56)))^2/$B$5))-(MAX(0,MIN(1,AE56))^2/(MAX(0,MIN(1,AE56))^2+(1-MAX(0,MIN(1,AE56)))^2/$B$5))))&lt;0.000000001,0,AF56-$B$11/$B$9*((MAX(0,MIN(1,AF56))^2/(MAX(0,MIN(1,AF56))^2+(1-MAX(0,MIN(1,AF56)))^2/$B$5))-(MAX(0,MIN(1,AE56))^2/(MAX(0,MIN(1,AE56))^2+(1-MAX(0,MIN(1,AE56)))^2/$B$5))))</f>
        <v>0.616176518925835</v>
      </c>
    </row>
    <row r="58" customFormat="false" ht="15" hidden="false" customHeight="false" outlineLevel="0" collapsed="false">
      <c r="A58" s="0" t="n">
        <v>0.53</v>
      </c>
      <c r="D58" s="0" t="n">
        <f aca="false">A58</f>
        <v>0.53</v>
      </c>
      <c r="E58" s="0" t="n">
        <f aca="false">(G58-G57)/(A58-A57)</f>
        <v>1.65270022324044</v>
      </c>
      <c r="F58" s="0" t="n">
        <f aca="false">G58/A58</f>
        <v>1.35428644435927</v>
      </c>
      <c r="G58" s="0" t="n">
        <f aca="false">A58^2/(A58^2+(1-A58)^2/$B$5)</f>
        <v>0.717771815510413</v>
      </c>
      <c r="L58" s="0" t="n">
        <v>48</v>
      </c>
      <c r="M58" s="16" t="n">
        <f aca="false">IF(ABS(M57-$B$11/$B$9*((MAX(0,MIN(1,M57))^2/(MAX(0,MIN(1,M57))^2+(1-MAX(0,MIN(1,M57)))^2/$B$5))-(MAX(0,MIN(1,1))^2/(MAX(0,MIN(1,1))^2+(1-MAX(0,MIN(1,1)))^2/$B$5))))&lt;0.000000001,0,M57-$B$11/$B$9*((MAX(0,MIN(1,M57))^2/(MAX(0,MIN(1,M57))^2+(1-MAX(0,MIN(1,M57)))^2/$B$5))-(MAX(0,MIN(1,1))^2/(MAX(0,MIN(1,1))^2+(1-MAX(0,MIN(1,1)))^2/$B$5))))</f>
        <v>0.932607917844793</v>
      </c>
      <c r="N58" s="16" t="n">
        <f aca="false">IF(ABS(N57-$B$11/$B$9*((MAX(0,MIN(1,N57))^2/(MAX(0,MIN(1,N57))^2+(1-MAX(0,MIN(1,N57)))^2/$B$5))-(MAX(0,MIN(1,M57))^2/(MAX(0,MIN(1,M57))^2+(1-MAX(0,MIN(1,M57)))^2/$B$5))))&lt;0.000000001,0,N57-$B$11/$B$9*((MAX(0,MIN(1,N57))^2/(MAX(0,MIN(1,N57))^2+(1-MAX(0,MIN(1,N57)))^2/$B$5))-(MAX(0,MIN(1,M57))^2/(MAX(0,MIN(1,M57))^2+(1-MAX(0,MIN(1,M57)))^2/$B$5))))</f>
        <v>0.898743089656918</v>
      </c>
      <c r="O58" s="16" t="n">
        <f aca="false">IF(ABS(O57-$B$11/$B$9*((MAX(0,MIN(1,O57))^2/(MAX(0,MIN(1,O57))^2+(1-MAX(0,MIN(1,O57)))^2/$B$5))-(MAX(0,MIN(1,N57))^2/(MAX(0,MIN(1,N57))^2+(1-MAX(0,MIN(1,N57)))^2/$B$5))))&lt;0.000000001,0,O57-$B$11/$B$9*((MAX(0,MIN(1,O57))^2/(MAX(0,MIN(1,O57))^2+(1-MAX(0,MIN(1,O57)))^2/$B$5))-(MAX(0,MIN(1,N57))^2/(MAX(0,MIN(1,N57))^2+(1-MAX(0,MIN(1,N57)))^2/$B$5))))</f>
        <v>0.871173165118693</v>
      </c>
      <c r="P58" s="16" t="n">
        <f aca="false">IF(ABS(P57-$B$11/$B$9*((MAX(0,MIN(1,P57))^2/(MAX(0,MIN(1,P57))^2+(1-MAX(0,MIN(1,P57)))^2/$B$5))-(MAX(0,MIN(1,O57))^2/(MAX(0,MIN(1,O57))^2+(1-MAX(0,MIN(1,O57)))^2/$B$5))))&lt;0.000000001,0,P57-$B$11/$B$9*((MAX(0,MIN(1,P57))^2/(MAX(0,MIN(1,P57))^2+(1-MAX(0,MIN(1,P57)))^2/$B$5))-(MAX(0,MIN(1,O57))^2/(MAX(0,MIN(1,O57))^2+(1-MAX(0,MIN(1,O57)))^2/$B$5))))</f>
        <v>0.847342581595947</v>
      </c>
      <c r="Q58" s="16" t="n">
        <f aca="false">IF(ABS(Q57-$B$11/$B$9*((MAX(0,MIN(1,Q57))^2/(MAX(0,MIN(1,Q57))^2+(1-MAX(0,MIN(1,Q57)))^2/$B$5))-(MAX(0,MIN(1,P57))^2/(MAX(0,MIN(1,P57))^2+(1-MAX(0,MIN(1,P57)))^2/$B$5))))&lt;0.000000001,0,Q57-$B$11/$B$9*((MAX(0,MIN(1,Q57))^2/(MAX(0,MIN(1,Q57))^2+(1-MAX(0,MIN(1,Q57)))^2/$B$5))-(MAX(0,MIN(1,P57))^2/(MAX(0,MIN(1,P57))^2+(1-MAX(0,MIN(1,P57)))^2/$B$5))))</f>
        <v>0.826134527702076</v>
      </c>
      <c r="R58" s="16" t="n">
        <f aca="false">IF(ABS(R57-$B$11/$B$9*((MAX(0,MIN(1,R57))^2/(MAX(0,MIN(1,R57))^2+(1-MAX(0,MIN(1,R57)))^2/$B$5))-(MAX(0,MIN(1,Q57))^2/(MAX(0,MIN(1,Q57))^2+(1-MAX(0,MIN(1,Q57)))^2/$B$5))))&lt;0.000000001,0,R57-$B$11/$B$9*((MAX(0,MIN(1,R57))^2/(MAX(0,MIN(1,R57))^2+(1-MAX(0,MIN(1,R57)))^2/$B$5))-(MAX(0,MIN(1,Q57))^2/(MAX(0,MIN(1,Q57))^2+(1-MAX(0,MIN(1,Q57)))^2/$B$5))))</f>
        <v>0.806906207046025</v>
      </c>
      <c r="S58" s="16" t="n">
        <f aca="false">IF(ABS(S57-$B$11/$B$9*((MAX(0,MIN(1,S57))^2/(MAX(0,MIN(1,S57))^2+(1-MAX(0,MIN(1,S57)))^2/$B$5))-(MAX(0,MIN(1,R57))^2/(MAX(0,MIN(1,R57))^2+(1-MAX(0,MIN(1,R57)))^2/$B$5))))&lt;0.000000001,0,S57-$B$11/$B$9*((MAX(0,MIN(1,S57))^2/(MAX(0,MIN(1,S57))^2+(1-MAX(0,MIN(1,S57)))^2/$B$5))-(MAX(0,MIN(1,R57))^2/(MAX(0,MIN(1,R57))^2+(1-MAX(0,MIN(1,R57)))^2/$B$5))))</f>
        <v>0.789236016837718</v>
      </c>
      <c r="T58" s="16" t="n">
        <f aca="false">IF(ABS(T57-$B$11/$B$9*((MAX(0,MIN(1,T57))^2/(MAX(0,MIN(1,T57))^2+(1-MAX(0,MIN(1,T57)))^2/$B$5))-(MAX(0,MIN(1,S57))^2/(MAX(0,MIN(1,S57))^2+(1-MAX(0,MIN(1,S57)))^2/$B$5))))&lt;0.000000001,0,T57-$B$11/$B$9*((MAX(0,MIN(1,T57))^2/(MAX(0,MIN(1,T57))^2+(1-MAX(0,MIN(1,T57)))^2/$B$5))-(MAX(0,MIN(1,S57))^2/(MAX(0,MIN(1,S57))^2+(1-MAX(0,MIN(1,S57)))^2/$B$5))))</f>
        <v>0.772825206231679</v>
      </c>
      <c r="U58" s="16" t="n">
        <f aca="false">IF(ABS(U57-$B$11/$B$9*((MAX(0,MIN(1,U57))^2/(MAX(0,MIN(1,U57))^2+(1-MAX(0,MIN(1,U57)))^2/$B$5))-(MAX(0,MIN(1,T57))^2/(MAX(0,MIN(1,T57))^2+(1-MAX(0,MIN(1,T57)))^2/$B$5))))&lt;0.000000001,0,U57-$B$11/$B$9*((MAX(0,MIN(1,U57))^2/(MAX(0,MIN(1,U57))^2+(1-MAX(0,MIN(1,U57)))^2/$B$5))-(MAX(0,MIN(1,T57))^2/(MAX(0,MIN(1,T57))^2+(1-MAX(0,MIN(1,T57)))^2/$B$5))))</f>
        <v>0.75745061309758</v>
      </c>
      <c r="V58" s="16" t="n">
        <f aca="false">IF(ABS(V57-$B$11/$B$9*((MAX(0,MIN(1,V57))^2/(MAX(0,MIN(1,V57))^2+(1-MAX(0,MIN(1,V57)))^2/$B$5))-(MAX(0,MIN(1,U57))^2/(MAX(0,MIN(1,U57))^2+(1-MAX(0,MIN(1,U57)))^2/$B$5))))&lt;0.000000001,0,V57-$B$11/$B$9*((MAX(0,MIN(1,V57))^2/(MAX(0,MIN(1,V57))^2+(1-MAX(0,MIN(1,V57)))^2/$B$5))-(MAX(0,MIN(1,U57))^2/(MAX(0,MIN(1,U57))^2+(1-MAX(0,MIN(1,U57)))^2/$B$5))))</f>
        <v>0.742938689888507</v>
      </c>
      <c r="W58" s="16" t="n">
        <f aca="false">IF(ABS(W57-$B$11/$B$9*((MAX(0,MIN(1,W57))^2/(MAX(0,MIN(1,W57))^2+(1-MAX(0,MIN(1,W57)))^2/$B$5))-(MAX(0,MIN(1,V57))^2/(MAX(0,MIN(1,V57))^2+(1-MAX(0,MIN(1,V57)))^2/$B$5))))&lt;0.000000001,0,W57-$B$11/$B$9*((MAX(0,MIN(1,W57))^2/(MAX(0,MIN(1,W57))^2+(1-MAX(0,MIN(1,W57)))^2/$B$5))-(MAX(0,MIN(1,V57))^2/(MAX(0,MIN(1,V57))^2+(1-MAX(0,MIN(1,V57)))^2/$B$5))))</f>
        <v>0.7291498000654</v>
      </c>
      <c r="X58" s="16" t="n">
        <f aca="false">IF(ABS(X57-$B$11/$B$9*((MAX(0,MIN(1,X57))^2/(MAX(0,MIN(1,X57))^2+(1-MAX(0,MIN(1,X57)))^2/$B$5))-(MAX(0,MIN(1,W57))^2/(MAX(0,MIN(1,W57))^2+(1-MAX(0,MIN(1,W57)))^2/$B$5))))&lt;0.000000001,0,X57-$B$11/$B$9*((MAX(0,MIN(1,X57))^2/(MAX(0,MIN(1,X57))^2+(1-MAX(0,MIN(1,X57)))^2/$B$5))-(MAX(0,MIN(1,W57))^2/(MAX(0,MIN(1,W57))^2+(1-MAX(0,MIN(1,W57)))^2/$B$5))))</f>
        <v>0.715967960693984</v>
      </c>
      <c r="Y58" s="16" t="n">
        <f aca="false">IF(ABS(Y57-$B$11/$B$9*((MAX(0,MIN(1,Y57))^2/(MAX(0,MIN(1,Y57))^2+(1-MAX(0,MIN(1,Y57)))^2/$B$5))-(MAX(0,MIN(1,X57))^2/(MAX(0,MIN(1,X57))^2+(1-MAX(0,MIN(1,X57)))^2/$B$5))))&lt;0.000000001,0,Y57-$B$11/$B$9*((MAX(0,MIN(1,Y57))^2/(MAX(0,MIN(1,Y57))^2+(1-MAX(0,MIN(1,Y57)))^2/$B$5))-(MAX(0,MIN(1,X57))^2/(MAX(0,MIN(1,X57))^2+(1-MAX(0,MIN(1,X57)))^2/$B$5))))</f>
        <v>0.703293623510465</v>
      </c>
      <c r="Z58" s="16" t="n">
        <f aca="false">IF(ABS(Z57-$B$11/$B$9*((MAX(0,MIN(1,Z57))^2/(MAX(0,MIN(1,Z57))^2+(1-MAX(0,MIN(1,Z57)))^2/$B$5))-(MAX(0,MIN(1,Y57))^2/(MAX(0,MIN(1,Y57))^2+(1-MAX(0,MIN(1,Y57)))^2/$B$5))))&lt;0.000000001,0,Z57-$B$11/$B$9*((MAX(0,MIN(1,Z57))^2/(MAX(0,MIN(1,Z57))^2+(1-MAX(0,MIN(1,Z57)))^2/$B$5))-(MAX(0,MIN(1,Y57))^2/(MAX(0,MIN(1,Y57))^2+(1-MAX(0,MIN(1,Y57)))^2/$B$5))))</f>
        <v>0.691038132074817</v>
      </c>
      <c r="AA58" s="16" t="n">
        <f aca="false">IF(ABS(AA57-$B$11/$B$9*((MAX(0,MIN(1,AA57))^2/(MAX(0,MIN(1,AA57))^2+(1-MAX(0,MIN(1,AA57)))^2/$B$5))-(MAX(0,MIN(1,Z57))^2/(MAX(0,MIN(1,Z57))^2+(1-MAX(0,MIN(1,Z57)))^2/$B$5))))&lt;0.000000001,0,AA57-$B$11/$B$9*((MAX(0,MIN(1,AA57))^2/(MAX(0,MIN(1,AA57))^2+(1-MAX(0,MIN(1,AA57)))^2/$B$5))-(MAX(0,MIN(1,Z57))^2/(MAX(0,MIN(1,Z57))^2+(1-MAX(0,MIN(1,Z57)))^2/$B$5))))</f>
        <v>0.679118951680763</v>
      </c>
      <c r="AB58" s="16" t="n">
        <f aca="false">IF(ABS(AB57-$B$11/$B$9*((MAX(0,MIN(1,AB57))^2/(MAX(0,MIN(1,AB57))^2+(1-MAX(0,MIN(1,AB57)))^2/$B$5))-(MAX(0,MIN(1,AA57))^2/(MAX(0,MIN(1,AA57))^2+(1-MAX(0,MIN(1,AA57)))^2/$B$5))))&lt;0.000000001,0,AB57-$B$11/$B$9*((MAX(0,MIN(1,AB57))^2/(MAX(0,MIN(1,AB57))^2+(1-MAX(0,MIN(1,AB57)))^2/$B$5))-(MAX(0,MIN(1,AA57))^2/(MAX(0,MIN(1,AA57))^2+(1-MAX(0,MIN(1,AA57)))^2/$B$5))))</f>
        <v>0.667454918639875</v>
      </c>
      <c r="AC58" s="16" t="n">
        <f aca="false">IF(ABS(AC57-$B$11/$B$9*((MAX(0,MIN(1,AC57))^2/(MAX(0,MIN(1,AC57))^2+(1-MAX(0,MIN(1,AC57)))^2/$B$5))-(MAX(0,MIN(1,AB57))^2/(MAX(0,MIN(1,AB57))^2+(1-MAX(0,MIN(1,AB57)))^2/$B$5))))&lt;0.000000001,0,AC57-$B$11/$B$9*((MAX(0,MIN(1,AC57))^2/(MAX(0,MIN(1,AC57))^2+(1-MAX(0,MIN(1,AC57)))^2/$B$5))-(MAX(0,MIN(1,AB57))^2/(MAX(0,MIN(1,AB57))^2+(1-MAX(0,MIN(1,AB57)))^2/$B$5))))</f>
        <v>0.655960666802937</v>
      </c>
      <c r="AD58" s="16" t="n">
        <f aca="false">IF(ABS(AD57-$B$11/$B$9*((MAX(0,MIN(1,AD57))^2/(MAX(0,MIN(1,AD57))^2+(1-MAX(0,MIN(1,AD57)))^2/$B$5))-(MAX(0,MIN(1,AC57))^2/(MAX(0,MIN(1,AC57))^2+(1-MAX(0,MIN(1,AC57)))^2/$B$5))))&lt;0.000000001,0,AD57-$B$11/$B$9*((MAX(0,MIN(1,AD57))^2/(MAX(0,MIN(1,AD57))^2+(1-MAX(0,MIN(1,AD57)))^2/$B$5))-(MAX(0,MIN(1,AC57))^2/(MAX(0,MIN(1,AC57))^2+(1-MAX(0,MIN(1,AC57)))^2/$B$5))))</f>
        <v>0.644538981552894</v>
      </c>
      <c r="AE58" s="16" t="n">
        <f aca="false">IF(ABS(AE57-$B$11/$B$9*((MAX(0,MIN(1,AE57))^2/(MAX(0,MIN(1,AE57))^2+(1-MAX(0,MIN(1,AE57)))^2/$B$5))-(MAX(0,MIN(1,AD57))^2/(MAX(0,MIN(1,AD57))^2+(1-MAX(0,MIN(1,AD57)))^2/$B$5))))&lt;0.000000001,0,AE57-$B$11/$B$9*((MAX(0,MIN(1,AE57))^2/(MAX(0,MIN(1,AE57))^2+(1-MAX(0,MIN(1,AE57)))^2/$B$5))-(MAX(0,MIN(1,AD57))^2/(MAX(0,MIN(1,AD57))^2+(1-MAX(0,MIN(1,AD57)))^2/$B$5))))</f>
        <v>0.633068782659709</v>
      </c>
      <c r="AF58" s="16" t="n">
        <f aca="false">IF(ABS(AF57-$B$11/$B$9*((MAX(0,MIN(1,AF57))^2/(MAX(0,MIN(1,AF57))^2+(1-MAX(0,MIN(1,AF57)))^2/$B$5))-(MAX(0,MIN(1,AE57))^2/(MAX(0,MIN(1,AE57))^2+(1-MAX(0,MIN(1,AE57)))^2/$B$5))))&lt;0.000000001,0,AF57-$B$11/$B$9*((MAX(0,MIN(1,AF57))^2/(MAX(0,MIN(1,AF57))^2+(1-MAX(0,MIN(1,AF57)))^2/$B$5))-(MAX(0,MIN(1,AE57))^2/(MAX(0,MIN(1,AE57))^2+(1-MAX(0,MIN(1,AE57)))^2/$B$5))))</f>
        <v>0.621383843900171</v>
      </c>
    </row>
    <row r="59" customFormat="false" ht="15" hidden="false" customHeight="false" outlineLevel="0" collapsed="false">
      <c r="A59" s="0" t="n">
        <v>0.54</v>
      </c>
      <c r="D59" s="0" t="n">
        <f aca="false">A59</f>
        <v>0.54</v>
      </c>
      <c r="E59" s="0" t="n">
        <f aca="false">(G59-G58)/(A59-A58)</f>
        <v>1.59976862510368</v>
      </c>
      <c r="F59" s="0" t="n">
        <f aca="false">G59/A59</f>
        <v>1.35883241066935</v>
      </c>
      <c r="G59" s="0" t="n">
        <f aca="false">A59^2/(A59^2+(1-A59)^2/$B$5)</f>
        <v>0.73376950176145</v>
      </c>
      <c r="L59" s="0" t="n">
        <v>49</v>
      </c>
      <c r="M59" s="16" t="n">
        <f aca="false">IF(ABS(M58-$B$11/$B$9*((MAX(0,MIN(1,M58))^2/(MAX(0,MIN(1,M58))^2+(1-MAX(0,MIN(1,M58)))^2/$B$5))-(MAX(0,MIN(1,1))^2/(MAX(0,MIN(1,1))^2+(1-MAX(0,MIN(1,1)))^2/$B$5))))&lt;0.000000001,0,M58-$B$11/$B$9*((MAX(0,MIN(1,M58))^2/(MAX(0,MIN(1,M58))^2+(1-MAX(0,MIN(1,M58)))^2/$B$5))-(MAX(0,MIN(1,1))^2/(MAX(0,MIN(1,1))^2+(1-MAX(0,MIN(1,1)))^2/$B$5))))</f>
        <v>0.933609274824438</v>
      </c>
      <c r="N59" s="16" t="n">
        <f aca="false">IF(ABS(N58-$B$11/$B$9*((MAX(0,MIN(1,N58))^2/(MAX(0,MIN(1,N58))^2+(1-MAX(0,MIN(1,N58)))^2/$B$5))-(MAX(0,MIN(1,M58))^2/(MAX(0,MIN(1,M58))^2+(1-MAX(0,MIN(1,M58)))^2/$B$5))))&lt;0.000000001,0,N58-$B$11/$B$9*((MAX(0,MIN(1,N58))^2/(MAX(0,MIN(1,N58))^2+(1-MAX(0,MIN(1,N58)))^2/$B$5))-(MAX(0,MIN(1,M58))^2/(MAX(0,MIN(1,M58))^2+(1-MAX(0,MIN(1,M58)))^2/$B$5))))</f>
        <v>0.900166847930467</v>
      </c>
      <c r="O59" s="16" t="n">
        <f aca="false">IF(ABS(O58-$B$11/$B$9*((MAX(0,MIN(1,O58))^2/(MAX(0,MIN(1,O58))^2+(1-MAX(0,MIN(1,O58)))^2/$B$5))-(MAX(0,MIN(1,N58))^2/(MAX(0,MIN(1,N58))^2+(1-MAX(0,MIN(1,N58)))^2/$B$5))))&lt;0.000000001,0,O58-$B$11/$B$9*((MAX(0,MIN(1,O58))^2/(MAX(0,MIN(1,O58))^2+(1-MAX(0,MIN(1,O58)))^2/$B$5))-(MAX(0,MIN(1,N58))^2/(MAX(0,MIN(1,N58))^2+(1-MAX(0,MIN(1,N58)))^2/$B$5))))</f>
        <v>0.872906990744187</v>
      </c>
      <c r="P59" s="16" t="n">
        <f aca="false">IF(ABS(P58-$B$11/$B$9*((MAX(0,MIN(1,P58))^2/(MAX(0,MIN(1,P58))^2+(1-MAX(0,MIN(1,P58)))^2/$B$5))-(MAX(0,MIN(1,O58))^2/(MAX(0,MIN(1,O58))^2+(1-MAX(0,MIN(1,O58)))^2/$B$5))))&lt;0.000000001,0,P58-$B$11/$B$9*((MAX(0,MIN(1,P58))^2/(MAX(0,MIN(1,P58))^2+(1-MAX(0,MIN(1,P58)))^2/$B$5))-(MAX(0,MIN(1,O58))^2/(MAX(0,MIN(1,O58))^2+(1-MAX(0,MIN(1,O58)))^2/$B$5))))</f>
        <v>0.849324484373475</v>
      </c>
      <c r="Q59" s="16" t="n">
        <f aca="false">IF(ABS(Q58-$B$11/$B$9*((MAX(0,MIN(1,Q58))^2/(MAX(0,MIN(1,Q58))^2+(1-MAX(0,MIN(1,Q58)))^2/$B$5))-(MAX(0,MIN(1,P58))^2/(MAX(0,MIN(1,P58))^2+(1-MAX(0,MIN(1,P58)))^2/$B$5))))&lt;0.000000001,0,Q58-$B$11/$B$9*((MAX(0,MIN(1,Q58))^2/(MAX(0,MIN(1,Q58))^2+(1-MAX(0,MIN(1,Q58)))^2/$B$5))-(MAX(0,MIN(1,P58))^2/(MAX(0,MIN(1,P58))^2+(1-MAX(0,MIN(1,P58)))^2/$B$5))))</f>
        <v>0.828325007745675</v>
      </c>
      <c r="R59" s="16" t="n">
        <f aca="false">IF(ABS(R58-$B$11/$B$9*((MAX(0,MIN(1,R58))^2/(MAX(0,MIN(1,R58))^2+(1-MAX(0,MIN(1,R58)))^2/$B$5))-(MAX(0,MIN(1,Q58))^2/(MAX(0,MIN(1,Q58))^2+(1-MAX(0,MIN(1,Q58)))^2/$B$5))))&lt;0.000000001,0,R58-$B$11/$B$9*((MAX(0,MIN(1,R58))^2/(MAX(0,MIN(1,R58))^2+(1-MAX(0,MIN(1,R58)))^2/$B$5))-(MAX(0,MIN(1,Q58))^2/(MAX(0,MIN(1,Q58))^2+(1-MAX(0,MIN(1,Q58)))^2/$B$5))))</f>
        <v>0.809278536671493</v>
      </c>
      <c r="S59" s="16" t="n">
        <f aca="false">IF(ABS(S58-$B$11/$B$9*((MAX(0,MIN(1,S58))^2/(MAX(0,MIN(1,S58))^2+(1-MAX(0,MIN(1,S58)))^2/$B$5))-(MAX(0,MIN(1,R58))^2/(MAX(0,MIN(1,R58))^2+(1-MAX(0,MIN(1,R58)))^2/$B$5))))&lt;0.000000001,0,S58-$B$11/$B$9*((MAX(0,MIN(1,S58))^2/(MAX(0,MIN(1,S58))^2+(1-MAX(0,MIN(1,S58)))^2/$B$5))-(MAX(0,MIN(1,R58))^2/(MAX(0,MIN(1,R58))^2+(1-MAX(0,MIN(1,R58)))^2/$B$5))))</f>
        <v>0.791771653958636</v>
      </c>
      <c r="T59" s="16" t="n">
        <f aca="false">IF(ABS(T58-$B$11/$B$9*((MAX(0,MIN(1,T58))^2/(MAX(0,MIN(1,T58))^2+(1-MAX(0,MIN(1,T58)))^2/$B$5))-(MAX(0,MIN(1,S58))^2/(MAX(0,MIN(1,S58))^2+(1-MAX(0,MIN(1,S58)))^2/$B$5))))&lt;0.000000001,0,T58-$B$11/$B$9*((MAX(0,MIN(1,T58))^2/(MAX(0,MIN(1,T58))^2+(1-MAX(0,MIN(1,T58)))^2/$B$5))-(MAX(0,MIN(1,S58))^2/(MAX(0,MIN(1,S58))^2+(1-MAX(0,MIN(1,S58)))^2/$B$5))))</f>
        <v>0.775511307548529</v>
      </c>
      <c r="U59" s="16" t="n">
        <f aca="false">IF(ABS(U58-$B$11/$B$9*((MAX(0,MIN(1,U58))^2/(MAX(0,MIN(1,U58))^2+(1-MAX(0,MIN(1,U58)))^2/$B$5))-(MAX(0,MIN(1,T58))^2/(MAX(0,MIN(1,T58))^2+(1-MAX(0,MIN(1,T58)))^2/$B$5))))&lt;0.000000001,0,U58-$B$11/$B$9*((MAX(0,MIN(1,U58))^2/(MAX(0,MIN(1,U58))^2+(1-MAX(0,MIN(1,U58)))^2/$B$5))-(MAX(0,MIN(1,T58))^2/(MAX(0,MIN(1,T58))^2+(1-MAX(0,MIN(1,T58)))^2/$B$5))))</f>
        <v>0.76027859135418</v>
      </c>
      <c r="V59" s="16" t="n">
        <f aca="false">IF(ABS(V58-$B$11/$B$9*((MAX(0,MIN(1,V58))^2/(MAX(0,MIN(1,V58))^2+(1-MAX(0,MIN(1,V58)))^2/$B$5))-(MAX(0,MIN(1,U58))^2/(MAX(0,MIN(1,U58))^2+(1-MAX(0,MIN(1,U58)))^2/$B$5))))&lt;0.000000001,0,V58-$B$11/$B$9*((MAX(0,MIN(1,V58))^2/(MAX(0,MIN(1,V58))^2+(1-MAX(0,MIN(1,V58)))^2/$B$5))-(MAX(0,MIN(1,U58))^2/(MAX(0,MIN(1,U58))^2+(1-MAX(0,MIN(1,U58)))^2/$B$5))))</f>
        <v>0.745903365091002</v>
      </c>
      <c r="W59" s="16" t="n">
        <f aca="false">IF(ABS(W58-$B$11/$B$9*((MAX(0,MIN(1,W58))^2/(MAX(0,MIN(1,W58))^2+(1-MAX(0,MIN(1,W58)))^2/$B$5))-(MAX(0,MIN(1,V58))^2/(MAX(0,MIN(1,V58))^2+(1-MAX(0,MIN(1,V58)))^2/$B$5))))&lt;0.000000001,0,W58-$B$11/$B$9*((MAX(0,MIN(1,W58))^2/(MAX(0,MIN(1,W58))^2+(1-MAX(0,MIN(1,W58)))^2/$B$5))-(MAX(0,MIN(1,V58))^2/(MAX(0,MIN(1,V58))^2+(1-MAX(0,MIN(1,V58)))^2/$B$5))))</f>
        <v>0.732248932762004</v>
      </c>
      <c r="X59" s="16" t="n">
        <f aca="false">IF(ABS(X58-$B$11/$B$9*((MAX(0,MIN(1,X58))^2/(MAX(0,MIN(1,X58))^2+(1-MAX(0,MIN(1,X58)))^2/$B$5))-(MAX(0,MIN(1,W58))^2/(MAX(0,MIN(1,W58))^2+(1-MAX(0,MIN(1,W58)))^2/$B$5))))&lt;0.000000001,0,X58-$B$11/$B$9*((MAX(0,MIN(1,X58))^2/(MAX(0,MIN(1,X58))^2+(1-MAX(0,MIN(1,X58)))^2/$B$5))-(MAX(0,MIN(1,W58))^2/(MAX(0,MIN(1,W58))^2+(1-MAX(0,MIN(1,W58)))^2/$B$5))))</f>
        <v>0.719202069115237</v>
      </c>
      <c r="Y59" s="16" t="n">
        <f aca="false">IF(ABS(Y58-$B$11/$B$9*((MAX(0,MIN(1,Y58))^2/(MAX(0,MIN(1,Y58))^2+(1-MAX(0,MIN(1,Y58)))^2/$B$5))-(MAX(0,MIN(1,X58))^2/(MAX(0,MIN(1,X58))^2+(1-MAX(0,MIN(1,X58)))^2/$B$5))))&lt;0.000000001,0,Y58-$B$11/$B$9*((MAX(0,MIN(1,Y58))^2/(MAX(0,MIN(1,Y58))^2+(1-MAX(0,MIN(1,Y58)))^2/$B$5))-(MAX(0,MIN(1,X58))^2/(MAX(0,MIN(1,X58))^2+(1-MAX(0,MIN(1,X58)))^2/$B$5))))</f>
        <v>0.706666054050894</v>
      </c>
      <c r="Z59" s="16" t="n">
        <f aca="false">IF(ABS(Z58-$B$11/$B$9*((MAX(0,MIN(1,Z58))^2/(MAX(0,MIN(1,Z58))^2+(1-MAX(0,MIN(1,Z58)))^2/$B$5))-(MAX(0,MIN(1,Y58))^2/(MAX(0,MIN(1,Y58))^2+(1-MAX(0,MIN(1,Y58)))^2/$B$5))))&lt;0.000000001,0,Z58-$B$11/$B$9*((MAX(0,MIN(1,Z58))^2/(MAX(0,MIN(1,Z58))^2+(1-MAX(0,MIN(1,Z58)))^2/$B$5))-(MAX(0,MIN(1,Y58))^2/(MAX(0,MIN(1,Y58))^2+(1-MAX(0,MIN(1,Y58)))^2/$B$5))))</f>
        <v>0.694555407326275</v>
      </c>
      <c r="AA59" s="16" t="n">
        <f aca="false">IF(ABS(AA58-$B$11/$B$9*((MAX(0,MIN(1,AA58))^2/(MAX(0,MIN(1,AA58))^2+(1-MAX(0,MIN(1,AA58)))^2/$B$5))-(MAX(0,MIN(1,Z58))^2/(MAX(0,MIN(1,Z58))^2+(1-MAX(0,MIN(1,Z58)))^2/$B$5))))&lt;0.000000001,0,AA58-$B$11/$B$9*((MAX(0,MIN(1,AA58))^2/(MAX(0,MIN(1,AA58))^2+(1-MAX(0,MIN(1,AA58)))^2/$B$5))-(MAX(0,MIN(1,Z58))^2/(MAX(0,MIN(1,Z58))^2+(1-MAX(0,MIN(1,Z58)))^2/$B$5))))</f>
        <v>0.682791482587349</v>
      </c>
      <c r="AB59" s="16" t="n">
        <f aca="false">IF(ABS(AB58-$B$11/$B$9*((MAX(0,MIN(1,AB58))^2/(MAX(0,MIN(1,AB58))^2+(1-MAX(0,MIN(1,AB58)))^2/$B$5))-(MAX(0,MIN(1,AA58))^2/(MAX(0,MIN(1,AA58))^2+(1-MAX(0,MIN(1,AA58)))^2/$B$5))))&lt;0.000000001,0,AB58-$B$11/$B$9*((MAX(0,MIN(1,AB58))^2/(MAX(0,MIN(1,AB58))^2+(1-MAX(0,MIN(1,AB58)))^2/$B$5))-(MAX(0,MIN(1,AA58))^2/(MAX(0,MIN(1,AA58))^2+(1-MAX(0,MIN(1,AA58)))^2/$B$5))))</f>
        <v>0.671298259682942</v>
      </c>
      <c r="AC59" s="16" t="n">
        <f aca="false">IF(ABS(AC58-$B$11/$B$9*((MAX(0,MIN(1,AC58))^2/(MAX(0,MIN(1,AC58))^2+(1-MAX(0,MIN(1,AC58)))^2/$B$5))-(MAX(0,MIN(1,AB58))^2/(MAX(0,MIN(1,AB58))^2+(1-MAX(0,MIN(1,AB58)))^2/$B$5))))&lt;0.000000001,0,AC58-$B$11/$B$9*((MAX(0,MIN(1,AC58))^2/(MAX(0,MIN(1,AC58))^2+(1-MAX(0,MIN(1,AC58)))^2/$B$5))-(MAX(0,MIN(1,AB58))^2/(MAX(0,MIN(1,AB58))^2+(1-MAX(0,MIN(1,AB58)))^2/$B$5))))</f>
        <v>0.659997654385476</v>
      </c>
      <c r="AD59" s="16" t="n">
        <f aca="false">IF(ABS(AD58-$B$11/$B$9*((MAX(0,MIN(1,AD58))^2/(MAX(0,MIN(1,AD58))^2+(1-MAX(0,MIN(1,AD58)))^2/$B$5))-(MAX(0,MIN(1,AC58))^2/(MAX(0,MIN(1,AC58))^2+(1-MAX(0,MIN(1,AC58)))^2/$B$5))))&lt;0.000000001,0,AD58-$B$11/$B$9*((MAX(0,MIN(1,AD58))^2/(MAX(0,MIN(1,AD58))^2+(1-MAX(0,MIN(1,AD58)))^2/$B$5))-(MAX(0,MIN(1,AC58))^2/(MAX(0,MIN(1,AC58))^2+(1-MAX(0,MIN(1,AC58)))^2/$B$5))))</f>
        <v>0.648803413032779</v>
      </c>
      <c r="AE59" s="16" t="n">
        <f aca="false">IF(ABS(AE58-$B$11/$B$9*((MAX(0,MIN(1,AE58))^2/(MAX(0,MIN(1,AE58))^2+(1-MAX(0,MIN(1,AE58)))^2/$B$5))-(MAX(0,MIN(1,AD58))^2/(MAX(0,MIN(1,AD58))^2+(1-MAX(0,MIN(1,AD58)))^2/$B$5))))&lt;0.000000001,0,AE58-$B$11/$B$9*((MAX(0,MIN(1,AE58))^2/(MAX(0,MIN(1,AE58))^2+(1-MAX(0,MIN(1,AE58)))^2/$B$5))-(MAX(0,MIN(1,AD58))^2/(MAX(0,MIN(1,AD58))^2+(1-MAX(0,MIN(1,AD58)))^2/$B$5))))</f>
        <v>0.637611985340333</v>
      </c>
      <c r="AF59" s="16" t="n">
        <f aca="false">IF(ABS(AF58-$B$11/$B$9*((MAX(0,MIN(1,AF58))^2/(MAX(0,MIN(1,AF58))^2+(1-MAX(0,MIN(1,AF58)))^2/$B$5))-(MAX(0,MIN(1,AE58))^2/(MAX(0,MIN(1,AE58))^2+(1-MAX(0,MIN(1,AE58)))^2/$B$5))))&lt;0.000000001,0,AF58-$B$11/$B$9*((MAX(0,MIN(1,AF58))^2/(MAX(0,MIN(1,AF58))^2+(1-MAX(0,MIN(1,AF58)))^2/$B$5))-(MAX(0,MIN(1,AE58))^2/(MAX(0,MIN(1,AE58))^2+(1-MAX(0,MIN(1,AE58)))^2/$B$5))))</f>
        <v>0.626287135279995</v>
      </c>
    </row>
    <row r="60" customFormat="false" ht="15" hidden="false" customHeight="false" outlineLevel="0" collapsed="false">
      <c r="A60" s="0" t="n">
        <v>0.55</v>
      </c>
      <c r="D60" s="0" t="n">
        <f aca="false">A60</f>
        <v>0.55</v>
      </c>
      <c r="E60" s="0" t="n">
        <f aca="false">(G60-G59)/(A60-A59)</f>
        <v>1.54565044305009</v>
      </c>
      <c r="F60" s="0" t="n">
        <f aca="false">G60/A60</f>
        <v>1.36222910216718</v>
      </c>
      <c r="G60" s="0" t="n">
        <f aca="false">A60^2/(A60^2+(1-A60)^2/$B$5)</f>
        <v>0.749226006191951</v>
      </c>
      <c r="L60" s="0" t="n">
        <v>50</v>
      </c>
      <c r="M60" s="16" t="n">
        <f aca="false">IF(ABS(M59-$B$11/$B$9*((MAX(0,MIN(1,M59))^2/(MAX(0,MIN(1,M59))^2+(1-MAX(0,MIN(1,M59)))^2/$B$5))-(MAX(0,MIN(1,1))^2/(MAX(0,MIN(1,1))^2+(1-MAX(0,MIN(1,1)))^2/$B$5))))&lt;0.000000001,0,M59-$B$11/$B$9*((MAX(0,MIN(1,M59))^2/(MAX(0,MIN(1,M59))^2+(1-MAX(0,MIN(1,M59)))^2/$B$5))-(MAX(0,MIN(1,1))^2/(MAX(0,MIN(1,1))^2+(1-MAX(0,MIN(1,1)))^2/$B$5))))</f>
        <v>0.934579091394578</v>
      </c>
      <c r="N60" s="16" t="n">
        <f aca="false">IF(ABS(N59-$B$11/$B$9*((MAX(0,MIN(1,N59))^2/(MAX(0,MIN(1,N59))^2+(1-MAX(0,MIN(1,N59)))^2/$B$5))-(MAX(0,MIN(1,M59))^2/(MAX(0,MIN(1,M59))^2+(1-MAX(0,MIN(1,M59)))^2/$B$5))))&lt;0.000000001,0,N59-$B$11/$B$9*((MAX(0,MIN(1,N59))^2/(MAX(0,MIN(1,N59))^2+(1-MAX(0,MIN(1,N59)))^2/$B$5))-(MAX(0,MIN(1,M59))^2/(MAX(0,MIN(1,M59))^2+(1-MAX(0,MIN(1,M59)))^2/$B$5))))</f>
        <v>0.901547435876971</v>
      </c>
      <c r="O60" s="16" t="n">
        <f aca="false">IF(ABS(O59-$B$11/$B$9*((MAX(0,MIN(1,O59))^2/(MAX(0,MIN(1,O59))^2+(1-MAX(0,MIN(1,O59)))^2/$B$5))-(MAX(0,MIN(1,N59))^2/(MAX(0,MIN(1,N59))^2+(1-MAX(0,MIN(1,N59)))^2/$B$5))))&lt;0.000000001,0,O59-$B$11/$B$9*((MAX(0,MIN(1,O59))^2/(MAX(0,MIN(1,O59))^2+(1-MAX(0,MIN(1,O59)))^2/$B$5))-(MAX(0,MIN(1,N59))^2/(MAX(0,MIN(1,N59))^2+(1-MAX(0,MIN(1,N59)))^2/$B$5))))</f>
        <v>0.874589604447533</v>
      </c>
      <c r="P60" s="16" t="n">
        <f aca="false">IF(ABS(P59-$B$11/$B$9*((MAX(0,MIN(1,P59))^2/(MAX(0,MIN(1,P59))^2+(1-MAX(0,MIN(1,P59)))^2/$B$5))-(MAX(0,MIN(1,O59))^2/(MAX(0,MIN(1,O59))^2+(1-MAX(0,MIN(1,O59)))^2/$B$5))))&lt;0.000000001,0,P59-$B$11/$B$9*((MAX(0,MIN(1,P59))^2/(MAX(0,MIN(1,P59))^2+(1-MAX(0,MIN(1,P59)))^2/$B$5))-(MAX(0,MIN(1,O59))^2/(MAX(0,MIN(1,O59))^2+(1-MAX(0,MIN(1,O59)))^2/$B$5))))</f>
        <v>0.851248894439056</v>
      </c>
      <c r="Q60" s="16" t="n">
        <f aca="false">IF(ABS(Q59-$B$11/$B$9*((MAX(0,MIN(1,Q59))^2/(MAX(0,MIN(1,Q59))^2+(1-MAX(0,MIN(1,Q59)))^2/$B$5))-(MAX(0,MIN(1,P59))^2/(MAX(0,MIN(1,P59))^2+(1-MAX(0,MIN(1,P59)))^2/$B$5))))&lt;0.000000001,0,Q59-$B$11/$B$9*((MAX(0,MIN(1,Q59))^2/(MAX(0,MIN(1,Q59))^2+(1-MAX(0,MIN(1,Q59)))^2/$B$5))-(MAX(0,MIN(1,P59))^2/(MAX(0,MIN(1,P59))^2+(1-MAX(0,MIN(1,P59)))^2/$B$5))))</f>
        <v>0.830452682208045</v>
      </c>
      <c r="R60" s="16" t="n">
        <f aca="false">IF(ABS(R59-$B$11/$B$9*((MAX(0,MIN(1,R59))^2/(MAX(0,MIN(1,R59))^2+(1-MAX(0,MIN(1,R59)))^2/$B$5))-(MAX(0,MIN(1,Q59))^2/(MAX(0,MIN(1,Q59))^2+(1-MAX(0,MIN(1,Q59)))^2/$B$5))))&lt;0.000000001,0,R59-$B$11/$B$9*((MAX(0,MIN(1,R59))^2/(MAX(0,MIN(1,R59))^2+(1-MAX(0,MIN(1,R59)))^2/$B$5))-(MAX(0,MIN(1,Q59))^2/(MAX(0,MIN(1,Q59))^2+(1-MAX(0,MIN(1,Q59)))^2/$B$5))))</f>
        <v>0.81158327801802</v>
      </c>
      <c r="S60" s="16" t="n">
        <f aca="false">IF(ABS(S59-$B$11/$B$9*((MAX(0,MIN(1,S59))^2/(MAX(0,MIN(1,S59))^2+(1-MAX(0,MIN(1,S59)))^2/$B$5))-(MAX(0,MIN(1,R59))^2/(MAX(0,MIN(1,R59))^2+(1-MAX(0,MIN(1,R59)))^2/$B$5))))&lt;0.000000001,0,S59-$B$11/$B$9*((MAX(0,MIN(1,S59))^2/(MAX(0,MIN(1,S59))^2+(1-MAX(0,MIN(1,S59)))^2/$B$5))-(MAX(0,MIN(1,R59))^2/(MAX(0,MIN(1,R59))^2+(1-MAX(0,MIN(1,R59)))^2/$B$5))))</f>
        <v>0.794235170365644</v>
      </c>
      <c r="T60" s="16" t="n">
        <f aca="false">IF(ABS(T59-$B$11/$B$9*((MAX(0,MIN(1,T59))^2/(MAX(0,MIN(1,T59))^2+(1-MAX(0,MIN(1,T59)))^2/$B$5))-(MAX(0,MIN(1,S59))^2/(MAX(0,MIN(1,S59))^2+(1-MAX(0,MIN(1,S59)))^2/$B$5))))&lt;0.000000001,0,T59-$B$11/$B$9*((MAX(0,MIN(1,T59))^2/(MAX(0,MIN(1,T59))^2+(1-MAX(0,MIN(1,T59)))^2/$B$5))-(MAX(0,MIN(1,S59))^2/(MAX(0,MIN(1,S59))^2+(1-MAX(0,MIN(1,S59)))^2/$B$5))))</f>
        <v>0.778120802313984</v>
      </c>
      <c r="U60" s="16" t="n">
        <f aca="false">IF(ABS(U59-$B$11/$B$9*((MAX(0,MIN(1,U59))^2/(MAX(0,MIN(1,U59))^2+(1-MAX(0,MIN(1,U59)))^2/$B$5))-(MAX(0,MIN(1,T59))^2/(MAX(0,MIN(1,T59))^2+(1-MAX(0,MIN(1,T59)))^2/$B$5))))&lt;0.000000001,0,U59-$B$11/$B$9*((MAX(0,MIN(1,U59))^2/(MAX(0,MIN(1,U59))^2+(1-MAX(0,MIN(1,U59)))^2/$B$5))-(MAX(0,MIN(1,T59))^2/(MAX(0,MIN(1,T59))^2+(1-MAX(0,MIN(1,T59)))^2/$B$5))))</f>
        <v>0.763025354641848</v>
      </c>
      <c r="V60" s="16" t="n">
        <f aca="false">IF(ABS(V59-$B$11/$B$9*((MAX(0,MIN(1,V59))^2/(MAX(0,MIN(1,V59))^2+(1-MAX(0,MIN(1,V59)))^2/$B$5))-(MAX(0,MIN(1,U59))^2/(MAX(0,MIN(1,U59))^2+(1-MAX(0,MIN(1,U59)))^2/$B$5))))&lt;0.000000001,0,V59-$B$11/$B$9*((MAX(0,MIN(1,V59))^2/(MAX(0,MIN(1,V59))^2+(1-MAX(0,MIN(1,V59)))^2/$B$5))-(MAX(0,MIN(1,U59))^2/(MAX(0,MIN(1,U59))^2+(1-MAX(0,MIN(1,U59)))^2/$B$5))))</f>
        <v>0.748781933534701</v>
      </c>
      <c r="W60" s="16" t="n">
        <f aca="false">IF(ABS(W59-$B$11/$B$9*((MAX(0,MIN(1,W59))^2/(MAX(0,MIN(1,W59))^2+(1-MAX(0,MIN(1,W59)))^2/$B$5))-(MAX(0,MIN(1,V59))^2/(MAX(0,MIN(1,V59))^2+(1-MAX(0,MIN(1,V59)))^2/$B$5))))&lt;0.000000001,0,W59-$B$11/$B$9*((MAX(0,MIN(1,W59))^2/(MAX(0,MIN(1,W59))^2+(1-MAX(0,MIN(1,W59)))^2/$B$5))-(MAX(0,MIN(1,V59))^2/(MAX(0,MIN(1,V59))^2+(1-MAX(0,MIN(1,V59)))^2/$B$5))))</f>
        <v>0.735256610377937</v>
      </c>
      <c r="X60" s="16" t="n">
        <f aca="false">IF(ABS(X59-$B$11/$B$9*((MAX(0,MIN(1,X59))^2/(MAX(0,MIN(1,X59))^2+(1-MAX(0,MIN(1,X59)))^2/$B$5))-(MAX(0,MIN(1,W59))^2/(MAX(0,MIN(1,W59))^2+(1-MAX(0,MIN(1,W59)))^2/$B$5))))&lt;0.000000001,0,X59-$B$11/$B$9*((MAX(0,MIN(1,X59))^2/(MAX(0,MIN(1,X59))^2+(1-MAX(0,MIN(1,X59)))^2/$B$5))-(MAX(0,MIN(1,W59))^2/(MAX(0,MIN(1,W59))^2+(1-MAX(0,MIN(1,W59)))^2/$B$5))))</f>
        <v>0.722338710522328</v>
      </c>
      <c r="Y60" s="16" t="n">
        <f aca="false">IF(ABS(Y59-$B$11/$B$9*((MAX(0,MIN(1,Y59))^2/(MAX(0,MIN(1,Y59))^2+(1-MAX(0,MIN(1,Y59)))^2/$B$5))-(MAX(0,MIN(1,X59))^2/(MAX(0,MIN(1,X59))^2+(1-MAX(0,MIN(1,X59)))^2/$B$5))))&lt;0.000000001,0,Y59-$B$11/$B$9*((MAX(0,MIN(1,Y59))^2/(MAX(0,MIN(1,Y59))^2+(1-MAX(0,MIN(1,Y59)))^2/$B$5))-(MAX(0,MIN(1,X59))^2/(MAX(0,MIN(1,X59))^2+(1-MAX(0,MIN(1,X59)))^2/$B$5))))</f>
        <v>0.709934072975375</v>
      </c>
      <c r="Z60" s="16" t="n">
        <f aca="false">IF(ABS(Z59-$B$11/$B$9*((MAX(0,MIN(1,Z59))^2/(MAX(0,MIN(1,Z59))^2+(1-MAX(0,MIN(1,Z59)))^2/$B$5))-(MAX(0,MIN(1,Y59))^2/(MAX(0,MIN(1,Y59))^2+(1-MAX(0,MIN(1,Y59)))^2/$B$5))))&lt;0.000000001,0,Z59-$B$11/$B$9*((MAX(0,MIN(1,Z59))^2/(MAX(0,MIN(1,Z59))^2+(1-MAX(0,MIN(1,Z59)))^2/$B$5))-(MAX(0,MIN(1,Y59))^2/(MAX(0,MIN(1,Y59))^2+(1-MAX(0,MIN(1,Y59)))^2/$B$5))))</f>
        <v>0.697960020385367</v>
      </c>
      <c r="AA60" s="16" t="n">
        <f aca="false">IF(ABS(AA59-$B$11/$B$9*((MAX(0,MIN(1,AA59))^2/(MAX(0,MIN(1,AA59))^2+(1-MAX(0,MIN(1,AA59)))^2/$B$5))-(MAX(0,MIN(1,Z59))^2/(MAX(0,MIN(1,Z59))^2+(1-MAX(0,MIN(1,Z59)))^2/$B$5))))&lt;0.000000001,0,AA59-$B$11/$B$9*((MAX(0,MIN(1,AA59))^2/(MAX(0,MIN(1,AA59))^2+(1-MAX(0,MIN(1,AA59)))^2/$B$5))-(MAX(0,MIN(1,Z59))^2/(MAX(0,MIN(1,Z59))^2+(1-MAX(0,MIN(1,Z59)))^2/$B$5))))</f>
        <v>0.686341247968739</v>
      </c>
      <c r="AB60" s="16" t="n">
        <f aca="false">IF(ABS(AB59-$B$11/$B$9*((MAX(0,MIN(1,AB59))^2/(MAX(0,MIN(1,AB59))^2+(1-MAX(0,MIN(1,AB59)))^2/$B$5))-(MAX(0,MIN(1,AA59))^2/(MAX(0,MIN(1,AA59))^2+(1-MAX(0,MIN(1,AA59)))^2/$B$5))))&lt;0.000000001,0,AB59-$B$11/$B$9*((MAX(0,MIN(1,AB59))^2/(MAX(0,MIN(1,AB59))^2+(1-MAX(0,MIN(1,AB59)))^2/$B$5))-(MAX(0,MIN(1,AA59))^2/(MAX(0,MIN(1,AA59))^2+(1-MAX(0,MIN(1,AA59)))^2/$B$5))))</f>
        <v>0.675006039391012</v>
      </c>
      <c r="AC60" s="16" t="n">
        <f aca="false">IF(ABS(AC59-$B$11/$B$9*((MAX(0,MIN(1,AC59))^2/(MAX(0,MIN(1,AC59))^2+(1-MAX(0,MIN(1,AC59)))^2/$B$5))-(MAX(0,MIN(1,AB59))^2/(MAX(0,MIN(1,AB59))^2+(1-MAX(0,MIN(1,AB59)))^2/$B$5))))&lt;0.000000001,0,AC59-$B$11/$B$9*((MAX(0,MIN(1,AC59))^2/(MAX(0,MIN(1,AC59))^2+(1-MAX(0,MIN(1,AC59)))^2/$B$5))-(MAX(0,MIN(1,AB59))^2/(MAX(0,MIN(1,AB59))^2+(1-MAX(0,MIN(1,AB59)))^2/$B$5))))</f>
        <v>0.663882243846815</v>
      </c>
      <c r="AD60" s="16" t="n">
        <f aca="false">IF(ABS(AD59-$B$11/$B$9*((MAX(0,MIN(1,AD59))^2/(MAX(0,MIN(1,AD59))^2+(1-MAX(0,MIN(1,AD59)))^2/$B$5))-(MAX(0,MIN(1,AC59))^2/(MAX(0,MIN(1,AC59))^2+(1-MAX(0,MIN(1,AC59)))^2/$B$5))))&lt;0.000000001,0,AD59-$B$11/$B$9*((MAX(0,MIN(1,AD59))^2/(MAX(0,MIN(1,AD59))^2+(1-MAX(0,MIN(1,AD59)))^2/$B$5))-(MAX(0,MIN(1,AC59))^2/(MAX(0,MIN(1,AC59))^2+(1-MAX(0,MIN(1,AC59)))^2/$B$5))))</f>
        <v>0.652892299312287</v>
      </c>
      <c r="AE60" s="16" t="n">
        <f aca="false">IF(ABS(AE59-$B$11/$B$9*((MAX(0,MIN(1,AE59))^2/(MAX(0,MIN(1,AE59))^2+(1-MAX(0,MIN(1,AE59)))^2/$B$5))-(MAX(0,MIN(1,AD59))^2/(MAX(0,MIN(1,AD59))^2+(1-MAX(0,MIN(1,AD59)))^2/$B$5))))&lt;0.000000001,0,AE59-$B$11/$B$9*((MAX(0,MIN(1,AE59))^2/(MAX(0,MIN(1,AE59))^2+(1-MAX(0,MIN(1,AE59)))^2/$B$5))-(MAX(0,MIN(1,AD59))^2/(MAX(0,MIN(1,AD59))^2+(1-MAX(0,MIN(1,AD59)))^2/$B$5))))</f>
        <v>0.641946150382208</v>
      </c>
      <c r="AF60" s="16" t="n">
        <f aca="false">IF(ABS(AF59-$B$11/$B$9*((MAX(0,MIN(1,AF59))^2/(MAX(0,MIN(1,AF59))^2+(1-MAX(0,MIN(1,AF59)))^2/$B$5))-(MAX(0,MIN(1,AE59))^2/(MAX(0,MIN(1,AE59))^2+(1-MAX(0,MIN(1,AE59)))^2/$B$5))))&lt;0.000000001,0,AF59-$B$11/$B$9*((MAX(0,MIN(1,AF59))^2/(MAX(0,MIN(1,AF59))^2+(1-MAX(0,MIN(1,AF59)))^2/$B$5))-(MAX(0,MIN(1,AE59))^2/(MAX(0,MIN(1,AE59))^2+(1-MAX(0,MIN(1,AE59)))^2/$B$5))))</f>
        <v>0.630929860847126</v>
      </c>
    </row>
    <row r="61" customFormat="false" ht="15" hidden="false" customHeight="false" outlineLevel="0" collapsed="false">
      <c r="A61" s="0" t="n">
        <v>0.56</v>
      </c>
      <c r="D61" s="0" t="n">
        <f aca="false">A61</f>
        <v>0.56</v>
      </c>
      <c r="E61" s="0" t="n">
        <f aca="false">(G61-G60)/(A61-A60)</f>
        <v>1.49065474142874</v>
      </c>
      <c r="F61" s="0" t="n">
        <f aca="false">G61/A61</f>
        <v>1.364522417154</v>
      </c>
      <c r="G61" s="0" t="n">
        <f aca="false">A61^2/(A61^2+(1-A61)^2/$B$5)</f>
        <v>0.764132553606238</v>
      </c>
      <c r="L61" s="0" t="n">
        <v>51</v>
      </c>
      <c r="M61" s="16" t="n">
        <f aca="false">IF(ABS(M60-$B$11/$B$9*((MAX(0,MIN(1,M60))^2/(MAX(0,MIN(1,M60))^2+(1-MAX(0,MIN(1,M60)))^2/$B$5))-(MAX(0,MIN(1,1))^2/(MAX(0,MIN(1,1))^2+(1-MAX(0,MIN(1,1)))^2/$B$5))))&lt;0.000000001,0,M60-$B$11/$B$9*((MAX(0,MIN(1,M60))^2/(MAX(0,MIN(1,M60))^2+(1-MAX(0,MIN(1,M60)))^2/$B$5))-(MAX(0,MIN(1,1))^2/(MAX(0,MIN(1,1))^2+(1-MAX(0,MIN(1,1)))^2/$B$5))))</f>
        <v>0.93551890144747</v>
      </c>
      <c r="N61" s="16" t="n">
        <f aca="false">IF(ABS(N60-$B$11/$B$9*((MAX(0,MIN(1,N60))^2/(MAX(0,MIN(1,N60))^2+(1-MAX(0,MIN(1,N60)))^2/$B$5))-(MAX(0,MIN(1,M60))^2/(MAX(0,MIN(1,M60))^2+(1-MAX(0,MIN(1,M60)))^2/$B$5))))&lt;0.000000001,0,N60-$B$11/$B$9*((MAX(0,MIN(1,N60))^2/(MAX(0,MIN(1,N60))^2+(1-MAX(0,MIN(1,N60)))^2/$B$5))-(MAX(0,MIN(1,M60))^2/(MAX(0,MIN(1,M60))^2+(1-MAX(0,MIN(1,M60)))^2/$B$5))))</f>
        <v>0.902886901172453</v>
      </c>
      <c r="O61" s="16" t="n">
        <f aca="false">IF(ABS(O60-$B$11/$B$9*((MAX(0,MIN(1,O60))^2/(MAX(0,MIN(1,O60))^2+(1-MAX(0,MIN(1,O60)))^2/$B$5))-(MAX(0,MIN(1,N60))^2/(MAX(0,MIN(1,N60))^2+(1-MAX(0,MIN(1,N60)))^2/$B$5))))&lt;0.000000001,0,O60-$B$11/$B$9*((MAX(0,MIN(1,O60))^2/(MAX(0,MIN(1,O60))^2+(1-MAX(0,MIN(1,O60)))^2/$B$5))-(MAX(0,MIN(1,N60))^2/(MAX(0,MIN(1,N60))^2+(1-MAX(0,MIN(1,N60)))^2/$B$5))))</f>
        <v>0.876223403765867</v>
      </c>
      <c r="P61" s="16" t="n">
        <f aca="false">IF(ABS(P60-$B$11/$B$9*((MAX(0,MIN(1,P60))^2/(MAX(0,MIN(1,P60))^2+(1-MAX(0,MIN(1,P60)))^2/$B$5))-(MAX(0,MIN(1,O60))^2/(MAX(0,MIN(1,O60))^2+(1-MAX(0,MIN(1,O60)))^2/$B$5))))&lt;0.000000001,0,P60-$B$11/$B$9*((MAX(0,MIN(1,P60))^2/(MAX(0,MIN(1,P60))^2+(1-MAX(0,MIN(1,P60)))^2/$B$5))-(MAX(0,MIN(1,O60))^2/(MAX(0,MIN(1,O60))^2+(1-MAX(0,MIN(1,O60)))^2/$B$5))))</f>
        <v>0.85311849037718</v>
      </c>
      <c r="Q61" s="16" t="n">
        <f aca="false">IF(ABS(Q60-$B$11/$B$9*((MAX(0,MIN(1,Q60))^2/(MAX(0,MIN(1,Q60))^2+(1-MAX(0,MIN(1,Q60)))^2/$B$5))-(MAX(0,MIN(1,P60))^2/(MAX(0,MIN(1,P60))^2+(1-MAX(0,MIN(1,P60)))^2/$B$5))))&lt;0.000000001,0,Q60-$B$11/$B$9*((MAX(0,MIN(1,Q60))^2/(MAX(0,MIN(1,Q60))^2+(1-MAX(0,MIN(1,Q60)))^2/$B$5))-(MAX(0,MIN(1,P60))^2/(MAX(0,MIN(1,P60))^2+(1-MAX(0,MIN(1,P60)))^2/$B$5))))</f>
        <v>0.832520482064365</v>
      </c>
      <c r="R61" s="16" t="n">
        <f aca="false">IF(ABS(R60-$B$11/$B$9*((MAX(0,MIN(1,R60))^2/(MAX(0,MIN(1,R60))^2+(1-MAX(0,MIN(1,R60)))^2/$B$5))-(MAX(0,MIN(1,Q60))^2/(MAX(0,MIN(1,Q60))^2+(1-MAX(0,MIN(1,Q60)))^2/$B$5))))&lt;0.000000001,0,R60-$B$11/$B$9*((MAX(0,MIN(1,R60))^2/(MAX(0,MIN(1,R60))^2+(1-MAX(0,MIN(1,R60)))^2/$B$5))-(MAX(0,MIN(1,Q60))^2/(MAX(0,MIN(1,Q60))^2+(1-MAX(0,MIN(1,Q60)))^2/$B$5))))</f>
        <v>0.813823608196533</v>
      </c>
      <c r="S61" s="16" t="n">
        <f aca="false">IF(ABS(S60-$B$11/$B$9*((MAX(0,MIN(1,S60))^2/(MAX(0,MIN(1,S60))^2+(1-MAX(0,MIN(1,S60)))^2/$B$5))-(MAX(0,MIN(1,R60))^2/(MAX(0,MIN(1,R60))^2+(1-MAX(0,MIN(1,R60)))^2/$B$5))))&lt;0.000000001,0,S60-$B$11/$B$9*((MAX(0,MIN(1,S60))^2/(MAX(0,MIN(1,S60))^2+(1-MAX(0,MIN(1,S60)))^2/$B$5))-(MAX(0,MIN(1,R60))^2/(MAX(0,MIN(1,R60))^2+(1-MAX(0,MIN(1,R60)))^2/$B$5))))</f>
        <v>0.796629998557118</v>
      </c>
      <c r="T61" s="16" t="n">
        <f aca="false">IF(ABS(T60-$B$11/$B$9*((MAX(0,MIN(1,T60))^2/(MAX(0,MIN(1,T60))^2+(1-MAX(0,MIN(1,T60)))^2/$B$5))-(MAX(0,MIN(1,S60))^2/(MAX(0,MIN(1,S60))^2+(1-MAX(0,MIN(1,S60)))^2/$B$5))))&lt;0.000000001,0,T60-$B$11/$B$9*((MAX(0,MIN(1,T60))^2/(MAX(0,MIN(1,T60))^2+(1-MAX(0,MIN(1,T60)))^2/$B$5))-(MAX(0,MIN(1,S60))^2/(MAX(0,MIN(1,S60))^2+(1-MAX(0,MIN(1,S60)))^2/$B$5))))</f>
        <v>0.780657400898084</v>
      </c>
      <c r="U61" s="16" t="n">
        <f aca="false">IF(ABS(U60-$B$11/$B$9*((MAX(0,MIN(1,U60))^2/(MAX(0,MIN(1,U60))^2+(1-MAX(0,MIN(1,U60)))^2/$B$5))-(MAX(0,MIN(1,T60))^2/(MAX(0,MIN(1,T60))^2+(1-MAX(0,MIN(1,T60)))^2/$B$5))))&lt;0.000000001,0,U60-$B$11/$B$9*((MAX(0,MIN(1,U60))^2/(MAX(0,MIN(1,U60))^2+(1-MAX(0,MIN(1,U60)))^2/$B$5))-(MAX(0,MIN(1,T60))^2/(MAX(0,MIN(1,T60))^2+(1-MAX(0,MIN(1,T60)))^2/$B$5))))</f>
        <v>0.765694927303517</v>
      </c>
      <c r="V61" s="16" t="n">
        <f aca="false">IF(ABS(V60-$B$11/$B$9*((MAX(0,MIN(1,V60))^2/(MAX(0,MIN(1,V60))^2+(1-MAX(0,MIN(1,V60)))^2/$B$5))-(MAX(0,MIN(1,U60))^2/(MAX(0,MIN(1,U60))^2+(1-MAX(0,MIN(1,U60)))^2/$B$5))))&lt;0.000000001,0,V60-$B$11/$B$9*((MAX(0,MIN(1,V60))^2/(MAX(0,MIN(1,V60))^2+(1-MAX(0,MIN(1,V60)))^2/$B$5))-(MAX(0,MIN(1,U60))^2/(MAX(0,MIN(1,U60))^2+(1-MAX(0,MIN(1,U60)))^2/$B$5))))</f>
        <v>0.751578785787832</v>
      </c>
      <c r="W61" s="16" t="n">
        <f aca="false">IF(ABS(W60-$B$11/$B$9*((MAX(0,MIN(1,W60))^2/(MAX(0,MIN(1,W60))^2+(1-MAX(0,MIN(1,W60)))^2/$B$5))-(MAX(0,MIN(1,V60))^2/(MAX(0,MIN(1,V60))^2+(1-MAX(0,MIN(1,V60)))^2/$B$5))))&lt;0.000000001,0,W60-$B$11/$B$9*((MAX(0,MIN(1,W60))^2/(MAX(0,MIN(1,W60))^2+(1-MAX(0,MIN(1,W60)))^2/$B$5))-(MAX(0,MIN(1,V60))^2/(MAX(0,MIN(1,V60))^2+(1-MAX(0,MIN(1,V60)))^2/$B$5))))</f>
        <v>0.738177663060763</v>
      </c>
      <c r="X61" s="16" t="n">
        <f aca="false">IF(ABS(X60-$B$11/$B$9*((MAX(0,MIN(1,X60))^2/(MAX(0,MIN(1,X60))^2+(1-MAX(0,MIN(1,X60)))^2/$B$5))-(MAX(0,MIN(1,W60))^2/(MAX(0,MIN(1,W60))^2+(1-MAX(0,MIN(1,W60)))^2/$B$5))))&lt;0.000000001,0,X60-$B$11/$B$9*((MAX(0,MIN(1,X60))^2/(MAX(0,MIN(1,X60))^2+(1-MAX(0,MIN(1,X60)))^2/$B$5))-(MAX(0,MIN(1,W60))^2/(MAX(0,MIN(1,W60))^2+(1-MAX(0,MIN(1,W60)))^2/$B$5))))</f>
        <v>0.725383257462449</v>
      </c>
      <c r="Y61" s="16" t="n">
        <f aca="false">IF(ABS(Y60-$B$11/$B$9*((MAX(0,MIN(1,Y60))^2/(MAX(0,MIN(1,Y60))^2+(1-MAX(0,MIN(1,Y60)))^2/$B$5))-(MAX(0,MIN(1,X60))^2/(MAX(0,MIN(1,X60))^2+(1-MAX(0,MIN(1,X60)))^2/$B$5))))&lt;0.000000001,0,Y60-$B$11/$B$9*((MAX(0,MIN(1,Y60))^2/(MAX(0,MIN(1,Y60))^2+(1-MAX(0,MIN(1,Y60)))^2/$B$5))-(MAX(0,MIN(1,X60))^2/(MAX(0,MIN(1,X60))^2+(1-MAX(0,MIN(1,X60)))^2/$B$5))))</f>
        <v>0.713103741354732</v>
      </c>
      <c r="Z61" s="16" t="n">
        <f aca="false">IF(ABS(Z60-$B$11/$B$9*((MAX(0,MIN(1,Z60))^2/(MAX(0,MIN(1,Z60))^2+(1-MAX(0,MIN(1,Z60)))^2/$B$5))-(MAX(0,MIN(1,Y60))^2/(MAX(0,MIN(1,Y60))^2+(1-MAX(0,MIN(1,Y60)))^2/$B$5))))&lt;0.000000001,0,Z60-$B$11/$B$9*((MAX(0,MIN(1,Z60))^2/(MAX(0,MIN(1,Z60))^2+(1-MAX(0,MIN(1,Z60)))^2/$B$5))-(MAX(0,MIN(1,Y60))^2/(MAX(0,MIN(1,Y60))^2+(1-MAX(0,MIN(1,Y60)))^2/$B$5))))</f>
        <v>0.701258933493489</v>
      </c>
      <c r="AA61" s="16" t="n">
        <f aca="false">IF(ABS(AA60-$B$11/$B$9*((MAX(0,MIN(1,AA60))^2/(MAX(0,MIN(1,AA60))^2+(1-MAX(0,MIN(1,AA60)))^2/$B$5))-(MAX(0,MIN(1,Z60))^2/(MAX(0,MIN(1,Z60))^2+(1-MAX(0,MIN(1,Z60)))^2/$B$5))))&lt;0.000000001,0,AA60-$B$11/$B$9*((MAX(0,MIN(1,AA60))^2/(MAX(0,MIN(1,AA60))^2+(1-MAX(0,MIN(1,AA60)))^2/$B$5))-(MAX(0,MIN(1,Z60))^2/(MAX(0,MIN(1,Z60))^2+(1-MAX(0,MIN(1,Z60)))^2/$B$5))))</f>
        <v>0.689776430389448</v>
      </c>
      <c r="AB61" s="16" t="n">
        <f aca="false">IF(ABS(AB60-$B$11/$B$9*((MAX(0,MIN(1,AB60))^2/(MAX(0,MIN(1,AB60))^2+(1-MAX(0,MIN(1,AB60)))^2/$B$5))-(MAX(0,MIN(1,AA60))^2/(MAX(0,MIN(1,AA60))^2+(1-MAX(0,MIN(1,AA60)))^2/$B$5))))&lt;0.000000001,0,AB60-$B$11/$B$9*((MAX(0,MIN(1,AB60))^2/(MAX(0,MIN(1,AB60))^2+(1-MAX(0,MIN(1,AB60)))^2/$B$5))-(MAX(0,MIN(1,AA60))^2/(MAX(0,MIN(1,AA60))^2+(1-MAX(0,MIN(1,AA60)))^2/$B$5))))</f>
        <v>0.678588157329643</v>
      </c>
      <c r="AC61" s="16" t="n">
        <f aca="false">IF(ABS(AC60-$B$11/$B$9*((MAX(0,MIN(1,AC60))^2/(MAX(0,MIN(1,AC60))^2+(1-MAX(0,MIN(1,AC60)))^2/$B$5))-(MAX(0,MIN(1,AB60))^2/(MAX(0,MIN(1,AB60))^2+(1-MAX(0,MIN(1,AB60)))^2/$B$5))))&lt;0.000000001,0,AC60-$B$11/$B$9*((MAX(0,MIN(1,AC60))^2/(MAX(0,MIN(1,AC60))^2+(1-MAX(0,MIN(1,AC60)))^2/$B$5))-(MAX(0,MIN(1,AB60))^2/(MAX(0,MIN(1,AB60))^2+(1-MAX(0,MIN(1,AB60)))^2/$B$5))))</f>
        <v>0.667626856972334</v>
      </c>
      <c r="AD61" s="16" t="n">
        <f aca="false">IF(ABS(AD60-$B$11/$B$9*((MAX(0,MIN(1,AD60))^2/(MAX(0,MIN(1,AD60))^2+(1-MAX(0,MIN(1,AD60)))^2/$B$5))-(MAX(0,MIN(1,AC60))^2/(MAX(0,MIN(1,AC60))^2+(1-MAX(0,MIN(1,AC60)))^2/$B$5))))&lt;0.000000001,0,AD60-$B$11/$B$9*((MAX(0,MIN(1,AD60))^2/(MAX(0,MIN(1,AD60))^2+(1-MAX(0,MIN(1,AD60)))^2/$B$5))-(MAX(0,MIN(1,AC60))^2/(MAX(0,MIN(1,AC60))^2+(1-MAX(0,MIN(1,AC60)))^2/$B$5))))</f>
        <v>0.656821952295093</v>
      </c>
      <c r="AE61" s="16" t="n">
        <f aca="false">IF(ABS(AE60-$B$11/$B$9*((MAX(0,MIN(1,AE60))^2/(MAX(0,MIN(1,AE60))^2+(1-MAX(0,MIN(1,AE60)))^2/$B$5))-(MAX(0,MIN(1,AD60))^2/(MAX(0,MIN(1,AD60))^2+(1-MAX(0,MIN(1,AD60)))^2/$B$5))))&lt;0.000000001,0,AE60-$B$11/$B$9*((MAX(0,MIN(1,AE60))^2/(MAX(0,MIN(1,AE60))^2+(1-MAX(0,MIN(1,AE60)))^2/$B$5))-(MAX(0,MIN(1,AD60))^2/(MAX(0,MIN(1,AD60))^2+(1-MAX(0,MIN(1,AD60)))^2/$B$5))))</f>
        <v>0.646093937918655</v>
      </c>
      <c r="AF61" s="16" t="n">
        <f aca="false">IF(ABS(AF60-$B$11/$B$9*((MAX(0,MIN(1,AF60))^2/(MAX(0,MIN(1,AF60))^2+(1-MAX(0,MIN(1,AF60)))^2/$B$5))-(MAX(0,MIN(1,AE60))^2/(MAX(0,MIN(1,AE60))^2+(1-MAX(0,MIN(1,AE60)))^2/$B$5))))&lt;0.000000001,0,AF60-$B$11/$B$9*((MAX(0,MIN(1,AF60))^2/(MAX(0,MIN(1,AF60))^2+(1-MAX(0,MIN(1,AF60)))^2/$B$5))-(MAX(0,MIN(1,AE60))^2/(MAX(0,MIN(1,AE60))^2+(1-MAX(0,MIN(1,AE60)))^2/$B$5))))</f>
        <v>0.635345770721455</v>
      </c>
    </row>
    <row r="62" customFormat="false" ht="15" hidden="false" customHeight="false" outlineLevel="0" collapsed="false">
      <c r="A62" s="0" t="n">
        <v>0.57</v>
      </c>
      <c r="D62" s="0" t="n">
        <f aca="false">A62</f>
        <v>0.57</v>
      </c>
      <c r="E62" s="0" t="n">
        <f aca="false">(G62-G61)/(A62-A61)</f>
        <v>1.4350733802412</v>
      </c>
      <c r="F62" s="0" t="n">
        <f aca="false">G62/A62</f>
        <v>1.36576015334851</v>
      </c>
      <c r="G62" s="0" t="n">
        <f aca="false">A62^2/(A62^2+(1-A62)^2/$B$5)</f>
        <v>0.77848328740865</v>
      </c>
      <c r="L62" s="0" t="n">
        <v>52</v>
      </c>
      <c r="M62" s="16" t="n">
        <f aca="false">IF(ABS(M61-$B$11/$B$9*((MAX(0,MIN(1,M61))^2/(MAX(0,MIN(1,M61))^2+(1-MAX(0,MIN(1,M61)))^2/$B$5))-(MAX(0,MIN(1,1))^2/(MAX(0,MIN(1,1))^2+(1-MAX(0,MIN(1,1)))^2/$B$5))))&lt;0.000000001,0,M61-$B$11/$B$9*((MAX(0,MIN(1,M61))^2/(MAX(0,MIN(1,M61))^2+(1-MAX(0,MIN(1,M61)))^2/$B$5))-(MAX(0,MIN(1,1))^2/(MAX(0,MIN(1,1))^2+(1-MAX(0,MIN(1,1)))^2/$B$5))))</f>
        <v>0.936430138008172</v>
      </c>
      <c r="N62" s="16" t="n">
        <f aca="false">IF(ABS(N61-$B$11/$B$9*((MAX(0,MIN(1,N61))^2/(MAX(0,MIN(1,N61))^2+(1-MAX(0,MIN(1,N61)))^2/$B$5))-(MAX(0,MIN(1,M61))^2/(MAX(0,MIN(1,M61))^2+(1-MAX(0,MIN(1,M61)))^2/$B$5))))&lt;0.000000001,0,N61-$B$11/$B$9*((MAX(0,MIN(1,N61))^2/(MAX(0,MIN(1,N61))^2+(1-MAX(0,MIN(1,N61)))^2/$B$5))-(MAX(0,MIN(1,M61))^2/(MAX(0,MIN(1,M61))^2+(1-MAX(0,MIN(1,M61)))^2/$B$5))))</f>
        <v>0.904187158878897</v>
      </c>
      <c r="O62" s="16" t="n">
        <f aca="false">IF(ABS(O61-$B$11/$B$9*((MAX(0,MIN(1,O61))^2/(MAX(0,MIN(1,O61))^2+(1-MAX(0,MIN(1,O61)))^2/$B$5))-(MAX(0,MIN(1,N61))^2/(MAX(0,MIN(1,N61))^2+(1-MAX(0,MIN(1,N61)))^2/$B$5))))&lt;0.000000001,0,O61-$B$11/$B$9*((MAX(0,MIN(1,O61))^2/(MAX(0,MIN(1,O61))^2+(1-MAX(0,MIN(1,O61)))^2/$B$5))-(MAX(0,MIN(1,N61))^2/(MAX(0,MIN(1,N61))^2+(1-MAX(0,MIN(1,N61)))^2/$B$5))))</f>
        <v>0.877810631521585</v>
      </c>
      <c r="P62" s="16" t="n">
        <f aca="false">IF(ABS(P61-$B$11/$B$9*((MAX(0,MIN(1,P61))^2/(MAX(0,MIN(1,P61))^2+(1-MAX(0,MIN(1,P61)))^2/$B$5))-(MAX(0,MIN(1,O61))^2/(MAX(0,MIN(1,O61))^2+(1-MAX(0,MIN(1,O61)))^2/$B$5))))&lt;0.000000001,0,P61-$B$11/$B$9*((MAX(0,MIN(1,P61))^2/(MAX(0,MIN(1,P61))^2+(1-MAX(0,MIN(1,P61)))^2/$B$5))-(MAX(0,MIN(1,O61))^2/(MAX(0,MIN(1,O61))^2+(1-MAX(0,MIN(1,O61)))^2/$B$5))))</f>
        <v>0.854935777142975</v>
      </c>
      <c r="Q62" s="16" t="n">
        <f aca="false">IF(ABS(Q61-$B$11/$B$9*((MAX(0,MIN(1,Q61))^2/(MAX(0,MIN(1,Q61))^2+(1-MAX(0,MIN(1,Q61)))^2/$B$5))-(MAX(0,MIN(1,P61))^2/(MAX(0,MIN(1,P61))^2+(1-MAX(0,MIN(1,P61)))^2/$B$5))))&lt;0.000000001,0,Q61-$B$11/$B$9*((MAX(0,MIN(1,Q61))^2/(MAX(0,MIN(1,Q61))^2+(1-MAX(0,MIN(1,Q61)))^2/$B$5))-(MAX(0,MIN(1,P61))^2/(MAX(0,MIN(1,P61))^2+(1-MAX(0,MIN(1,P61)))^2/$B$5))))</f>
        <v>0.834531146201475</v>
      </c>
      <c r="R62" s="16" t="n">
        <f aca="false">IF(ABS(R61-$B$11/$B$9*((MAX(0,MIN(1,R61))^2/(MAX(0,MIN(1,R61))^2+(1-MAX(0,MIN(1,R61)))^2/$B$5))-(MAX(0,MIN(1,Q61))^2/(MAX(0,MIN(1,Q61))^2+(1-MAX(0,MIN(1,Q61)))^2/$B$5))))&lt;0.000000001,0,R61-$B$11/$B$9*((MAX(0,MIN(1,R61))^2/(MAX(0,MIN(1,R61))^2+(1-MAX(0,MIN(1,R61)))^2/$B$5))-(MAX(0,MIN(1,Q61))^2/(MAX(0,MIN(1,Q61))^2+(1-MAX(0,MIN(1,Q61)))^2/$B$5))))</f>
        <v>0.816002492576562</v>
      </c>
      <c r="S62" s="16" t="n">
        <f aca="false">IF(ABS(S61-$B$11/$B$9*((MAX(0,MIN(1,S61))^2/(MAX(0,MIN(1,S61))^2+(1-MAX(0,MIN(1,S61)))^2/$B$5))-(MAX(0,MIN(1,R61))^2/(MAX(0,MIN(1,R61))^2+(1-MAX(0,MIN(1,R61)))^2/$B$5))))&lt;0.000000001,0,S61-$B$11/$B$9*((MAX(0,MIN(1,S61))^2/(MAX(0,MIN(1,S61))^2+(1-MAX(0,MIN(1,S61)))^2/$B$5))-(MAX(0,MIN(1,R61))^2/(MAX(0,MIN(1,R61))^2+(1-MAX(0,MIN(1,R61)))^2/$B$5))))</f>
        <v>0.798959337087773</v>
      </c>
      <c r="T62" s="16" t="n">
        <f aca="false">IF(ABS(T61-$B$11/$B$9*((MAX(0,MIN(1,T61))^2/(MAX(0,MIN(1,T61))^2+(1-MAX(0,MIN(1,T61)))^2/$B$5))-(MAX(0,MIN(1,S61))^2/(MAX(0,MIN(1,S61))^2+(1-MAX(0,MIN(1,S61)))^2/$B$5))))&lt;0.000000001,0,T61-$B$11/$B$9*((MAX(0,MIN(1,T61))^2/(MAX(0,MIN(1,T61))^2+(1-MAX(0,MIN(1,T61)))^2/$B$5))-(MAX(0,MIN(1,S61))^2/(MAX(0,MIN(1,S61))^2+(1-MAX(0,MIN(1,S61)))^2/$B$5))))</f>
        <v>0.783124553544144</v>
      </c>
      <c r="U62" s="16" t="n">
        <f aca="false">IF(ABS(U61-$B$11/$B$9*((MAX(0,MIN(1,U61))^2/(MAX(0,MIN(1,U61))^2+(1-MAX(0,MIN(1,U61)))^2/$B$5))-(MAX(0,MIN(1,T61))^2/(MAX(0,MIN(1,T61))^2+(1-MAX(0,MIN(1,T61)))^2/$B$5))))&lt;0.000000001,0,U61-$B$11/$B$9*((MAX(0,MIN(1,U61))^2/(MAX(0,MIN(1,U61))^2+(1-MAX(0,MIN(1,U61)))^2/$B$5))-(MAX(0,MIN(1,T61))^2/(MAX(0,MIN(1,T61))^2+(1-MAX(0,MIN(1,T61)))^2/$B$5))))</f>
        <v>0.768291041608013</v>
      </c>
      <c r="V62" s="16" t="n">
        <f aca="false">IF(ABS(V61-$B$11/$B$9*((MAX(0,MIN(1,V61))^2/(MAX(0,MIN(1,V61))^2+(1-MAX(0,MIN(1,V61)))^2/$B$5))-(MAX(0,MIN(1,U61))^2/(MAX(0,MIN(1,U61))^2+(1-MAX(0,MIN(1,U61)))^2/$B$5))))&lt;0.000000001,0,V61-$B$11/$B$9*((MAX(0,MIN(1,V61))^2/(MAX(0,MIN(1,V61))^2+(1-MAX(0,MIN(1,V61)))^2/$B$5))-(MAX(0,MIN(1,U61))^2/(MAX(0,MIN(1,U61))^2+(1-MAX(0,MIN(1,U61)))^2/$B$5))))</f>
        <v>0.754297980188439</v>
      </c>
      <c r="W62" s="16" t="n">
        <f aca="false">IF(ABS(W61-$B$11/$B$9*((MAX(0,MIN(1,W61))^2/(MAX(0,MIN(1,W61))^2+(1-MAX(0,MIN(1,W61)))^2/$B$5))-(MAX(0,MIN(1,V61))^2/(MAX(0,MIN(1,V61))^2+(1-MAX(0,MIN(1,V61)))^2/$B$5))))&lt;0.000000001,0,W61-$B$11/$B$9*((MAX(0,MIN(1,W61))^2/(MAX(0,MIN(1,W61))^2+(1-MAX(0,MIN(1,W61)))^2/$B$5))-(MAX(0,MIN(1,V61))^2/(MAX(0,MIN(1,V61))^2+(1-MAX(0,MIN(1,V61)))^2/$B$5))))</f>
        <v>0.741016536810295</v>
      </c>
      <c r="X62" s="16" t="n">
        <f aca="false">IF(ABS(X61-$B$11/$B$9*((MAX(0,MIN(1,X61))^2/(MAX(0,MIN(1,X61))^2+(1-MAX(0,MIN(1,X61)))^2/$B$5))-(MAX(0,MIN(1,W61))^2/(MAX(0,MIN(1,W61))^2+(1-MAX(0,MIN(1,W61)))^2/$B$5))))&lt;0.000000001,0,X61-$B$11/$B$9*((MAX(0,MIN(1,X61))^2/(MAX(0,MIN(1,X61))^2+(1-MAX(0,MIN(1,X61)))^2/$B$5))-(MAX(0,MIN(1,W61))^2/(MAX(0,MIN(1,W61))^2+(1-MAX(0,MIN(1,W61)))^2/$B$5))))</f>
        <v>0.728340629257544</v>
      </c>
      <c r="Y62" s="16" t="n">
        <f aca="false">IF(ABS(Y61-$B$11/$B$9*((MAX(0,MIN(1,Y61))^2/(MAX(0,MIN(1,Y61))^2+(1-MAX(0,MIN(1,Y61)))^2/$B$5))-(MAX(0,MIN(1,X61))^2/(MAX(0,MIN(1,X61))^2+(1-MAX(0,MIN(1,X61)))^2/$B$5))))&lt;0.000000001,0,Y61-$B$11/$B$9*((MAX(0,MIN(1,Y61))^2/(MAX(0,MIN(1,Y61))^2+(1-MAX(0,MIN(1,Y61)))^2/$B$5))-(MAX(0,MIN(1,X61))^2/(MAX(0,MIN(1,X61))^2+(1-MAX(0,MIN(1,X61)))^2/$B$5))))</f>
        <v>0.71618057225442</v>
      </c>
      <c r="Z62" s="16" t="n">
        <f aca="false">IF(ABS(Z61-$B$11/$B$9*((MAX(0,MIN(1,Z61))^2/(MAX(0,MIN(1,Z61))^2+(1-MAX(0,MIN(1,Z61)))^2/$B$5))-(MAX(0,MIN(1,Y61))^2/(MAX(0,MIN(1,Y61))^2+(1-MAX(0,MIN(1,Y61)))^2/$B$5))))&lt;0.000000001,0,Z61-$B$11/$B$9*((MAX(0,MIN(1,Z61))^2/(MAX(0,MIN(1,Z61))^2+(1-MAX(0,MIN(1,Z61)))^2/$B$5))-(MAX(0,MIN(1,Y61))^2/(MAX(0,MIN(1,Y61))^2+(1-MAX(0,MIN(1,Y61)))^2/$B$5))))</f>
        <v>0.704458426334057</v>
      </c>
      <c r="AA62" s="16" t="n">
        <f aca="false">IF(ABS(AA61-$B$11/$B$9*((MAX(0,MIN(1,AA61))^2/(MAX(0,MIN(1,AA61))^2+(1-MAX(0,MIN(1,AA61)))^2/$B$5))-(MAX(0,MIN(1,Z61))^2/(MAX(0,MIN(1,Z61))^2+(1-MAX(0,MIN(1,Z61)))^2/$B$5))))&lt;0.000000001,0,AA61-$B$11/$B$9*((MAX(0,MIN(1,AA61))^2/(MAX(0,MIN(1,AA61))^2+(1-MAX(0,MIN(1,AA61)))^2/$B$5))-(MAX(0,MIN(1,Z61))^2/(MAX(0,MIN(1,Z61))^2+(1-MAX(0,MIN(1,Z61)))^2/$B$5))))</f>
        <v>0.69310433141909</v>
      </c>
      <c r="AB62" s="16" t="n">
        <f aca="false">IF(ABS(AB61-$B$11/$B$9*((MAX(0,MIN(1,AB61))^2/(MAX(0,MIN(1,AB61))^2+(1-MAX(0,MIN(1,AB61)))^2/$B$5))-(MAX(0,MIN(1,AA61))^2/(MAX(0,MIN(1,AA61))^2+(1-MAX(0,MIN(1,AA61)))^2/$B$5))))&lt;0.000000001,0,AB61-$B$11/$B$9*((MAX(0,MIN(1,AB61))^2/(MAX(0,MIN(1,AB61))^2+(1-MAX(0,MIN(1,AB61)))^2/$B$5))-(MAX(0,MIN(1,AA61))^2/(MAX(0,MIN(1,AA61))^2+(1-MAX(0,MIN(1,AA61)))^2/$B$5))))</f>
        <v>0.68205332673955</v>
      </c>
      <c r="AC62" s="16" t="n">
        <f aca="false">IF(ABS(AC61-$B$11/$B$9*((MAX(0,MIN(1,AC61))^2/(MAX(0,MIN(1,AC61))^2+(1-MAX(0,MIN(1,AC61)))^2/$B$5))-(MAX(0,MIN(1,AB61))^2/(MAX(0,MIN(1,AB61))^2+(1-MAX(0,MIN(1,AB61)))^2/$B$5))))&lt;0.000000001,0,AC61-$B$11/$B$9*((MAX(0,MIN(1,AC61))^2/(MAX(0,MIN(1,AC61))^2+(1-MAX(0,MIN(1,AC61)))^2/$B$5))-(MAX(0,MIN(1,AB61))^2/(MAX(0,MIN(1,AB61))^2+(1-MAX(0,MIN(1,AB61)))^2/$B$5))))</f>
        <v>0.67124223688192</v>
      </c>
      <c r="AD62" s="16" t="n">
        <f aca="false">IF(ABS(AD61-$B$11/$B$9*((MAX(0,MIN(1,AD61))^2/(MAX(0,MIN(1,AD61))^2+(1-MAX(0,MIN(1,AD61)))^2/$B$5))-(MAX(0,MIN(1,AC61))^2/(MAX(0,MIN(1,AC61))^2+(1-MAX(0,MIN(1,AC61)))^2/$B$5))))&lt;0.000000001,0,AD61-$B$11/$B$9*((MAX(0,MIN(1,AD61))^2/(MAX(0,MIN(1,AD61))^2+(1-MAX(0,MIN(1,AD61)))^2/$B$5))-(MAX(0,MIN(1,AC61))^2/(MAX(0,MIN(1,AC61))^2+(1-MAX(0,MIN(1,AC61)))^2/$B$5))))</f>
        <v>0.660606168582583</v>
      </c>
      <c r="AE62" s="16" t="n">
        <f aca="false">IF(ABS(AE61-$B$11/$B$9*((MAX(0,MIN(1,AE61))^2/(MAX(0,MIN(1,AE61))^2+(1-MAX(0,MIN(1,AE61)))^2/$B$5))-(MAX(0,MIN(1,AD61))^2/(MAX(0,MIN(1,AD61))^2+(1-MAX(0,MIN(1,AD61)))^2/$B$5))))&lt;0.000000001,0,AE61-$B$11/$B$9*((MAX(0,MIN(1,AE61))^2/(MAX(0,MIN(1,AE61))^2+(1-MAX(0,MIN(1,AE61)))^2/$B$5))-(MAX(0,MIN(1,AD61))^2/(MAX(0,MIN(1,AD61))^2+(1-MAX(0,MIN(1,AD61)))^2/$B$5))))</f>
        <v>0.650073981385524</v>
      </c>
      <c r="AF62" s="16" t="n">
        <f aca="false">IF(ABS(AF61-$B$11/$B$9*((MAX(0,MIN(1,AF61))^2/(MAX(0,MIN(1,AF61))^2+(1-MAX(0,MIN(1,AF61)))^2/$B$5))-(MAX(0,MIN(1,AE61))^2/(MAX(0,MIN(1,AE61))^2+(1-MAX(0,MIN(1,AE61)))^2/$B$5))))&lt;0.000000001,0,AF61-$B$11/$B$9*((MAX(0,MIN(1,AF61))^2/(MAX(0,MIN(1,AF61))^2+(1-MAX(0,MIN(1,AF61)))^2/$B$5))-(MAX(0,MIN(1,AE61))^2/(MAX(0,MIN(1,AE61))^2+(1-MAX(0,MIN(1,AE61)))^2/$B$5))))</f>
        <v>0.639561644968629</v>
      </c>
    </row>
    <row r="63" customFormat="false" ht="15" hidden="false" customHeight="false" outlineLevel="0" collapsed="false">
      <c r="A63" s="0" t="n">
        <v>0.58</v>
      </c>
      <c r="D63" s="0" t="n">
        <f aca="false">A63</f>
        <v>0.58</v>
      </c>
      <c r="E63" s="0" t="n">
        <f aca="false">(G63-G62)/(A63-A62)</f>
        <v>1.37917950218731</v>
      </c>
      <c r="F63" s="0" t="n">
        <f aca="false">G63/A63</f>
        <v>1.36599152143194</v>
      </c>
      <c r="G63" s="0" t="n">
        <f aca="false">A63^2/(A63^2+(1-A63)^2/$B$5)</f>
        <v>0.792275082430523</v>
      </c>
      <c r="L63" s="0" t="n">
        <v>53</v>
      </c>
      <c r="M63" s="16" t="n">
        <f aca="false">IF(ABS(M62-$B$11/$B$9*((MAX(0,MIN(1,M62))^2/(MAX(0,MIN(1,M62))^2+(1-MAX(0,MIN(1,M62)))^2/$B$5))-(MAX(0,MIN(1,1))^2/(MAX(0,MIN(1,1))^2+(1-MAX(0,MIN(1,1)))^2/$B$5))))&lt;0.000000001,0,M62-$B$11/$B$9*((MAX(0,MIN(1,M62))^2/(MAX(0,MIN(1,M62))^2+(1-MAX(0,MIN(1,M62)))^2/$B$5))-(MAX(0,MIN(1,1))^2/(MAX(0,MIN(1,1))^2+(1-MAX(0,MIN(1,1)))^2/$B$5))))</f>
        <v>0.937314141569962</v>
      </c>
      <c r="N63" s="16" t="n">
        <f aca="false">IF(ABS(N62-$B$11/$B$9*((MAX(0,MIN(1,N62))^2/(MAX(0,MIN(1,N62))^2+(1-MAX(0,MIN(1,N62)))^2/$B$5))-(MAX(0,MIN(1,M62))^2/(MAX(0,MIN(1,M62))^2+(1-MAX(0,MIN(1,M62)))^2/$B$5))))&lt;0.000000001,0,N62-$B$11/$B$9*((MAX(0,MIN(1,N62))^2/(MAX(0,MIN(1,N62))^2+(1-MAX(0,MIN(1,N62)))^2/$B$5))-(MAX(0,MIN(1,M62))^2/(MAX(0,MIN(1,M62))^2+(1-MAX(0,MIN(1,M62)))^2/$B$5))))</f>
        <v>0.905450002316097</v>
      </c>
      <c r="O63" s="16" t="n">
        <f aca="false">IF(ABS(O62-$B$11/$B$9*((MAX(0,MIN(1,O62))^2/(MAX(0,MIN(1,O62))^2+(1-MAX(0,MIN(1,O62)))^2/$B$5))-(MAX(0,MIN(1,N62))^2/(MAX(0,MIN(1,N62))^2+(1-MAX(0,MIN(1,N62)))^2/$B$5))))&lt;0.000000001,0,O62-$B$11/$B$9*((MAX(0,MIN(1,O62))^2/(MAX(0,MIN(1,O62))^2+(1-MAX(0,MIN(1,O62)))^2/$B$5))-(MAX(0,MIN(1,N62))^2/(MAX(0,MIN(1,N62))^2+(1-MAX(0,MIN(1,N62)))^2/$B$5))))</f>
        <v>0.879353388547928</v>
      </c>
      <c r="P63" s="16" t="n">
        <f aca="false">IF(ABS(P62-$B$11/$B$9*((MAX(0,MIN(1,P62))^2/(MAX(0,MIN(1,P62))^2+(1-MAX(0,MIN(1,P62)))^2/$B$5))-(MAX(0,MIN(1,O62))^2/(MAX(0,MIN(1,O62))^2+(1-MAX(0,MIN(1,O62)))^2/$B$5))))&lt;0.000000001,0,P62-$B$11/$B$9*((MAX(0,MIN(1,P62))^2/(MAX(0,MIN(1,P62))^2+(1-MAX(0,MIN(1,P62)))^2/$B$5))-(MAX(0,MIN(1,O62))^2/(MAX(0,MIN(1,O62))^2+(1-MAX(0,MIN(1,O62)))^2/$B$5))))</f>
        <v>0.856703100503859</v>
      </c>
      <c r="Q63" s="16" t="n">
        <f aca="false">IF(ABS(Q62-$B$11/$B$9*((MAX(0,MIN(1,Q62))^2/(MAX(0,MIN(1,Q62))^2+(1-MAX(0,MIN(1,Q62)))^2/$B$5))-(MAX(0,MIN(1,P62))^2/(MAX(0,MIN(1,P62))^2+(1-MAX(0,MIN(1,P62)))^2/$B$5))))&lt;0.000000001,0,Q62-$B$11/$B$9*((MAX(0,MIN(1,Q62))^2/(MAX(0,MIN(1,Q62))^2+(1-MAX(0,MIN(1,Q62)))^2/$B$5))-(MAX(0,MIN(1,P62))^2/(MAX(0,MIN(1,P62))^2+(1-MAX(0,MIN(1,P62)))^2/$B$5))))</f>
        <v>0.836487237679188</v>
      </c>
      <c r="R63" s="16" t="n">
        <f aca="false">IF(ABS(R62-$B$11/$B$9*((MAX(0,MIN(1,R62))^2/(MAX(0,MIN(1,R62))^2+(1-MAX(0,MIN(1,R62)))^2/$B$5))-(MAX(0,MIN(1,Q62))^2/(MAX(0,MIN(1,Q62))^2+(1-MAX(0,MIN(1,Q62)))^2/$B$5))))&lt;0.000000001,0,R62-$B$11/$B$9*((MAX(0,MIN(1,R62))^2/(MAX(0,MIN(1,R62))^2+(1-MAX(0,MIN(1,R62)))^2/$B$5))-(MAX(0,MIN(1,Q62))^2/(MAX(0,MIN(1,Q62))^2+(1-MAX(0,MIN(1,Q62)))^2/$B$5))))</f>
        <v>0.818122703140467</v>
      </c>
      <c r="S63" s="16" t="n">
        <f aca="false">IF(ABS(S62-$B$11/$B$9*((MAX(0,MIN(1,S62))^2/(MAX(0,MIN(1,S62))^2+(1-MAX(0,MIN(1,S62)))^2/$B$5))-(MAX(0,MIN(1,R62))^2/(MAX(0,MIN(1,R62))^2+(1-MAX(0,MIN(1,R62)))^2/$B$5))))&lt;0.000000001,0,S62-$B$11/$B$9*((MAX(0,MIN(1,S62))^2/(MAX(0,MIN(1,S62))^2+(1-MAX(0,MIN(1,S62)))^2/$B$5))-(MAX(0,MIN(1,R62))^2/(MAX(0,MIN(1,R62))^2+(1-MAX(0,MIN(1,R62)))^2/$B$5))))</f>
        <v>0.801226171460106</v>
      </c>
      <c r="T63" s="16" t="n">
        <f aca="false">IF(ABS(T62-$B$11/$B$9*((MAX(0,MIN(1,T62))^2/(MAX(0,MIN(1,T62))^2+(1-MAX(0,MIN(1,T62)))^2/$B$5))-(MAX(0,MIN(1,S62))^2/(MAX(0,MIN(1,S62))^2+(1-MAX(0,MIN(1,S62)))^2/$B$5))))&lt;0.000000001,0,T62-$B$11/$B$9*((MAX(0,MIN(1,T62))^2/(MAX(0,MIN(1,T62))^2+(1-MAX(0,MIN(1,T62)))^2/$B$5))-(MAX(0,MIN(1,S62))^2/(MAX(0,MIN(1,S62))^2+(1-MAX(0,MIN(1,S62)))^2/$B$5))))</f>
        <v>0.785525474456969</v>
      </c>
      <c r="U63" s="16" t="n">
        <f aca="false">IF(ABS(U62-$B$11/$B$9*((MAX(0,MIN(1,U62))^2/(MAX(0,MIN(1,U62))^2+(1-MAX(0,MIN(1,U62)))^2/$B$5))-(MAX(0,MIN(1,T62))^2/(MAX(0,MIN(1,T62))^2+(1-MAX(0,MIN(1,T62)))^2/$B$5))))&lt;0.000000001,0,U62-$B$11/$B$9*((MAX(0,MIN(1,U62))^2/(MAX(0,MIN(1,U62))^2+(1-MAX(0,MIN(1,U62)))^2/$B$5))-(MAX(0,MIN(1,T62))^2/(MAX(0,MIN(1,T62))^2+(1-MAX(0,MIN(1,T62)))^2/$B$5))))</f>
        <v>0.770817165997273</v>
      </c>
      <c r="V63" s="16" t="n">
        <f aca="false">IF(ABS(V62-$B$11/$B$9*((MAX(0,MIN(1,V62))^2/(MAX(0,MIN(1,V62))^2+(1-MAX(0,MIN(1,V62)))^2/$B$5))-(MAX(0,MIN(1,U62))^2/(MAX(0,MIN(1,U62))^2+(1-MAX(0,MIN(1,U62)))^2/$B$5))))&lt;0.000000001,0,V62-$B$11/$B$9*((MAX(0,MIN(1,V62))^2/(MAX(0,MIN(1,V62))^2+(1-MAX(0,MIN(1,V62)))^2/$B$5))-(MAX(0,MIN(1,U62))^2/(MAX(0,MIN(1,U62))^2+(1-MAX(0,MIN(1,U62)))^2/$B$5))))</f>
        <v>0.756943276664539</v>
      </c>
      <c r="W63" s="16" t="n">
        <f aca="false">IF(ABS(W62-$B$11/$B$9*((MAX(0,MIN(1,W62))^2/(MAX(0,MIN(1,W62))^2+(1-MAX(0,MIN(1,W62)))^2/$B$5))-(MAX(0,MIN(1,V62))^2/(MAX(0,MIN(1,V62))^2+(1-MAX(0,MIN(1,V62)))^2/$B$5))))&lt;0.000000001,0,W62-$B$11/$B$9*((MAX(0,MIN(1,W62))^2/(MAX(0,MIN(1,W62))^2+(1-MAX(0,MIN(1,W62)))^2/$B$5))-(MAX(0,MIN(1,V62))^2/(MAX(0,MIN(1,V62))^2+(1-MAX(0,MIN(1,V62)))^2/$B$5))))</f>
        <v>0.743777334988203</v>
      </c>
      <c r="X63" s="16" t="n">
        <f aca="false">IF(ABS(X62-$B$11/$B$9*((MAX(0,MIN(1,X62))^2/(MAX(0,MIN(1,X62))^2+(1-MAX(0,MIN(1,X62)))^2/$B$5))-(MAX(0,MIN(1,W62))^2/(MAX(0,MIN(1,W62))^2+(1-MAX(0,MIN(1,W62)))^2/$B$5))))&lt;0.000000001,0,X62-$B$11/$B$9*((MAX(0,MIN(1,X62))^2/(MAX(0,MIN(1,X62))^2+(1-MAX(0,MIN(1,X62)))^2/$B$5))-(MAX(0,MIN(1,W62))^2/(MAX(0,MIN(1,W62))^2+(1-MAX(0,MIN(1,W62)))^2/$B$5))))</f>
        <v>0.73121534445521</v>
      </c>
      <c r="Y63" s="16" t="n">
        <f aca="false">IF(ABS(Y62-$B$11/$B$9*((MAX(0,MIN(1,Y62))^2/(MAX(0,MIN(1,Y62))^2+(1-MAX(0,MIN(1,Y62)))^2/$B$5))-(MAX(0,MIN(1,X62))^2/(MAX(0,MIN(1,X62))^2+(1-MAX(0,MIN(1,X62)))^2/$B$5))))&lt;0.000000001,0,Y62-$B$11/$B$9*((MAX(0,MIN(1,Y62))^2/(MAX(0,MIN(1,Y62))^2+(1-MAX(0,MIN(1,Y62)))^2/$B$5))-(MAX(0,MIN(1,X62))^2/(MAX(0,MIN(1,X62))^2+(1-MAX(0,MIN(1,X62)))^2/$B$5))))</f>
        <v>0.719169599287154</v>
      </c>
      <c r="Z63" s="16" t="n">
        <f aca="false">IF(ABS(Z62-$B$11/$B$9*((MAX(0,MIN(1,Z62))^2/(MAX(0,MIN(1,Z62))^2+(1-MAX(0,MIN(1,Z62)))^2/$B$5))-(MAX(0,MIN(1,Y62))^2/(MAX(0,MIN(1,Y62))^2+(1-MAX(0,MIN(1,Y62)))^2/$B$5))))&lt;0.000000001,0,Z62-$B$11/$B$9*((MAX(0,MIN(1,Z62))^2/(MAX(0,MIN(1,Z62))^2+(1-MAX(0,MIN(1,Z62)))^2/$B$5))-(MAX(0,MIN(1,Y62))^2/(MAX(0,MIN(1,Y62))^2+(1-MAX(0,MIN(1,Y62)))^2/$B$5))))</f>
        <v>0.70756418918826</v>
      </c>
      <c r="AA63" s="16" t="n">
        <f aca="false">IF(ABS(AA62-$B$11/$B$9*((MAX(0,MIN(1,AA62))^2/(MAX(0,MIN(1,AA62))^2+(1-MAX(0,MIN(1,AA62)))^2/$B$5))-(MAX(0,MIN(1,Z62))^2/(MAX(0,MIN(1,Z62))^2+(1-MAX(0,MIN(1,Z62)))^2/$B$5))))&lt;0.000000001,0,AA62-$B$11/$B$9*((MAX(0,MIN(1,AA62))^2/(MAX(0,MIN(1,AA62))^2+(1-MAX(0,MIN(1,AA62)))^2/$B$5))-(MAX(0,MIN(1,Z62))^2/(MAX(0,MIN(1,Z62))^2+(1-MAX(0,MIN(1,Z62)))^2/$B$5))))</f>
        <v>0.696331503981548</v>
      </c>
      <c r="AB63" s="16" t="n">
        <f aca="false">IF(ABS(AB62-$B$11/$B$9*((MAX(0,MIN(1,AB62))^2/(MAX(0,MIN(1,AB62))^2+(1-MAX(0,MIN(1,AB62)))^2/$B$5))-(MAX(0,MIN(1,AA62))^2/(MAX(0,MIN(1,AA62))^2+(1-MAX(0,MIN(1,AA62)))^2/$B$5))))&lt;0.000000001,0,AB62-$B$11/$B$9*((MAX(0,MIN(1,AB62))^2/(MAX(0,MIN(1,AB62))^2+(1-MAX(0,MIN(1,AB62)))^2/$B$5))-(MAX(0,MIN(1,AA62))^2/(MAX(0,MIN(1,AA62))^2+(1-MAX(0,MIN(1,AA62)))^2/$B$5))))</f>
        <v>0.68540927223179</v>
      </c>
      <c r="AC63" s="16" t="n">
        <f aca="false">IF(ABS(AC62-$B$11/$B$9*((MAX(0,MIN(1,AC62))^2/(MAX(0,MIN(1,AC62))^2+(1-MAX(0,MIN(1,AC62)))^2/$B$5))-(MAX(0,MIN(1,AB62))^2/(MAX(0,MIN(1,AB62))^2+(1-MAX(0,MIN(1,AB62)))^2/$B$5))))&lt;0.000000001,0,AC62-$B$11/$B$9*((MAX(0,MIN(1,AC62))^2/(MAX(0,MIN(1,AC62))^2+(1-MAX(0,MIN(1,AC62)))^2/$B$5))-(MAX(0,MIN(1,AB62))^2/(MAX(0,MIN(1,AB62))^2+(1-MAX(0,MIN(1,AB62)))^2/$B$5))))</f>
        <v>0.674737760214794</v>
      </c>
      <c r="AD63" s="16" t="n">
        <f aca="false">IF(ABS(AD62-$B$11/$B$9*((MAX(0,MIN(1,AD62))^2/(MAX(0,MIN(1,AD62))^2+(1-MAX(0,MIN(1,AD62)))^2/$B$5))-(MAX(0,MIN(1,AC62))^2/(MAX(0,MIN(1,AC62))^2+(1-MAX(0,MIN(1,AC62)))^2/$B$5))))&lt;0.000000001,0,AD62-$B$11/$B$9*((MAX(0,MIN(1,AD62))^2/(MAX(0,MIN(1,AD62))^2+(1-MAX(0,MIN(1,AD62)))^2/$B$5))-(MAX(0,MIN(1,AC62))^2/(MAX(0,MIN(1,AC62))^2+(1-MAX(0,MIN(1,AC62)))^2/$B$5))))</f>
        <v>0.664256753728471</v>
      </c>
      <c r="AE63" s="16" t="n">
        <f aca="false">IF(ABS(AE62-$B$11/$B$9*((MAX(0,MIN(1,AE62))^2/(MAX(0,MIN(1,AE62))^2+(1-MAX(0,MIN(1,AE62)))^2/$B$5))-(MAX(0,MIN(1,AD62))^2/(MAX(0,MIN(1,AD62))^2+(1-MAX(0,MIN(1,AD62)))^2/$B$5))))&lt;0.000000001,0,AE62-$B$11/$B$9*((MAX(0,MIN(1,AE62))^2/(MAX(0,MIN(1,AE62))^2+(1-MAX(0,MIN(1,AE62)))^2/$B$5))-(MAX(0,MIN(1,AD62))^2/(MAX(0,MIN(1,AD62))^2+(1-MAX(0,MIN(1,AD62)))^2/$B$5))))</f>
        <v>0.653901831462976</v>
      </c>
      <c r="AF63" s="16" t="n">
        <f aca="false">IF(ABS(AF62-$B$11/$B$9*((MAX(0,MIN(1,AF62))^2/(MAX(0,MIN(1,AF62))^2+(1-MAX(0,MIN(1,AF62)))^2/$B$5))-(MAX(0,MIN(1,AE62))^2/(MAX(0,MIN(1,AE62))^2+(1-MAX(0,MIN(1,AE62)))^2/$B$5))))&lt;0.000000001,0,AF62-$B$11/$B$9*((MAX(0,MIN(1,AF62))^2/(MAX(0,MIN(1,AF62))^2+(1-MAX(0,MIN(1,AF62)))^2/$B$5))-(MAX(0,MIN(1,AE62))^2/(MAX(0,MIN(1,AE62))^2+(1-MAX(0,MIN(1,AE62)))^2/$B$5))))</f>
        <v>0.643599139612171</v>
      </c>
    </row>
    <row r="64" customFormat="false" ht="15" hidden="false" customHeight="false" outlineLevel="0" collapsed="false">
      <c r="A64" s="0" t="n">
        <v>0.59</v>
      </c>
      <c r="D64" s="0" t="n">
        <f aca="false">A64</f>
        <v>0.59</v>
      </c>
      <c r="E64" s="0" t="n">
        <f aca="false">(G64-G63)/(A64-A63)</f>
        <v>1.32322645554774</v>
      </c>
      <c r="F64" s="0" t="n">
        <f aca="false">G64/A64</f>
        <v>1.36526668980678</v>
      </c>
      <c r="G64" s="0" t="n">
        <f aca="false">A64^2/(A64^2+(1-A64)^2/$B$5)</f>
        <v>0.805507346986</v>
      </c>
      <c r="L64" s="0" t="n">
        <v>54</v>
      </c>
      <c r="M64" s="16" t="n">
        <f aca="false">IF(ABS(M63-$B$11/$B$9*((MAX(0,MIN(1,M63))^2/(MAX(0,MIN(1,M63))^2+(1-MAX(0,MIN(1,M63)))^2/$B$5))-(MAX(0,MIN(1,1))^2/(MAX(0,MIN(1,1))^2+(1-MAX(0,MIN(1,1)))^2/$B$5))))&lt;0.000000001,0,M63-$B$11/$B$9*((MAX(0,MIN(1,M63))^2/(MAX(0,MIN(1,M63))^2+(1-MAX(0,MIN(1,M63)))^2/$B$5))-(MAX(0,MIN(1,1))^2/(MAX(0,MIN(1,1))^2+(1-MAX(0,MIN(1,1)))^2/$B$5))))</f>
        <v>0.938172167603309</v>
      </c>
      <c r="N64" s="16" t="n">
        <f aca="false">IF(ABS(N63-$B$11/$B$9*((MAX(0,MIN(1,N63))^2/(MAX(0,MIN(1,N63))^2+(1-MAX(0,MIN(1,N63)))^2/$B$5))-(MAX(0,MIN(1,M63))^2/(MAX(0,MIN(1,M63))^2+(1-MAX(0,MIN(1,M63)))^2/$B$5))))&lt;0.000000001,0,N63-$B$11/$B$9*((MAX(0,MIN(1,N63))^2/(MAX(0,MIN(1,N63))^2+(1-MAX(0,MIN(1,N63)))^2/$B$5))-(MAX(0,MIN(1,M63))^2/(MAX(0,MIN(1,M63))^2+(1-MAX(0,MIN(1,M63)))^2/$B$5))))</f>
        <v>0.906677112858196</v>
      </c>
      <c r="O64" s="16" t="n">
        <f aca="false">IF(ABS(O63-$B$11/$B$9*((MAX(0,MIN(1,O63))^2/(MAX(0,MIN(1,O63))^2+(1-MAX(0,MIN(1,O63)))^2/$B$5))-(MAX(0,MIN(1,N63))^2/(MAX(0,MIN(1,N63))^2+(1-MAX(0,MIN(1,N63)))^2/$B$5))))&lt;0.000000001,0,O63-$B$11/$B$9*((MAX(0,MIN(1,O63))^2/(MAX(0,MIN(1,O63))^2+(1-MAX(0,MIN(1,O63)))^2/$B$5))-(MAX(0,MIN(1,N63))^2/(MAX(0,MIN(1,N63))^2+(1-MAX(0,MIN(1,N63)))^2/$B$5))))</f>
        <v>0.880853645145276</v>
      </c>
      <c r="P64" s="16" t="n">
        <f aca="false">IF(ABS(P63-$B$11/$B$9*((MAX(0,MIN(1,P63))^2/(MAX(0,MIN(1,P63))^2+(1-MAX(0,MIN(1,P63)))^2/$B$5))-(MAX(0,MIN(1,O63))^2/(MAX(0,MIN(1,O63))^2+(1-MAX(0,MIN(1,O63)))^2/$B$5))))&lt;0.000000001,0,P63-$B$11/$B$9*((MAX(0,MIN(1,P63))^2/(MAX(0,MIN(1,P63))^2+(1-MAX(0,MIN(1,P63)))^2/$B$5))-(MAX(0,MIN(1,O63))^2/(MAX(0,MIN(1,O63))^2+(1-MAX(0,MIN(1,O63)))^2/$B$5))))</f>
        <v>0.858422660017397</v>
      </c>
      <c r="Q64" s="16" t="n">
        <f aca="false">IF(ABS(Q63-$B$11/$B$9*((MAX(0,MIN(1,Q63))^2/(MAX(0,MIN(1,Q63))^2+(1-MAX(0,MIN(1,Q63)))^2/$B$5))-(MAX(0,MIN(1,P63))^2/(MAX(0,MIN(1,P63))^2+(1-MAX(0,MIN(1,P63)))^2/$B$5))))&lt;0.000000001,0,Q63-$B$11/$B$9*((MAX(0,MIN(1,Q63))^2/(MAX(0,MIN(1,Q63))^2+(1-MAX(0,MIN(1,Q63)))^2/$B$5))-(MAX(0,MIN(1,P63))^2/(MAX(0,MIN(1,P63))^2+(1-MAX(0,MIN(1,P63)))^2/$B$5))))</f>
        <v>0.838391158305745</v>
      </c>
      <c r="R64" s="16" t="n">
        <f aca="false">IF(ABS(R63-$B$11/$B$9*((MAX(0,MIN(1,R63))^2/(MAX(0,MIN(1,R63))^2+(1-MAX(0,MIN(1,R63)))^2/$B$5))-(MAX(0,MIN(1,Q63))^2/(MAX(0,MIN(1,Q63))^2+(1-MAX(0,MIN(1,Q63)))^2/$B$5))))&lt;0.000000001,0,R63-$B$11/$B$9*((MAX(0,MIN(1,R63))^2/(MAX(0,MIN(1,R63))^2+(1-MAX(0,MIN(1,R63)))^2/$B$5))-(MAX(0,MIN(1,Q63))^2/(MAX(0,MIN(1,Q63))^2+(1-MAX(0,MIN(1,Q63)))^2/$B$5))))</f>
        <v>0.820186834879108</v>
      </c>
      <c r="S64" s="16" t="n">
        <f aca="false">IF(ABS(S63-$B$11/$B$9*((MAX(0,MIN(1,S63))^2/(MAX(0,MIN(1,S63))^2+(1-MAX(0,MIN(1,S63)))^2/$B$5))-(MAX(0,MIN(1,R63))^2/(MAX(0,MIN(1,R63))^2+(1-MAX(0,MIN(1,R63)))^2/$B$5))))&lt;0.000000001,0,S63-$B$11/$B$9*((MAX(0,MIN(1,S63))^2/(MAX(0,MIN(1,S63))^2+(1-MAX(0,MIN(1,S63)))^2/$B$5))-(MAX(0,MIN(1,R63))^2/(MAX(0,MIN(1,R63))^2+(1-MAX(0,MIN(1,R63)))^2/$B$5))))</f>
        <v>0.803433292706283</v>
      </c>
      <c r="T64" s="16" t="n">
        <f aca="false">IF(ABS(T63-$B$11/$B$9*((MAX(0,MIN(1,T63))^2/(MAX(0,MIN(1,T63))^2+(1-MAX(0,MIN(1,T63)))^2/$B$5))-(MAX(0,MIN(1,S63))^2/(MAX(0,MIN(1,S63))^2+(1-MAX(0,MIN(1,S63)))^2/$B$5))))&lt;0.000000001,0,T63-$B$11/$B$9*((MAX(0,MIN(1,T63))^2/(MAX(0,MIN(1,T63))^2+(1-MAX(0,MIN(1,T63)))^2/$B$5))-(MAX(0,MIN(1,S63))^2/(MAX(0,MIN(1,S63))^2+(1-MAX(0,MIN(1,S63)))^2/$B$5))))</f>
        <v>0.787863163112949</v>
      </c>
      <c r="U64" s="16" t="n">
        <f aca="false">IF(ABS(U63-$B$11/$B$9*((MAX(0,MIN(1,U63))^2/(MAX(0,MIN(1,U63))^2+(1-MAX(0,MIN(1,U63)))^2/$B$5))-(MAX(0,MIN(1,T63))^2/(MAX(0,MIN(1,T63))^2+(1-MAX(0,MIN(1,T63)))^2/$B$5))))&lt;0.000000001,0,U63-$B$11/$B$9*((MAX(0,MIN(1,U63))^2/(MAX(0,MIN(1,U63))^2+(1-MAX(0,MIN(1,U63)))^2/$B$5))-(MAX(0,MIN(1,T63))^2/(MAX(0,MIN(1,T63))^2+(1-MAX(0,MIN(1,T63)))^2/$B$5))))</f>
        <v>0.773276529909791</v>
      </c>
      <c r="V64" s="16" t="n">
        <f aca="false">IF(ABS(V63-$B$11/$B$9*((MAX(0,MIN(1,V63))^2/(MAX(0,MIN(1,V63))^2+(1-MAX(0,MIN(1,V63)))^2/$B$5))-(MAX(0,MIN(1,U63))^2/(MAX(0,MIN(1,U63))^2+(1-MAX(0,MIN(1,U63)))^2/$B$5))))&lt;0.000000001,0,V63-$B$11/$B$9*((MAX(0,MIN(1,V63))^2/(MAX(0,MIN(1,V63))^2+(1-MAX(0,MIN(1,V63)))^2/$B$5))-(MAX(0,MIN(1,U63))^2/(MAX(0,MIN(1,U63))^2+(1-MAX(0,MIN(1,U63)))^2/$B$5))))</f>
        <v>0.759518166213348</v>
      </c>
      <c r="W64" s="16" t="n">
        <f aca="false">IF(ABS(W63-$B$11/$B$9*((MAX(0,MIN(1,W63))^2/(MAX(0,MIN(1,W63))^2+(1-MAX(0,MIN(1,W63)))^2/$B$5))-(MAX(0,MIN(1,V63))^2/(MAX(0,MIN(1,V63))^2+(1-MAX(0,MIN(1,V63)))^2/$B$5))))&lt;0.000000001,0,W63-$B$11/$B$9*((MAX(0,MIN(1,W63))^2/(MAX(0,MIN(1,W63))^2+(1-MAX(0,MIN(1,W63)))^2/$B$5))-(MAX(0,MIN(1,V63))^2/(MAX(0,MIN(1,V63))^2+(1-MAX(0,MIN(1,V63)))^2/$B$5))))</f>
        <v>0.746463854143008</v>
      </c>
      <c r="X64" s="16" t="n">
        <f aca="false">IF(ABS(X63-$B$11/$B$9*((MAX(0,MIN(1,X63))^2/(MAX(0,MIN(1,X63))^2+(1-MAX(0,MIN(1,X63)))^2/$B$5))-(MAX(0,MIN(1,W63))^2/(MAX(0,MIN(1,W63))^2+(1-MAX(0,MIN(1,W63)))^2/$B$5))))&lt;0.000000001,0,X63-$B$11/$B$9*((MAX(0,MIN(1,X63))^2/(MAX(0,MIN(1,X63))^2+(1-MAX(0,MIN(1,X63)))^2/$B$5))-(MAX(0,MIN(1,W63))^2/(MAX(0,MIN(1,W63))^2+(1-MAX(0,MIN(1,W63)))^2/$B$5))))</f>
        <v>0.73401156556034</v>
      </c>
      <c r="Y64" s="16" t="n">
        <f aca="false">IF(ABS(Y63-$B$11/$B$9*((MAX(0,MIN(1,Y63))^2/(MAX(0,MIN(1,Y63))^2+(1-MAX(0,MIN(1,Y63)))^2/$B$5))-(MAX(0,MIN(1,X63))^2/(MAX(0,MIN(1,X63))^2+(1-MAX(0,MIN(1,X63)))^2/$B$5))))&lt;0.000000001,0,Y63-$B$11/$B$9*((MAX(0,MIN(1,Y63))^2/(MAX(0,MIN(1,Y63))^2+(1-MAX(0,MIN(1,Y63)))^2/$B$5))-(MAX(0,MIN(1,X63))^2/(MAX(0,MIN(1,X63))^2+(1-MAX(0,MIN(1,X63)))^2/$B$5))))</f>
        <v>0.722075434250656</v>
      </c>
      <c r="Z64" s="16" t="n">
        <f aca="false">IF(ABS(Z63-$B$11/$B$9*((MAX(0,MIN(1,Z63))^2/(MAX(0,MIN(1,Z63))^2+(1-MAX(0,MIN(1,Z63)))^2/$B$5))-(MAX(0,MIN(1,Y63))^2/(MAX(0,MIN(1,Y63))^2+(1-MAX(0,MIN(1,Y63)))^2/$B$5))))&lt;0.000000001,0,Z63-$B$11/$B$9*((MAX(0,MIN(1,Z63))^2/(MAX(0,MIN(1,Z63))^2+(1-MAX(0,MIN(1,Z63)))^2/$B$5))-(MAX(0,MIN(1,Y63))^2/(MAX(0,MIN(1,Y63))^2+(1-MAX(0,MIN(1,Y63)))^2/$B$5))))</f>
        <v>0.710581399948249</v>
      </c>
      <c r="AA64" s="16" t="n">
        <f aca="false">IF(ABS(AA63-$B$11/$B$9*((MAX(0,MIN(1,AA63))^2/(MAX(0,MIN(1,AA63))^2+(1-MAX(0,MIN(1,AA63)))^2/$B$5))-(MAX(0,MIN(1,Z63))^2/(MAX(0,MIN(1,Z63))^2+(1-MAX(0,MIN(1,Z63)))^2/$B$5))))&lt;0.000000001,0,AA63-$B$11/$B$9*((MAX(0,MIN(1,AA63))^2/(MAX(0,MIN(1,AA63))^2+(1-MAX(0,MIN(1,AA63)))^2/$B$5))-(MAX(0,MIN(1,Z63))^2/(MAX(0,MIN(1,Z63))^2+(1-MAX(0,MIN(1,Z63)))^2/$B$5))))</f>
        <v>0.699463859619671</v>
      </c>
      <c r="AB64" s="16" t="n">
        <f aca="false">IF(ABS(AB63-$B$11/$B$9*((MAX(0,MIN(1,AB63))^2/(MAX(0,MIN(1,AB63))^2+(1-MAX(0,MIN(1,AB63)))^2/$B$5))-(MAX(0,MIN(1,AA63))^2/(MAX(0,MIN(1,AA63))^2+(1-MAX(0,MIN(1,AA63)))^2/$B$5))))&lt;0.000000001,0,AB63-$B$11/$B$9*((MAX(0,MIN(1,AB63))^2/(MAX(0,MIN(1,AB63))^2+(1-MAX(0,MIN(1,AB63)))^2/$B$5))-(MAX(0,MIN(1,AA63))^2/(MAX(0,MIN(1,AA63))^2+(1-MAX(0,MIN(1,AA63)))^2/$B$5))))</f>
        <v>0.688662886352828</v>
      </c>
      <c r="AC64" s="16" t="n">
        <f aca="false">IF(ABS(AC63-$B$11/$B$9*((MAX(0,MIN(1,AC63))^2/(MAX(0,MIN(1,AC63))^2+(1-MAX(0,MIN(1,AC63)))^2/$B$5))-(MAX(0,MIN(1,AB63))^2/(MAX(0,MIN(1,AB63))^2+(1-MAX(0,MIN(1,AB63)))^2/$B$5))))&lt;0.000000001,0,AC63-$B$11/$B$9*((MAX(0,MIN(1,AC63))^2/(MAX(0,MIN(1,AC63))^2+(1-MAX(0,MIN(1,AC63)))^2/$B$5))-(MAX(0,MIN(1,AB63))^2/(MAX(0,MIN(1,AB63))^2+(1-MAX(0,MIN(1,AB63)))^2/$B$5))))</f>
        <v>0.678121677859444</v>
      </c>
      <c r="AD64" s="16" t="n">
        <f aca="false">IF(ABS(AD63-$B$11/$B$9*((MAX(0,MIN(1,AD63))^2/(MAX(0,MIN(1,AD63))^2+(1-MAX(0,MIN(1,AD63)))^2/$B$5))-(MAX(0,MIN(1,AC63))^2/(MAX(0,MIN(1,AC63))^2+(1-MAX(0,MIN(1,AC63)))^2/$B$5))))&lt;0.000000001,0,AD63-$B$11/$B$9*((MAX(0,MIN(1,AD63))^2/(MAX(0,MIN(1,AD63))^2+(1-MAX(0,MIN(1,AD63)))^2/$B$5))-(MAX(0,MIN(1,AC63))^2/(MAX(0,MIN(1,AC63))^2+(1-MAX(0,MIN(1,AC63)))^2/$B$5))))</f>
        <v>0.667783914247575</v>
      </c>
      <c r="AE64" s="16" t="n">
        <f aca="false">IF(ABS(AE63-$B$11/$B$9*((MAX(0,MIN(1,AE63))^2/(MAX(0,MIN(1,AE63))^2+(1-MAX(0,MIN(1,AE63)))^2/$B$5))-(MAX(0,MIN(1,AD63))^2/(MAX(0,MIN(1,AD63))^2+(1-MAX(0,MIN(1,AD63)))^2/$B$5))))&lt;0.000000001,0,AE63-$B$11/$B$9*((MAX(0,MIN(1,AE63))^2/(MAX(0,MIN(1,AE63))^2+(1-MAX(0,MIN(1,AE63)))^2/$B$5))-(MAX(0,MIN(1,AD63))^2/(MAX(0,MIN(1,AD63))^2+(1-MAX(0,MIN(1,AD63)))^2/$B$5))))</f>
        <v>0.657590636850791</v>
      </c>
      <c r="AF64" s="16" t="n">
        <f aca="false">IF(ABS(AF63-$B$11/$B$9*((MAX(0,MIN(1,AF63))^2/(MAX(0,MIN(1,AF63))^2+(1-MAX(0,MIN(1,AF63)))^2/$B$5))-(MAX(0,MIN(1,AE63))^2/(MAX(0,MIN(1,AE63))^2+(1-MAX(0,MIN(1,AE63)))^2/$B$5))))&lt;0.000000001,0,AF63-$B$11/$B$9*((MAX(0,MIN(1,AF63))^2/(MAX(0,MIN(1,AF63))^2+(1-MAX(0,MIN(1,AF63)))^2/$B$5))-(MAX(0,MIN(1,AE63))^2/(MAX(0,MIN(1,AE63))^2+(1-MAX(0,MIN(1,AE63)))^2/$B$5))))</f>
        <v>0.647476060887657</v>
      </c>
    </row>
    <row r="65" customFormat="false" ht="15" hidden="false" customHeight="false" outlineLevel="0" collapsed="false">
      <c r="A65" s="0" t="n">
        <v>0.6</v>
      </c>
      <c r="D65" s="0" t="n">
        <f aca="false">A65</f>
        <v>0.6</v>
      </c>
      <c r="E65" s="0" t="n">
        <f aca="false">(G65-G64)/(A65-A64)</f>
        <v>1.26744711958179</v>
      </c>
      <c r="F65" s="0" t="n">
        <f aca="false">G65/A65</f>
        <v>1.36363636363636</v>
      </c>
      <c r="G65" s="0" t="n">
        <f aca="false">A65^2/(A65^2+(1-A65)^2/$B$5)</f>
        <v>0.818181818181818</v>
      </c>
      <c r="L65" s="0" t="n">
        <v>55</v>
      </c>
      <c r="M65" s="16" t="n">
        <f aca="false">IF(ABS(M64-$B$11/$B$9*((MAX(0,MIN(1,M64))^2/(MAX(0,MIN(1,M64))^2+(1-MAX(0,MIN(1,M64)))^2/$B$5))-(MAX(0,MIN(1,1))^2/(MAX(0,MIN(1,1))^2+(1-MAX(0,MIN(1,1)))^2/$B$5))))&lt;0.000000001,0,M64-$B$11/$B$9*((MAX(0,MIN(1,M64))^2/(MAX(0,MIN(1,M64))^2+(1-MAX(0,MIN(1,M64)))^2/$B$5))-(MAX(0,MIN(1,1))^2/(MAX(0,MIN(1,1))^2+(1-MAX(0,MIN(1,1)))^2/$B$5))))</f>
        <v>0.939005393333636</v>
      </c>
      <c r="N65" s="16" t="n">
        <f aca="false">IF(ABS(N64-$B$11/$B$9*((MAX(0,MIN(1,N64))^2/(MAX(0,MIN(1,N64))^2+(1-MAX(0,MIN(1,N64)))^2/$B$5))-(MAX(0,MIN(1,M64))^2/(MAX(0,MIN(1,M64))^2+(1-MAX(0,MIN(1,M64)))^2/$B$5))))&lt;0.000000001,0,N64-$B$11/$B$9*((MAX(0,MIN(1,N64))^2/(MAX(0,MIN(1,N64))^2+(1-MAX(0,MIN(1,N64)))^2/$B$5))-(MAX(0,MIN(1,M64))^2/(MAX(0,MIN(1,M64))^2+(1-MAX(0,MIN(1,M64)))^2/$B$5))))</f>
        <v>0.907870068779068</v>
      </c>
      <c r="O65" s="16" t="n">
        <f aca="false">IF(ABS(O64-$B$11/$B$9*((MAX(0,MIN(1,O64))^2/(MAX(0,MIN(1,O64))^2+(1-MAX(0,MIN(1,O64)))^2/$B$5))-(MAX(0,MIN(1,N64))^2/(MAX(0,MIN(1,N64))^2+(1-MAX(0,MIN(1,N64)))^2/$B$5))))&lt;0.000000001,0,O64-$B$11/$B$9*((MAX(0,MIN(1,O64))^2/(MAX(0,MIN(1,O64))^2+(1-MAX(0,MIN(1,O64)))^2/$B$5))-(MAX(0,MIN(1,N64))^2/(MAX(0,MIN(1,N64))^2+(1-MAX(0,MIN(1,N64)))^2/$B$5))))</f>
        <v>0.882313251416502</v>
      </c>
      <c r="P65" s="16" t="n">
        <f aca="false">IF(ABS(P64-$B$11/$B$9*((MAX(0,MIN(1,P64))^2/(MAX(0,MIN(1,P64))^2+(1-MAX(0,MIN(1,P64)))^2/$B$5))-(MAX(0,MIN(1,O64))^2/(MAX(0,MIN(1,O64))^2+(1-MAX(0,MIN(1,O64)))^2/$B$5))))&lt;0.000000001,0,P64-$B$11/$B$9*((MAX(0,MIN(1,P64))^2/(MAX(0,MIN(1,P64))^2+(1-MAX(0,MIN(1,P64)))^2/$B$5))-(MAX(0,MIN(1,O64))^2/(MAX(0,MIN(1,O64))^2+(1-MAX(0,MIN(1,O64)))^2/$B$5))))</f>
        <v>0.860096520719876</v>
      </c>
      <c r="Q65" s="16" t="n">
        <f aca="false">IF(ABS(Q64-$B$11/$B$9*((MAX(0,MIN(1,Q64))^2/(MAX(0,MIN(1,Q64))^2+(1-MAX(0,MIN(1,Q64)))^2/$B$5))-(MAX(0,MIN(1,P64))^2/(MAX(0,MIN(1,P64))^2+(1-MAX(0,MIN(1,P64)))^2/$B$5))))&lt;0.000000001,0,Q64-$B$11/$B$9*((MAX(0,MIN(1,Q64))^2/(MAX(0,MIN(1,Q64))^2+(1-MAX(0,MIN(1,Q64)))^2/$B$5))-(MAX(0,MIN(1,P64))^2/(MAX(0,MIN(1,P64))^2+(1-MAX(0,MIN(1,P64)))^2/$B$5))))</f>
        <v>0.840245161733738</v>
      </c>
      <c r="R65" s="16" t="n">
        <f aca="false">IF(ABS(R64-$B$11/$B$9*((MAX(0,MIN(1,R64))^2/(MAX(0,MIN(1,R64))^2+(1-MAX(0,MIN(1,R64)))^2/$B$5))-(MAX(0,MIN(1,Q64))^2/(MAX(0,MIN(1,Q64))^2+(1-MAX(0,MIN(1,Q64)))^2/$B$5))))&lt;0.000000001,0,R64-$B$11/$B$9*((MAX(0,MIN(1,R64))^2/(MAX(0,MIN(1,R64))^2+(1-MAX(0,MIN(1,R64)))^2/$B$5))-(MAX(0,MIN(1,Q64))^2/(MAX(0,MIN(1,Q64))^2+(1-MAX(0,MIN(1,Q64)))^2/$B$5))))</f>
        <v>0.822197320476692</v>
      </c>
      <c r="S65" s="16" t="n">
        <f aca="false">IF(ABS(S64-$B$11/$B$9*((MAX(0,MIN(1,S64))^2/(MAX(0,MIN(1,S64))^2+(1-MAX(0,MIN(1,S64)))^2/$B$5))-(MAX(0,MIN(1,R64))^2/(MAX(0,MIN(1,R64))^2+(1-MAX(0,MIN(1,R64)))^2/$B$5))))&lt;0.000000001,0,S64-$B$11/$B$9*((MAX(0,MIN(1,S64))^2/(MAX(0,MIN(1,S64))^2+(1-MAX(0,MIN(1,S64)))^2/$B$5))-(MAX(0,MIN(1,R64))^2/(MAX(0,MIN(1,R64))^2+(1-MAX(0,MIN(1,R64)))^2/$B$5))))</f>
        <v>0.805583313964396</v>
      </c>
      <c r="T65" s="16" t="n">
        <f aca="false">IF(ABS(T64-$B$11/$B$9*((MAX(0,MIN(1,T64))^2/(MAX(0,MIN(1,T64))^2+(1-MAX(0,MIN(1,T64)))^2/$B$5))-(MAX(0,MIN(1,S64))^2/(MAX(0,MIN(1,S64))^2+(1-MAX(0,MIN(1,S64)))^2/$B$5))))&lt;0.000000001,0,T64-$B$11/$B$9*((MAX(0,MIN(1,T64))^2/(MAX(0,MIN(1,T64))^2+(1-MAX(0,MIN(1,T64)))^2/$B$5))-(MAX(0,MIN(1,S64))^2/(MAX(0,MIN(1,S64))^2+(1-MAX(0,MIN(1,S64)))^2/$B$5))))</f>
        <v>0.790140423175105</v>
      </c>
      <c r="U65" s="16" t="n">
        <f aca="false">IF(ABS(U64-$B$11/$B$9*((MAX(0,MIN(1,U64))^2/(MAX(0,MIN(1,U64))^2+(1-MAX(0,MIN(1,U64)))^2/$B$5))-(MAX(0,MIN(1,T64))^2/(MAX(0,MIN(1,T64))^2+(1-MAX(0,MIN(1,T64)))^2/$B$5))))&lt;0.000000001,0,U64-$B$11/$B$9*((MAX(0,MIN(1,U64))^2/(MAX(0,MIN(1,U64))^2+(1-MAX(0,MIN(1,U64)))^2/$B$5))-(MAX(0,MIN(1,T64))^2/(MAX(0,MIN(1,T64))^2+(1-MAX(0,MIN(1,T64)))^2/$B$5))))</f>
        <v>0.775672145678342</v>
      </c>
      <c r="V65" s="16" t="n">
        <f aca="false">IF(ABS(V64-$B$11/$B$9*((MAX(0,MIN(1,V64))^2/(MAX(0,MIN(1,V64))^2+(1-MAX(0,MIN(1,V64)))^2/$B$5))-(MAX(0,MIN(1,U64))^2/(MAX(0,MIN(1,U64))^2+(1-MAX(0,MIN(1,U64)))^2/$B$5))))&lt;0.000000001,0,V64-$B$11/$B$9*((MAX(0,MIN(1,V64))^2/(MAX(0,MIN(1,V64))^2+(1-MAX(0,MIN(1,V64)))^2/$B$5))-(MAX(0,MIN(1,U64))^2/(MAX(0,MIN(1,U64))^2+(1-MAX(0,MIN(1,U64)))^2/$B$5))))</f>
        <v>0.762025896710191</v>
      </c>
      <c r="W65" s="16" t="n">
        <f aca="false">IF(ABS(W64-$B$11/$B$9*((MAX(0,MIN(1,W64))^2/(MAX(0,MIN(1,W64))^2+(1-MAX(0,MIN(1,W64)))^2/$B$5))-(MAX(0,MIN(1,V64))^2/(MAX(0,MIN(1,V64))^2+(1-MAX(0,MIN(1,V64)))^2/$B$5))))&lt;0.000000001,0,W64-$B$11/$B$9*((MAX(0,MIN(1,W64))^2/(MAX(0,MIN(1,W64))^2+(1-MAX(0,MIN(1,W64)))^2/$B$5))-(MAX(0,MIN(1,V64))^2/(MAX(0,MIN(1,V64))^2+(1-MAX(0,MIN(1,V64)))^2/$B$5))))</f>
        <v>0.74907961508855</v>
      </c>
      <c r="X65" s="16" t="n">
        <f aca="false">IF(ABS(X64-$B$11/$B$9*((MAX(0,MIN(1,X64))^2/(MAX(0,MIN(1,X64))^2+(1-MAX(0,MIN(1,X64)))^2/$B$5))-(MAX(0,MIN(1,W64))^2/(MAX(0,MIN(1,W64))^2+(1-MAX(0,MIN(1,W64)))^2/$B$5))))&lt;0.000000001,0,X64-$B$11/$B$9*((MAX(0,MIN(1,X64))^2/(MAX(0,MIN(1,X64))^2+(1-MAX(0,MIN(1,X64)))^2/$B$5))-(MAX(0,MIN(1,W64))^2/(MAX(0,MIN(1,W64))^2+(1-MAX(0,MIN(1,W64)))^2/$B$5))))</f>
        <v>0.736733137415026</v>
      </c>
      <c r="Y65" s="16" t="n">
        <f aca="false">IF(ABS(Y64-$B$11/$B$9*((MAX(0,MIN(1,Y64))^2/(MAX(0,MIN(1,Y64))^2+(1-MAX(0,MIN(1,Y64)))^2/$B$5))-(MAX(0,MIN(1,X64))^2/(MAX(0,MIN(1,X64))^2+(1-MAX(0,MIN(1,X64)))^2/$B$5))))&lt;0.000000001,0,Y64-$B$11/$B$9*((MAX(0,MIN(1,Y64))^2/(MAX(0,MIN(1,Y64))^2+(1-MAX(0,MIN(1,Y64)))^2/$B$5))-(MAX(0,MIN(1,X64))^2/(MAX(0,MIN(1,X64))^2+(1-MAX(0,MIN(1,X64)))^2/$B$5))))</f>
        <v>0.724902315935071</v>
      </c>
      <c r="Z65" s="16" t="n">
        <f aca="false">IF(ABS(Z64-$B$11/$B$9*((MAX(0,MIN(1,Z64))^2/(MAX(0,MIN(1,Z64))^2+(1-MAX(0,MIN(1,Z64)))^2/$B$5))-(MAX(0,MIN(1,Y64))^2/(MAX(0,MIN(1,Y64))^2+(1-MAX(0,MIN(1,Y64)))^2/$B$5))))&lt;0.000000001,0,Z64-$B$11/$B$9*((MAX(0,MIN(1,Z64))^2/(MAX(0,MIN(1,Z64))^2+(1-MAX(0,MIN(1,Z64)))^2/$B$5))-(MAX(0,MIN(1,Y64))^2/(MAX(0,MIN(1,Y64))^2+(1-MAX(0,MIN(1,Y64)))^2/$B$5))))</f>
        <v>0.713514788322852</v>
      </c>
      <c r="AA65" s="16" t="n">
        <f aca="false">IF(ABS(AA64-$B$11/$B$9*((MAX(0,MIN(1,AA64))^2/(MAX(0,MIN(1,AA64))^2+(1-MAX(0,MIN(1,AA64)))^2/$B$5))-(MAX(0,MIN(1,Z64))^2/(MAX(0,MIN(1,Z64))^2+(1-MAX(0,MIN(1,Z64)))^2/$B$5))))&lt;0.000000001,0,AA64-$B$11/$B$9*((MAX(0,MIN(1,AA64))^2/(MAX(0,MIN(1,AA64))^2+(1-MAX(0,MIN(1,AA64)))^2/$B$5))-(MAX(0,MIN(1,Z64))^2/(MAX(0,MIN(1,Z64))^2+(1-MAX(0,MIN(1,Z64)))^2/$B$5))))</f>
        <v>0.702506756296441</v>
      </c>
      <c r="AB65" s="16" t="n">
        <f aca="false">IF(ABS(AB64-$B$11/$B$9*((MAX(0,MIN(1,AB64))^2/(MAX(0,MIN(1,AB64))^2+(1-MAX(0,MIN(1,AB64)))^2/$B$5))-(MAX(0,MIN(1,AA64))^2/(MAX(0,MIN(1,AA64))^2+(1-MAX(0,MIN(1,AA64)))^2/$B$5))))&lt;0.000000001,0,AB64-$B$11/$B$9*((MAX(0,MIN(1,AB64))^2/(MAX(0,MIN(1,AB64))^2+(1-MAX(0,MIN(1,AB64)))^2/$B$5))-(MAX(0,MIN(1,AA64))^2/(MAX(0,MIN(1,AA64))^2+(1-MAX(0,MIN(1,AA64)))^2/$B$5))))</f>
        <v>0.691820355031813</v>
      </c>
      <c r="AC65" s="16" t="n">
        <f aca="false">IF(ABS(AC64-$B$11/$B$9*((MAX(0,MIN(1,AC64))^2/(MAX(0,MIN(1,AC64))^2+(1-MAX(0,MIN(1,AC64)))^2/$B$5))-(MAX(0,MIN(1,AB64))^2/(MAX(0,MIN(1,AB64))^2+(1-MAX(0,MIN(1,AB64)))^2/$B$5))))&lt;0.000000001,0,AC64-$B$11/$B$9*((MAX(0,MIN(1,AC64))^2/(MAX(0,MIN(1,AC64))^2+(1-MAX(0,MIN(1,AC64)))^2/$B$5))-(MAX(0,MIN(1,AB64))^2/(MAX(0,MIN(1,AB64))^2+(1-MAX(0,MIN(1,AB64)))^2/$B$5))))</f>
        <v>0.68140130314527</v>
      </c>
      <c r="AD65" s="16" t="n">
        <f aca="false">IF(ABS(AD64-$B$11/$B$9*((MAX(0,MIN(1,AD64))^2/(MAX(0,MIN(1,AD64))^2+(1-MAX(0,MIN(1,AD64)))^2/$B$5))-(MAX(0,MIN(1,AC64))^2/(MAX(0,MIN(1,AC64))^2+(1-MAX(0,MIN(1,AC64)))^2/$B$5))))&lt;0.000000001,0,AD64-$B$11/$B$9*((MAX(0,MIN(1,AD64))^2/(MAX(0,MIN(1,AD64))^2+(1-MAX(0,MIN(1,AD64)))^2/$B$5))-(MAX(0,MIN(1,AC64))^2/(MAX(0,MIN(1,AC64))^2+(1-MAX(0,MIN(1,AC64)))^2/$B$5))))</f>
        <v>0.671196555517049</v>
      </c>
      <c r="AE65" s="16" t="n">
        <f aca="false">IF(ABS(AE64-$B$11/$B$9*((MAX(0,MIN(1,AE64))^2/(MAX(0,MIN(1,AE64))^2+(1-MAX(0,MIN(1,AE64)))^2/$B$5))-(MAX(0,MIN(1,AD64))^2/(MAX(0,MIN(1,AD64))^2+(1-MAX(0,MIN(1,AD64)))^2/$B$5))))&lt;0.000000001,0,AE64-$B$11/$B$9*((MAX(0,MIN(1,AE64))^2/(MAX(0,MIN(1,AE64))^2+(1-MAX(0,MIN(1,AE64)))^2/$B$5))-(MAX(0,MIN(1,AD64))^2/(MAX(0,MIN(1,AD64))^2+(1-MAX(0,MIN(1,AD64)))^2/$B$5))))</f>
        <v>0.661151644858588</v>
      </c>
      <c r="AF65" s="16" t="n">
        <f aca="false">IF(ABS(AF64-$B$11/$B$9*((MAX(0,MIN(1,AF64))^2/(MAX(0,MIN(1,AF64))^2+(1-MAX(0,MIN(1,AF64)))^2/$B$5))-(MAX(0,MIN(1,AE64))^2/(MAX(0,MIN(1,AE64))^2+(1-MAX(0,MIN(1,AE64)))^2/$B$5))))&lt;0.000000001,0,AF64-$B$11/$B$9*((MAX(0,MIN(1,AF64))^2/(MAX(0,MIN(1,AF64))^2+(1-MAX(0,MIN(1,AF64)))^2/$B$5))-(MAX(0,MIN(1,AE64))^2/(MAX(0,MIN(1,AE64))^2+(1-MAX(0,MIN(1,AE64)))^2/$B$5))))</f>
        <v>0.651207266082142</v>
      </c>
    </row>
    <row r="66" customFormat="false" ht="15" hidden="false" customHeight="false" outlineLevel="0" collapsed="false">
      <c r="A66" s="0" t="n">
        <v>0.61</v>
      </c>
      <c r="D66" s="0" t="n">
        <f aca="false">A66</f>
        <v>0.61</v>
      </c>
      <c r="E66" s="0" t="n">
        <f aca="false">(G66-G65)/(A66-A65)</f>
        <v>1.21205359406855</v>
      </c>
      <c r="F66" s="0" t="n">
        <f aca="false">G66/A66</f>
        <v>1.36115140020083</v>
      </c>
      <c r="G66" s="0" t="n">
        <f aca="false">A66^2/(A66^2+(1-A66)^2/$B$5)</f>
        <v>0.830302354122504</v>
      </c>
      <c r="L66" s="0" t="n">
        <v>56</v>
      </c>
      <c r="M66" s="16" t="n">
        <f aca="false">IF(ABS(M65-$B$11/$B$9*((MAX(0,MIN(1,M65))^2/(MAX(0,MIN(1,M65))^2+(1-MAX(0,MIN(1,M65)))^2/$B$5))-(MAX(0,MIN(1,1))^2/(MAX(0,MIN(1,1))^2+(1-MAX(0,MIN(1,1)))^2/$B$5))))&lt;0.000000001,0,M65-$B$11/$B$9*((MAX(0,MIN(1,M65))^2/(MAX(0,MIN(1,M65))^2+(1-MAX(0,MIN(1,M65)))^2/$B$5))-(MAX(0,MIN(1,1))^2/(MAX(0,MIN(1,1))^2+(1-MAX(0,MIN(1,1)))^2/$B$5))))</f>
        <v>0.939814923870645</v>
      </c>
      <c r="N66" s="16" t="n">
        <f aca="false">IF(ABS(N65-$B$11/$B$9*((MAX(0,MIN(1,N65))^2/(MAX(0,MIN(1,N65))^2+(1-MAX(0,MIN(1,N65)))^2/$B$5))-(MAX(0,MIN(1,M65))^2/(MAX(0,MIN(1,M65))^2+(1-MAX(0,MIN(1,M65)))^2/$B$5))))&lt;0.000000001,0,N65-$B$11/$B$9*((MAX(0,MIN(1,N65))^2/(MAX(0,MIN(1,N65))^2+(1-MAX(0,MIN(1,N65)))^2/$B$5))-(MAX(0,MIN(1,M65))^2/(MAX(0,MIN(1,M65))^2+(1-MAX(0,MIN(1,M65)))^2/$B$5))))</f>
        <v>0.909030353254331</v>
      </c>
      <c r="O66" s="16" t="n">
        <f aca="false">IF(ABS(O65-$B$11/$B$9*((MAX(0,MIN(1,O65))^2/(MAX(0,MIN(1,O65))^2+(1-MAX(0,MIN(1,O65)))^2/$B$5))-(MAX(0,MIN(1,N65))^2/(MAX(0,MIN(1,N65))^2+(1-MAX(0,MIN(1,N65)))^2/$B$5))))&lt;0.000000001,0,O65-$B$11/$B$9*((MAX(0,MIN(1,O65))^2/(MAX(0,MIN(1,O65))^2+(1-MAX(0,MIN(1,O65)))^2/$B$5))-(MAX(0,MIN(1,N65))^2/(MAX(0,MIN(1,N65))^2+(1-MAX(0,MIN(1,N65)))^2/$B$5))))</f>
        <v>0.883733946609926</v>
      </c>
      <c r="P66" s="16" t="n">
        <f aca="false">IF(ABS(P65-$B$11/$B$9*((MAX(0,MIN(1,P65))^2/(MAX(0,MIN(1,P65))^2+(1-MAX(0,MIN(1,P65)))^2/$B$5))-(MAX(0,MIN(1,O65))^2/(MAX(0,MIN(1,O65))^2+(1-MAX(0,MIN(1,O65)))^2/$B$5))))&lt;0.000000001,0,P65-$B$11/$B$9*((MAX(0,MIN(1,P65))^2/(MAX(0,MIN(1,P65))^2+(1-MAX(0,MIN(1,P65)))^2/$B$5))-(MAX(0,MIN(1,O65))^2/(MAX(0,MIN(1,O65))^2+(1-MAX(0,MIN(1,O65)))^2/$B$5))))</f>
        <v>0.861726623676248</v>
      </c>
      <c r="Q66" s="16" t="n">
        <f aca="false">IF(ABS(Q65-$B$11/$B$9*((MAX(0,MIN(1,Q65))^2/(MAX(0,MIN(1,Q65))^2+(1-MAX(0,MIN(1,Q65)))^2/$B$5))-(MAX(0,MIN(1,P65))^2/(MAX(0,MIN(1,P65))^2+(1-MAX(0,MIN(1,P65)))^2/$B$5))))&lt;0.000000001,0,Q65-$B$11/$B$9*((MAX(0,MIN(1,Q65))^2/(MAX(0,MIN(1,Q65))^2+(1-MAX(0,MIN(1,Q65)))^2/$B$5))-(MAX(0,MIN(1,P65))^2/(MAX(0,MIN(1,P65))^2+(1-MAX(0,MIN(1,P65)))^2/$B$5))))</f>
        <v>0.842051365253831</v>
      </c>
      <c r="R66" s="16" t="n">
        <f aca="false">IF(ABS(R65-$B$11/$B$9*((MAX(0,MIN(1,R65))^2/(MAX(0,MIN(1,R65))^2+(1-MAX(0,MIN(1,R65)))^2/$B$5))-(MAX(0,MIN(1,Q65))^2/(MAX(0,MIN(1,Q65))^2+(1-MAX(0,MIN(1,Q65)))^2/$B$5))))&lt;0.000000001,0,R65-$B$11/$B$9*((MAX(0,MIN(1,R65))^2/(MAX(0,MIN(1,R65))^2+(1-MAX(0,MIN(1,R65)))^2/$B$5))-(MAX(0,MIN(1,Q65))^2/(MAX(0,MIN(1,Q65))^2+(1-MAX(0,MIN(1,Q65)))^2/$B$5))))</f>
        <v>0.824156443496403</v>
      </c>
      <c r="S66" s="16" t="n">
        <f aca="false">IF(ABS(S65-$B$11/$B$9*((MAX(0,MIN(1,S65))^2/(MAX(0,MIN(1,S65))^2+(1-MAX(0,MIN(1,S65)))^2/$B$5))-(MAX(0,MIN(1,R65))^2/(MAX(0,MIN(1,R65))^2+(1-MAX(0,MIN(1,R65)))^2/$B$5))))&lt;0.000000001,0,S65-$B$11/$B$9*((MAX(0,MIN(1,S65))^2/(MAX(0,MIN(1,S65))^2+(1-MAX(0,MIN(1,S65)))^2/$B$5))-(MAX(0,MIN(1,R65))^2/(MAX(0,MIN(1,R65))^2+(1-MAX(0,MIN(1,R65)))^2/$B$5))))</f>
        <v>0.807678685306767</v>
      </c>
      <c r="T66" s="16" t="n">
        <f aca="false">IF(ABS(T65-$B$11/$B$9*((MAX(0,MIN(1,T65))^2/(MAX(0,MIN(1,T65))^2+(1-MAX(0,MIN(1,T65)))^2/$B$5))-(MAX(0,MIN(1,S65))^2/(MAX(0,MIN(1,S65))^2+(1-MAX(0,MIN(1,S65)))^2/$B$5))))&lt;0.000000001,0,T65-$B$11/$B$9*((MAX(0,MIN(1,T65))^2/(MAX(0,MIN(1,T65))^2+(1-MAX(0,MIN(1,T65)))^2/$B$5))-(MAX(0,MIN(1,S65))^2/(MAX(0,MIN(1,S65))^2+(1-MAX(0,MIN(1,S65)))^2/$B$5))))</f>
        <v>0.792359879334847</v>
      </c>
      <c r="U66" s="16" t="n">
        <f aca="false">IF(ABS(U65-$B$11/$B$9*((MAX(0,MIN(1,U65))^2/(MAX(0,MIN(1,U65))^2+(1-MAX(0,MIN(1,U65)))^2/$B$5))-(MAX(0,MIN(1,T65))^2/(MAX(0,MIN(1,T65))^2+(1-MAX(0,MIN(1,T65)))^2/$B$5))))&lt;0.000000001,0,U65-$B$11/$B$9*((MAX(0,MIN(1,U65))^2/(MAX(0,MIN(1,U65))^2+(1-MAX(0,MIN(1,U65)))^2/$B$5))-(MAX(0,MIN(1,T65))^2/(MAX(0,MIN(1,T65))^2+(1-MAX(0,MIN(1,T65)))^2/$B$5))))</f>
        <v>0.778006827915883</v>
      </c>
      <c r="V66" s="16" t="n">
        <f aca="false">IF(ABS(V65-$B$11/$B$9*((MAX(0,MIN(1,V65))^2/(MAX(0,MIN(1,V65))^2+(1-MAX(0,MIN(1,V65)))^2/$B$5))-(MAX(0,MIN(1,U65))^2/(MAX(0,MIN(1,U65))^2+(1-MAX(0,MIN(1,U65)))^2/$B$5))))&lt;0.000000001,0,V65-$B$11/$B$9*((MAX(0,MIN(1,V65))^2/(MAX(0,MIN(1,V65))^2+(1-MAX(0,MIN(1,V65)))^2/$B$5))-(MAX(0,MIN(1,U65))^2/(MAX(0,MIN(1,U65))^2+(1-MAX(0,MIN(1,U65)))^2/$B$5))))</f>
        <v>0.764469495597297</v>
      </c>
      <c r="W66" s="16" t="n">
        <f aca="false">IF(ABS(W65-$B$11/$B$9*((MAX(0,MIN(1,W65))^2/(MAX(0,MIN(1,W65))^2+(1-MAX(0,MIN(1,W65)))^2/$B$5))-(MAX(0,MIN(1,V65))^2/(MAX(0,MIN(1,V65))^2+(1-MAX(0,MIN(1,V65)))^2/$B$5))))&lt;0.000000001,0,W65-$B$11/$B$9*((MAX(0,MIN(1,W65))^2/(MAX(0,MIN(1,W65))^2+(1-MAX(0,MIN(1,W65)))^2/$B$5))-(MAX(0,MIN(1,V65))^2/(MAX(0,MIN(1,V65))^2+(1-MAX(0,MIN(1,V65)))^2/$B$5))))</f>
        <v>0.751627889994344</v>
      </c>
      <c r="X66" s="16" t="n">
        <f aca="false">IF(ABS(X65-$B$11/$B$9*((MAX(0,MIN(1,X65))^2/(MAX(0,MIN(1,X65))^2+(1-MAX(0,MIN(1,X65)))^2/$B$5))-(MAX(0,MIN(1,W65))^2/(MAX(0,MIN(1,W65))^2+(1-MAX(0,MIN(1,W65)))^2/$B$5))))&lt;0.000000001,0,X65-$B$11/$B$9*((MAX(0,MIN(1,X65))^2/(MAX(0,MIN(1,X65))^2+(1-MAX(0,MIN(1,X65)))^2/$B$5))-(MAX(0,MIN(1,W65))^2/(MAX(0,MIN(1,W65))^2+(1-MAX(0,MIN(1,W65)))^2/$B$5))))</f>
        <v>0.739383620313986</v>
      </c>
      <c r="Y66" s="16" t="n">
        <f aca="false">IF(ABS(Y65-$B$11/$B$9*((MAX(0,MIN(1,Y65))^2/(MAX(0,MIN(1,Y65))^2+(1-MAX(0,MIN(1,Y65)))^2/$B$5))-(MAX(0,MIN(1,X65))^2/(MAX(0,MIN(1,X65))^2+(1-MAX(0,MIN(1,X65)))^2/$B$5))))&lt;0.000000001,0,Y65-$B$11/$B$9*((MAX(0,MIN(1,Y65))^2/(MAX(0,MIN(1,Y65))^2+(1-MAX(0,MIN(1,Y65)))^2/$B$5))-(MAX(0,MIN(1,X65))^2/(MAX(0,MIN(1,X65))^2+(1-MAX(0,MIN(1,X65)))^2/$B$5))))</f>
        <v>0.727654151726404</v>
      </c>
      <c r="Z66" s="16" t="n">
        <f aca="false">IF(ABS(Z65-$B$11/$B$9*((MAX(0,MIN(1,Z65))^2/(MAX(0,MIN(1,Z65))^2+(1-MAX(0,MIN(1,Z65)))^2/$B$5))-(MAX(0,MIN(1,Y65))^2/(MAX(0,MIN(1,Y65))^2+(1-MAX(0,MIN(1,Y65)))^2/$B$5))))&lt;0.000000001,0,Z65-$B$11/$B$9*((MAX(0,MIN(1,Z65))^2/(MAX(0,MIN(1,Z65))^2+(1-MAX(0,MIN(1,Z65)))^2/$B$5))-(MAX(0,MIN(1,Y65))^2/(MAX(0,MIN(1,Y65))^2+(1-MAX(0,MIN(1,Y65)))^2/$B$5))))</f>
        <v>0.716368689783038</v>
      </c>
      <c r="AA66" s="16" t="n">
        <f aca="false">IF(ABS(AA65-$B$11/$B$9*((MAX(0,MIN(1,AA65))^2/(MAX(0,MIN(1,AA65))^2+(1-MAX(0,MIN(1,AA65)))^2/$B$5))-(MAX(0,MIN(1,Z65))^2/(MAX(0,MIN(1,Z65))^2+(1-MAX(0,MIN(1,Z65)))^2/$B$5))))&lt;0.000000001,0,AA65-$B$11/$B$9*((MAX(0,MIN(1,AA65))^2/(MAX(0,MIN(1,AA65))^2+(1-MAX(0,MIN(1,AA65)))^2/$B$5))-(MAX(0,MIN(1,Z65))^2/(MAX(0,MIN(1,Z65))^2+(1-MAX(0,MIN(1,Z65)))^2/$B$5))))</f>
        <v>0.705465070924176</v>
      </c>
      <c r="AB66" s="16" t="n">
        <f aca="false">IF(ABS(AB65-$B$11/$B$9*((MAX(0,MIN(1,AB65))^2/(MAX(0,MIN(1,AB65))^2+(1-MAX(0,MIN(1,AB65)))^2/$B$5))-(MAX(0,MIN(1,AA65))^2/(MAX(0,MIN(1,AA65))^2+(1-MAX(0,MIN(1,AA65)))^2/$B$5))))&lt;0.000000001,0,AB65-$B$11/$B$9*((MAX(0,MIN(1,AB65))^2/(MAX(0,MIN(1,AB65))^2+(1-MAX(0,MIN(1,AB65)))^2/$B$5))-(MAX(0,MIN(1,AA65))^2/(MAX(0,MIN(1,AA65))^2+(1-MAX(0,MIN(1,AA65)))^2/$B$5))))</f>
        <v>0.694887259179187</v>
      </c>
      <c r="AC66" s="16" t="n">
        <f aca="false">IF(ABS(AC65-$B$11/$B$9*((MAX(0,MIN(1,AC65))^2/(MAX(0,MIN(1,AC65))^2+(1-MAX(0,MIN(1,AC65)))^2/$B$5))-(MAX(0,MIN(1,AB65))^2/(MAX(0,MIN(1,AB65))^2+(1-MAX(0,MIN(1,AB65)))^2/$B$5))))&lt;0.000000001,0,AC65-$B$11/$B$9*((MAX(0,MIN(1,AC65))^2/(MAX(0,MIN(1,AC65))^2+(1-MAX(0,MIN(1,AC65)))^2/$B$5))-(MAX(0,MIN(1,AB65))^2/(MAX(0,MIN(1,AB65))^2+(1-MAX(0,MIN(1,AB65)))^2/$B$5))))</f>
        <v>0.684583160822627</v>
      </c>
      <c r="AD66" s="16" t="n">
        <f aca="false">IF(ABS(AD65-$B$11/$B$9*((MAX(0,MIN(1,AD65))^2/(MAX(0,MIN(1,AD65))^2+(1-MAX(0,MIN(1,AD65)))^2/$B$5))-(MAX(0,MIN(1,AC65))^2/(MAX(0,MIN(1,AC65))^2+(1-MAX(0,MIN(1,AC65)))^2/$B$5))))&lt;0.000000001,0,AD65-$B$11/$B$9*((MAX(0,MIN(1,AD65))^2/(MAX(0,MIN(1,AD65))^2+(1-MAX(0,MIN(1,AD65)))^2/$B$5))-(MAX(0,MIN(1,AC65))^2/(MAX(0,MIN(1,AC65))^2+(1-MAX(0,MIN(1,AC65)))^2/$B$5))))</f>
        <v>0.674502511525403</v>
      </c>
      <c r="AE66" s="16" t="n">
        <f aca="false">IF(ABS(AE65-$B$11/$B$9*((MAX(0,MIN(1,AE65))^2/(MAX(0,MIN(1,AE65))^2+(1-MAX(0,MIN(1,AE65)))^2/$B$5))-(MAX(0,MIN(1,AD65))^2/(MAX(0,MIN(1,AD65))^2+(1-MAX(0,MIN(1,AD65)))^2/$B$5))))&lt;0.000000001,0,AE65-$B$11/$B$9*((MAX(0,MIN(1,AE65))^2/(MAX(0,MIN(1,AE65))^2+(1-MAX(0,MIN(1,AE65)))^2/$B$5))-(MAX(0,MIN(1,AD65))^2/(MAX(0,MIN(1,AD65))^2+(1-MAX(0,MIN(1,AD65)))^2/$B$5))))</f>
        <v>0.66459457600499</v>
      </c>
      <c r="AF66" s="16" t="n">
        <f aca="false">IF(ABS(AF65-$B$11/$B$9*((MAX(0,MIN(1,AF65))^2/(MAX(0,MIN(1,AF65))^2+(1-MAX(0,MIN(1,AF65)))^2/$B$5))-(MAX(0,MIN(1,AE65))^2/(MAX(0,MIN(1,AE65))^2+(1-MAX(0,MIN(1,AE65)))^2/$B$5))))&lt;0.000000001,0,AF65-$B$11/$B$9*((MAX(0,MIN(1,AF65))^2/(MAX(0,MIN(1,AF65))^2+(1-MAX(0,MIN(1,AF65)))^2/$B$5))-(MAX(0,MIN(1,AE65))^2/(MAX(0,MIN(1,AE65))^2+(1-MAX(0,MIN(1,AE65)))^2/$B$5))))</f>
        <v>0.654805314079135</v>
      </c>
    </row>
    <row r="67" customFormat="false" ht="15" hidden="false" customHeight="false" outlineLevel="0" collapsed="false">
      <c r="A67" s="0" t="n">
        <v>0.62</v>
      </c>
      <c r="D67" s="0" t="n">
        <f aca="false">A67</f>
        <v>0.62</v>
      </c>
      <c r="E67" s="0" t="n">
        <f aca="false">(G67-G66)/(A67-A66)</f>
        <v>1.15723721149034</v>
      </c>
      <c r="F67" s="0" t="n">
        <f aca="false">G67/A67</f>
        <v>1.35786246167324</v>
      </c>
      <c r="G67" s="0" t="n">
        <f aca="false">A67^2/(A67^2+(1-A67)^2/$B$5)</f>
        <v>0.841874726237407</v>
      </c>
      <c r="L67" s="0" t="n">
        <v>57</v>
      </c>
      <c r="M67" s="16" t="n">
        <f aca="false">IF(ABS(M66-$B$11/$B$9*((MAX(0,MIN(1,M66))^2/(MAX(0,MIN(1,M66))^2+(1-MAX(0,MIN(1,M66)))^2/$B$5))-(MAX(0,MIN(1,1))^2/(MAX(0,MIN(1,1))^2+(1-MAX(0,MIN(1,1)))^2/$B$5))))&lt;0.000000001,0,M66-$B$11/$B$9*((MAX(0,MIN(1,M66))^2/(MAX(0,MIN(1,M66))^2+(1-MAX(0,MIN(1,M66)))^2/$B$5))-(MAX(0,MIN(1,1))^2/(MAX(0,MIN(1,1))^2+(1-MAX(0,MIN(1,1)))^2/$B$5))))</f>
        <v>0.940601797761329</v>
      </c>
      <c r="N67" s="16" t="n">
        <f aca="false">IF(ABS(N66-$B$11/$B$9*((MAX(0,MIN(1,N66))^2/(MAX(0,MIN(1,N66))^2+(1-MAX(0,MIN(1,N66)))^2/$B$5))-(MAX(0,MIN(1,M66))^2/(MAX(0,MIN(1,M66))^2+(1-MAX(0,MIN(1,M66)))^2/$B$5))))&lt;0.000000001,0,N66-$B$11/$B$9*((MAX(0,MIN(1,N66))^2/(MAX(0,MIN(1,N66))^2+(1-MAX(0,MIN(1,N66)))^2/$B$5))-(MAX(0,MIN(1,M66))^2/(MAX(0,MIN(1,M66))^2+(1-MAX(0,MIN(1,M66)))^2/$B$5))))</f>
        <v>0.910159361613899</v>
      </c>
      <c r="O67" s="16" t="n">
        <f aca="false">IF(ABS(O66-$B$11/$B$9*((MAX(0,MIN(1,O66))^2/(MAX(0,MIN(1,O66))^2+(1-MAX(0,MIN(1,O66)))^2/$B$5))-(MAX(0,MIN(1,N66))^2/(MAX(0,MIN(1,N66))^2+(1-MAX(0,MIN(1,N66)))^2/$B$5))))&lt;0.000000001,0,O66-$B$11/$B$9*((MAX(0,MIN(1,O66))^2/(MAX(0,MIN(1,O66))^2+(1-MAX(0,MIN(1,O66)))^2/$B$5))-(MAX(0,MIN(1,N66))^2/(MAX(0,MIN(1,N66))^2+(1-MAX(0,MIN(1,N66)))^2/$B$5))))</f>
        <v>0.885117367581542</v>
      </c>
      <c r="P67" s="16" t="n">
        <f aca="false">IF(ABS(P66-$B$11/$B$9*((MAX(0,MIN(1,P66))^2/(MAX(0,MIN(1,P66))^2+(1-MAX(0,MIN(1,P66)))^2/$B$5))-(MAX(0,MIN(1,O66))^2/(MAX(0,MIN(1,O66))^2+(1-MAX(0,MIN(1,O66)))^2/$B$5))))&lt;0.000000001,0,P66-$B$11/$B$9*((MAX(0,MIN(1,P66))^2/(MAX(0,MIN(1,P66))^2+(1-MAX(0,MIN(1,P66)))^2/$B$5))-(MAX(0,MIN(1,O66))^2/(MAX(0,MIN(1,O66))^2+(1-MAX(0,MIN(1,O66)))^2/$B$5))))</f>
        <v>0.863314795521921</v>
      </c>
      <c r="Q67" s="16" t="n">
        <f aca="false">IF(ABS(Q66-$B$11/$B$9*((MAX(0,MIN(1,Q66))^2/(MAX(0,MIN(1,Q66))^2+(1-MAX(0,MIN(1,Q66)))^2/$B$5))-(MAX(0,MIN(1,P66))^2/(MAX(0,MIN(1,P66))^2+(1-MAX(0,MIN(1,P66)))^2/$B$5))))&lt;0.000000001,0,Q66-$B$11/$B$9*((MAX(0,MIN(1,Q66))^2/(MAX(0,MIN(1,Q66))^2+(1-MAX(0,MIN(1,Q66)))^2/$B$5))-(MAX(0,MIN(1,P66))^2/(MAX(0,MIN(1,P66))^2+(1-MAX(0,MIN(1,P66)))^2/$B$5))))</f>
        <v>0.843811760439155</v>
      </c>
      <c r="R67" s="16" t="n">
        <f aca="false">IF(ABS(R66-$B$11/$B$9*((MAX(0,MIN(1,R66))^2/(MAX(0,MIN(1,R66))^2+(1-MAX(0,MIN(1,R66)))^2/$B$5))-(MAX(0,MIN(1,Q66))^2/(MAX(0,MIN(1,Q66))^2+(1-MAX(0,MIN(1,Q66)))^2/$B$5))))&lt;0.000000001,0,R66-$B$11/$B$9*((MAX(0,MIN(1,R66))^2/(MAX(0,MIN(1,R66))^2+(1-MAX(0,MIN(1,R66)))^2/$B$5))-(MAX(0,MIN(1,Q66))^2/(MAX(0,MIN(1,Q66))^2+(1-MAX(0,MIN(1,Q66)))^2/$B$5))))</f>
        <v>0.826066350248217</v>
      </c>
      <c r="S67" s="16" t="n">
        <f aca="false">IF(ABS(S66-$B$11/$B$9*((MAX(0,MIN(1,S66))^2/(MAX(0,MIN(1,S66))^2+(1-MAX(0,MIN(1,S66)))^2/$B$5))-(MAX(0,MIN(1,R66))^2/(MAX(0,MIN(1,R66))^2+(1-MAX(0,MIN(1,R66)))^2/$B$5))))&lt;0.000000001,0,S66-$B$11/$B$9*((MAX(0,MIN(1,S66))^2/(MAX(0,MIN(1,S66))^2+(1-MAX(0,MIN(1,S66)))^2/$B$5))-(MAX(0,MIN(1,R66))^2/(MAX(0,MIN(1,R66))^2+(1-MAX(0,MIN(1,R66)))^2/$B$5))))</f>
        <v>0.809721707039665</v>
      </c>
      <c r="T67" s="16" t="n">
        <f aca="false">IF(ABS(T66-$B$11/$B$9*((MAX(0,MIN(1,T66))^2/(MAX(0,MIN(1,T66))^2+(1-MAX(0,MIN(1,T66)))^2/$B$5))-(MAX(0,MIN(1,S66))^2/(MAX(0,MIN(1,S66))^2+(1-MAX(0,MIN(1,S66)))^2/$B$5))))&lt;0.000000001,0,T66-$B$11/$B$9*((MAX(0,MIN(1,T66))^2/(MAX(0,MIN(1,T66))^2+(1-MAX(0,MIN(1,T66)))^2/$B$5))-(MAX(0,MIN(1,S66))^2/(MAX(0,MIN(1,S66))^2+(1-MAX(0,MIN(1,S66)))^2/$B$5))))</f>
        <v>0.794523992352101</v>
      </c>
      <c r="U67" s="16" t="n">
        <f aca="false">IF(ABS(U66-$B$11/$B$9*((MAX(0,MIN(1,U66))^2/(MAX(0,MIN(1,U66))^2+(1-MAX(0,MIN(1,U66)))^2/$B$5))-(MAX(0,MIN(1,T66))^2/(MAX(0,MIN(1,T66))^2+(1-MAX(0,MIN(1,T66)))^2/$B$5))))&lt;0.000000001,0,U66-$B$11/$B$9*((MAX(0,MIN(1,U66))^2/(MAX(0,MIN(1,U66))^2+(1-MAX(0,MIN(1,U66)))^2/$B$5))-(MAX(0,MIN(1,T66))^2/(MAX(0,MIN(1,T66))^2+(1-MAX(0,MIN(1,T66)))^2/$B$5))))</f>
        <v>0.780283210735397</v>
      </c>
      <c r="V67" s="16" t="n">
        <f aca="false">IF(ABS(V66-$B$11/$B$9*((MAX(0,MIN(1,V66))^2/(MAX(0,MIN(1,V66))^2+(1-MAX(0,MIN(1,V66)))^2/$B$5))-(MAX(0,MIN(1,U66))^2/(MAX(0,MIN(1,U66))^2+(1-MAX(0,MIN(1,U66)))^2/$B$5))))&lt;0.000000001,0,V66-$B$11/$B$9*((MAX(0,MIN(1,V66))^2/(MAX(0,MIN(1,V66))^2+(1-MAX(0,MIN(1,V66)))^2/$B$5))-(MAX(0,MIN(1,U66))^2/(MAX(0,MIN(1,U66))^2+(1-MAX(0,MIN(1,U66)))^2/$B$5))))</f>
        <v>0.766851789906733</v>
      </c>
      <c r="W67" s="16" t="n">
        <f aca="false">IF(ABS(W66-$B$11/$B$9*((MAX(0,MIN(1,W66))^2/(MAX(0,MIN(1,W66))^2+(1-MAX(0,MIN(1,W66)))^2/$B$5))-(MAX(0,MIN(1,V66))^2/(MAX(0,MIN(1,V66))^2+(1-MAX(0,MIN(1,V66)))^2/$B$5))))&lt;0.000000001,0,W66-$B$11/$B$9*((MAX(0,MIN(1,W66))^2/(MAX(0,MIN(1,W66))^2+(1-MAX(0,MIN(1,W66)))^2/$B$5))-(MAX(0,MIN(1,V66))^2/(MAX(0,MIN(1,V66))^2+(1-MAX(0,MIN(1,V66)))^2/$B$5))))</f>
        <v>0.754111726105414</v>
      </c>
      <c r="X67" s="16" t="n">
        <f aca="false">IF(ABS(X66-$B$11/$B$9*((MAX(0,MIN(1,X66))^2/(MAX(0,MIN(1,X66))^2+(1-MAX(0,MIN(1,X66)))^2/$B$5))-(MAX(0,MIN(1,W66))^2/(MAX(0,MIN(1,W66))^2+(1-MAX(0,MIN(1,W66)))^2/$B$5))))&lt;0.000000001,0,X66-$B$11/$B$9*((MAX(0,MIN(1,X66))^2/(MAX(0,MIN(1,X66))^2+(1-MAX(0,MIN(1,X66)))^2/$B$5))-(MAX(0,MIN(1,W66))^2/(MAX(0,MIN(1,W66))^2+(1-MAX(0,MIN(1,W66)))^2/$B$5))))</f>
        <v>0.741966318727117</v>
      </c>
      <c r="Y67" s="16" t="n">
        <f aca="false">IF(ABS(Y66-$B$11/$B$9*((MAX(0,MIN(1,Y66))^2/(MAX(0,MIN(1,Y66))^2+(1-MAX(0,MIN(1,Y66)))^2/$B$5))-(MAX(0,MIN(1,X66))^2/(MAX(0,MIN(1,X66))^2+(1-MAX(0,MIN(1,X66)))^2/$B$5))))&lt;0.000000001,0,Y66-$B$11/$B$9*((MAX(0,MIN(1,Y66))^2/(MAX(0,MIN(1,Y66))^2+(1-MAX(0,MIN(1,Y66)))^2/$B$5))-(MAX(0,MIN(1,X66))^2/(MAX(0,MIN(1,X66))^2+(1-MAX(0,MIN(1,X66)))^2/$B$5))))</f>
        <v>0.730334553286817</v>
      </c>
      <c r="Z67" s="16" t="n">
        <f aca="false">IF(ABS(Z66-$B$11/$B$9*((MAX(0,MIN(1,Z66))^2/(MAX(0,MIN(1,Z66))^2+(1-MAX(0,MIN(1,Z66)))^2/$B$5))-(MAX(0,MIN(1,Y66))^2/(MAX(0,MIN(1,Y66))^2+(1-MAX(0,MIN(1,Y66)))^2/$B$5))))&lt;0.000000001,0,Z66-$B$11/$B$9*((MAX(0,MIN(1,Z66))^2/(MAX(0,MIN(1,Z66))^2+(1-MAX(0,MIN(1,Z66)))^2/$B$5))-(MAX(0,MIN(1,Y66))^2/(MAX(0,MIN(1,Y66))^2+(1-MAX(0,MIN(1,Y66)))^2/$B$5))))</f>
        <v>0.719147091213415</v>
      </c>
      <c r="AA67" s="16" t="n">
        <f aca="false">IF(ABS(AA66-$B$11/$B$9*((MAX(0,MIN(1,AA66))^2/(MAX(0,MIN(1,AA66))^2+(1-MAX(0,MIN(1,AA66)))^2/$B$5))-(MAX(0,MIN(1,Z66))^2/(MAX(0,MIN(1,Z66))^2+(1-MAX(0,MIN(1,Z66)))^2/$B$5))))&lt;0.000000001,0,AA66-$B$11/$B$9*((MAX(0,MIN(1,AA66))^2/(MAX(0,MIN(1,AA66))^2+(1-MAX(0,MIN(1,AA66)))^2/$B$5))-(MAX(0,MIN(1,Z66))^2/(MAX(0,MIN(1,Z66))^2+(1-MAX(0,MIN(1,Z66)))^2/$B$5))))</f>
        <v>0.708343259785702</v>
      </c>
      <c r="AB67" s="16" t="n">
        <f aca="false">IF(ABS(AB66-$B$11/$B$9*((MAX(0,MIN(1,AB66))^2/(MAX(0,MIN(1,AB66))^2+(1-MAX(0,MIN(1,AB66)))^2/$B$5))-(MAX(0,MIN(1,AA66))^2/(MAX(0,MIN(1,AA66))^2+(1-MAX(0,MIN(1,AA66)))^2/$B$5))))&lt;0.000000001,0,AB66-$B$11/$B$9*((MAX(0,MIN(1,AB66))^2/(MAX(0,MIN(1,AB66))^2+(1-MAX(0,MIN(1,AB66)))^2/$B$5))-(MAX(0,MIN(1,AA66))^2/(MAX(0,MIN(1,AA66))^2+(1-MAX(0,MIN(1,AA66)))^2/$B$5))))</f>
        <v>0.697868657788053</v>
      </c>
      <c r="AC67" s="16" t="n">
        <f aca="false">IF(ABS(AC66-$B$11/$B$9*((MAX(0,MIN(1,AC66))^2/(MAX(0,MIN(1,AC66))^2+(1-MAX(0,MIN(1,AC66)))^2/$B$5))-(MAX(0,MIN(1,AB66))^2/(MAX(0,MIN(1,AB66))^2+(1-MAX(0,MIN(1,AB66)))^2/$B$5))))&lt;0.000000001,0,AC66-$B$11/$B$9*((MAX(0,MIN(1,AC66))^2/(MAX(0,MIN(1,AC66))^2+(1-MAX(0,MIN(1,AC66)))^2/$B$5))-(MAX(0,MIN(1,AB66))^2/(MAX(0,MIN(1,AB66))^2+(1-MAX(0,MIN(1,AB66)))^2/$B$5))))</f>
        <v>0.687673106371917</v>
      </c>
      <c r="AD67" s="16" t="n">
        <f aca="false">IF(ABS(AD66-$B$11/$B$9*((MAX(0,MIN(1,AD66))^2/(MAX(0,MIN(1,AD66))^2+(1-MAX(0,MIN(1,AD66)))^2/$B$5))-(MAX(0,MIN(1,AC66))^2/(MAX(0,MIN(1,AC66))^2+(1-MAX(0,MIN(1,AC66)))^2/$B$5))))&lt;0.000000001,0,AD66-$B$11/$B$9*((MAX(0,MIN(1,AD66))^2/(MAX(0,MIN(1,AD66))^2+(1-MAX(0,MIN(1,AD66)))^2/$B$5))-(MAX(0,MIN(1,AC66))^2/(MAX(0,MIN(1,AC66))^2+(1-MAX(0,MIN(1,AC66)))^2/$B$5))))</f>
        <v>0.67770872446927</v>
      </c>
      <c r="AE67" s="16" t="n">
        <f aca="false">IF(ABS(AE66-$B$11/$B$9*((MAX(0,MIN(1,AE66))^2/(MAX(0,MIN(1,AE66))^2+(1-MAX(0,MIN(1,AE66)))^2/$B$5))-(MAX(0,MIN(1,AD66))^2/(MAX(0,MIN(1,AD66))^2+(1-MAX(0,MIN(1,AD66)))^2/$B$5))))&lt;0.000000001,0,AE66-$B$11/$B$9*((MAX(0,MIN(1,AE66))^2/(MAX(0,MIN(1,AE66))^2+(1-MAX(0,MIN(1,AE66)))^2/$B$5))-(MAX(0,MIN(1,AD66))^2/(MAX(0,MIN(1,AD66))^2+(1-MAX(0,MIN(1,AD66)))^2/$B$5))))</f>
        <v>0.667927908830916</v>
      </c>
      <c r="AF67" s="16" t="n">
        <f aca="false">IF(ABS(AF66-$B$11/$B$9*((MAX(0,MIN(1,AF66))^2/(MAX(0,MIN(1,AF66))^2+(1-MAX(0,MIN(1,AF66)))^2/$B$5))-(MAX(0,MIN(1,AE66))^2/(MAX(0,MIN(1,AE66))^2+(1-MAX(0,MIN(1,AE66)))^2/$B$5))))&lt;0.000000001,0,AF66-$B$11/$B$9*((MAX(0,MIN(1,AF66))^2/(MAX(0,MIN(1,AF66))^2+(1-MAX(0,MIN(1,AF66)))^2/$B$5))-(MAX(0,MIN(1,AE66))^2/(MAX(0,MIN(1,AE66))^2+(1-MAX(0,MIN(1,AE66)))^2/$B$5))))</f>
        <v>0.658280944209767</v>
      </c>
    </row>
    <row r="68" customFormat="false" ht="15" hidden="false" customHeight="false" outlineLevel="0" collapsed="false">
      <c r="A68" s="0" t="n">
        <v>0.63</v>
      </c>
      <c r="D68" s="0" t="n">
        <f aca="false">A68</f>
        <v>0.63</v>
      </c>
      <c r="E68" s="0" t="n">
        <f aca="false">(G68-G67)/(A68-A67)</f>
        <v>1.10316882892933</v>
      </c>
      <c r="F68" s="0" t="n">
        <f aca="false">G68/A68</f>
        <v>1.35381970559794</v>
      </c>
      <c r="G68" s="0" t="n">
        <f aca="false">A68^2/(A68^2+(1-A68)^2/$B$5)</f>
        <v>0.8529064145267</v>
      </c>
      <c r="L68" s="0" t="n">
        <v>58</v>
      </c>
      <c r="M68" s="16" t="n">
        <f aca="false">IF(ABS(M67-$B$11/$B$9*((MAX(0,MIN(1,M67))^2/(MAX(0,MIN(1,M67))^2+(1-MAX(0,MIN(1,M67)))^2/$B$5))-(MAX(0,MIN(1,1))^2/(MAX(0,MIN(1,1))^2+(1-MAX(0,MIN(1,1)))^2/$B$5))))&lt;0.000000001,0,M67-$B$11/$B$9*((MAX(0,MIN(1,M67))^2/(MAX(0,MIN(1,M67))^2+(1-MAX(0,MIN(1,M67)))^2/$B$5))-(MAX(0,MIN(1,1))^2/(MAX(0,MIN(1,1))^2+(1-MAX(0,MIN(1,1)))^2/$B$5))))</f>
        <v>0.941366992029685</v>
      </c>
      <c r="N68" s="16" t="n">
        <f aca="false">IF(ABS(N67-$B$11/$B$9*((MAX(0,MIN(1,N67))^2/(MAX(0,MIN(1,N67))^2+(1-MAX(0,MIN(1,N67)))^2/$B$5))-(MAX(0,MIN(1,M67))^2/(MAX(0,MIN(1,M67))^2+(1-MAX(0,MIN(1,M67)))^2/$B$5))))&lt;0.000000001,0,N67-$B$11/$B$9*((MAX(0,MIN(1,N67))^2/(MAX(0,MIN(1,N67))^2+(1-MAX(0,MIN(1,N67)))^2/$B$5))-(MAX(0,MIN(1,M67))^2/(MAX(0,MIN(1,M67))^2+(1-MAX(0,MIN(1,M67)))^2/$B$5))))</f>
        <v>0.911258407927026</v>
      </c>
      <c r="O68" s="16" t="n">
        <f aca="false">IF(ABS(O67-$B$11/$B$9*((MAX(0,MIN(1,O67))^2/(MAX(0,MIN(1,O67))^2+(1-MAX(0,MIN(1,O67)))^2/$B$5))-(MAX(0,MIN(1,N67))^2/(MAX(0,MIN(1,N67))^2+(1-MAX(0,MIN(1,N67)))^2/$B$5))))&lt;0.000000001,0,O67-$B$11/$B$9*((MAX(0,MIN(1,O67))^2/(MAX(0,MIN(1,O67))^2+(1-MAX(0,MIN(1,O67)))^2/$B$5))-(MAX(0,MIN(1,N67))^2/(MAX(0,MIN(1,N67))^2+(1-MAX(0,MIN(1,N67)))^2/$B$5))))</f>
        <v>0.886465056473835</v>
      </c>
      <c r="P68" s="16" t="n">
        <f aca="false">IF(ABS(P67-$B$11/$B$9*((MAX(0,MIN(1,P67))^2/(MAX(0,MIN(1,P67))^2+(1-MAX(0,MIN(1,P67)))^2/$B$5))-(MAX(0,MIN(1,O67))^2/(MAX(0,MIN(1,O67))^2+(1-MAX(0,MIN(1,O67)))^2/$B$5))))&lt;0.000000001,0,P67-$B$11/$B$9*((MAX(0,MIN(1,P67))^2/(MAX(0,MIN(1,P67))^2+(1-MAX(0,MIN(1,P67)))^2/$B$5))-(MAX(0,MIN(1,O67))^2/(MAX(0,MIN(1,O67))^2+(1-MAX(0,MIN(1,O67)))^2/$B$5))))</f>
        <v>0.864862757109721</v>
      </c>
      <c r="Q68" s="16" t="n">
        <f aca="false">IF(ABS(Q67-$B$11/$B$9*((MAX(0,MIN(1,Q67))^2/(MAX(0,MIN(1,Q67))^2+(1-MAX(0,MIN(1,Q67)))^2/$B$5))-(MAX(0,MIN(1,P67))^2/(MAX(0,MIN(1,P67))^2+(1-MAX(0,MIN(1,P67)))^2/$B$5))))&lt;0.000000001,0,Q67-$B$11/$B$9*((MAX(0,MIN(1,Q67))^2/(MAX(0,MIN(1,Q67))^2+(1-MAX(0,MIN(1,Q67)))^2/$B$5))-(MAX(0,MIN(1,P67))^2/(MAX(0,MIN(1,P67))^2+(1-MAX(0,MIN(1,P67)))^2/$B$5))))</f>
        <v>0.845528222772603</v>
      </c>
      <c r="R68" s="16" t="n">
        <f aca="false">IF(ABS(R67-$B$11/$B$9*((MAX(0,MIN(1,R67))^2/(MAX(0,MIN(1,R67))^2+(1-MAX(0,MIN(1,R67)))^2/$B$5))-(MAX(0,MIN(1,Q67))^2/(MAX(0,MIN(1,Q67))^2+(1-MAX(0,MIN(1,Q67)))^2/$B$5))))&lt;0.000000001,0,R67-$B$11/$B$9*((MAX(0,MIN(1,R67))^2/(MAX(0,MIN(1,R67))^2+(1-MAX(0,MIN(1,R67)))^2/$B$5))-(MAX(0,MIN(1,Q67))^2/(MAX(0,MIN(1,Q67))^2+(1-MAX(0,MIN(1,Q67)))^2/$B$5))))</f>
        <v>0.827929060495014</v>
      </c>
      <c r="S68" s="16" t="n">
        <f aca="false">IF(ABS(S67-$B$11/$B$9*((MAX(0,MIN(1,S67))^2/(MAX(0,MIN(1,S67))^2+(1-MAX(0,MIN(1,S67)))^2/$B$5))-(MAX(0,MIN(1,R67))^2/(MAX(0,MIN(1,R67))^2+(1-MAX(0,MIN(1,R67)))^2/$B$5))))&lt;0.000000001,0,S67-$B$11/$B$9*((MAX(0,MIN(1,S67))^2/(MAX(0,MIN(1,S67))^2+(1-MAX(0,MIN(1,S67)))^2/$B$5))-(MAX(0,MIN(1,R67))^2/(MAX(0,MIN(1,R67))^2+(1-MAX(0,MIN(1,R67)))^2/$B$5))))</f>
        <v>0.811714541661973</v>
      </c>
      <c r="T68" s="16" t="n">
        <f aca="false">IF(ABS(T67-$B$11/$B$9*((MAX(0,MIN(1,T67))^2/(MAX(0,MIN(1,T67))^2+(1-MAX(0,MIN(1,T67)))^2/$B$5))-(MAX(0,MIN(1,S67))^2/(MAX(0,MIN(1,S67))^2+(1-MAX(0,MIN(1,S67)))^2/$B$5))))&lt;0.000000001,0,T67-$B$11/$B$9*((MAX(0,MIN(1,T67))^2/(MAX(0,MIN(1,T67))^2+(1-MAX(0,MIN(1,T67)))^2/$B$5))-(MAX(0,MIN(1,S67))^2/(MAX(0,MIN(1,S67))^2+(1-MAX(0,MIN(1,S67)))^2/$B$5))))</f>
        <v>0.796635072524109</v>
      </c>
      <c r="U68" s="16" t="n">
        <f aca="false">IF(ABS(U67-$B$11/$B$9*((MAX(0,MIN(1,U67))^2/(MAX(0,MIN(1,U67))^2+(1-MAX(0,MIN(1,U67)))^2/$B$5))-(MAX(0,MIN(1,T67))^2/(MAX(0,MIN(1,T67))^2+(1-MAX(0,MIN(1,T67)))^2/$B$5))))&lt;0.000000001,0,U67-$B$11/$B$9*((MAX(0,MIN(1,U67))^2/(MAX(0,MIN(1,U67))^2+(1-MAX(0,MIN(1,U67)))^2/$B$5))-(MAX(0,MIN(1,T67))^2/(MAX(0,MIN(1,T67))^2+(1-MAX(0,MIN(1,T67)))^2/$B$5))))</f>
        <v>0.782503763094165</v>
      </c>
      <c r="V68" s="16" t="n">
        <f aca="false">IF(ABS(V67-$B$11/$B$9*((MAX(0,MIN(1,V67))^2/(MAX(0,MIN(1,V67))^2+(1-MAX(0,MIN(1,V67)))^2/$B$5))-(MAX(0,MIN(1,U67))^2/(MAX(0,MIN(1,U67))^2+(1-MAX(0,MIN(1,U67)))^2/$B$5))))&lt;0.000000001,0,V67-$B$11/$B$9*((MAX(0,MIN(1,V67))^2/(MAX(0,MIN(1,V67))^2+(1-MAX(0,MIN(1,V67)))^2/$B$5))-(MAX(0,MIN(1,U67))^2/(MAX(0,MIN(1,U67))^2+(1-MAX(0,MIN(1,U67)))^2/$B$5))))</f>
        <v>0.769175423994708</v>
      </c>
      <c r="W68" s="16" t="n">
        <f aca="false">IF(ABS(W67-$B$11/$B$9*((MAX(0,MIN(1,W67))^2/(MAX(0,MIN(1,W67))^2+(1-MAX(0,MIN(1,W67)))^2/$B$5))-(MAX(0,MIN(1,V67))^2/(MAX(0,MIN(1,V67))^2+(1-MAX(0,MIN(1,V67)))^2/$B$5))))&lt;0.000000001,0,W67-$B$11/$B$9*((MAX(0,MIN(1,W67))^2/(MAX(0,MIN(1,W67))^2+(1-MAX(0,MIN(1,W67)))^2/$B$5))-(MAX(0,MIN(1,V67))^2/(MAX(0,MIN(1,V67))^2+(1-MAX(0,MIN(1,V67)))^2/$B$5))))</f>
        <v>0.75653396659788</v>
      </c>
      <c r="X68" s="16" t="n">
        <f aca="false">IF(ABS(X67-$B$11/$B$9*((MAX(0,MIN(1,X67))^2/(MAX(0,MIN(1,X67))^2+(1-MAX(0,MIN(1,X67)))^2/$B$5))-(MAX(0,MIN(1,W67))^2/(MAX(0,MIN(1,W67))^2+(1-MAX(0,MIN(1,W67)))^2/$B$5))))&lt;0.000000001,0,X67-$B$11/$B$9*((MAX(0,MIN(1,X67))^2/(MAX(0,MIN(1,X67))^2+(1-MAX(0,MIN(1,X67)))^2/$B$5))-(MAX(0,MIN(1,W67))^2/(MAX(0,MIN(1,W67))^2+(1-MAX(0,MIN(1,W67)))^2/$B$5))))</f>
        <v>0.744484306333242</v>
      </c>
      <c r="Y68" s="16" t="n">
        <f aca="false">IF(ABS(Y67-$B$11/$B$9*((MAX(0,MIN(1,Y67))^2/(MAX(0,MIN(1,Y67))^2+(1-MAX(0,MIN(1,Y67)))^2/$B$5))-(MAX(0,MIN(1,X67))^2/(MAX(0,MIN(1,X67))^2+(1-MAX(0,MIN(1,X67)))^2/$B$5))))&lt;0.000000001,0,Y67-$B$11/$B$9*((MAX(0,MIN(1,Y67))^2/(MAX(0,MIN(1,Y67))^2+(1-MAX(0,MIN(1,Y67)))^2/$B$5))-(MAX(0,MIN(1,X67))^2/(MAX(0,MIN(1,X67))^2+(1-MAX(0,MIN(1,X67)))^2/$B$5))))</f>
        <v>0.732946867329317</v>
      </c>
      <c r="Z68" s="16" t="n">
        <f aca="false">IF(ABS(Z67-$B$11/$B$9*((MAX(0,MIN(1,Z67))^2/(MAX(0,MIN(1,Z67))^2+(1-MAX(0,MIN(1,Z67)))^2/$B$5))-(MAX(0,MIN(1,Y67))^2/(MAX(0,MIN(1,Y67))^2+(1-MAX(0,MIN(1,Y67)))^2/$B$5))))&lt;0.000000001,0,Z67-$B$11/$B$9*((MAX(0,MIN(1,Z67))^2/(MAX(0,MIN(1,Z67))^2+(1-MAX(0,MIN(1,Z67)))^2/$B$5))-(MAX(0,MIN(1,Y67))^2/(MAX(0,MIN(1,Y67))^2+(1-MAX(0,MIN(1,Y67)))^2/$B$5))))</f>
        <v>0.721853669802854</v>
      </c>
      <c r="AA68" s="16" t="n">
        <f aca="false">IF(ABS(AA67-$B$11/$B$9*((MAX(0,MIN(1,AA67))^2/(MAX(0,MIN(1,AA67))^2+(1-MAX(0,MIN(1,AA67)))^2/$B$5))-(MAX(0,MIN(1,Z67))^2/(MAX(0,MIN(1,Z67))^2+(1-MAX(0,MIN(1,Z67)))^2/$B$5))))&lt;0.000000001,0,AA67-$B$11/$B$9*((MAX(0,MIN(1,AA67))^2/(MAX(0,MIN(1,AA67))^2+(1-MAX(0,MIN(1,AA67)))^2/$B$5))-(MAX(0,MIN(1,Z67))^2/(MAX(0,MIN(1,Z67))^2+(1-MAX(0,MIN(1,Z67)))^2/$B$5))))</f>
        <v>0.711145409262956</v>
      </c>
      <c r="AB68" s="16" t="n">
        <f aca="false">IF(ABS(AB67-$B$11/$B$9*((MAX(0,MIN(1,AB67))^2/(MAX(0,MIN(1,AB67))^2+(1-MAX(0,MIN(1,AB67)))^2/$B$5))-(MAX(0,MIN(1,AA67))^2/(MAX(0,MIN(1,AA67))^2+(1-MAX(0,MIN(1,AA67)))^2/$B$5))))&lt;0.000000001,0,AB67-$B$11/$B$9*((MAX(0,MIN(1,AB67))^2/(MAX(0,MIN(1,AB67))^2+(1-MAX(0,MIN(1,AB67)))^2/$B$5))-(MAX(0,MIN(1,AA67))^2/(MAX(0,MIN(1,AA67))^2+(1-MAX(0,MIN(1,AA67)))^2/$B$5))))</f>
        <v>0.700769156529224</v>
      </c>
      <c r="AC68" s="16" t="n">
        <f aca="false">IF(ABS(AC67-$B$11/$B$9*((MAX(0,MIN(1,AC67))^2/(MAX(0,MIN(1,AC67))^2+(1-MAX(0,MIN(1,AC67)))^2/$B$5))-(MAX(0,MIN(1,AB67))^2/(MAX(0,MIN(1,AB67))^2+(1-MAX(0,MIN(1,AB67)))^2/$B$5))))&lt;0.000000001,0,AC67-$B$11/$B$9*((MAX(0,MIN(1,AC67))^2/(MAX(0,MIN(1,AC67))^2+(1-MAX(0,MIN(1,AC67)))^2/$B$5))-(MAX(0,MIN(1,AB67))^2/(MAX(0,MIN(1,AB67))^2+(1-MAX(0,MIN(1,AB67)))^2/$B$5))))</f>
        <v>0.690676422573653</v>
      </c>
      <c r="AD68" s="16" t="n">
        <f aca="false">IF(ABS(AD67-$B$11/$B$9*((MAX(0,MIN(1,AD67))^2/(MAX(0,MIN(1,AD67))^2+(1-MAX(0,MIN(1,AD67)))^2/$B$5))-(MAX(0,MIN(1,AC67))^2/(MAX(0,MIN(1,AC67))^2+(1-MAX(0,MIN(1,AC67)))^2/$B$5))))&lt;0.000000001,0,AD67-$B$11/$B$9*((MAX(0,MIN(1,AD67))^2/(MAX(0,MIN(1,AD67))^2+(1-MAX(0,MIN(1,AD67)))^2/$B$5))-(MAX(0,MIN(1,AC67))^2/(MAX(0,MIN(1,AC67))^2+(1-MAX(0,MIN(1,AC67)))^2/$B$5))))</f>
        <v>0.680821386897475</v>
      </c>
      <c r="AE68" s="16" t="n">
        <f aca="false">IF(ABS(AE67-$B$11/$B$9*((MAX(0,MIN(1,AE67))^2/(MAX(0,MIN(1,AE67))^2+(1-MAX(0,MIN(1,AE67)))^2/$B$5))-(MAX(0,MIN(1,AD67))^2/(MAX(0,MIN(1,AD67))^2+(1-MAX(0,MIN(1,AD67)))^2/$B$5))))&lt;0.000000001,0,AE67-$B$11/$B$9*((MAX(0,MIN(1,AE67))^2/(MAX(0,MIN(1,AE67))^2+(1-MAX(0,MIN(1,AE67)))^2/$B$5))-(MAX(0,MIN(1,AD67))^2/(MAX(0,MIN(1,AD67))^2+(1-MAX(0,MIN(1,AD67)))^2/$B$5))))</f>
        <v>0.671159099614432</v>
      </c>
      <c r="AF68" s="16" t="n">
        <f aca="false">IF(ABS(AF67-$B$11/$B$9*((MAX(0,MIN(1,AF67))^2/(MAX(0,MIN(1,AF67))^2+(1-MAX(0,MIN(1,AF67)))^2/$B$5))-(MAX(0,MIN(1,AE67))^2/(MAX(0,MIN(1,AE67))^2+(1-MAX(0,MIN(1,AE67)))^2/$B$5))))&lt;0.000000001,0,AF67-$B$11/$B$9*((MAX(0,MIN(1,AF67))^2/(MAX(0,MIN(1,AF67))^2+(1-MAX(0,MIN(1,AF67)))^2/$B$5))-(MAX(0,MIN(1,AE67))^2/(MAX(0,MIN(1,AE67))^2+(1-MAX(0,MIN(1,AE67)))^2/$B$5))))</f>
        <v>0.661643434858559</v>
      </c>
    </row>
    <row r="69" customFormat="false" ht="15" hidden="false" customHeight="false" outlineLevel="0" collapsed="false">
      <c r="A69" s="0" t="n">
        <v>0.64</v>
      </c>
      <c r="D69" s="0" t="n">
        <f aca="false">A69</f>
        <v>0.64</v>
      </c>
      <c r="E69" s="0" t="n">
        <f aca="false">(G69-G68)/(A69-A68)</f>
        <v>1.04999935677347</v>
      </c>
      <c r="F69" s="0" t="n">
        <f aca="false">G69/A69</f>
        <v>1.34907251264755</v>
      </c>
      <c r="G69" s="0" t="n">
        <f aca="false">A69^2/(A69^2+(1-A69)^2/$B$5)</f>
        <v>0.863406408094435</v>
      </c>
      <c r="L69" s="0" t="n">
        <v>59</v>
      </c>
      <c r="M69" s="16" t="n">
        <f aca="false">IF(ABS(M68-$B$11/$B$9*((MAX(0,MIN(1,M68))^2/(MAX(0,MIN(1,M68))^2+(1-MAX(0,MIN(1,M68)))^2/$B$5))-(MAX(0,MIN(1,1))^2/(MAX(0,MIN(1,1))^2+(1-MAX(0,MIN(1,1)))^2/$B$5))))&lt;0.000000001,0,M68-$B$11/$B$9*((MAX(0,MIN(1,M68))^2/(MAX(0,MIN(1,M68))^2+(1-MAX(0,MIN(1,M68)))^2/$B$5))-(MAX(0,MIN(1,1))^2/(MAX(0,MIN(1,1))^2+(1-MAX(0,MIN(1,1)))^2/$B$5))))</f>
        <v>0.942111426758314</v>
      </c>
      <c r="N69" s="16" t="n">
        <f aca="false">IF(ABS(N68-$B$11/$B$9*((MAX(0,MIN(1,N68))^2/(MAX(0,MIN(1,N68))^2+(1-MAX(0,MIN(1,N68)))^2/$B$5))-(MAX(0,MIN(1,M68))^2/(MAX(0,MIN(1,M68))^2+(1-MAX(0,MIN(1,M68)))^2/$B$5))))&lt;0.000000001,0,N68-$B$11/$B$9*((MAX(0,MIN(1,N68))^2/(MAX(0,MIN(1,N68))^2+(1-MAX(0,MIN(1,N68)))^2/$B$5))-(MAX(0,MIN(1,M68))^2/(MAX(0,MIN(1,M68))^2+(1-MAX(0,MIN(1,M68)))^2/$B$5))))</f>
        <v>0.912328730991591</v>
      </c>
      <c r="O69" s="16" t="n">
        <f aca="false">IF(ABS(O68-$B$11/$B$9*((MAX(0,MIN(1,O68))^2/(MAX(0,MIN(1,O68))^2+(1-MAX(0,MIN(1,O68)))^2/$B$5))-(MAX(0,MIN(1,N68))^2/(MAX(0,MIN(1,N68))^2+(1-MAX(0,MIN(1,N68)))^2/$B$5))))&lt;0.000000001,0,O68-$B$11/$B$9*((MAX(0,MIN(1,O68))^2/(MAX(0,MIN(1,O68))^2+(1-MAX(0,MIN(1,O68)))^2/$B$5))-(MAX(0,MIN(1,N68))^2/(MAX(0,MIN(1,N68))^2+(1-MAX(0,MIN(1,N68)))^2/$B$5))))</f>
        <v>0.887778467696216</v>
      </c>
      <c r="P69" s="16" t="n">
        <f aca="false">IF(ABS(P68-$B$11/$B$9*((MAX(0,MIN(1,P68))^2/(MAX(0,MIN(1,P68))^2+(1-MAX(0,MIN(1,P68)))^2/$B$5))-(MAX(0,MIN(1,O68))^2/(MAX(0,MIN(1,O68))^2+(1-MAX(0,MIN(1,O68)))^2/$B$5))))&lt;0.000000001,0,P68-$B$11/$B$9*((MAX(0,MIN(1,P68))^2/(MAX(0,MIN(1,P68))^2+(1-MAX(0,MIN(1,P68)))^2/$B$5))-(MAX(0,MIN(1,O68))^2/(MAX(0,MIN(1,O68))^2+(1-MAX(0,MIN(1,O68)))^2/$B$5))))</f>
        <v>0.866372131360763</v>
      </c>
      <c r="Q69" s="16" t="n">
        <f aca="false">IF(ABS(Q68-$B$11/$B$9*((MAX(0,MIN(1,Q68))^2/(MAX(0,MIN(1,Q68))^2+(1-MAX(0,MIN(1,Q68)))^2/$B$5))-(MAX(0,MIN(1,P68))^2/(MAX(0,MIN(1,P68))^2+(1-MAX(0,MIN(1,P68)))^2/$B$5))))&lt;0.000000001,0,Q68-$B$11/$B$9*((MAX(0,MIN(1,Q68))^2/(MAX(0,MIN(1,Q68))^2+(1-MAX(0,MIN(1,Q68)))^2/$B$5))-(MAX(0,MIN(1,P68))^2/(MAX(0,MIN(1,P68))^2+(1-MAX(0,MIN(1,P68)))^2/$B$5))))</f>
        <v>0.847202520371777</v>
      </c>
      <c r="R69" s="16" t="n">
        <f aca="false">IF(ABS(R68-$B$11/$B$9*((MAX(0,MIN(1,R68))^2/(MAX(0,MIN(1,R68))^2+(1-MAX(0,MIN(1,R68)))^2/$B$5))-(MAX(0,MIN(1,Q68))^2/(MAX(0,MIN(1,Q68))^2+(1-MAX(0,MIN(1,Q68)))^2/$B$5))))&lt;0.000000001,0,R68-$B$11/$B$9*((MAX(0,MIN(1,R68))^2/(MAX(0,MIN(1,R68))^2+(1-MAX(0,MIN(1,R68)))^2/$B$5))-(MAX(0,MIN(1,Q68))^2/(MAX(0,MIN(1,Q68))^2+(1-MAX(0,MIN(1,Q68)))^2/$B$5))))</f>
        <v>0.829746477131726</v>
      </c>
      <c r="S69" s="16" t="n">
        <f aca="false">IF(ABS(S68-$B$11/$B$9*((MAX(0,MIN(1,S68))^2/(MAX(0,MIN(1,S68))^2+(1-MAX(0,MIN(1,S68)))^2/$B$5))-(MAX(0,MIN(1,R68))^2/(MAX(0,MIN(1,R68))^2+(1-MAX(0,MIN(1,R68)))^2/$B$5))))&lt;0.000000001,0,S68-$B$11/$B$9*((MAX(0,MIN(1,S68))^2/(MAX(0,MIN(1,S68))^2+(1-MAX(0,MIN(1,S68)))^2/$B$5))-(MAX(0,MIN(1,R68))^2/(MAX(0,MIN(1,R68))^2+(1-MAX(0,MIN(1,R68)))^2/$B$5))))</f>
        <v>0.813659224643668</v>
      </c>
      <c r="T69" s="16" t="n">
        <f aca="false">IF(ABS(T68-$B$11/$B$9*((MAX(0,MIN(1,T68))^2/(MAX(0,MIN(1,T68))^2+(1-MAX(0,MIN(1,T68)))^2/$B$5))-(MAX(0,MIN(1,S68))^2/(MAX(0,MIN(1,S68))^2+(1-MAX(0,MIN(1,S68)))^2/$B$5))))&lt;0.000000001,0,T68-$B$11/$B$9*((MAX(0,MIN(1,T68))^2/(MAX(0,MIN(1,T68))^2+(1-MAX(0,MIN(1,T68)))^2/$B$5))-(MAX(0,MIN(1,S68))^2/(MAX(0,MIN(1,S68))^2+(1-MAX(0,MIN(1,S68)))^2/$B$5))))</f>
        <v>0.79869529177908</v>
      </c>
      <c r="U69" s="16" t="n">
        <f aca="false">IF(ABS(U68-$B$11/$B$9*((MAX(0,MIN(1,U68))^2/(MAX(0,MIN(1,U68))^2+(1-MAX(0,MIN(1,U68)))^2/$B$5))-(MAX(0,MIN(1,T68))^2/(MAX(0,MIN(1,T68))^2+(1-MAX(0,MIN(1,T68)))^2/$B$5))))&lt;0.000000001,0,U68-$B$11/$B$9*((MAX(0,MIN(1,U68))^2/(MAX(0,MIN(1,U68))^2+(1-MAX(0,MIN(1,U68)))^2/$B$5))-(MAX(0,MIN(1,T68))^2/(MAX(0,MIN(1,T68))^2+(1-MAX(0,MIN(1,T68)))^2/$B$5))))</f>
        <v>0.784670802507555</v>
      </c>
      <c r="V69" s="16" t="n">
        <f aca="false">IF(ABS(V68-$B$11/$B$9*((MAX(0,MIN(1,V68))^2/(MAX(0,MIN(1,V68))^2+(1-MAX(0,MIN(1,V68)))^2/$B$5))-(MAX(0,MIN(1,U68))^2/(MAX(0,MIN(1,U68))^2+(1-MAX(0,MIN(1,U68)))^2/$B$5))))&lt;0.000000001,0,V68-$B$11/$B$9*((MAX(0,MIN(1,V68))^2/(MAX(0,MIN(1,V68))^2+(1-MAX(0,MIN(1,V68)))^2/$B$5))-(MAX(0,MIN(1,U68))^2/(MAX(0,MIN(1,U68))^2+(1-MAX(0,MIN(1,U68)))^2/$B$5))))</f>
        <v>0.771442875302342</v>
      </c>
      <c r="W69" s="16" t="n">
        <f aca="false">IF(ABS(W68-$B$11/$B$9*((MAX(0,MIN(1,W68))^2/(MAX(0,MIN(1,W68))^2+(1-MAX(0,MIN(1,W68)))^2/$B$5))-(MAX(0,MIN(1,V68))^2/(MAX(0,MIN(1,V68))^2+(1-MAX(0,MIN(1,V68)))^2/$B$5))))&lt;0.000000001,0,W68-$B$11/$B$9*((MAX(0,MIN(1,W68))^2/(MAX(0,MIN(1,W68))^2+(1-MAX(0,MIN(1,W68)))^2/$B$5))-(MAX(0,MIN(1,V68))^2/(MAX(0,MIN(1,V68))^2+(1-MAX(0,MIN(1,V68)))^2/$B$5))))</f>
        <v>0.758897268988052</v>
      </c>
      <c r="X69" s="16" t="n">
        <f aca="false">IF(ABS(X68-$B$11/$B$9*((MAX(0,MIN(1,X68))^2/(MAX(0,MIN(1,X68))^2+(1-MAX(0,MIN(1,X68)))^2/$B$5))-(MAX(0,MIN(1,W68))^2/(MAX(0,MIN(1,W68))^2+(1-MAX(0,MIN(1,W68)))^2/$B$5))))&lt;0.000000001,0,X68-$B$11/$B$9*((MAX(0,MIN(1,X68))^2/(MAX(0,MIN(1,X68))^2+(1-MAX(0,MIN(1,X68)))^2/$B$5))-(MAX(0,MIN(1,W68))^2/(MAX(0,MIN(1,W68))^2+(1-MAX(0,MIN(1,W68)))^2/$B$5))))</f>
        <v>0.746940447937963</v>
      </c>
      <c r="Y69" s="16" t="n">
        <f aca="false">IF(ABS(Y68-$B$11/$B$9*((MAX(0,MIN(1,Y68))^2/(MAX(0,MIN(1,Y68))^2+(1-MAX(0,MIN(1,Y68)))^2/$B$5))-(MAX(0,MIN(1,X68))^2/(MAX(0,MIN(1,X68))^2+(1-MAX(0,MIN(1,X68)))^2/$B$5))))&lt;0.000000001,0,Y68-$B$11/$B$9*((MAX(0,MIN(1,Y68))^2/(MAX(0,MIN(1,Y68))^2+(1-MAX(0,MIN(1,Y68)))^2/$B$5))-(MAX(0,MIN(1,X68))^2/(MAX(0,MIN(1,X68))^2+(1-MAX(0,MIN(1,X68)))^2/$B$5))))</f>
        <v>0.735494202301874</v>
      </c>
      <c r="Z69" s="16" t="n">
        <f aca="false">IF(ABS(Z68-$B$11/$B$9*((MAX(0,MIN(1,Z68))^2/(MAX(0,MIN(1,Z68))^2+(1-MAX(0,MIN(1,Z68)))^2/$B$5))-(MAX(0,MIN(1,Y68))^2/(MAX(0,MIN(1,Y68))^2+(1-MAX(0,MIN(1,Y68)))^2/$B$5))))&lt;0.000000001,0,Z68-$B$11/$B$9*((MAX(0,MIN(1,Z68))^2/(MAX(0,MIN(1,Z68))^2+(1-MAX(0,MIN(1,Z68)))^2/$B$5))-(MAX(0,MIN(1,Y68))^2/(MAX(0,MIN(1,Y68))^2+(1-MAX(0,MIN(1,Y68)))^2/$B$5))))</f>
        <v>0.724491826380683</v>
      </c>
      <c r="AA69" s="16" t="n">
        <f aca="false">IF(ABS(AA68-$B$11/$B$9*((MAX(0,MIN(1,AA68))^2/(MAX(0,MIN(1,AA68))^2+(1-MAX(0,MIN(1,AA68)))^2/$B$5))-(MAX(0,MIN(1,Z68))^2/(MAX(0,MIN(1,Z68))^2+(1-MAX(0,MIN(1,Z68)))^2/$B$5))))&lt;0.000000001,0,AA68-$B$11/$B$9*((MAX(0,MIN(1,AA68))^2/(MAX(0,MIN(1,AA68))^2+(1-MAX(0,MIN(1,AA68)))^2/$B$5))-(MAX(0,MIN(1,Z68))^2/(MAX(0,MIN(1,Z68))^2+(1-MAX(0,MIN(1,Z68)))^2/$B$5))))</f>
        <v>0.713875278736675</v>
      </c>
      <c r="AB69" s="16" t="n">
        <f aca="false">IF(ABS(AB68-$B$11/$B$9*((MAX(0,MIN(1,AB68))^2/(MAX(0,MIN(1,AB68))^2+(1-MAX(0,MIN(1,AB68)))^2/$B$5))-(MAX(0,MIN(1,AA68))^2/(MAX(0,MIN(1,AA68))^2+(1-MAX(0,MIN(1,AA68)))^2/$B$5))))&lt;0.000000001,0,AB68-$B$11/$B$9*((MAX(0,MIN(1,AB68))^2/(MAX(0,MIN(1,AB68))^2+(1-MAX(0,MIN(1,AB68)))^2/$B$5))-(MAX(0,MIN(1,AA68))^2/(MAX(0,MIN(1,AA68))^2+(1-MAX(0,MIN(1,AA68)))^2/$B$5))))</f>
        <v>0.703592964852134</v>
      </c>
      <c r="AC69" s="16" t="n">
        <f aca="false">IF(ABS(AC68-$B$11/$B$9*((MAX(0,MIN(1,AC68))^2/(MAX(0,MIN(1,AC68))^2+(1-MAX(0,MIN(1,AC68)))^2/$B$5))-(MAX(0,MIN(1,AB68))^2/(MAX(0,MIN(1,AB68))^2+(1-MAX(0,MIN(1,AB68)))^2/$B$5))))&lt;0.000000001,0,AC68-$B$11/$B$9*((MAX(0,MIN(1,AC68))^2/(MAX(0,MIN(1,AC68))^2+(1-MAX(0,MIN(1,AC68)))^2/$B$5))-(MAX(0,MIN(1,AB68))^2/(MAX(0,MIN(1,AB68))^2+(1-MAX(0,MIN(1,AB68)))^2/$B$5))))</f>
        <v>0.693597898445475</v>
      </c>
      <c r="AD69" s="16" t="n">
        <f aca="false">IF(ABS(AD68-$B$11/$B$9*((MAX(0,MIN(1,AD68))^2/(MAX(0,MIN(1,AD68))^2+(1-MAX(0,MIN(1,AD68)))^2/$B$5))-(MAX(0,MIN(1,AC68))^2/(MAX(0,MIN(1,AC68))^2+(1-MAX(0,MIN(1,AC68)))^2/$B$5))))&lt;0.000000001,0,AD68-$B$11/$B$9*((MAX(0,MIN(1,AD68))^2/(MAX(0,MIN(1,AD68))^2+(1-MAX(0,MIN(1,AD68)))^2/$B$5))-(MAX(0,MIN(1,AC68))^2/(MAX(0,MIN(1,AC68))^2+(1-MAX(0,MIN(1,AC68)))^2/$B$5))))</f>
        <v>0.683846055504895</v>
      </c>
      <c r="AE69" s="16" t="n">
        <f aca="false">IF(ABS(AE68-$B$11/$B$9*((MAX(0,MIN(1,AE68))^2/(MAX(0,MIN(1,AE68))^2+(1-MAX(0,MIN(1,AE68)))^2/$B$5))-(MAX(0,MIN(1,AD68))^2/(MAX(0,MIN(1,AD68))^2+(1-MAX(0,MIN(1,AD68)))^2/$B$5))))&lt;0.000000001,0,AE68-$B$11/$B$9*((MAX(0,MIN(1,AE68))^2/(MAX(0,MIN(1,AE68))^2+(1-MAX(0,MIN(1,AE68)))^2/$B$5))-(MAX(0,MIN(1,AD68))^2/(MAX(0,MIN(1,AD68))^2+(1-MAX(0,MIN(1,AD68)))^2/$B$5))))</f>
        <v>0.674294754136666</v>
      </c>
      <c r="AF69" s="16" t="n">
        <f aca="false">IF(ABS(AF68-$B$11/$B$9*((MAX(0,MIN(1,AF68))^2/(MAX(0,MIN(1,AF68))^2+(1-MAX(0,MIN(1,AF68)))^2/$B$5))-(MAX(0,MIN(1,AE68))^2/(MAX(0,MIN(1,AE68))^2+(1-MAX(0,MIN(1,AE68)))^2/$B$5))))&lt;0.000000001,0,AF68-$B$11/$B$9*((MAX(0,MIN(1,AF68))^2/(MAX(0,MIN(1,AF68))^2+(1-MAX(0,MIN(1,AF68)))^2/$B$5))-(MAX(0,MIN(1,AE68))^2/(MAX(0,MIN(1,AE68))^2+(1-MAX(0,MIN(1,AE68)))^2/$B$5))))</f>
        <v>0.664900876262616</v>
      </c>
    </row>
    <row r="70" customFormat="false" ht="15" hidden="false" customHeight="false" outlineLevel="0" collapsed="false">
      <c r="A70" s="0" t="n">
        <v>0.65</v>
      </c>
      <c r="D70" s="0" t="n">
        <f aca="false">A70</f>
        <v>0.65</v>
      </c>
      <c r="E70" s="0" t="n">
        <f aca="false">(G70-G69)/(A70-A69)</f>
        <v>0.997860482546164</v>
      </c>
      <c r="F70" s="0" t="n">
        <f aca="false">G70/A70</f>
        <v>1.34366925064599</v>
      </c>
      <c r="G70" s="0" t="n">
        <f aca="false">A70^2/(A70^2+(1-A70)^2/$B$5)</f>
        <v>0.873385012919897</v>
      </c>
      <c r="L70" s="0" t="n">
        <v>60</v>
      </c>
      <c r="M70" s="16" t="n">
        <f aca="false">IF(ABS(M69-$B$11/$B$9*((MAX(0,MIN(1,M69))^2/(MAX(0,MIN(1,M69))^2+(1-MAX(0,MIN(1,M69)))^2/$B$5))-(MAX(0,MIN(1,1))^2/(MAX(0,MIN(1,1))^2+(1-MAX(0,MIN(1,1)))^2/$B$5))))&lt;0.000000001,0,M69-$B$11/$B$9*((MAX(0,MIN(1,M69))^2/(MAX(0,MIN(1,M69))^2+(1-MAX(0,MIN(1,M69)))^2/$B$5))-(MAX(0,MIN(1,1))^2/(MAX(0,MIN(1,1))^2+(1-MAX(0,MIN(1,1)))^2/$B$5))))</f>
        <v>0.942835969260343</v>
      </c>
      <c r="N70" s="16" t="n">
        <f aca="false">IF(ABS(N69-$B$11/$B$9*((MAX(0,MIN(1,N69))^2/(MAX(0,MIN(1,N69))^2+(1-MAX(0,MIN(1,N69)))^2/$B$5))-(MAX(0,MIN(1,M69))^2/(MAX(0,MIN(1,M69))^2+(1-MAX(0,MIN(1,M69)))^2/$B$5))))&lt;0.000000001,0,N69-$B$11/$B$9*((MAX(0,MIN(1,N69))^2/(MAX(0,MIN(1,N69))^2+(1-MAX(0,MIN(1,N69)))^2/$B$5))-(MAX(0,MIN(1,M69))^2/(MAX(0,MIN(1,M69))^2+(1-MAX(0,MIN(1,M69)))^2/$B$5))))</f>
        <v>0.913371499790586</v>
      </c>
      <c r="O70" s="16" t="n">
        <f aca="false">IF(ABS(O69-$B$11/$B$9*((MAX(0,MIN(1,O69))^2/(MAX(0,MIN(1,O69))^2+(1-MAX(0,MIN(1,O69)))^2/$B$5))-(MAX(0,MIN(1,N69))^2/(MAX(0,MIN(1,N69))^2+(1-MAX(0,MIN(1,N69)))^2/$B$5))))&lt;0.000000001,0,O69-$B$11/$B$9*((MAX(0,MIN(1,O69))^2/(MAX(0,MIN(1,O69))^2+(1-MAX(0,MIN(1,O69)))^2/$B$5))-(MAX(0,MIN(1,N69))^2/(MAX(0,MIN(1,N69))^2+(1-MAX(0,MIN(1,N69)))^2/$B$5))))</f>
        <v>0.889058974281526</v>
      </c>
      <c r="P70" s="16" t="n">
        <f aca="false">IF(ABS(P69-$B$11/$B$9*((MAX(0,MIN(1,P69))^2/(MAX(0,MIN(1,P69))^2+(1-MAX(0,MIN(1,P69)))^2/$B$5))-(MAX(0,MIN(1,O69))^2/(MAX(0,MIN(1,O69))^2+(1-MAX(0,MIN(1,O69)))^2/$B$5))))&lt;0.000000001,0,P69-$B$11/$B$9*((MAX(0,MIN(1,P69))^2/(MAX(0,MIN(1,P69))^2+(1-MAX(0,MIN(1,P69)))^2/$B$5))-(MAX(0,MIN(1,O69))^2/(MAX(0,MIN(1,O69))^2+(1-MAX(0,MIN(1,O69)))^2/$B$5))))</f>
        <v>0.867844450405436</v>
      </c>
      <c r="Q70" s="16" t="n">
        <f aca="false">IF(ABS(Q69-$B$11/$B$9*((MAX(0,MIN(1,Q69))^2/(MAX(0,MIN(1,Q69))^2+(1-MAX(0,MIN(1,Q69)))^2/$B$5))-(MAX(0,MIN(1,P69))^2/(MAX(0,MIN(1,P69))^2+(1-MAX(0,MIN(1,P69)))^2/$B$5))))&lt;0.000000001,0,Q69-$B$11/$B$9*((MAX(0,MIN(1,Q69))^2/(MAX(0,MIN(1,Q69))^2+(1-MAX(0,MIN(1,Q69)))^2/$B$5))-(MAX(0,MIN(1,P69))^2/(MAX(0,MIN(1,P69))^2+(1-MAX(0,MIN(1,P69)))^2/$B$5))))</f>
        <v>0.848836321911448</v>
      </c>
      <c r="R70" s="16" t="n">
        <f aca="false">IF(ABS(R69-$B$11/$B$9*((MAX(0,MIN(1,R69))^2/(MAX(0,MIN(1,R69))^2+(1-MAX(0,MIN(1,R69)))^2/$B$5))-(MAX(0,MIN(1,Q69))^2/(MAX(0,MIN(1,Q69))^2+(1-MAX(0,MIN(1,Q69)))^2/$B$5))))&lt;0.000000001,0,R69-$B$11/$B$9*((MAX(0,MIN(1,R69))^2/(MAX(0,MIN(1,R69))^2+(1-MAX(0,MIN(1,R69)))^2/$B$5))-(MAX(0,MIN(1,Q69))^2/(MAX(0,MIN(1,Q69))^2+(1-MAX(0,MIN(1,Q69)))^2/$B$5))))</f>
        <v>0.831520394954284</v>
      </c>
      <c r="S70" s="16" t="n">
        <f aca="false">IF(ABS(S69-$B$11/$B$9*((MAX(0,MIN(1,S69))^2/(MAX(0,MIN(1,S69))^2+(1-MAX(0,MIN(1,S69)))^2/$B$5))-(MAX(0,MIN(1,R69))^2/(MAX(0,MIN(1,R69))^2+(1-MAX(0,MIN(1,R69)))^2/$B$5))))&lt;0.000000001,0,S69-$B$11/$B$9*((MAX(0,MIN(1,S69))^2/(MAX(0,MIN(1,S69))^2+(1-MAX(0,MIN(1,S69)))^2/$B$5))-(MAX(0,MIN(1,R69))^2/(MAX(0,MIN(1,R69))^2+(1-MAX(0,MIN(1,R69)))^2/$B$5))))</f>
        <v>0.815557674162717</v>
      </c>
      <c r="T70" s="16" t="n">
        <f aca="false">IF(ABS(T69-$B$11/$B$9*((MAX(0,MIN(1,T69))^2/(MAX(0,MIN(1,T69))^2+(1-MAX(0,MIN(1,T69)))^2/$B$5))-(MAX(0,MIN(1,S69))^2/(MAX(0,MIN(1,S69))^2+(1-MAX(0,MIN(1,S69)))^2/$B$5))))&lt;0.000000001,0,T69-$B$11/$B$9*((MAX(0,MIN(1,T69))^2/(MAX(0,MIN(1,T69))^2+(1-MAX(0,MIN(1,T69)))^2/$B$5))-(MAX(0,MIN(1,S69))^2/(MAX(0,MIN(1,S69))^2+(1-MAX(0,MIN(1,S69)))^2/$B$5))))</f>
        <v>0.80070669456243</v>
      </c>
      <c r="U70" s="16" t="n">
        <f aca="false">IF(ABS(U69-$B$11/$B$9*((MAX(0,MIN(1,U69))^2/(MAX(0,MIN(1,U69))^2+(1-MAX(0,MIN(1,U69)))^2/$B$5))-(MAX(0,MIN(1,T69))^2/(MAX(0,MIN(1,T69))^2+(1-MAX(0,MIN(1,T69)))^2/$B$5))))&lt;0.000000001,0,U69-$B$11/$B$9*((MAX(0,MIN(1,U69))^2/(MAX(0,MIN(1,U69))^2+(1-MAX(0,MIN(1,U69)))^2/$B$5))-(MAX(0,MIN(1,T69))^2/(MAX(0,MIN(1,T69))^2+(1-MAX(0,MIN(1,T69)))^2/$B$5))))</f>
        <v>0.786786507340214</v>
      </c>
      <c r="V70" s="16" t="n">
        <f aca="false">IF(ABS(V69-$B$11/$B$9*((MAX(0,MIN(1,V69))^2/(MAX(0,MIN(1,V69))^2+(1-MAX(0,MIN(1,V69)))^2/$B$5))-(MAX(0,MIN(1,U69))^2/(MAX(0,MIN(1,U69))^2+(1-MAX(0,MIN(1,U69)))^2/$B$5))))&lt;0.000000001,0,V69-$B$11/$B$9*((MAX(0,MIN(1,V69))^2/(MAX(0,MIN(1,V69))^2+(1-MAX(0,MIN(1,V69)))^2/$B$5))-(MAX(0,MIN(1,U69))^2/(MAX(0,MIN(1,U69))^2+(1-MAX(0,MIN(1,U69)))^2/$B$5))))</f>
        <v>0.773656468407376</v>
      </c>
      <c r="W70" s="16" t="n">
        <f aca="false">IF(ABS(W69-$B$11/$B$9*((MAX(0,MIN(1,W69))^2/(MAX(0,MIN(1,W69))^2+(1-MAX(0,MIN(1,W69)))^2/$B$5))-(MAX(0,MIN(1,V69))^2/(MAX(0,MIN(1,V69))^2+(1-MAX(0,MIN(1,V69)))^2/$B$5))))&lt;0.000000001,0,W69-$B$11/$B$9*((MAX(0,MIN(1,W69))^2/(MAX(0,MIN(1,W69))^2+(1-MAX(0,MIN(1,W69)))^2/$B$5))-(MAX(0,MIN(1,V69))^2/(MAX(0,MIN(1,V69))^2+(1-MAX(0,MIN(1,V69)))^2/$B$5))))</f>
        <v>0.761204121441697</v>
      </c>
      <c r="X70" s="16" t="n">
        <f aca="false">IF(ABS(X69-$B$11/$B$9*((MAX(0,MIN(1,X69))^2/(MAX(0,MIN(1,X69))^2+(1-MAX(0,MIN(1,X69)))^2/$B$5))-(MAX(0,MIN(1,W69))^2/(MAX(0,MIN(1,W69))^2+(1-MAX(0,MIN(1,W69)))^2/$B$5))))&lt;0.000000001,0,X69-$B$11/$B$9*((MAX(0,MIN(1,X69))^2/(MAX(0,MIN(1,X69))^2+(1-MAX(0,MIN(1,X69)))^2/$B$5))-(MAX(0,MIN(1,W69))^2/(MAX(0,MIN(1,W69))^2+(1-MAX(0,MIN(1,W69)))^2/$B$5))))</f>
        <v>0.749337418744897</v>
      </c>
      <c r="Y70" s="16" t="n">
        <f aca="false">IF(ABS(Y69-$B$11/$B$9*((MAX(0,MIN(1,Y69))^2/(MAX(0,MIN(1,Y69))^2+(1-MAX(0,MIN(1,Y69)))^2/$B$5))-(MAX(0,MIN(1,X69))^2/(MAX(0,MIN(1,X69))^2+(1-MAX(0,MIN(1,X69)))^2/$B$5))))&lt;0.000000001,0,Y69-$B$11/$B$9*((MAX(0,MIN(1,Y69))^2/(MAX(0,MIN(1,Y69))^2+(1-MAX(0,MIN(1,Y69)))^2/$B$5))-(MAX(0,MIN(1,X69))^2/(MAX(0,MIN(1,X69))^2+(1-MAX(0,MIN(1,X69)))^2/$B$5))))</f>
        <v>0.737979451638871</v>
      </c>
      <c r="Z70" s="16" t="n">
        <f aca="false">IF(ABS(Z69-$B$11/$B$9*((MAX(0,MIN(1,Z69))^2/(MAX(0,MIN(1,Z69))^2+(1-MAX(0,MIN(1,Z69)))^2/$B$5))-(MAX(0,MIN(1,Y69))^2/(MAX(0,MIN(1,Y69))^2+(1-MAX(0,MIN(1,Y69)))^2/$B$5))))&lt;0.000000001,0,Z69-$B$11/$B$9*((MAX(0,MIN(1,Z69))^2/(MAX(0,MIN(1,Z69))^2+(1-MAX(0,MIN(1,Z69)))^2/$B$5))-(MAX(0,MIN(1,Y69))^2/(MAX(0,MIN(1,Y69))^2+(1-MAX(0,MIN(1,Y69)))^2/$B$5))))</f>
        <v>0.727064714156197</v>
      </c>
      <c r="AA70" s="16" t="n">
        <f aca="false">IF(ABS(AA69-$B$11/$B$9*((MAX(0,MIN(1,AA69))^2/(MAX(0,MIN(1,AA69))^2+(1-MAX(0,MIN(1,AA69)))^2/$B$5))-(MAX(0,MIN(1,Z69))^2/(MAX(0,MIN(1,Z69))^2+(1-MAX(0,MIN(1,Z69)))^2/$B$5))))&lt;0.000000001,0,AA69-$B$11/$B$9*((MAX(0,MIN(1,AA69))^2/(MAX(0,MIN(1,AA69))^2+(1-MAX(0,MIN(1,AA69)))^2/$B$5))-(MAX(0,MIN(1,Z69))^2/(MAX(0,MIN(1,Z69))^2+(1-MAX(0,MIN(1,Z69)))^2/$B$5))))</f>
        <v>0.716536337109306</v>
      </c>
      <c r="AB70" s="16" t="n">
        <f aca="false">IF(ABS(AB69-$B$11/$B$9*((MAX(0,MIN(1,AB69))^2/(MAX(0,MIN(1,AB69))^2+(1-MAX(0,MIN(1,AB69)))^2/$B$5))-(MAX(0,MIN(1,AA69))^2/(MAX(0,MIN(1,AA69))^2+(1-MAX(0,MIN(1,AA69)))^2/$B$5))))&lt;0.000000001,0,AB69-$B$11/$B$9*((MAX(0,MIN(1,AB69))^2/(MAX(0,MIN(1,AB69))^2+(1-MAX(0,MIN(1,AB69)))^2/$B$5))-(MAX(0,MIN(1,AA69))^2/(MAX(0,MIN(1,AA69))^2+(1-MAX(0,MIN(1,AA69)))^2/$B$5))))</f>
        <v>0.70634394389068</v>
      </c>
      <c r="AC70" s="16" t="n">
        <f aca="false">IF(ABS(AC69-$B$11/$B$9*((MAX(0,MIN(1,AC69))^2/(MAX(0,MIN(1,AC69))^2+(1-MAX(0,MIN(1,AC69)))^2/$B$5))-(MAX(0,MIN(1,AB69))^2/(MAX(0,MIN(1,AB69))^2+(1-MAX(0,MIN(1,AB69)))^2/$B$5))))&lt;0.000000001,0,AC69-$B$11/$B$9*((MAX(0,MIN(1,AC69))^2/(MAX(0,MIN(1,AC69))^2+(1-MAX(0,MIN(1,AC69)))^2/$B$5))-(MAX(0,MIN(1,AB69))^2/(MAX(0,MIN(1,AB69))^2+(1-MAX(0,MIN(1,AB69)))^2/$B$5))))</f>
        <v>0.696441894355154</v>
      </c>
      <c r="AD70" s="16" t="n">
        <f aca="false">IF(ABS(AD69-$B$11/$B$9*((MAX(0,MIN(1,AD69))^2/(MAX(0,MIN(1,AD69))^2+(1-MAX(0,MIN(1,AD69)))^2/$B$5))-(MAX(0,MIN(1,AC69))^2/(MAX(0,MIN(1,AC69))^2+(1-MAX(0,MIN(1,AC69)))^2/$B$5))))&lt;0.000000001,0,AD69-$B$11/$B$9*((MAX(0,MIN(1,AD69))^2/(MAX(0,MIN(1,AD69))^2+(1-MAX(0,MIN(1,AD69)))^2/$B$5))-(MAX(0,MIN(1,AC69))^2/(MAX(0,MIN(1,AC69))^2+(1-MAX(0,MIN(1,AC69)))^2/$B$5))))</f>
        <v>0.686787743195993</v>
      </c>
      <c r="AE70" s="16" t="n">
        <f aca="false">IF(ABS(AE69-$B$11/$B$9*((MAX(0,MIN(1,AE69))^2/(MAX(0,MIN(1,AE69))^2+(1-MAX(0,MIN(1,AE69)))^2/$B$5))-(MAX(0,MIN(1,AD69))^2/(MAX(0,MIN(1,AD69))^2+(1-MAX(0,MIN(1,AD69)))^2/$B$5))))&lt;0.000000001,0,AE69-$B$11/$B$9*((MAX(0,MIN(1,AE69))^2/(MAX(0,MIN(1,AE69))^2+(1-MAX(0,MIN(1,AE69)))^2/$B$5))-(MAX(0,MIN(1,AD69))^2/(MAX(0,MIN(1,AD69))^2+(1-MAX(0,MIN(1,AD69)))^2/$B$5))))</f>
        <v>0.677340763615754</v>
      </c>
      <c r="AF70" s="16" t="n">
        <f aca="false">IF(ABS(AF69-$B$11/$B$9*((MAX(0,MIN(1,AF69))^2/(MAX(0,MIN(1,AF69))^2+(1-MAX(0,MIN(1,AF69)))^2/$B$5))-(MAX(0,MIN(1,AE69))^2/(MAX(0,MIN(1,AE69))^2+(1-MAX(0,MIN(1,AE69)))^2/$B$5))))&lt;0.000000001,0,AF69-$B$11/$B$9*((MAX(0,MIN(1,AF69))^2/(MAX(0,MIN(1,AF69))^2+(1-MAX(0,MIN(1,AF69)))^2/$B$5))-(MAX(0,MIN(1,AE69))^2/(MAX(0,MIN(1,AE69))^2+(1-MAX(0,MIN(1,AE69)))^2/$B$5))))</f>
        <v>0.668060381028213</v>
      </c>
    </row>
    <row r="71" customFormat="false" ht="15" hidden="false" customHeight="false" outlineLevel="0" collapsed="false">
      <c r="A71" s="0" t="n">
        <v>0.66</v>
      </c>
      <c r="D71" s="0" t="n">
        <f aca="false">A71</f>
        <v>0.66</v>
      </c>
      <c r="E71" s="0" t="n">
        <f aca="false">(G71-G70)/(A71-A70)</f>
        <v>0.946865550328934</v>
      </c>
      <c r="F71" s="0" t="n">
        <f aca="false">G71/A71</f>
        <v>1.33765707336846</v>
      </c>
      <c r="G71" s="0" t="n">
        <f aca="false">A71^2/(A71^2+(1-A71)^2/$B$5)</f>
        <v>0.882853668423186</v>
      </c>
      <c r="L71" s="0" t="n">
        <v>61</v>
      </c>
      <c r="M71" s="16" t="n">
        <f aca="false">IF(ABS(M70-$B$11/$B$9*((MAX(0,MIN(1,M70))^2/(MAX(0,MIN(1,M70))^2+(1-MAX(0,MIN(1,M70)))^2/$B$5))-(MAX(0,MIN(1,1))^2/(MAX(0,MIN(1,1))^2+(1-MAX(0,MIN(1,1)))^2/$B$5))))&lt;0.000000001,0,M70-$B$11/$B$9*((MAX(0,MIN(1,M70))^2/(MAX(0,MIN(1,M70))^2+(1-MAX(0,MIN(1,M70)))^2/$B$5))-(MAX(0,MIN(1,1))^2/(MAX(0,MIN(1,1))^2+(1-MAX(0,MIN(1,1)))^2/$B$5))))</f>
        <v>0.94354143788429</v>
      </c>
      <c r="N71" s="16" t="n">
        <f aca="false">IF(ABS(N70-$B$11/$B$9*((MAX(0,MIN(1,N70))^2/(MAX(0,MIN(1,N70))^2+(1-MAX(0,MIN(1,N70)))^2/$B$5))-(MAX(0,MIN(1,M70))^2/(MAX(0,MIN(1,M70))^2+(1-MAX(0,MIN(1,M70)))^2/$B$5))))&lt;0.000000001,0,N70-$B$11/$B$9*((MAX(0,MIN(1,N70))^2/(MAX(0,MIN(1,N70))^2+(1-MAX(0,MIN(1,N70)))^2/$B$5))-(MAX(0,MIN(1,M70))^2/(MAX(0,MIN(1,M70))^2+(1-MAX(0,MIN(1,M70)))^2/$B$5))))</f>
        <v>0.914387818471171</v>
      </c>
      <c r="O71" s="16" t="n">
        <f aca="false">IF(ABS(O70-$B$11/$B$9*((MAX(0,MIN(1,O70))^2/(MAX(0,MIN(1,O70))^2+(1-MAX(0,MIN(1,O70)))^2/$B$5))-(MAX(0,MIN(1,N70))^2/(MAX(0,MIN(1,N70))^2+(1-MAX(0,MIN(1,N70)))^2/$B$5))))&lt;0.000000001,0,O70-$B$11/$B$9*((MAX(0,MIN(1,O70))^2/(MAX(0,MIN(1,O70))^2+(1-MAX(0,MIN(1,O70)))^2/$B$5))-(MAX(0,MIN(1,N70))^2/(MAX(0,MIN(1,N70))^2+(1-MAX(0,MIN(1,N70)))^2/$B$5))))</f>
        <v>0.890307873684007</v>
      </c>
      <c r="P71" s="16" t="n">
        <f aca="false">IF(ABS(P70-$B$11/$B$9*((MAX(0,MIN(1,P70))^2/(MAX(0,MIN(1,P70))^2+(1-MAX(0,MIN(1,P70)))^2/$B$5))-(MAX(0,MIN(1,O70))^2/(MAX(0,MIN(1,O70))^2+(1-MAX(0,MIN(1,O70)))^2/$B$5))))&lt;0.000000001,0,P70-$B$11/$B$9*((MAX(0,MIN(1,P70))^2/(MAX(0,MIN(1,P70))^2+(1-MAX(0,MIN(1,P70)))^2/$B$5))-(MAX(0,MIN(1,O70))^2/(MAX(0,MIN(1,O70))^2+(1-MAX(0,MIN(1,O70)))^2/$B$5))))</f>
        <v>0.869281162090053</v>
      </c>
      <c r="Q71" s="16" t="n">
        <f aca="false">IF(ABS(Q70-$B$11/$B$9*((MAX(0,MIN(1,Q70))^2/(MAX(0,MIN(1,Q70))^2+(1-MAX(0,MIN(1,Q70)))^2/$B$5))-(MAX(0,MIN(1,P70))^2/(MAX(0,MIN(1,P70))^2+(1-MAX(0,MIN(1,P70)))^2/$B$5))))&lt;0.000000001,0,Q70-$B$11/$B$9*((MAX(0,MIN(1,Q70))^2/(MAX(0,MIN(1,Q70))^2+(1-MAX(0,MIN(1,Q70)))^2/$B$5))-(MAX(0,MIN(1,P70))^2/(MAX(0,MIN(1,P70))^2+(1-MAX(0,MIN(1,P70)))^2/$B$5))))</f>
        <v>0.850431203830658</v>
      </c>
      <c r="R71" s="16" t="n">
        <f aca="false">IF(ABS(R70-$B$11/$B$9*((MAX(0,MIN(1,R70))^2/(MAX(0,MIN(1,R70))^2+(1-MAX(0,MIN(1,R70)))^2/$B$5))-(MAX(0,MIN(1,Q70))^2/(MAX(0,MIN(1,Q70))^2+(1-MAX(0,MIN(1,Q70)))^2/$B$5))))&lt;0.000000001,0,R70-$B$11/$B$9*((MAX(0,MIN(1,R70))^2/(MAX(0,MIN(1,R70))^2+(1-MAX(0,MIN(1,R70)))^2/$B$5))-(MAX(0,MIN(1,Q70))^2/(MAX(0,MIN(1,Q70))^2+(1-MAX(0,MIN(1,Q70)))^2/$B$5))))</f>
        <v>0.833252508619766</v>
      </c>
      <c r="S71" s="16" t="n">
        <f aca="false">IF(ABS(S70-$B$11/$B$9*((MAX(0,MIN(1,S70))^2/(MAX(0,MIN(1,S70))^2+(1-MAX(0,MIN(1,S70)))^2/$B$5))-(MAX(0,MIN(1,R70))^2/(MAX(0,MIN(1,R70))^2+(1-MAX(0,MIN(1,R70)))^2/$B$5))))&lt;0.000000001,0,S70-$B$11/$B$9*((MAX(0,MIN(1,S70))^2/(MAX(0,MIN(1,S70))^2+(1-MAX(0,MIN(1,S70)))^2/$B$5))-(MAX(0,MIN(1,R70))^2/(MAX(0,MIN(1,R70))^2+(1-MAX(0,MIN(1,R70)))^2/$B$5))))</f>
        <v>0.8174116999201</v>
      </c>
      <c r="T71" s="16" t="n">
        <f aca="false">IF(ABS(T70-$B$11/$B$9*((MAX(0,MIN(1,T70))^2/(MAX(0,MIN(1,T70))^2+(1-MAX(0,MIN(1,T70)))^2/$B$5))-(MAX(0,MIN(1,S70))^2/(MAX(0,MIN(1,S70))^2+(1-MAX(0,MIN(1,S70)))^2/$B$5))))&lt;0.000000001,0,T70-$B$11/$B$9*((MAX(0,MIN(1,T70))^2/(MAX(0,MIN(1,T70))^2+(1-MAX(0,MIN(1,T70)))^2/$B$5))-(MAX(0,MIN(1,S70))^2/(MAX(0,MIN(1,S70))^2+(1-MAX(0,MIN(1,S70)))^2/$B$5))))</f>
        <v>0.802671207659588</v>
      </c>
      <c r="U71" s="16" t="n">
        <f aca="false">IF(ABS(U70-$B$11/$B$9*((MAX(0,MIN(1,U70))^2/(MAX(0,MIN(1,U70))^2+(1-MAX(0,MIN(1,U70)))^2/$B$5))-(MAX(0,MIN(1,T70))^2/(MAX(0,MIN(1,T70))^2+(1-MAX(0,MIN(1,T70)))^2/$B$5))))&lt;0.000000001,0,U70-$B$11/$B$9*((MAX(0,MIN(1,U70))^2/(MAX(0,MIN(1,U70))^2+(1-MAX(0,MIN(1,U70)))^2/$B$5))-(MAX(0,MIN(1,T70))^2/(MAX(0,MIN(1,T70))^2+(1-MAX(0,MIN(1,T70)))^2/$B$5))))</f>
        <v>0.788852927851674</v>
      </c>
      <c r="V71" s="16" t="n">
        <f aca="false">IF(ABS(V70-$B$11/$B$9*((MAX(0,MIN(1,V70))^2/(MAX(0,MIN(1,V70))^2+(1-MAX(0,MIN(1,V70)))^2/$B$5))-(MAX(0,MIN(1,U70))^2/(MAX(0,MIN(1,U70))^2+(1-MAX(0,MIN(1,U70)))^2/$B$5))))&lt;0.000000001,0,V70-$B$11/$B$9*((MAX(0,MIN(1,V70))^2/(MAX(0,MIN(1,V70))^2+(1-MAX(0,MIN(1,V70)))^2/$B$5))-(MAX(0,MIN(1,U70))^2/(MAX(0,MIN(1,U70))^2+(1-MAX(0,MIN(1,U70)))^2/$B$5))))</f>
        <v>0.775818387590041</v>
      </c>
      <c r="W71" s="16" t="n">
        <f aca="false">IF(ABS(W70-$B$11/$B$9*((MAX(0,MIN(1,W70))^2/(MAX(0,MIN(1,W70))^2+(1-MAX(0,MIN(1,W70)))^2/$B$5))-(MAX(0,MIN(1,V70))^2/(MAX(0,MIN(1,V70))^2+(1-MAX(0,MIN(1,V70)))^2/$B$5))))&lt;0.000000001,0,W70-$B$11/$B$9*((MAX(0,MIN(1,W70))^2/(MAX(0,MIN(1,W70))^2+(1-MAX(0,MIN(1,W70)))^2/$B$5))-(MAX(0,MIN(1,V70))^2/(MAX(0,MIN(1,V70))^2+(1-MAX(0,MIN(1,V70)))^2/$B$5))))</f>
        <v>0.76345685727289</v>
      </c>
      <c r="X71" s="16" t="n">
        <f aca="false">IF(ABS(X70-$B$11/$B$9*((MAX(0,MIN(1,X70))^2/(MAX(0,MIN(1,X70))^2+(1-MAX(0,MIN(1,X70)))^2/$B$5))-(MAX(0,MIN(1,W70))^2/(MAX(0,MIN(1,W70))^2+(1-MAX(0,MIN(1,W70)))^2/$B$5))))&lt;0.000000001,0,X70-$B$11/$B$9*((MAX(0,MIN(1,X70))^2/(MAX(0,MIN(1,X70))^2+(1-MAX(0,MIN(1,X70)))^2/$B$5))-(MAX(0,MIN(1,W70))^2/(MAX(0,MIN(1,W70))^2+(1-MAX(0,MIN(1,W70)))^2/$B$5))))</f>
        <v>0.751677721367245</v>
      </c>
      <c r="Y71" s="16" t="n">
        <f aca="false">IF(ABS(Y70-$B$11/$B$9*((MAX(0,MIN(1,Y70))^2/(MAX(0,MIN(1,Y70))^2+(1-MAX(0,MIN(1,Y70)))^2/$B$5))-(MAX(0,MIN(1,X70))^2/(MAX(0,MIN(1,X70))^2+(1-MAX(0,MIN(1,X70)))^2/$B$5))))&lt;0.000000001,0,Y70-$B$11/$B$9*((MAX(0,MIN(1,Y70))^2/(MAX(0,MIN(1,Y70))^2+(1-MAX(0,MIN(1,Y70)))^2/$B$5))-(MAX(0,MIN(1,X70))^2/(MAX(0,MIN(1,X70))^2+(1-MAX(0,MIN(1,X70)))^2/$B$5))))</f>
        <v>0.740405314114729</v>
      </c>
      <c r="Z71" s="16" t="n">
        <f aca="false">IF(ABS(Z70-$B$11/$B$9*((MAX(0,MIN(1,Z70))^2/(MAX(0,MIN(1,Z70))^2+(1-MAX(0,MIN(1,Z70)))^2/$B$5))-(MAX(0,MIN(1,Y70))^2/(MAX(0,MIN(1,Y70))^2+(1-MAX(0,MIN(1,Y70)))^2/$B$5))))&lt;0.000000001,0,Z70-$B$11/$B$9*((MAX(0,MIN(1,Z70))^2/(MAX(0,MIN(1,Z70))^2+(1-MAX(0,MIN(1,Z70)))^2/$B$5))-(MAX(0,MIN(1,Y70))^2/(MAX(0,MIN(1,Y70))^2+(1-MAX(0,MIN(1,Y70)))^2/$B$5))))</f>
        <v>0.729575263628047</v>
      </c>
      <c r="AA71" s="16" t="n">
        <f aca="false">IF(ABS(AA70-$B$11/$B$9*((MAX(0,MIN(1,AA70))^2/(MAX(0,MIN(1,AA70))^2+(1-MAX(0,MIN(1,AA70)))^2/$B$5))-(MAX(0,MIN(1,Z70))^2/(MAX(0,MIN(1,Z70))^2+(1-MAX(0,MIN(1,Z70)))^2/$B$5))))&lt;0.000000001,0,AA70-$B$11/$B$9*((MAX(0,MIN(1,AA70))^2/(MAX(0,MIN(1,AA70))^2+(1-MAX(0,MIN(1,AA70)))^2/$B$5))-(MAX(0,MIN(1,Z70))^2/(MAX(0,MIN(1,Z70))^2+(1-MAX(0,MIN(1,Z70)))^2/$B$5))))</f>
        <v>0.719131794093198</v>
      </c>
      <c r="AB71" s="16" t="n">
        <f aca="false">IF(ABS(AB70-$B$11/$B$9*((MAX(0,MIN(1,AB70))^2/(MAX(0,MIN(1,AB70))^2+(1-MAX(0,MIN(1,AB70)))^2/$B$5))-(MAX(0,MIN(1,AA70))^2/(MAX(0,MIN(1,AA70))^2+(1-MAX(0,MIN(1,AA70)))^2/$B$5))))&lt;0.000000001,0,AB70-$B$11/$B$9*((MAX(0,MIN(1,AB70))^2/(MAX(0,MIN(1,AB70))^2+(1-MAX(0,MIN(1,AB70)))^2/$B$5))-(MAX(0,MIN(1,AA70))^2/(MAX(0,MIN(1,AA70))^2+(1-MAX(0,MIN(1,AA70)))^2/$B$5))))</f>
        <v>0.7090256469472</v>
      </c>
      <c r="AC71" s="16" t="n">
        <f aca="false">IF(ABS(AC70-$B$11/$B$9*((MAX(0,MIN(1,AC70))^2/(MAX(0,MIN(1,AC70))^2+(1-MAX(0,MIN(1,AC70)))^2/$B$5))-(MAX(0,MIN(1,AB70))^2/(MAX(0,MIN(1,AB70))^2+(1-MAX(0,MIN(1,AB70)))^2/$B$5))))&lt;0.000000001,0,AC70-$B$11/$B$9*((MAX(0,MIN(1,AC70))^2/(MAX(0,MIN(1,AC70))^2+(1-MAX(0,MIN(1,AC70)))^2/$B$5))-(MAX(0,MIN(1,AB70))^2/(MAX(0,MIN(1,AB70))^2+(1-MAX(0,MIN(1,AB70)))^2/$B$5))))</f>
        <v>0.699212396184921</v>
      </c>
      <c r="AD71" s="16" t="n">
        <f aca="false">IF(ABS(AD70-$B$11/$B$9*((MAX(0,MIN(1,AD70))^2/(MAX(0,MIN(1,AD70))^2+(1-MAX(0,MIN(1,AD70)))^2/$B$5))-(MAX(0,MIN(1,AC70))^2/(MAX(0,MIN(1,AC70))^2+(1-MAX(0,MIN(1,AC70)))^2/$B$5))))&lt;0.000000001,0,AD70-$B$11/$B$9*((MAX(0,MIN(1,AD70))^2/(MAX(0,MIN(1,AD70))^2+(1-MAX(0,MIN(1,AD70)))^2/$B$5))-(MAX(0,MIN(1,AC70))^2/(MAX(0,MIN(1,AC70))^2+(1-MAX(0,MIN(1,AC70)))^2/$B$5))))</f>
        <v>0.689650994297646</v>
      </c>
      <c r="AE71" s="16" t="n">
        <f aca="false">IF(ABS(AE70-$B$11/$B$9*((MAX(0,MIN(1,AE70))^2/(MAX(0,MIN(1,AE70))^2+(1-MAX(0,MIN(1,AE70)))^2/$B$5))-(MAX(0,MIN(1,AD70))^2/(MAX(0,MIN(1,AD70))^2+(1-MAX(0,MIN(1,AD70)))^2/$B$5))))&lt;0.000000001,0,AE70-$B$11/$B$9*((MAX(0,MIN(1,AE70))^2/(MAX(0,MIN(1,AE70))^2+(1-MAX(0,MIN(1,AE70)))^2/$B$5))-(MAX(0,MIN(1,AD70))^2/(MAX(0,MIN(1,AD70))^2+(1-MAX(0,MIN(1,AD70)))^2/$B$5))))</f>
        <v>0.680302413504311</v>
      </c>
      <c r="AF71" s="16" t="n">
        <f aca="false">IF(ABS(AF70-$B$11/$B$9*((MAX(0,MIN(1,AF70))^2/(MAX(0,MIN(1,AF70))^2+(1-MAX(0,MIN(1,AF70)))^2/$B$5))-(MAX(0,MIN(1,AE70))^2/(MAX(0,MIN(1,AE70))^2+(1-MAX(0,MIN(1,AE70)))^2/$B$5))))&lt;0.000000001,0,AF70-$B$11/$B$9*((MAX(0,MIN(1,AF70))^2/(MAX(0,MIN(1,AF70))^2+(1-MAX(0,MIN(1,AF70)))^2/$B$5))-(MAX(0,MIN(1,AE70))^2/(MAX(0,MIN(1,AE70))^2+(1-MAX(0,MIN(1,AE70)))^2/$B$5))))</f>
        <v>0.671128248731023</v>
      </c>
    </row>
    <row r="72" customFormat="false" ht="15" hidden="false" customHeight="false" outlineLevel="0" collapsed="false">
      <c r="A72" s="0" t="n">
        <v>0.67</v>
      </c>
      <c r="D72" s="0" t="n">
        <f aca="false">A72</f>
        <v>0.67</v>
      </c>
      <c r="E72" s="0" t="n">
        <f aca="false">(G72-G71)/(A72-A71)</f>
        <v>0.897110559091951</v>
      </c>
      <c r="F72" s="0" t="n">
        <f aca="false">G72/A72</f>
        <v>1.33108175225986</v>
      </c>
      <c r="G72" s="0" t="n">
        <f aca="false">A72^2/(A72^2+(1-A72)^2/$B$5)</f>
        <v>0.891824774014106</v>
      </c>
      <c r="L72" s="0" t="n">
        <v>62</v>
      </c>
      <c r="M72" s="16" t="n">
        <f aca="false">IF(ABS(M71-$B$11/$B$9*((MAX(0,MIN(1,M71))^2/(MAX(0,MIN(1,M71))^2+(1-MAX(0,MIN(1,M71)))^2/$B$5))-(MAX(0,MIN(1,1))^2/(MAX(0,MIN(1,1))^2+(1-MAX(0,MIN(1,1)))^2/$B$5))))&lt;0.000000001,0,M71-$B$11/$B$9*((MAX(0,MIN(1,M71))^2/(MAX(0,MIN(1,M71))^2+(1-MAX(0,MIN(1,M71)))^2/$B$5))-(MAX(0,MIN(1,1))^2/(MAX(0,MIN(1,1))^2+(1-MAX(0,MIN(1,1)))^2/$B$5))))</f>
        <v>0.944228605489453</v>
      </c>
      <c r="N72" s="16" t="n">
        <f aca="false">IF(ABS(N71-$B$11/$B$9*((MAX(0,MIN(1,N71))^2/(MAX(0,MIN(1,N71))^2+(1-MAX(0,MIN(1,N71)))^2/$B$5))-(MAX(0,MIN(1,M71))^2/(MAX(0,MIN(1,M71))^2+(1-MAX(0,MIN(1,M71)))^2/$B$5))))&lt;0.000000001,0,N71-$B$11/$B$9*((MAX(0,MIN(1,N71))^2/(MAX(0,MIN(1,N71))^2+(1-MAX(0,MIN(1,N71)))^2/$B$5))-(MAX(0,MIN(1,M71))^2/(MAX(0,MIN(1,M71))^2+(1-MAX(0,MIN(1,M71)))^2/$B$5))))</f>
        <v>0.915378730895098</v>
      </c>
      <c r="O72" s="16" t="n">
        <f aca="false">IF(ABS(O71-$B$11/$B$9*((MAX(0,MIN(1,O71))^2/(MAX(0,MIN(1,O71))^2+(1-MAX(0,MIN(1,O71)))^2/$B$5))-(MAX(0,MIN(1,N71))^2/(MAX(0,MIN(1,N71))^2+(1-MAX(0,MIN(1,N71)))^2/$B$5))))&lt;0.000000001,0,O71-$B$11/$B$9*((MAX(0,MIN(1,O71))^2/(MAX(0,MIN(1,O71))^2+(1-MAX(0,MIN(1,O71)))^2/$B$5))-(MAX(0,MIN(1,N71))^2/(MAX(0,MIN(1,N71))^2+(1-MAX(0,MIN(1,N71)))^2/$B$5))))</f>
        <v>0.891526393076282</v>
      </c>
      <c r="P72" s="16" t="n">
        <f aca="false">IF(ABS(P71-$B$11/$B$9*((MAX(0,MIN(1,P71))^2/(MAX(0,MIN(1,P71))^2+(1-MAX(0,MIN(1,P71)))^2/$B$5))-(MAX(0,MIN(1,O71))^2/(MAX(0,MIN(1,O71))^2+(1-MAX(0,MIN(1,O71)))^2/$B$5))))&lt;0.000000001,0,P71-$B$11/$B$9*((MAX(0,MIN(1,P71))^2/(MAX(0,MIN(1,P71))^2+(1-MAX(0,MIN(1,P71)))^2/$B$5))-(MAX(0,MIN(1,O71))^2/(MAX(0,MIN(1,O71))^2+(1-MAX(0,MIN(1,O71)))^2/$B$5))))</f>
        <v>0.870683635915437</v>
      </c>
      <c r="Q72" s="16" t="n">
        <f aca="false">IF(ABS(Q71-$B$11/$B$9*((MAX(0,MIN(1,Q71))^2/(MAX(0,MIN(1,Q71))^2+(1-MAX(0,MIN(1,Q71)))^2/$B$5))-(MAX(0,MIN(1,P71))^2/(MAX(0,MIN(1,P71))^2+(1-MAX(0,MIN(1,P71)))^2/$B$5))))&lt;0.000000001,0,Q71-$B$11/$B$9*((MAX(0,MIN(1,Q71))^2/(MAX(0,MIN(1,Q71))^2+(1-MAX(0,MIN(1,Q71)))^2/$B$5))-(MAX(0,MIN(1,P71))^2/(MAX(0,MIN(1,P71))^2+(1-MAX(0,MIN(1,P71)))^2/$B$5))))</f>
        <v>0.851988656900731</v>
      </c>
      <c r="R72" s="16" t="n">
        <f aca="false">IF(ABS(R71-$B$11/$B$9*((MAX(0,MIN(1,R71))^2/(MAX(0,MIN(1,R71))^2+(1-MAX(0,MIN(1,R71)))^2/$B$5))-(MAX(0,MIN(1,Q71))^2/(MAX(0,MIN(1,Q71))^2+(1-MAX(0,MIN(1,Q71)))^2/$B$5))))&lt;0.000000001,0,R71-$B$11/$B$9*((MAX(0,MIN(1,R71))^2/(MAX(0,MIN(1,R71))^2+(1-MAX(0,MIN(1,R71)))^2/$B$5))-(MAX(0,MIN(1,Q71))^2/(MAX(0,MIN(1,Q71))^2+(1-MAX(0,MIN(1,Q71)))^2/$B$5))))</f>
        <v>0.834944419886148</v>
      </c>
      <c r="S72" s="16" t="n">
        <f aca="false">IF(ABS(S71-$B$11/$B$9*((MAX(0,MIN(1,S71))^2/(MAX(0,MIN(1,S71))^2+(1-MAX(0,MIN(1,S71)))^2/$B$5))-(MAX(0,MIN(1,R71))^2/(MAX(0,MIN(1,R71))^2+(1-MAX(0,MIN(1,R71)))^2/$B$5))))&lt;0.000000001,0,S71-$B$11/$B$9*((MAX(0,MIN(1,S71))^2/(MAX(0,MIN(1,S71))^2+(1-MAX(0,MIN(1,S71)))^2/$B$5))-(MAX(0,MIN(1,R71))^2/(MAX(0,MIN(1,R71))^2+(1-MAX(0,MIN(1,R71)))^2/$B$5))))</f>
        <v>0.819223011136779</v>
      </c>
      <c r="T72" s="16" t="n">
        <f aca="false">IF(ABS(T71-$B$11/$B$9*((MAX(0,MIN(1,T71))^2/(MAX(0,MIN(1,T71))^2+(1-MAX(0,MIN(1,T71)))^2/$B$5))-(MAX(0,MIN(1,S71))^2/(MAX(0,MIN(1,S71))^2+(1-MAX(0,MIN(1,S71)))^2/$B$5))))&lt;0.000000001,0,T71-$B$11/$B$9*((MAX(0,MIN(1,T71))^2/(MAX(0,MIN(1,T71))^2+(1-MAX(0,MIN(1,T71)))^2/$B$5))-(MAX(0,MIN(1,S71))^2/(MAX(0,MIN(1,S71))^2+(1-MAX(0,MIN(1,S71)))^2/$B$5))))</f>
        <v>0.804590649079437</v>
      </c>
      <c r="U72" s="16" t="n">
        <f aca="false">IF(ABS(U71-$B$11/$B$9*((MAX(0,MIN(1,U71))^2/(MAX(0,MIN(1,U71))^2+(1-MAX(0,MIN(1,U71)))^2/$B$5))-(MAX(0,MIN(1,T71))^2/(MAX(0,MIN(1,T71))^2+(1-MAX(0,MIN(1,T71)))^2/$B$5))))&lt;0.000000001,0,U71-$B$11/$B$9*((MAX(0,MIN(1,U71))^2/(MAX(0,MIN(1,U71))^2+(1-MAX(0,MIN(1,U71)))^2/$B$5))-(MAX(0,MIN(1,T71))^2/(MAX(0,MIN(1,T71))^2+(1-MAX(0,MIN(1,T71)))^2/$B$5))))</f>
        <v>0.790871996147743</v>
      </c>
      <c r="V72" s="16" t="n">
        <f aca="false">IF(ABS(V71-$B$11/$B$9*((MAX(0,MIN(1,V71))^2/(MAX(0,MIN(1,V71))^2+(1-MAX(0,MIN(1,V71)))^2/$B$5))-(MAX(0,MIN(1,U71))^2/(MAX(0,MIN(1,U71))^2+(1-MAX(0,MIN(1,U71)))^2/$B$5))))&lt;0.000000001,0,V71-$B$11/$B$9*((MAX(0,MIN(1,V71))^2/(MAX(0,MIN(1,V71))^2+(1-MAX(0,MIN(1,V71)))^2/$B$5))-(MAX(0,MIN(1,U71))^2/(MAX(0,MIN(1,U71))^2+(1-MAX(0,MIN(1,U71)))^2/$B$5))))</f>
        <v>0.777930688102239</v>
      </c>
      <c r="W72" s="16" t="n">
        <f aca="false">IF(ABS(W71-$B$11/$B$9*((MAX(0,MIN(1,W71))^2/(MAX(0,MIN(1,W71))^2+(1-MAX(0,MIN(1,W71)))^2/$B$5))-(MAX(0,MIN(1,V71))^2/(MAX(0,MIN(1,V71))^2+(1-MAX(0,MIN(1,V71)))^2/$B$5))))&lt;0.000000001,0,W71-$B$11/$B$9*((MAX(0,MIN(1,W71))^2/(MAX(0,MIN(1,W71))^2+(1-MAX(0,MIN(1,W71)))^2/$B$5))-(MAX(0,MIN(1,V71))^2/(MAX(0,MIN(1,V71))^2+(1-MAX(0,MIN(1,V71)))^2/$B$5))))</f>
        <v>0.765657667875253</v>
      </c>
      <c r="X72" s="16" t="n">
        <f aca="false">IF(ABS(X71-$B$11/$B$9*((MAX(0,MIN(1,X71))^2/(MAX(0,MIN(1,X71))^2+(1-MAX(0,MIN(1,X71)))^2/$B$5))-(MAX(0,MIN(1,W71))^2/(MAX(0,MIN(1,W71))^2+(1-MAX(0,MIN(1,W71)))^2/$B$5))))&lt;0.000000001,0,X71-$B$11/$B$9*((MAX(0,MIN(1,X71))^2/(MAX(0,MIN(1,X71))^2+(1-MAX(0,MIN(1,X71)))^2/$B$5))-(MAX(0,MIN(1,W71))^2/(MAX(0,MIN(1,W71))^2+(1-MAX(0,MIN(1,W71)))^2/$B$5))))</f>
        <v>0.753963700900608</v>
      </c>
      <c r="Y72" s="16" t="n">
        <f aca="false">IF(ABS(Y71-$B$11/$B$9*((MAX(0,MIN(1,Y71))^2/(MAX(0,MIN(1,Y71))^2+(1-MAX(0,MIN(1,Y71)))^2/$B$5))-(MAX(0,MIN(1,X71))^2/(MAX(0,MIN(1,X71))^2+(1-MAX(0,MIN(1,X71)))^2/$B$5))))&lt;0.000000001,0,Y71-$B$11/$B$9*((MAX(0,MIN(1,Y71))^2/(MAX(0,MIN(1,Y71))^2+(1-MAX(0,MIN(1,Y71)))^2/$B$5))-(MAX(0,MIN(1,X71))^2/(MAX(0,MIN(1,X71))^2+(1-MAX(0,MIN(1,X71)))^2/$B$5))))</f>
        <v>0.74277431173756</v>
      </c>
      <c r="Z72" s="16" t="n">
        <f aca="false">IF(ABS(Z71-$B$11/$B$9*((MAX(0,MIN(1,Z71))^2/(MAX(0,MIN(1,Z71))^2+(1-MAX(0,MIN(1,Z71)))^2/$B$5))-(MAX(0,MIN(1,Y71))^2/(MAX(0,MIN(1,Y71))^2+(1-MAX(0,MIN(1,Y71)))^2/$B$5))))&lt;0.000000001,0,Z71-$B$11/$B$9*((MAX(0,MIN(1,Z71))^2/(MAX(0,MIN(1,Z71))^2+(1-MAX(0,MIN(1,Z71)))^2/$B$5))-(MAX(0,MIN(1,Y71))^2/(MAX(0,MIN(1,Y71))^2+(1-MAX(0,MIN(1,Y71)))^2/$B$5))))</f>
        <v>0.73202620428174</v>
      </c>
      <c r="AA72" s="16" t="n">
        <f aca="false">IF(ABS(AA71-$B$11/$B$9*((MAX(0,MIN(1,AA71))^2/(MAX(0,MIN(1,AA71))^2+(1-MAX(0,MIN(1,AA71)))^2/$B$5))-(MAX(0,MIN(1,Z71))^2/(MAX(0,MIN(1,Z71))^2+(1-MAX(0,MIN(1,Z71)))^2/$B$5))))&lt;0.000000001,0,AA71-$B$11/$B$9*((MAX(0,MIN(1,AA71))^2/(MAX(0,MIN(1,AA71))^2+(1-MAX(0,MIN(1,AA71)))^2/$B$5))-(MAX(0,MIN(1,Z71))^2/(MAX(0,MIN(1,Z71))^2+(1-MAX(0,MIN(1,Z71)))^2/$B$5))))</f>
        <v>0.721664627170042</v>
      </c>
      <c r="AB72" s="16" t="n">
        <f aca="false">IF(ABS(AB71-$B$11/$B$9*((MAX(0,MIN(1,AB71))^2/(MAX(0,MIN(1,AB71))^2+(1-MAX(0,MIN(1,AB71)))^2/$B$5))-(MAX(0,MIN(1,AA71))^2/(MAX(0,MIN(1,AA71))^2+(1-MAX(0,MIN(1,AA71)))^2/$B$5))))&lt;0.000000001,0,AB71-$B$11/$B$9*((MAX(0,MIN(1,AB71))^2/(MAX(0,MIN(1,AB71))^2+(1-MAX(0,MIN(1,AB71)))^2/$B$5))-(MAX(0,MIN(1,AA71))^2/(MAX(0,MIN(1,AA71))^2+(1-MAX(0,MIN(1,AA71)))^2/$B$5))))</f>
        <v>0.711641353935682</v>
      </c>
      <c r="AC72" s="16" t="n">
        <f aca="false">IF(ABS(AC71-$B$11/$B$9*((MAX(0,MIN(1,AC71))^2/(MAX(0,MIN(1,AC71))^2+(1-MAX(0,MIN(1,AC71)))^2/$B$5))-(MAX(0,MIN(1,AB71))^2/(MAX(0,MIN(1,AB71))^2+(1-MAX(0,MIN(1,AB71)))^2/$B$5))))&lt;0.000000001,0,AC71-$B$11/$B$9*((MAX(0,MIN(1,AC71))^2/(MAX(0,MIN(1,AC71))^2+(1-MAX(0,MIN(1,AC71)))^2/$B$5))-(MAX(0,MIN(1,AB71))^2/(MAX(0,MIN(1,AB71))^2+(1-MAX(0,MIN(1,AB71)))^2/$B$5))))</f>
        <v>0.70191306074168</v>
      </c>
      <c r="AD72" s="16" t="n">
        <f aca="false">IF(ABS(AD71-$B$11/$B$9*((MAX(0,MIN(1,AD71))^2/(MAX(0,MIN(1,AD71))^2+(1-MAX(0,MIN(1,AD71)))^2/$B$5))-(MAX(0,MIN(1,AC71))^2/(MAX(0,MIN(1,AC71))^2+(1-MAX(0,MIN(1,AC71)))^2/$B$5))))&lt;0.000000001,0,AD71-$B$11/$B$9*((MAX(0,MIN(1,AD71))^2/(MAX(0,MIN(1,AD71))^2+(1-MAX(0,MIN(1,AD71)))^2/$B$5))-(MAX(0,MIN(1,AC71))^2/(MAX(0,MIN(1,AC71))^2+(1-MAX(0,MIN(1,AC71)))^2/$B$5))))</f>
        <v>0.692439946563387</v>
      </c>
      <c r="AE72" s="16" t="n">
        <f aca="false">IF(ABS(AE71-$B$11/$B$9*((MAX(0,MIN(1,AE71))^2/(MAX(0,MIN(1,AE71))^2+(1-MAX(0,MIN(1,AE71)))^2/$B$5))-(MAX(0,MIN(1,AD71))^2/(MAX(0,MIN(1,AD71))^2+(1-MAX(0,MIN(1,AD71)))^2/$B$5))))&lt;0.000000001,0,AE71-$B$11/$B$9*((MAX(0,MIN(1,AE71))^2/(MAX(0,MIN(1,AE71))^2+(1-MAX(0,MIN(1,AE71)))^2/$B$5))-(MAX(0,MIN(1,AD71))^2/(MAX(0,MIN(1,AD71))^2+(1-MAX(0,MIN(1,AD71)))^2/$B$5))))</f>
        <v>0.68318447148072</v>
      </c>
      <c r="AF72" s="16" t="n">
        <f aca="false">IF(ABS(AF71-$B$11/$B$9*((MAX(0,MIN(1,AF71))^2/(MAX(0,MIN(1,AF71))^2+(1-MAX(0,MIN(1,AF71)))^2/$B$5))-(MAX(0,MIN(1,AE71))^2/(MAX(0,MIN(1,AE71))^2+(1-MAX(0,MIN(1,AE71)))^2/$B$5))))&lt;0.000000001,0,AF71-$B$11/$B$9*((MAX(0,MIN(1,AF71))^2/(MAX(0,MIN(1,AF71))^2+(1-MAX(0,MIN(1,AF71)))^2/$B$5))-(MAX(0,MIN(1,AE71))^2/(MAX(0,MIN(1,AE71))^2+(1-MAX(0,MIN(1,AE71)))^2/$B$5))))</f>
        <v>0.67411009617896</v>
      </c>
    </row>
    <row r="73" customFormat="false" ht="15" hidden="false" customHeight="false" outlineLevel="0" collapsed="false">
      <c r="A73" s="0" t="n">
        <v>0.68</v>
      </c>
      <c r="D73" s="0" t="n">
        <f aca="false">A73</f>
        <v>0.68</v>
      </c>
      <c r="E73" s="0" t="n">
        <f aca="false">(G73-G72)/(A73-A72)</f>
        <v>0.848675246564533</v>
      </c>
      <c r="F73" s="0" t="n">
        <f aca="false">G73/A73</f>
        <v>1.32398753894081</v>
      </c>
      <c r="G73" s="0" t="n">
        <f aca="false">A73^2/(A73^2+(1-A73)^2/$B$5)</f>
        <v>0.900311526479751</v>
      </c>
      <c r="L73" s="0" t="n">
        <v>63</v>
      </c>
      <c r="M73" s="16" t="n">
        <f aca="false">IF(ABS(M72-$B$11/$B$9*((MAX(0,MIN(1,M72))^2/(MAX(0,MIN(1,M72))^2+(1-MAX(0,MIN(1,M72)))^2/$B$5))-(MAX(0,MIN(1,1))^2/(MAX(0,MIN(1,1))^2+(1-MAX(0,MIN(1,1)))^2/$B$5))))&lt;0.000000001,0,M72-$B$11/$B$9*((MAX(0,MIN(1,M72))^2/(MAX(0,MIN(1,M72))^2+(1-MAX(0,MIN(1,M72)))^2/$B$5))-(MAX(0,MIN(1,1))^2/(MAX(0,MIN(1,1))^2+(1-MAX(0,MIN(1,1)))^2/$B$5))))</f>
        <v>0.944898202625019</v>
      </c>
      <c r="N73" s="16" t="n">
        <f aca="false">IF(ABS(N72-$B$11/$B$9*((MAX(0,MIN(1,N72))^2/(MAX(0,MIN(1,N72))^2+(1-MAX(0,MIN(1,N72)))^2/$B$5))-(MAX(0,MIN(1,M72))^2/(MAX(0,MIN(1,M72))^2+(1-MAX(0,MIN(1,M72)))^2/$B$5))))&lt;0.000000001,0,N72-$B$11/$B$9*((MAX(0,MIN(1,N72))^2/(MAX(0,MIN(1,N72))^2+(1-MAX(0,MIN(1,N72)))^2/$B$5))-(MAX(0,MIN(1,M72))^2/(MAX(0,MIN(1,M72))^2+(1-MAX(0,MIN(1,M72)))^2/$B$5))))</f>
        <v>0.916345224803618</v>
      </c>
      <c r="O73" s="16" t="n">
        <f aca="false">IF(ABS(O72-$B$11/$B$9*((MAX(0,MIN(1,O72))^2/(MAX(0,MIN(1,O72))^2+(1-MAX(0,MIN(1,O72)))^2/$B$5))-(MAX(0,MIN(1,N72))^2/(MAX(0,MIN(1,N72))^2+(1-MAX(0,MIN(1,N72)))^2/$B$5))))&lt;0.000000001,0,O72-$B$11/$B$9*((MAX(0,MIN(1,O72))^2/(MAX(0,MIN(1,O72))^2+(1-MAX(0,MIN(1,O72)))^2/$B$5))-(MAX(0,MIN(1,N72))^2/(MAX(0,MIN(1,N72))^2+(1-MAX(0,MIN(1,N72)))^2/$B$5))))</f>
        <v>0.892715694196098</v>
      </c>
      <c r="P73" s="16" t="n">
        <f aca="false">IF(ABS(P72-$B$11/$B$9*((MAX(0,MIN(1,P72))^2/(MAX(0,MIN(1,P72))^2+(1-MAX(0,MIN(1,P72)))^2/$B$5))-(MAX(0,MIN(1,O72))^2/(MAX(0,MIN(1,O72))^2+(1-MAX(0,MIN(1,O72)))^2/$B$5))))&lt;0.000000001,0,P72-$B$11/$B$9*((MAX(0,MIN(1,P72))^2/(MAX(0,MIN(1,P72))^2+(1-MAX(0,MIN(1,P72)))^2/$B$5))-(MAX(0,MIN(1,O72))^2/(MAX(0,MIN(1,O72))^2+(1-MAX(0,MIN(1,O72)))^2/$B$5))))</f>
        <v>0.872053168465816</v>
      </c>
      <c r="Q73" s="16" t="n">
        <f aca="false">IF(ABS(Q72-$B$11/$B$9*((MAX(0,MIN(1,Q72))^2/(MAX(0,MIN(1,Q72))^2+(1-MAX(0,MIN(1,Q72)))^2/$B$5))-(MAX(0,MIN(1,P72))^2/(MAX(0,MIN(1,P72))^2+(1-MAX(0,MIN(1,P72)))^2/$B$5))))&lt;0.000000001,0,Q72-$B$11/$B$9*((MAX(0,MIN(1,Q72))^2/(MAX(0,MIN(1,Q72))^2+(1-MAX(0,MIN(1,Q72)))^2/$B$5))-(MAX(0,MIN(1,P72))^2/(MAX(0,MIN(1,P72))^2+(1-MAX(0,MIN(1,P72)))^2/$B$5))))</f>
        <v>0.85351009222111</v>
      </c>
      <c r="R73" s="16" t="n">
        <f aca="false">IF(ABS(R72-$B$11/$B$9*((MAX(0,MIN(1,R72))^2/(MAX(0,MIN(1,R72))^2+(1-MAX(0,MIN(1,R72)))^2/$B$5))-(MAX(0,MIN(1,Q72))^2/(MAX(0,MIN(1,Q72))^2+(1-MAX(0,MIN(1,Q72)))^2/$B$5))))&lt;0.000000001,0,R72-$B$11/$B$9*((MAX(0,MIN(1,R72))^2/(MAX(0,MIN(1,R72))^2+(1-MAX(0,MIN(1,R72)))^2/$B$5))-(MAX(0,MIN(1,Q72))^2/(MAX(0,MIN(1,Q72))^2+(1-MAX(0,MIN(1,Q72)))^2/$B$5))))</f>
        <v>0.836597644208893</v>
      </c>
      <c r="S73" s="16" t="n">
        <f aca="false">IF(ABS(S72-$B$11/$B$9*((MAX(0,MIN(1,S72))^2/(MAX(0,MIN(1,S72))^2+(1-MAX(0,MIN(1,S72)))^2/$B$5))-(MAX(0,MIN(1,R72))^2/(MAX(0,MIN(1,R72))^2+(1-MAX(0,MIN(1,R72)))^2/$B$5))))&lt;0.000000001,0,S72-$B$11/$B$9*((MAX(0,MIN(1,S72))^2/(MAX(0,MIN(1,S72))^2+(1-MAX(0,MIN(1,S72)))^2/$B$5))-(MAX(0,MIN(1,R72))^2/(MAX(0,MIN(1,R72))^2+(1-MAX(0,MIN(1,R72)))^2/$B$5))))</f>
        <v>0.820993223822898</v>
      </c>
      <c r="T73" s="16" t="n">
        <f aca="false">IF(ABS(T72-$B$11/$B$9*((MAX(0,MIN(1,T72))^2/(MAX(0,MIN(1,T72))^2+(1-MAX(0,MIN(1,T72)))^2/$B$5))-(MAX(0,MIN(1,S72))^2/(MAX(0,MIN(1,S72))^2+(1-MAX(0,MIN(1,S72)))^2/$B$5))))&lt;0.000000001,0,T72-$B$11/$B$9*((MAX(0,MIN(1,T72))^2/(MAX(0,MIN(1,T72))^2+(1-MAX(0,MIN(1,T72)))^2/$B$5))-(MAX(0,MIN(1,S72))^2/(MAX(0,MIN(1,S72))^2+(1-MAX(0,MIN(1,S72)))^2/$B$5))))</f>
        <v>0.806466736105662</v>
      </c>
      <c r="U73" s="16" t="n">
        <f aca="false">IF(ABS(U72-$B$11/$B$9*((MAX(0,MIN(1,U72))^2/(MAX(0,MIN(1,U72))^2+(1-MAX(0,MIN(1,U72)))^2/$B$5))-(MAX(0,MIN(1,T72))^2/(MAX(0,MIN(1,T72))^2+(1-MAX(0,MIN(1,T72)))^2/$B$5))))&lt;0.000000001,0,U72-$B$11/$B$9*((MAX(0,MIN(1,U72))^2/(MAX(0,MIN(1,U72))^2+(1-MAX(0,MIN(1,U72)))^2/$B$5))-(MAX(0,MIN(1,T72))^2/(MAX(0,MIN(1,T72))^2+(1-MAX(0,MIN(1,T72)))^2/$B$5))))</f>
        <v>0.792845535167655</v>
      </c>
      <c r="V73" s="16" t="n">
        <f aca="false">IF(ABS(V72-$B$11/$B$9*((MAX(0,MIN(1,V72))^2/(MAX(0,MIN(1,V72))^2+(1-MAX(0,MIN(1,V72)))^2/$B$5))-(MAX(0,MIN(1,U72))^2/(MAX(0,MIN(1,U72))^2+(1-MAX(0,MIN(1,U72)))^2/$B$5))))&lt;0.000000001,0,V72-$B$11/$B$9*((MAX(0,MIN(1,V72))^2/(MAX(0,MIN(1,V72))^2+(1-MAX(0,MIN(1,V72)))^2/$B$5))-(MAX(0,MIN(1,U72))^2/(MAX(0,MIN(1,U72))^2+(1-MAX(0,MIN(1,U72)))^2/$B$5))))</f>
        <v>0.779995306301149</v>
      </c>
      <c r="W73" s="16" t="n">
        <f aca="false">IF(ABS(W72-$B$11/$B$9*((MAX(0,MIN(1,W72))^2/(MAX(0,MIN(1,W72))^2+(1-MAX(0,MIN(1,W72)))^2/$B$5))-(MAX(0,MIN(1,V72))^2/(MAX(0,MIN(1,V72))^2+(1-MAX(0,MIN(1,V72)))^2/$B$5))))&lt;0.000000001,0,W72-$B$11/$B$9*((MAX(0,MIN(1,W72))^2/(MAX(0,MIN(1,W72))^2+(1-MAX(0,MIN(1,W72)))^2/$B$5))-(MAX(0,MIN(1,V72))^2/(MAX(0,MIN(1,V72))^2+(1-MAX(0,MIN(1,V72)))^2/$B$5))))</f>
        <v>0.767808614290386</v>
      </c>
      <c r="X73" s="16" t="n">
        <f aca="false">IF(ABS(X72-$B$11/$B$9*((MAX(0,MIN(1,X72))^2/(MAX(0,MIN(1,X72))^2+(1-MAX(0,MIN(1,X72)))^2/$B$5))-(MAX(0,MIN(1,W72))^2/(MAX(0,MIN(1,W72))^2+(1-MAX(0,MIN(1,W72)))^2/$B$5))))&lt;0.000000001,0,X72-$B$11/$B$9*((MAX(0,MIN(1,X72))^2/(MAX(0,MIN(1,X72))^2+(1-MAX(0,MIN(1,X72)))^2/$B$5))-(MAX(0,MIN(1,W72))^2/(MAX(0,MIN(1,W72))^2+(1-MAX(0,MIN(1,W72)))^2/$B$5))))</f>
        <v>0.756197558324731</v>
      </c>
      <c r="Y73" s="16" t="n">
        <f aca="false">IF(ABS(Y72-$B$11/$B$9*((MAX(0,MIN(1,Y72))^2/(MAX(0,MIN(1,Y72))^2+(1-MAX(0,MIN(1,Y72)))^2/$B$5))-(MAX(0,MIN(1,X72))^2/(MAX(0,MIN(1,X72))^2+(1-MAX(0,MIN(1,X72)))^2/$B$5))))&lt;0.000000001,0,Y72-$B$11/$B$9*((MAX(0,MIN(1,Y72))^2/(MAX(0,MIN(1,Y72))^2+(1-MAX(0,MIN(1,Y72)))^2/$B$5))-(MAX(0,MIN(1,X72))^2/(MAX(0,MIN(1,X72))^2+(1-MAX(0,MIN(1,X72)))^2/$B$5))))</f>
        <v>0.745088805543554</v>
      </c>
      <c r="Z73" s="16" t="n">
        <f aca="false">IF(ABS(Z72-$B$11/$B$9*((MAX(0,MIN(1,Z72))^2/(MAX(0,MIN(1,Z72))^2+(1-MAX(0,MIN(1,Z72)))^2/$B$5))-(MAX(0,MIN(1,Y72))^2/(MAX(0,MIN(1,Y72))^2+(1-MAX(0,MIN(1,Y72)))^2/$B$5))))&lt;0.000000001,0,Z72-$B$11/$B$9*((MAX(0,MIN(1,Z72))^2/(MAX(0,MIN(1,Z72))^2+(1-MAX(0,MIN(1,Z72)))^2/$B$5))-(MAX(0,MIN(1,Y72))^2/(MAX(0,MIN(1,Y72))^2+(1-MAX(0,MIN(1,Y72)))^2/$B$5))))</f>
        <v>0.734420083577536</v>
      </c>
      <c r="AA73" s="16" t="n">
        <f aca="false">IF(ABS(AA72-$B$11/$B$9*((MAX(0,MIN(1,AA72))^2/(MAX(0,MIN(1,AA72))^2+(1-MAX(0,MIN(1,AA72)))^2/$B$5))-(MAX(0,MIN(1,Z72))^2/(MAX(0,MIN(1,Z72))^2+(1-MAX(0,MIN(1,Z72)))^2/$B$5))))&lt;0.000000001,0,AA72-$B$11/$B$9*((MAX(0,MIN(1,AA72))^2/(MAX(0,MIN(1,AA72))^2+(1-MAX(0,MIN(1,AA72)))^2/$B$5))-(MAX(0,MIN(1,Z72))^2/(MAX(0,MIN(1,Z72))^2+(1-MAX(0,MIN(1,Z72)))^2/$B$5))))</f>
        <v>0.724137604946166</v>
      </c>
      <c r="AB73" s="16" t="n">
        <f aca="false">IF(ABS(AB72-$B$11/$B$9*((MAX(0,MIN(1,AB72))^2/(MAX(0,MIN(1,AB72))^2+(1-MAX(0,MIN(1,AB72)))^2/$B$5))-(MAX(0,MIN(1,AA72))^2/(MAX(0,MIN(1,AA72))^2+(1-MAX(0,MIN(1,AA72)))^2/$B$5))))&lt;0.000000001,0,AB72-$B$11/$B$9*((MAX(0,MIN(1,AB72))^2/(MAX(0,MIN(1,AB72))^2+(1-MAX(0,MIN(1,AB72)))^2/$B$5))-(MAX(0,MIN(1,AA72))^2/(MAX(0,MIN(1,AA72))^2+(1-MAX(0,MIN(1,AA72)))^2/$B$5))))</f>
        <v>0.714194100869757</v>
      </c>
      <c r="AC73" s="16" t="n">
        <f aca="false">IF(ABS(AC72-$B$11/$B$9*((MAX(0,MIN(1,AC72))^2/(MAX(0,MIN(1,AC72))^2+(1-MAX(0,MIN(1,AC72)))^2/$B$5))-(MAX(0,MIN(1,AB72))^2/(MAX(0,MIN(1,AB72))^2+(1-MAX(0,MIN(1,AB72)))^2/$B$5))))&lt;0.000000001,0,AC72-$B$11/$B$9*((MAX(0,MIN(1,AC72))^2/(MAX(0,MIN(1,AC72))^2+(1-MAX(0,MIN(1,AC72)))^2/$B$5))-(MAX(0,MIN(1,AB72))^2/(MAX(0,MIN(1,AB72))^2+(1-MAX(0,MIN(1,AB72)))^2/$B$5))))</f>
        <v>0.704547254105474</v>
      </c>
      <c r="AD73" s="16" t="n">
        <f aca="false">IF(ABS(AD72-$B$11/$B$9*((MAX(0,MIN(1,AD72))^2/(MAX(0,MIN(1,AD72))^2+(1-MAX(0,MIN(1,AD72)))^2/$B$5))-(MAX(0,MIN(1,AC72))^2/(MAX(0,MIN(1,AC72))^2+(1-MAX(0,MIN(1,AC72)))^2/$B$5))))&lt;0.000000001,0,AD72-$B$11/$B$9*((MAX(0,MIN(1,AD72))^2/(MAX(0,MIN(1,AD72))^2+(1-MAX(0,MIN(1,AD72)))^2/$B$5))-(MAX(0,MIN(1,AC72))^2/(MAX(0,MIN(1,AC72))^2+(1-MAX(0,MIN(1,AC72)))^2/$B$5))))</f>
        <v>0.695158382719273</v>
      </c>
      <c r="AE73" s="16" t="n">
        <f aca="false">IF(ABS(AE72-$B$11/$B$9*((MAX(0,MIN(1,AE72))^2/(MAX(0,MIN(1,AE72))^2+(1-MAX(0,MIN(1,AE72)))^2/$B$5))-(MAX(0,MIN(1,AD72))^2/(MAX(0,MIN(1,AD72))^2+(1-MAX(0,MIN(1,AD72)))^2/$B$5))))&lt;0.000000001,0,AE72-$B$11/$B$9*((MAX(0,MIN(1,AE72))^2/(MAX(0,MIN(1,AE72))^2+(1-MAX(0,MIN(1,AE72)))^2/$B$5))-(MAX(0,MIN(1,AD72))^2/(MAX(0,MIN(1,AD72))^2+(1-MAX(0,MIN(1,AD72)))^2/$B$5))))</f>
        <v>0.685991259304205</v>
      </c>
      <c r="AF73" s="16" t="n">
        <f aca="false">IF(ABS(AF72-$B$11/$B$9*((MAX(0,MIN(1,AF72))^2/(MAX(0,MIN(1,AF72))^2+(1-MAX(0,MIN(1,AF72)))^2/$B$5))-(MAX(0,MIN(1,AE72))^2/(MAX(0,MIN(1,AE72))^2+(1-MAX(0,MIN(1,AE72)))^2/$B$5))))&lt;0.000000001,0,AF72-$B$11/$B$9*((MAX(0,MIN(1,AF72))^2/(MAX(0,MIN(1,AF72))^2+(1-MAX(0,MIN(1,AF72)))^2/$B$5))-(MAX(0,MIN(1,AE72))^2/(MAX(0,MIN(1,AE72))^2+(1-MAX(0,MIN(1,AE72)))^2/$B$5))))</f>
        <v>0.677010961656651</v>
      </c>
    </row>
    <row r="74" customFormat="false" ht="15" hidden="false" customHeight="false" outlineLevel="0" collapsed="false">
      <c r="A74" s="0" t="n">
        <v>0.69</v>
      </c>
      <c r="D74" s="0" t="n">
        <f aca="false">A74</f>
        <v>0.69</v>
      </c>
      <c r="E74" s="0" t="n">
        <f aca="false">(G74-G73)/(A74-A73)</f>
        <v>0.801624228873152</v>
      </c>
      <c r="F74" s="0" t="n">
        <f aca="false">G74/A74</f>
        <v>1.31641705618621</v>
      </c>
      <c r="G74" s="0" t="n">
        <f aca="false">A74^2/(A74^2+(1-A74)^2/$B$5)</f>
        <v>0.908327768768482</v>
      </c>
      <c r="L74" s="0" t="n">
        <v>64</v>
      </c>
      <c r="M74" s="16" t="n">
        <f aca="false">IF(ABS(M73-$B$11/$B$9*((MAX(0,MIN(1,M73))^2/(MAX(0,MIN(1,M73))^2+(1-MAX(0,MIN(1,M73)))^2/$B$5))-(MAX(0,MIN(1,1))^2/(MAX(0,MIN(1,1))^2+(1-MAX(0,MIN(1,1)))^2/$B$5))))&lt;0.000000001,0,M73-$B$11/$B$9*((MAX(0,MIN(1,M73))^2/(MAX(0,MIN(1,M73))^2+(1-MAX(0,MIN(1,M73)))^2/$B$5))-(MAX(0,MIN(1,1))^2/(MAX(0,MIN(1,1))^2+(1-MAX(0,MIN(1,1)))^2/$B$5))))</f>
        <v>0.945550920442298</v>
      </c>
      <c r="N74" s="16" t="n">
        <f aca="false">IF(ABS(N73-$B$11/$B$9*((MAX(0,MIN(1,N73))^2/(MAX(0,MIN(1,N73))^2+(1-MAX(0,MIN(1,N73)))^2/$B$5))-(MAX(0,MIN(1,M73))^2/(MAX(0,MIN(1,M73))^2+(1-MAX(0,MIN(1,M73)))^2/$B$5))))&lt;0.000000001,0,N73-$B$11/$B$9*((MAX(0,MIN(1,N73))^2/(MAX(0,MIN(1,N73))^2+(1-MAX(0,MIN(1,N73)))^2/$B$5))-(MAX(0,MIN(1,M73))^2/(MAX(0,MIN(1,M73))^2+(1-MAX(0,MIN(1,M73)))^2/$B$5))))</f>
        <v>0.917288235635034</v>
      </c>
      <c r="O74" s="16" t="n">
        <f aca="false">IF(ABS(O73-$B$11/$B$9*((MAX(0,MIN(1,O73))^2/(MAX(0,MIN(1,O73))^2+(1-MAX(0,MIN(1,O73)))^2/$B$5))-(MAX(0,MIN(1,N73))^2/(MAX(0,MIN(1,N73))^2+(1-MAX(0,MIN(1,N73)))^2/$B$5))))&lt;0.000000001,0,O73-$B$11/$B$9*((MAX(0,MIN(1,O73))^2/(MAX(0,MIN(1,O73))^2+(1-MAX(0,MIN(1,O73)))^2/$B$5))-(MAX(0,MIN(1,N73))^2/(MAX(0,MIN(1,N73))^2+(1-MAX(0,MIN(1,N73)))^2/$B$5))))</f>
        <v>0.893876877787731</v>
      </c>
      <c r="P74" s="16" t="n">
        <f aca="false">IF(ABS(P73-$B$11/$B$9*((MAX(0,MIN(1,P73))^2/(MAX(0,MIN(1,P73))^2+(1-MAX(0,MIN(1,P73)))^2/$B$5))-(MAX(0,MIN(1,O73))^2/(MAX(0,MIN(1,O73))^2+(1-MAX(0,MIN(1,O73)))^2/$B$5))))&lt;0.000000001,0,P73-$B$11/$B$9*((MAX(0,MIN(1,P73))^2/(MAX(0,MIN(1,P73))^2+(1-MAX(0,MIN(1,P73)))^2/$B$5))-(MAX(0,MIN(1,O73))^2/(MAX(0,MIN(1,O73))^2+(1-MAX(0,MIN(1,O73)))^2/$B$5))))</f>
        <v>0.873390988379493</v>
      </c>
      <c r="Q74" s="16" t="n">
        <f aca="false">IF(ABS(Q73-$B$11/$B$9*((MAX(0,MIN(1,Q73))^2/(MAX(0,MIN(1,Q73))^2+(1-MAX(0,MIN(1,Q73)))^2/$B$5))-(MAX(0,MIN(1,P73))^2/(MAX(0,MIN(1,P73))^2+(1-MAX(0,MIN(1,P73)))^2/$B$5))))&lt;0.000000001,0,Q73-$B$11/$B$9*((MAX(0,MIN(1,Q73))^2/(MAX(0,MIN(1,Q73))^2+(1-MAX(0,MIN(1,Q73)))^2/$B$5))-(MAX(0,MIN(1,P73))^2/(MAX(0,MIN(1,P73))^2+(1-MAX(0,MIN(1,P73)))^2/$B$5))))</f>
        <v>0.854996846701846</v>
      </c>
      <c r="R74" s="16" t="n">
        <f aca="false">IF(ABS(R73-$B$11/$B$9*((MAX(0,MIN(1,R73))^2/(MAX(0,MIN(1,R73))^2+(1-MAX(0,MIN(1,R73)))^2/$B$5))-(MAX(0,MIN(1,Q73))^2/(MAX(0,MIN(1,Q73))^2+(1-MAX(0,MIN(1,Q73)))^2/$B$5))))&lt;0.000000001,0,R73-$B$11/$B$9*((MAX(0,MIN(1,R73))^2/(MAX(0,MIN(1,R73))^2+(1-MAX(0,MIN(1,R73)))^2/$B$5))-(MAX(0,MIN(1,Q73))^2/(MAX(0,MIN(1,Q73))^2+(1-MAX(0,MIN(1,Q73)))^2/$B$5))))</f>
        <v>0.838213616762074</v>
      </c>
      <c r="S74" s="16" t="n">
        <f aca="false">IF(ABS(S73-$B$11/$B$9*((MAX(0,MIN(1,S73))^2/(MAX(0,MIN(1,S73))^2+(1-MAX(0,MIN(1,S73)))^2/$B$5))-(MAX(0,MIN(1,R73))^2/(MAX(0,MIN(1,R73))^2+(1-MAX(0,MIN(1,R73)))^2/$B$5))))&lt;0.000000001,0,S73-$B$11/$B$9*((MAX(0,MIN(1,S73))^2/(MAX(0,MIN(1,S73))^2+(1-MAX(0,MIN(1,S73)))^2/$B$5))-(MAX(0,MIN(1,R73))^2/(MAX(0,MIN(1,R73))^2+(1-MAX(0,MIN(1,R73)))^2/$B$5))))</f>
        <v>0.822723867397964</v>
      </c>
      <c r="T74" s="16" t="n">
        <f aca="false">IF(ABS(T73-$B$11/$B$9*((MAX(0,MIN(1,T73))^2/(MAX(0,MIN(1,T73))^2+(1-MAX(0,MIN(1,T73)))^2/$B$5))-(MAX(0,MIN(1,S73))^2/(MAX(0,MIN(1,S73))^2+(1-MAX(0,MIN(1,S73)))^2/$B$5))))&lt;0.000000001,0,T73-$B$11/$B$9*((MAX(0,MIN(1,T73))^2/(MAX(0,MIN(1,T73))^2+(1-MAX(0,MIN(1,T73)))^2/$B$5))-(MAX(0,MIN(1,S73))^2/(MAX(0,MIN(1,S73))^2+(1-MAX(0,MIN(1,S73)))^2/$B$5))))</f>
        <v>0.808301092609021</v>
      </c>
      <c r="U74" s="16" t="n">
        <f aca="false">IF(ABS(U73-$B$11/$B$9*((MAX(0,MIN(1,U73))^2/(MAX(0,MIN(1,U73))^2+(1-MAX(0,MIN(1,U73)))^2/$B$5))-(MAX(0,MIN(1,T73))^2/(MAX(0,MIN(1,T73))^2+(1-MAX(0,MIN(1,T73)))^2/$B$5))))&lt;0.000000001,0,U73-$B$11/$B$9*((MAX(0,MIN(1,U73))^2/(MAX(0,MIN(1,U73))^2+(1-MAX(0,MIN(1,U73)))^2/$B$5))-(MAX(0,MIN(1,T73))^2/(MAX(0,MIN(1,T73))^2+(1-MAX(0,MIN(1,T73)))^2/$B$5))))</f>
        <v>0.794775266818981</v>
      </c>
      <c r="V74" s="16" t="n">
        <f aca="false">IF(ABS(V73-$B$11/$B$9*((MAX(0,MIN(1,V73))^2/(MAX(0,MIN(1,V73))^2+(1-MAX(0,MIN(1,V73)))^2/$B$5))-(MAX(0,MIN(1,U73))^2/(MAX(0,MIN(1,U73))^2+(1-MAX(0,MIN(1,U73)))^2/$B$5))))&lt;0.000000001,0,V73-$B$11/$B$9*((MAX(0,MIN(1,V73))^2/(MAX(0,MIN(1,V73))^2+(1-MAX(0,MIN(1,V73)))^2/$B$5))-(MAX(0,MIN(1,U73))^2/(MAX(0,MIN(1,U73))^2+(1-MAX(0,MIN(1,U73)))^2/$B$5))))</f>
        <v>0.78201406878497</v>
      </c>
      <c r="W74" s="16" t="n">
        <f aca="false">IF(ABS(W73-$B$11/$B$9*((MAX(0,MIN(1,W73))^2/(MAX(0,MIN(1,W73))^2+(1-MAX(0,MIN(1,W73)))^2/$B$5))-(MAX(0,MIN(1,V73))^2/(MAX(0,MIN(1,V73))^2+(1-MAX(0,MIN(1,V73)))^2/$B$5))))&lt;0.000000001,0,W73-$B$11/$B$9*((MAX(0,MIN(1,W73))^2/(MAX(0,MIN(1,W73))^2+(1-MAX(0,MIN(1,W73)))^2/$B$5))-(MAX(0,MIN(1,V73))^2/(MAX(0,MIN(1,V73))^2+(1-MAX(0,MIN(1,V73)))^2/$B$5))))</f>
        <v>0.76991163758699</v>
      </c>
      <c r="X74" s="16" t="n">
        <f aca="false">IF(ABS(X73-$B$11/$B$9*((MAX(0,MIN(1,X73))^2/(MAX(0,MIN(1,X73))^2+(1-MAX(0,MIN(1,X73)))^2/$B$5))-(MAX(0,MIN(1,W73))^2/(MAX(0,MIN(1,W73))^2+(1-MAX(0,MIN(1,W73)))^2/$B$5))))&lt;0.000000001,0,X73-$B$11/$B$9*((MAX(0,MIN(1,X73))^2/(MAX(0,MIN(1,X73))^2+(1-MAX(0,MIN(1,X73)))^2/$B$5))-(MAX(0,MIN(1,W73))^2/(MAX(0,MIN(1,W73))^2+(1-MAX(0,MIN(1,W73)))^2/$B$5))))</f>
        <v>0.758381362458683</v>
      </c>
      <c r="Y74" s="16" t="n">
        <f aca="false">IF(ABS(Y73-$B$11/$B$9*((MAX(0,MIN(1,Y73))^2/(MAX(0,MIN(1,Y73))^2+(1-MAX(0,MIN(1,Y73)))^2/$B$5))-(MAX(0,MIN(1,X73))^2/(MAX(0,MIN(1,X73))^2+(1-MAX(0,MIN(1,X73)))^2/$B$5))))&lt;0.000000001,0,Y73-$B$11/$B$9*((MAX(0,MIN(1,Y73))^2/(MAX(0,MIN(1,Y73))^2+(1-MAX(0,MIN(1,Y73)))^2/$B$5))-(MAX(0,MIN(1,X73))^2/(MAX(0,MIN(1,X73))^2+(1-MAX(0,MIN(1,X73)))^2/$B$5))))</f>
        <v>0.747351009591041</v>
      </c>
      <c r="Z74" s="16" t="n">
        <f aca="false">IF(ABS(Z73-$B$11/$B$9*((MAX(0,MIN(1,Z73))^2/(MAX(0,MIN(1,Z73))^2+(1-MAX(0,MIN(1,Z73)))^2/$B$5))-(MAX(0,MIN(1,Y73))^2/(MAX(0,MIN(1,Y73))^2+(1-MAX(0,MIN(1,Y73)))^2/$B$5))))&lt;0.000000001,0,Z73-$B$11/$B$9*((MAX(0,MIN(1,Z73))^2/(MAX(0,MIN(1,Z73))^2+(1-MAX(0,MIN(1,Z73)))^2/$B$5))-(MAX(0,MIN(1,Y73))^2/(MAX(0,MIN(1,Y73))^2+(1-MAX(0,MIN(1,Y73)))^2/$B$5))))</f>
        <v>0.73675928363956</v>
      </c>
      <c r="AA74" s="16" t="n">
        <f aca="false">IF(ABS(AA73-$B$11/$B$9*((MAX(0,MIN(1,AA73))^2/(MAX(0,MIN(1,AA73))^2+(1-MAX(0,MIN(1,AA73)))^2/$B$5))-(MAX(0,MIN(1,Z73))^2/(MAX(0,MIN(1,Z73))^2+(1-MAX(0,MIN(1,Z73)))^2/$B$5))))&lt;0.000000001,0,AA73-$B$11/$B$9*((MAX(0,MIN(1,AA73))^2/(MAX(0,MIN(1,AA73))^2+(1-MAX(0,MIN(1,AA73)))^2/$B$5))-(MAX(0,MIN(1,Z73))^2/(MAX(0,MIN(1,Z73))^2+(1-MAX(0,MIN(1,Z73)))^2/$B$5))))</f>
        <v>0.72655330748765</v>
      </c>
      <c r="AB74" s="16" t="n">
        <f aca="false">IF(ABS(AB73-$B$11/$B$9*((MAX(0,MIN(1,AB73))^2/(MAX(0,MIN(1,AB73))^2+(1-MAX(0,MIN(1,AB73)))^2/$B$5))-(MAX(0,MIN(1,AA73))^2/(MAX(0,MIN(1,AA73))^2+(1-MAX(0,MIN(1,AA73)))^2/$B$5))))&lt;0.000000001,0,AB73-$B$11/$B$9*((MAX(0,MIN(1,AB73))^2/(MAX(0,MIN(1,AB73))^2+(1-MAX(0,MIN(1,AB73)))^2/$B$5))-(MAX(0,MIN(1,AA73))^2/(MAX(0,MIN(1,AA73))^2+(1-MAX(0,MIN(1,AA73)))^2/$B$5))))</f>
        <v>0.716686705256163</v>
      </c>
      <c r="AC74" s="16" t="n">
        <f aca="false">IF(ABS(AC73-$B$11/$B$9*((MAX(0,MIN(1,AC73))^2/(MAX(0,MIN(1,AC73))^2+(1-MAX(0,MIN(1,AC73)))^2/$B$5))-(MAX(0,MIN(1,AB73))^2/(MAX(0,MIN(1,AB73))^2+(1-MAX(0,MIN(1,AB73)))^2/$B$5))))&lt;0.000000001,0,AC73-$B$11/$B$9*((MAX(0,MIN(1,AC73))^2/(MAX(0,MIN(1,AC73))^2+(1-MAX(0,MIN(1,AC73)))^2/$B$5))-(MAX(0,MIN(1,AB73))^2/(MAX(0,MIN(1,AB73))^2+(1-MAX(0,MIN(1,AB73)))^2/$B$5))))</f>
        <v>0.707118084233937</v>
      </c>
      <c r="AD74" s="16" t="n">
        <f aca="false">IF(ABS(AD73-$B$11/$B$9*((MAX(0,MIN(1,AD73))^2/(MAX(0,MIN(1,AD73))^2+(1-MAX(0,MIN(1,AD73)))^2/$B$5))-(MAX(0,MIN(1,AC73))^2/(MAX(0,MIN(1,AC73))^2+(1-MAX(0,MIN(1,AC73)))^2/$B$5))))&lt;0.000000001,0,AD73-$B$11/$B$9*((MAX(0,MIN(1,AD73))^2/(MAX(0,MIN(1,AD73))^2+(1-MAX(0,MIN(1,AD73)))^2/$B$5))-(MAX(0,MIN(1,AC73))^2/(MAX(0,MIN(1,AC73))^2+(1-MAX(0,MIN(1,AC73)))^2/$B$5))))</f>
        <v>0.69780977365086</v>
      </c>
      <c r="AE74" s="16" t="n">
        <f aca="false">IF(ABS(AE73-$B$11/$B$9*((MAX(0,MIN(1,AE73))^2/(MAX(0,MIN(1,AE73))^2+(1-MAX(0,MIN(1,AE73)))^2/$B$5))-(MAX(0,MIN(1,AD73))^2/(MAX(0,MIN(1,AD73))^2+(1-MAX(0,MIN(1,AD73)))^2/$B$5))))&lt;0.000000001,0,AE73-$B$11/$B$9*((MAX(0,MIN(1,AE73))^2/(MAX(0,MIN(1,AE73))^2+(1-MAX(0,MIN(1,AE73)))^2/$B$5))-(MAX(0,MIN(1,AD73))^2/(MAX(0,MIN(1,AD73))^2+(1-MAX(0,MIN(1,AD73)))^2/$B$5))))</f>
        <v>0.688726712021507</v>
      </c>
      <c r="AF74" s="16" t="n">
        <f aca="false">IF(ABS(AF73-$B$11/$B$9*((MAX(0,MIN(1,AF73))^2/(MAX(0,MIN(1,AF73))^2+(1-MAX(0,MIN(1,AF73)))^2/$B$5))-(MAX(0,MIN(1,AE73))^2/(MAX(0,MIN(1,AE73))^2+(1-MAX(0,MIN(1,AE73)))^2/$B$5))))&lt;0.000000001,0,AF73-$B$11/$B$9*((MAX(0,MIN(1,AF73))^2/(MAX(0,MIN(1,AF73))^2+(1-MAX(0,MIN(1,AF73)))^2/$B$5))-(MAX(0,MIN(1,AE73))^2/(MAX(0,MIN(1,AE73))^2+(1-MAX(0,MIN(1,AE73)))^2/$B$5))))</f>
        <v>0.679835389213666</v>
      </c>
    </row>
    <row r="75" customFormat="false" ht="15" hidden="false" customHeight="false" outlineLevel="0" collapsed="false">
      <c r="A75" s="0" t="n">
        <v>0.7</v>
      </c>
      <c r="D75" s="0" t="n">
        <f aca="false">A75</f>
        <v>0.7</v>
      </c>
      <c r="E75" s="0" t="n">
        <f aca="false">(G75-G74)/(A75-A74)</f>
        <v>0.756008169880739</v>
      </c>
      <c r="F75" s="0" t="n">
        <f aca="false">G75/A75</f>
        <v>1.30841121495327</v>
      </c>
      <c r="G75" s="0" t="n">
        <f aca="false">A75^2/(A75^2+(1-A75)^2/$B$5)</f>
        <v>0.91588785046729</v>
      </c>
      <c r="L75" s="0" t="n">
        <v>65</v>
      </c>
      <c r="M75" s="16" t="n">
        <f aca="false">IF(ABS(M74-$B$11/$B$9*((MAX(0,MIN(1,M74))^2/(MAX(0,MIN(1,M74))^2+(1-MAX(0,MIN(1,M74)))^2/$B$5))-(MAX(0,MIN(1,1))^2/(MAX(0,MIN(1,1))^2+(1-MAX(0,MIN(1,1)))^2/$B$5))))&lt;0.000000001,0,M74-$B$11/$B$9*((MAX(0,MIN(1,M74))^2/(MAX(0,MIN(1,M74))^2+(1-MAX(0,MIN(1,M74)))^2/$B$5))-(MAX(0,MIN(1,1))^2/(MAX(0,MIN(1,1))^2+(1-MAX(0,MIN(1,1)))^2/$B$5))))</f>
        <v>0.946187413366152</v>
      </c>
      <c r="N75" s="16" t="n">
        <f aca="false">IF(ABS(N74-$B$11/$B$9*((MAX(0,MIN(1,N74))^2/(MAX(0,MIN(1,N74))^2+(1-MAX(0,MIN(1,N74)))^2/$B$5))-(MAX(0,MIN(1,M74))^2/(MAX(0,MIN(1,M74))^2+(1-MAX(0,MIN(1,M74)))^2/$B$5))))&lt;0.000000001,0,N74-$B$11/$B$9*((MAX(0,MIN(1,N74))^2/(MAX(0,MIN(1,N74))^2+(1-MAX(0,MIN(1,N74)))^2/$B$5))-(MAX(0,MIN(1,M74))^2/(MAX(0,MIN(1,M74))^2+(1-MAX(0,MIN(1,M74)))^2/$B$5))))</f>
        <v>0.918208650028766</v>
      </c>
      <c r="O75" s="16" t="n">
        <f aca="false">IF(ABS(O74-$B$11/$B$9*((MAX(0,MIN(1,O74))^2/(MAX(0,MIN(1,O74))^2+(1-MAX(0,MIN(1,O74)))^2/$B$5))-(MAX(0,MIN(1,N74))^2/(MAX(0,MIN(1,N74))^2+(1-MAX(0,MIN(1,N74)))^2/$B$5))))&lt;0.000000001,0,O74-$B$11/$B$9*((MAX(0,MIN(1,O74))^2/(MAX(0,MIN(1,O74))^2+(1-MAX(0,MIN(1,O74)))^2/$B$5))-(MAX(0,MIN(1,N74))^2/(MAX(0,MIN(1,N74))^2+(1-MAX(0,MIN(1,N74)))^2/$B$5))))</f>
        <v>0.895010987677782</v>
      </c>
      <c r="P75" s="16" t="n">
        <f aca="false">IF(ABS(P74-$B$11/$B$9*((MAX(0,MIN(1,P74))^2/(MAX(0,MIN(1,P74))^2+(1-MAX(0,MIN(1,P74)))^2/$B$5))-(MAX(0,MIN(1,O74))^2/(MAX(0,MIN(1,O74))^2+(1-MAX(0,MIN(1,O74)))^2/$B$5))))&lt;0.000000001,0,P74-$B$11/$B$9*((MAX(0,MIN(1,P74))^2/(MAX(0,MIN(1,P74))^2+(1-MAX(0,MIN(1,P74)))^2/$B$5))-(MAX(0,MIN(1,O74))^2/(MAX(0,MIN(1,O74))^2+(1-MAX(0,MIN(1,O74)))^2/$B$5))))</f>
        <v>0.87469826090681</v>
      </c>
      <c r="Q75" s="16" t="n">
        <f aca="false">IF(ABS(Q74-$B$11/$B$9*((MAX(0,MIN(1,Q74))^2/(MAX(0,MIN(1,Q74))^2+(1-MAX(0,MIN(1,Q74)))^2/$B$5))-(MAX(0,MIN(1,P74))^2/(MAX(0,MIN(1,P74))^2+(1-MAX(0,MIN(1,P74)))^2/$B$5))))&lt;0.000000001,0,Q74-$B$11/$B$9*((MAX(0,MIN(1,Q74))^2/(MAX(0,MIN(1,Q74))^2+(1-MAX(0,MIN(1,Q74)))^2/$B$5))-(MAX(0,MIN(1,P74))^2/(MAX(0,MIN(1,P74))^2+(1-MAX(0,MIN(1,P74)))^2/$B$5))))</f>
        <v>0.856450188084653</v>
      </c>
      <c r="R75" s="16" t="n">
        <f aca="false">IF(ABS(R74-$B$11/$B$9*((MAX(0,MIN(1,R74))^2/(MAX(0,MIN(1,R74))^2+(1-MAX(0,MIN(1,R74)))^2/$B$5))-(MAX(0,MIN(1,Q74))^2/(MAX(0,MIN(1,Q74))^2+(1-MAX(0,MIN(1,Q74)))^2/$B$5))))&lt;0.000000001,0,R74-$B$11/$B$9*((MAX(0,MIN(1,R74))^2/(MAX(0,MIN(1,R74))^2+(1-MAX(0,MIN(1,R74)))^2/$B$5))-(MAX(0,MIN(1,Q74))^2/(MAX(0,MIN(1,Q74))^2+(1-MAX(0,MIN(1,Q74)))^2/$B$5))))</f>
        <v>0.8397936979435</v>
      </c>
      <c r="S75" s="16" t="n">
        <f aca="false">IF(ABS(S74-$B$11/$B$9*((MAX(0,MIN(1,S74))^2/(MAX(0,MIN(1,S74))^2+(1-MAX(0,MIN(1,S74)))^2/$B$5))-(MAX(0,MIN(1,R74))^2/(MAX(0,MIN(1,R74))^2+(1-MAX(0,MIN(1,R74)))^2/$B$5))))&lt;0.000000001,0,S74-$B$11/$B$9*((MAX(0,MIN(1,S74))^2/(MAX(0,MIN(1,S74))^2+(1-MAX(0,MIN(1,S74)))^2/$B$5))-(MAX(0,MIN(1,R74))^2/(MAX(0,MIN(1,R74))^2+(1-MAX(0,MIN(1,R74)))^2/$B$5))))</f>
        <v>0.824416390730905</v>
      </c>
      <c r="T75" s="16" t="n">
        <f aca="false">IF(ABS(T74-$B$11/$B$9*((MAX(0,MIN(1,T74))^2/(MAX(0,MIN(1,T74))^2+(1-MAX(0,MIN(1,T74)))^2/$B$5))-(MAX(0,MIN(1,S74))^2/(MAX(0,MIN(1,S74))^2+(1-MAX(0,MIN(1,S74)))^2/$B$5))))&lt;0.000000001,0,T74-$B$11/$B$9*((MAX(0,MIN(1,T74))^2/(MAX(0,MIN(1,T74))^2+(1-MAX(0,MIN(1,T74)))^2/$B$5))-(MAX(0,MIN(1,S74))^2/(MAX(0,MIN(1,S74))^2+(1-MAX(0,MIN(1,S74)))^2/$B$5))))</f>
        <v>0.810095255701542</v>
      </c>
      <c r="U75" s="16" t="n">
        <f aca="false">IF(ABS(U74-$B$11/$B$9*((MAX(0,MIN(1,U74))^2/(MAX(0,MIN(1,U74))^2+(1-MAX(0,MIN(1,U74)))^2/$B$5))-(MAX(0,MIN(1,T74))^2/(MAX(0,MIN(1,T74))^2+(1-MAX(0,MIN(1,T74)))^2/$B$5))))&lt;0.000000001,0,U74-$B$11/$B$9*((MAX(0,MIN(1,U74))^2/(MAX(0,MIN(1,U74))^2+(1-MAX(0,MIN(1,U74)))^2/$B$5))-(MAX(0,MIN(1,T74))^2/(MAX(0,MIN(1,T74))^2+(1-MAX(0,MIN(1,T74)))^2/$B$5))))</f>
        <v>0.796662819357139</v>
      </c>
      <c r="V75" s="16" t="n">
        <f aca="false">IF(ABS(V74-$B$11/$B$9*((MAX(0,MIN(1,V74))^2/(MAX(0,MIN(1,V74))^2+(1-MAX(0,MIN(1,V74)))^2/$B$5))-(MAX(0,MIN(1,U74))^2/(MAX(0,MIN(1,U74))^2+(1-MAX(0,MIN(1,U74)))^2/$B$5))))&lt;0.000000001,0,V74-$B$11/$B$9*((MAX(0,MIN(1,V74))^2/(MAX(0,MIN(1,V74))^2+(1-MAX(0,MIN(1,V74)))^2/$B$5))-(MAX(0,MIN(1,U74))^2/(MAX(0,MIN(1,U74))^2+(1-MAX(0,MIN(1,U74)))^2/$B$5))))</f>
        <v>0.783988700649063</v>
      </c>
      <c r="W75" s="16" t="n">
        <f aca="false">IF(ABS(W74-$B$11/$B$9*((MAX(0,MIN(1,W74))^2/(MAX(0,MIN(1,W74))^2+(1-MAX(0,MIN(1,W74)))^2/$B$5))-(MAX(0,MIN(1,V74))^2/(MAX(0,MIN(1,V74))^2+(1-MAX(0,MIN(1,V74)))^2/$B$5))))&lt;0.000000001,0,W74-$B$11/$B$9*((MAX(0,MIN(1,W74))^2/(MAX(0,MIN(1,W74))^2+(1-MAX(0,MIN(1,W74)))^2/$B$5))-(MAX(0,MIN(1,V74))^2/(MAX(0,MIN(1,V74))^2+(1-MAX(0,MIN(1,V74)))^2/$B$5))))</f>
        <v>0.771968568198406</v>
      </c>
      <c r="X75" s="16" t="n">
        <f aca="false">IF(ABS(X74-$B$11/$B$9*((MAX(0,MIN(1,X74))^2/(MAX(0,MIN(1,X74))^2+(1-MAX(0,MIN(1,X74)))^2/$B$5))-(MAX(0,MIN(1,W74))^2/(MAX(0,MIN(1,W74))^2+(1-MAX(0,MIN(1,W74)))^2/$B$5))))&lt;0.000000001,0,X74-$B$11/$B$9*((MAX(0,MIN(1,X74))^2/(MAX(0,MIN(1,X74))^2+(1-MAX(0,MIN(1,X74)))^2/$B$5))-(MAX(0,MIN(1,W74))^2/(MAX(0,MIN(1,W74))^2+(1-MAX(0,MIN(1,W74)))^2/$B$5))))</f>
        <v>0.760517060658682</v>
      </c>
      <c r="Y75" s="16" t="n">
        <f aca="false">IF(ABS(Y74-$B$11/$B$9*((MAX(0,MIN(1,Y74))^2/(MAX(0,MIN(1,Y74))^2+(1-MAX(0,MIN(1,Y74)))^2/$B$5))-(MAX(0,MIN(1,X74))^2/(MAX(0,MIN(1,X74))^2+(1-MAX(0,MIN(1,X74)))^2/$B$5))))&lt;0.000000001,0,Y74-$B$11/$B$9*((MAX(0,MIN(1,Y74))^2/(MAX(0,MIN(1,Y74))^2+(1-MAX(0,MIN(1,Y74)))^2/$B$5))-(MAX(0,MIN(1,X74))^2/(MAX(0,MIN(1,X74))^2+(1-MAX(0,MIN(1,X74)))^2/$B$5))))</f>
        <v>0.749563003403451</v>
      </c>
      <c r="Z75" s="16" t="n">
        <f aca="false">IF(ABS(Z74-$B$11/$B$9*((MAX(0,MIN(1,Z74))^2/(MAX(0,MIN(1,Z74))^2+(1-MAX(0,MIN(1,Z74)))^2/$B$5))-(MAX(0,MIN(1,Y74))^2/(MAX(0,MIN(1,Y74))^2+(1-MAX(0,MIN(1,Y74)))^2/$B$5))))&lt;0.000000001,0,Z74-$B$11/$B$9*((MAX(0,MIN(1,Z74))^2/(MAX(0,MIN(1,Z74))^2+(1-MAX(0,MIN(1,Z74)))^2/$B$5))-(MAX(0,MIN(1,Y74))^2/(MAX(0,MIN(1,Y74))^2+(1-MAX(0,MIN(1,Y74)))^2/$B$5))))</f>
        <v>0.739046035984314</v>
      </c>
      <c r="AA75" s="16" t="n">
        <f aca="false">IF(ABS(AA74-$B$11/$B$9*((MAX(0,MIN(1,AA74))^2/(MAX(0,MIN(1,AA74))^2+(1-MAX(0,MIN(1,AA74)))^2/$B$5))-(MAX(0,MIN(1,Z74))^2/(MAX(0,MIN(1,Z74))^2+(1-MAX(0,MIN(1,Z74)))^2/$B$5))))&lt;0.000000001,0,AA74-$B$11/$B$9*((MAX(0,MIN(1,AA74))^2/(MAX(0,MIN(1,AA74))^2+(1-MAX(0,MIN(1,AA74)))^2/$B$5))-(MAX(0,MIN(1,Z74))^2/(MAX(0,MIN(1,Z74))^2+(1-MAX(0,MIN(1,Z74)))^2/$B$5))))</f>
        <v>0.728914144109344</v>
      </c>
      <c r="AB75" s="16" t="n">
        <f aca="false">IF(ABS(AB74-$B$11/$B$9*((MAX(0,MIN(1,AB74))^2/(MAX(0,MIN(1,AB74))^2+(1-MAX(0,MIN(1,AB74)))^2/$B$5))-(MAX(0,MIN(1,AA74))^2/(MAX(0,MIN(1,AA74))^2+(1-MAX(0,MIN(1,AA74)))^2/$B$5))))&lt;0.000000001,0,AB74-$B$11/$B$9*((MAX(0,MIN(1,AB74))^2/(MAX(0,MIN(1,AB74))^2+(1-MAX(0,MIN(1,AB74)))^2/$B$5))-(MAX(0,MIN(1,AA74))^2/(MAX(0,MIN(1,AA74))^2+(1-MAX(0,MIN(1,AA74)))^2/$B$5))))</f>
        <v>0.719121788081594</v>
      </c>
      <c r="AC75" s="16" t="n">
        <f aca="false">IF(ABS(AC74-$B$11/$B$9*((MAX(0,MIN(1,AC74))^2/(MAX(0,MIN(1,AC74))^2+(1-MAX(0,MIN(1,AC74)))^2/$B$5))-(MAX(0,MIN(1,AB74))^2/(MAX(0,MIN(1,AB74))^2+(1-MAX(0,MIN(1,AB74)))^2/$B$5))))&lt;0.000000001,0,AC74-$B$11/$B$9*((MAX(0,MIN(1,AC74))^2/(MAX(0,MIN(1,AC74))^2+(1-MAX(0,MIN(1,AC74)))^2/$B$5))-(MAX(0,MIN(1,AB74))^2/(MAX(0,MIN(1,AB74))^2+(1-MAX(0,MIN(1,AB74)))^2/$B$5))))</f>
        <v>0.709628428858135</v>
      </c>
      <c r="AD75" s="16" t="n">
        <f aca="false">IF(ABS(AD74-$B$11/$B$9*((MAX(0,MIN(1,AD74))^2/(MAX(0,MIN(1,AD74))^2+(1-MAX(0,MIN(1,AD74)))^2/$B$5))-(MAX(0,MIN(1,AC74))^2/(MAX(0,MIN(1,AC74))^2+(1-MAX(0,MIN(1,AC74)))^2/$B$5))))&lt;0.000000001,0,AD74-$B$11/$B$9*((MAX(0,MIN(1,AD74))^2/(MAX(0,MIN(1,AD74))^2+(1-MAX(0,MIN(1,AD74)))^2/$B$5))-(MAX(0,MIN(1,AC74))^2/(MAX(0,MIN(1,AC74))^2+(1-MAX(0,MIN(1,AC74)))^2/$B$5))))</f>
        <v>0.700397314850334</v>
      </c>
      <c r="AE75" s="16" t="n">
        <f aca="false">IF(ABS(AE74-$B$11/$B$9*((MAX(0,MIN(1,AE74))^2/(MAX(0,MIN(1,AE74))^2+(1-MAX(0,MIN(1,AE74)))^2/$B$5))-(MAX(0,MIN(1,AD74))^2/(MAX(0,MIN(1,AD74))^2+(1-MAX(0,MIN(1,AD74)))^2/$B$5))))&lt;0.000000001,0,AE74-$B$11/$B$9*((MAX(0,MIN(1,AE74))^2/(MAX(0,MIN(1,AE74))^2+(1-MAX(0,MIN(1,AE74)))^2/$B$5))-(MAX(0,MIN(1,AD74))^2/(MAX(0,MIN(1,AD74))^2+(1-MAX(0,MIN(1,AD74)))^2/$B$5))))</f>
        <v>0.691394427160143</v>
      </c>
      <c r="AF75" s="16" t="n">
        <f aca="false">IF(ABS(AF74-$B$11/$B$9*((MAX(0,MIN(1,AF74))^2/(MAX(0,MIN(1,AF74))^2+(1-MAX(0,MIN(1,AF74)))^2/$B$5))-(MAX(0,MIN(1,AE74))^2/(MAX(0,MIN(1,AE74))^2+(1-MAX(0,MIN(1,AE74)))^2/$B$5))))&lt;0.000000001,0,AF74-$B$11/$B$9*((MAX(0,MIN(1,AF74))^2/(MAX(0,MIN(1,AF74))^2+(1-MAX(0,MIN(1,AF74)))^2/$B$5))-(MAX(0,MIN(1,AE74))^2/(MAX(0,MIN(1,AE74))^2+(1-MAX(0,MIN(1,AE74)))^2/$B$5))))</f>
        <v>0.682587497472315</v>
      </c>
    </row>
    <row r="76" customFormat="false" ht="15" hidden="false" customHeight="false" outlineLevel="0" collapsed="false">
      <c r="A76" s="0" t="n">
        <v>0.71</v>
      </c>
      <c r="D76" s="0" t="n">
        <f aca="false">A76</f>
        <v>0.71</v>
      </c>
      <c r="E76" s="0" t="n">
        <f aca="false">(G76-G75)/(A76-A75)</f>
        <v>0.711864957848517</v>
      </c>
      <c r="F76" s="0" t="n">
        <f aca="false">G76/A76</f>
        <v>1.30000915499405</v>
      </c>
      <c r="G76" s="0" t="n">
        <f aca="false">A76^2/(A76^2+(1-A76)^2/$B$5)</f>
        <v>0.923006500045775</v>
      </c>
      <c r="L76" s="0" t="n">
        <v>66</v>
      </c>
      <c r="M76" s="16" t="n">
        <f aca="false">IF(ABS(M75-$B$11/$B$9*((MAX(0,MIN(1,M75))^2/(MAX(0,MIN(1,M75))^2+(1-MAX(0,MIN(1,M75)))^2/$B$5))-(MAX(0,MIN(1,1))^2/(MAX(0,MIN(1,1))^2+(1-MAX(0,MIN(1,1)))^2/$B$5))))&lt;0.000000001,0,M75-$B$11/$B$9*((MAX(0,MIN(1,M75))^2/(MAX(0,MIN(1,M75))^2+(1-MAX(0,MIN(1,M75)))^2/$B$5))-(MAX(0,MIN(1,1))^2/(MAX(0,MIN(1,1))^2+(1-MAX(0,MIN(1,1)))^2/$B$5))))</f>
        <v>0.946808301548806</v>
      </c>
      <c r="N76" s="16" t="n">
        <f aca="false">IF(ABS(N75-$B$11/$B$9*((MAX(0,MIN(1,N75))^2/(MAX(0,MIN(1,N75))^2+(1-MAX(0,MIN(1,N75)))^2/$B$5))-(MAX(0,MIN(1,M75))^2/(MAX(0,MIN(1,M75))^2+(1-MAX(0,MIN(1,M75)))^2/$B$5))))&lt;0.000000001,0,N75-$B$11/$B$9*((MAX(0,MIN(1,N75))^2/(MAX(0,MIN(1,N75))^2+(1-MAX(0,MIN(1,N75)))^2/$B$5))-(MAX(0,MIN(1,M75))^2/(MAX(0,MIN(1,M75))^2+(1-MAX(0,MIN(1,M75)))^2/$B$5))))</f>
        <v>0.919107309045994</v>
      </c>
      <c r="O76" s="16" t="n">
        <f aca="false">IF(ABS(O75-$B$11/$B$9*((MAX(0,MIN(1,O75))^2/(MAX(0,MIN(1,O75))^2+(1-MAX(0,MIN(1,O75)))^2/$B$5))-(MAX(0,MIN(1,N75))^2/(MAX(0,MIN(1,N75))^2+(1-MAX(0,MIN(1,N75)))^2/$B$5))))&lt;0.000000001,0,O75-$B$11/$B$9*((MAX(0,MIN(1,O75))^2/(MAX(0,MIN(1,O75))^2+(1-MAX(0,MIN(1,O75)))^2/$B$5))-(MAX(0,MIN(1,N75))^2/(MAX(0,MIN(1,N75))^2+(1-MAX(0,MIN(1,N75)))^2/$B$5))))</f>
        <v>0.896119014520689</v>
      </c>
      <c r="P76" s="16" t="n">
        <f aca="false">IF(ABS(P75-$B$11/$B$9*((MAX(0,MIN(1,P75))^2/(MAX(0,MIN(1,P75))^2+(1-MAX(0,MIN(1,P75)))^2/$B$5))-(MAX(0,MIN(1,O75))^2/(MAX(0,MIN(1,O75))^2+(1-MAX(0,MIN(1,O75)))^2/$B$5))))&lt;0.000000001,0,P75-$B$11/$B$9*((MAX(0,MIN(1,P75))^2/(MAX(0,MIN(1,P75))^2+(1-MAX(0,MIN(1,P75)))^2/$B$5))-(MAX(0,MIN(1,O75))^2/(MAX(0,MIN(1,O75))^2+(1-MAX(0,MIN(1,O75)))^2/$B$5))))</f>
        <v>0.87597609209571</v>
      </c>
      <c r="Q76" s="16" t="n">
        <f aca="false">IF(ABS(Q75-$B$11/$B$9*((MAX(0,MIN(1,Q75))^2/(MAX(0,MIN(1,Q75))^2+(1-MAX(0,MIN(1,Q75)))^2/$B$5))-(MAX(0,MIN(1,P75))^2/(MAX(0,MIN(1,P75))^2+(1-MAX(0,MIN(1,P75)))^2/$B$5))))&lt;0.000000001,0,Q75-$B$11/$B$9*((MAX(0,MIN(1,Q75))^2/(MAX(0,MIN(1,Q75))^2+(1-MAX(0,MIN(1,Q75)))^2/$B$5))-(MAX(0,MIN(1,P75))^2/(MAX(0,MIN(1,P75))^2+(1-MAX(0,MIN(1,P75)))^2/$B$5))))</f>
        <v>0.857871319548359</v>
      </c>
      <c r="R76" s="16" t="n">
        <f aca="false">IF(ABS(R75-$B$11/$B$9*((MAX(0,MIN(1,R75))^2/(MAX(0,MIN(1,R75))^2+(1-MAX(0,MIN(1,R75)))^2/$B$5))-(MAX(0,MIN(1,Q75))^2/(MAX(0,MIN(1,Q75))^2+(1-MAX(0,MIN(1,Q75)))^2/$B$5))))&lt;0.000000001,0,R75-$B$11/$B$9*((MAX(0,MIN(1,R75))^2/(MAX(0,MIN(1,R75))^2+(1-MAX(0,MIN(1,R75)))^2/$B$5))-(MAX(0,MIN(1,Q75))^2/(MAX(0,MIN(1,Q75))^2+(1-MAX(0,MIN(1,Q75)))^2/$B$5))))</f>
        <v>0.841339178416216</v>
      </c>
      <c r="S76" s="16" t="n">
        <f aca="false">IF(ABS(S75-$B$11/$B$9*((MAX(0,MIN(1,S75))^2/(MAX(0,MIN(1,S75))^2+(1-MAX(0,MIN(1,S75)))^2/$B$5))-(MAX(0,MIN(1,R75))^2/(MAX(0,MIN(1,R75))^2+(1-MAX(0,MIN(1,R75)))^2/$B$5))))&lt;0.000000001,0,S75-$B$11/$B$9*((MAX(0,MIN(1,S75))^2/(MAX(0,MIN(1,S75))^2+(1-MAX(0,MIN(1,S75)))^2/$B$5))-(MAX(0,MIN(1,R75))^2/(MAX(0,MIN(1,R75))^2+(1-MAX(0,MIN(1,R75)))^2/$B$5))))</f>
        <v>0.826072167660434</v>
      </c>
      <c r="T76" s="16" t="n">
        <f aca="false">IF(ABS(T75-$B$11/$B$9*((MAX(0,MIN(1,T75))^2/(MAX(0,MIN(1,T75))^2+(1-MAX(0,MIN(1,T75)))^2/$B$5))-(MAX(0,MIN(1,S75))^2/(MAX(0,MIN(1,S75))^2+(1-MAX(0,MIN(1,S75)))^2/$B$5))))&lt;0.000000001,0,T75-$B$11/$B$9*((MAX(0,MIN(1,T75))^2/(MAX(0,MIN(1,T75))^2+(1-MAX(0,MIN(1,T75)))^2/$B$5))-(MAX(0,MIN(1,S75))^2/(MAX(0,MIN(1,S75))^2+(1-MAX(0,MIN(1,S75)))^2/$B$5))))</f>
        <v>0.811850681803299</v>
      </c>
      <c r="U76" s="16" t="n">
        <f aca="false">IF(ABS(U75-$B$11/$B$9*((MAX(0,MIN(1,U75))^2/(MAX(0,MIN(1,U75))^2+(1-MAX(0,MIN(1,U75)))^2/$B$5))-(MAX(0,MIN(1,T75))^2/(MAX(0,MIN(1,T75))^2+(1-MAX(0,MIN(1,T75)))^2/$B$5))))&lt;0.000000001,0,U75-$B$11/$B$9*((MAX(0,MIN(1,U75))^2/(MAX(0,MIN(1,U75))^2+(1-MAX(0,MIN(1,U75)))^2/$B$5))-(MAX(0,MIN(1,T75))^2/(MAX(0,MIN(1,T75))^2+(1-MAX(0,MIN(1,T75)))^2/$B$5))))</f>
        <v>0.798509734093558</v>
      </c>
      <c r="V76" s="16" t="n">
        <f aca="false">IF(ABS(V75-$B$11/$B$9*((MAX(0,MIN(1,V75))^2/(MAX(0,MIN(1,V75))^2+(1-MAX(0,MIN(1,V75)))^2/$B$5))-(MAX(0,MIN(1,U75))^2/(MAX(0,MIN(1,U75))^2+(1-MAX(0,MIN(1,U75)))^2/$B$5))))&lt;0.000000001,0,V75-$B$11/$B$9*((MAX(0,MIN(1,V75))^2/(MAX(0,MIN(1,V75))^2+(1-MAX(0,MIN(1,V75)))^2/$B$5))-(MAX(0,MIN(1,U75))^2/(MAX(0,MIN(1,U75))^2+(1-MAX(0,MIN(1,U75)))^2/$B$5))))</f>
        <v>0.785920832964364</v>
      </c>
      <c r="W76" s="16" t="n">
        <f aca="false">IF(ABS(W75-$B$11/$B$9*((MAX(0,MIN(1,W75))^2/(MAX(0,MIN(1,W75))^2+(1-MAX(0,MIN(1,W75)))^2/$B$5))-(MAX(0,MIN(1,V75))^2/(MAX(0,MIN(1,V75))^2+(1-MAX(0,MIN(1,V75)))^2/$B$5))))&lt;0.000000001,0,W75-$B$11/$B$9*((MAX(0,MIN(1,W75))^2/(MAX(0,MIN(1,W75))^2+(1-MAX(0,MIN(1,W75)))^2/$B$5))-(MAX(0,MIN(1,V75))^2/(MAX(0,MIN(1,V75))^2+(1-MAX(0,MIN(1,V75)))^2/$B$5))))</f>
        <v>0.773981134344787</v>
      </c>
      <c r="X76" s="16" t="n">
        <f aca="false">IF(ABS(X75-$B$11/$B$9*((MAX(0,MIN(1,X75))^2/(MAX(0,MIN(1,X75))^2+(1-MAX(0,MIN(1,X75)))^2/$B$5))-(MAX(0,MIN(1,W75))^2/(MAX(0,MIN(1,W75))^2+(1-MAX(0,MIN(1,W75)))^2/$B$5))))&lt;0.000000001,0,X75-$B$11/$B$9*((MAX(0,MIN(1,X75))^2/(MAX(0,MIN(1,X75))^2+(1-MAX(0,MIN(1,X75)))^2/$B$5))-(MAX(0,MIN(1,W75))^2/(MAX(0,MIN(1,W75))^2+(1-MAX(0,MIN(1,W75)))^2/$B$5))))</f>
        <v>0.762606488418813</v>
      </c>
      <c r="Y76" s="16" t="n">
        <f aca="false">IF(ABS(Y75-$B$11/$B$9*((MAX(0,MIN(1,Y75))^2/(MAX(0,MIN(1,Y75))^2+(1-MAX(0,MIN(1,Y75)))^2/$B$5))-(MAX(0,MIN(1,X75))^2/(MAX(0,MIN(1,X75))^2+(1-MAX(0,MIN(1,X75)))^2/$B$5))))&lt;0.000000001,0,Y75-$B$11/$B$9*((MAX(0,MIN(1,Y75))^2/(MAX(0,MIN(1,Y75))^2+(1-MAX(0,MIN(1,Y75)))^2/$B$5))-(MAX(0,MIN(1,X75))^2/(MAX(0,MIN(1,X75))^2+(1-MAX(0,MIN(1,X75)))^2/$B$5))))</f>
        <v>0.751726743070013</v>
      </c>
      <c r="Z76" s="16" t="n">
        <f aca="false">IF(ABS(Z75-$B$11/$B$9*((MAX(0,MIN(1,Z75))^2/(MAX(0,MIN(1,Z75))^2+(1-MAX(0,MIN(1,Z75)))^2/$B$5))-(MAX(0,MIN(1,Y75))^2/(MAX(0,MIN(1,Y75))^2+(1-MAX(0,MIN(1,Y75)))^2/$B$5))))&lt;0.000000001,0,Z75-$B$11/$B$9*((MAX(0,MIN(1,Z75))^2/(MAX(0,MIN(1,Z75))^2+(1-MAX(0,MIN(1,Z75)))^2/$B$5))-(MAX(0,MIN(1,Y75))^2/(MAX(0,MIN(1,Y75))^2+(1-MAX(0,MIN(1,Y75)))^2/$B$5))))</f>
        <v>0.741282434568712</v>
      </c>
      <c r="AA76" s="16" t="n">
        <f aca="false">IF(ABS(AA75-$B$11/$B$9*((MAX(0,MIN(1,AA75))^2/(MAX(0,MIN(1,AA75))^2+(1-MAX(0,MIN(1,AA75)))^2/$B$5))-(MAX(0,MIN(1,Z75))^2/(MAX(0,MIN(1,Z75))^2+(1-MAX(0,MIN(1,Z75)))^2/$B$5))))&lt;0.000000001,0,AA75-$B$11/$B$9*((MAX(0,MIN(1,AA75))^2/(MAX(0,MIN(1,AA75))^2+(1-MAX(0,MIN(1,AA75)))^2/$B$5))-(MAX(0,MIN(1,Z75))^2/(MAX(0,MIN(1,Z75))^2+(1-MAX(0,MIN(1,Z75)))^2/$B$5))))</f>
        <v>0.731222369005236</v>
      </c>
      <c r="AB76" s="16" t="n">
        <f aca="false">IF(ABS(AB75-$B$11/$B$9*((MAX(0,MIN(1,AB75))^2/(MAX(0,MIN(1,AB75))^2+(1-MAX(0,MIN(1,AB75)))^2/$B$5))-(MAX(0,MIN(1,AA75))^2/(MAX(0,MIN(1,AA75))^2+(1-MAX(0,MIN(1,AA75)))^2/$B$5))))&lt;0.000000001,0,AB75-$B$11/$B$9*((MAX(0,MIN(1,AB75))^2/(MAX(0,MIN(1,AB75))^2+(1-MAX(0,MIN(1,AB75)))^2/$B$5))-(MAX(0,MIN(1,AA75))^2/(MAX(0,MIN(1,AA75))^2+(1-MAX(0,MIN(1,AA75)))^2/$B$5))))</f>
        <v>0.721501792946995</v>
      </c>
      <c r="AC76" s="16" t="n">
        <f aca="false">IF(ABS(AC75-$B$11/$B$9*((MAX(0,MIN(1,AC75))^2/(MAX(0,MIN(1,AC75))^2+(1-MAX(0,MIN(1,AC75)))^2/$B$5))-(MAX(0,MIN(1,AB75))^2/(MAX(0,MIN(1,AB75))^2+(1-MAX(0,MIN(1,AB75)))^2/$B$5))))&lt;0.000000001,0,AC75-$B$11/$B$9*((MAX(0,MIN(1,AC75))^2/(MAX(0,MIN(1,AC75))^2+(1-MAX(0,MIN(1,AC75)))^2/$B$5))-(MAX(0,MIN(1,AB75))^2/(MAX(0,MIN(1,AB75))^2+(1-MAX(0,MIN(1,AB75)))^2/$B$5))))</f>
        <v>0.712080959490346</v>
      </c>
      <c r="AD76" s="16" t="n">
        <f aca="false">IF(ABS(AD75-$B$11/$B$9*((MAX(0,MIN(1,AD75))^2/(MAX(0,MIN(1,AD75))^2+(1-MAX(0,MIN(1,AD75)))^2/$B$5))-(MAX(0,MIN(1,AC75))^2/(MAX(0,MIN(1,AC75))^2+(1-MAX(0,MIN(1,AC75)))^2/$B$5))))&lt;0.000000001,0,AD75-$B$11/$B$9*((MAX(0,MIN(1,AD75))^2/(MAX(0,MIN(1,AD75))^2+(1-MAX(0,MIN(1,AD75)))^2/$B$5))-(MAX(0,MIN(1,AC75))^2/(MAX(0,MIN(1,AC75))^2+(1-MAX(0,MIN(1,AC75)))^2/$B$5))))</f>
        <v>0.702923957384374</v>
      </c>
      <c r="AE76" s="16" t="n">
        <f aca="false">IF(ABS(AE75-$B$11/$B$9*((MAX(0,MIN(1,AE75))^2/(MAX(0,MIN(1,AE75))^2+(1-MAX(0,MIN(1,AE75)))^2/$B$5))-(MAX(0,MIN(1,AD75))^2/(MAX(0,MIN(1,AD75))^2+(1-MAX(0,MIN(1,AD75)))^2/$B$5))))&lt;0.000000001,0,AE75-$B$11/$B$9*((MAX(0,MIN(1,AE75))^2/(MAX(0,MIN(1,AE75))^2+(1-MAX(0,MIN(1,AE75)))^2/$B$5))-(MAX(0,MIN(1,AD75))^2/(MAX(0,MIN(1,AD75))^2+(1-MAX(0,MIN(1,AD75)))^2/$B$5))))</f>
        <v>0.69399770592034</v>
      </c>
      <c r="AF76" s="16" t="n">
        <f aca="false">IF(ABS(AF75-$B$11/$B$9*((MAX(0,MIN(1,AF75))^2/(MAX(0,MIN(1,AF75))^2+(1-MAX(0,MIN(1,AF75)))^2/$B$5))-(MAX(0,MIN(1,AE75))^2/(MAX(0,MIN(1,AE75))^2+(1-MAX(0,MIN(1,AE75)))^2/$B$5))))&lt;0.000000001,0,AF75-$B$11/$B$9*((MAX(0,MIN(1,AF75))^2/(MAX(0,MIN(1,AF75))^2+(1-MAX(0,MIN(1,AF75)))^2/$B$5))-(MAX(0,MIN(1,AE75))^2/(MAX(0,MIN(1,AE75))^2+(1-MAX(0,MIN(1,AE75)))^2/$B$5))))</f>
        <v>0.685271036300075</v>
      </c>
    </row>
    <row r="77" customFormat="false" ht="15" hidden="false" customHeight="false" outlineLevel="0" collapsed="false">
      <c r="A77" s="0" t="n">
        <v>0.72</v>
      </c>
      <c r="D77" s="0" t="n">
        <f aca="false">A77</f>
        <v>0.72</v>
      </c>
      <c r="E77" s="0" t="n">
        <f aca="false">(G77-G76)/(A77-A76)</f>
        <v>0.669220870601849</v>
      </c>
      <c r="F77" s="0" t="n">
        <f aca="false">G77/A77</f>
        <v>1.29124820659971</v>
      </c>
      <c r="G77" s="0" t="n">
        <f aca="false">A77^2/(A77^2+(1-A77)^2/$B$5)</f>
        <v>0.929698708751793</v>
      </c>
      <c r="L77" s="0" t="n">
        <v>67</v>
      </c>
      <c r="M77" s="16" t="n">
        <f aca="false">IF(ABS(M76-$B$11/$B$9*((MAX(0,MIN(1,M76))^2/(MAX(0,MIN(1,M76))^2+(1-MAX(0,MIN(1,M76)))^2/$B$5))-(MAX(0,MIN(1,1))^2/(MAX(0,MIN(1,1))^2+(1-MAX(0,MIN(1,1)))^2/$B$5))))&lt;0.000000001,0,M76-$B$11/$B$9*((MAX(0,MIN(1,M76))^2/(MAX(0,MIN(1,M76))^2+(1-MAX(0,MIN(1,M76)))^2/$B$5))-(MAX(0,MIN(1,1))^2/(MAX(0,MIN(1,1))^2+(1-MAX(0,MIN(1,1)))^2/$B$5))))</f>
        <v>0.947414173126678</v>
      </c>
      <c r="N77" s="16" t="n">
        <f aca="false">IF(ABS(N76-$B$11/$B$9*((MAX(0,MIN(1,N76))^2/(MAX(0,MIN(1,N76))^2+(1-MAX(0,MIN(1,N76)))^2/$B$5))-(MAX(0,MIN(1,M76))^2/(MAX(0,MIN(1,M76))^2+(1-MAX(0,MIN(1,M76)))^2/$B$5))))&lt;0.000000001,0,N76-$B$11/$B$9*((MAX(0,MIN(1,N76))^2/(MAX(0,MIN(1,N76))^2+(1-MAX(0,MIN(1,N76)))^2/$B$5))-(MAX(0,MIN(1,M76))^2/(MAX(0,MIN(1,M76))^2+(1-MAX(0,MIN(1,M76)))^2/$B$5))))</f>
        <v>0.919985011133687</v>
      </c>
      <c r="O77" s="16" t="n">
        <f aca="false">IF(ABS(O76-$B$11/$B$9*((MAX(0,MIN(1,O76))^2/(MAX(0,MIN(1,O76))^2+(1-MAX(0,MIN(1,O76)))^2/$B$5))-(MAX(0,MIN(1,N76))^2/(MAX(0,MIN(1,N76))^2+(1-MAX(0,MIN(1,N76)))^2/$B$5))))&lt;0.000000001,0,O76-$B$11/$B$9*((MAX(0,MIN(1,O76))^2/(MAX(0,MIN(1,O76))^2+(1-MAX(0,MIN(1,O76)))^2/$B$5))-(MAX(0,MIN(1,N76))^2/(MAX(0,MIN(1,N76))^2+(1-MAX(0,MIN(1,N76)))^2/$B$5))))</f>
        <v>0.897201899245324</v>
      </c>
      <c r="P77" s="16" t="n">
        <f aca="false">IF(ABS(P76-$B$11/$B$9*((MAX(0,MIN(1,P76))^2/(MAX(0,MIN(1,P76))^2+(1-MAX(0,MIN(1,P76)))^2/$B$5))-(MAX(0,MIN(1,O76))^2/(MAX(0,MIN(1,O76))^2+(1-MAX(0,MIN(1,O76)))^2/$B$5))))&lt;0.000000001,0,P76-$B$11/$B$9*((MAX(0,MIN(1,P76))^2/(MAX(0,MIN(1,P76))^2+(1-MAX(0,MIN(1,P76)))^2/$B$5))-(MAX(0,MIN(1,O76))^2/(MAX(0,MIN(1,O76))^2+(1-MAX(0,MIN(1,O76)))^2/$B$5))))</f>
        <v>0.877225532640729</v>
      </c>
      <c r="Q77" s="16" t="n">
        <f aca="false">IF(ABS(Q76-$B$11/$B$9*((MAX(0,MIN(1,Q76))^2/(MAX(0,MIN(1,Q76))^2+(1-MAX(0,MIN(1,Q76)))^2/$B$5))-(MAX(0,MIN(1,P76))^2/(MAX(0,MIN(1,P76))^2+(1-MAX(0,MIN(1,P76)))^2/$B$5))))&lt;0.000000001,0,Q76-$B$11/$B$9*((MAX(0,MIN(1,Q76))^2/(MAX(0,MIN(1,Q76))^2+(1-MAX(0,MIN(1,Q76)))^2/$B$5))-(MAX(0,MIN(1,P76))^2/(MAX(0,MIN(1,P76))^2+(1-MAX(0,MIN(1,P76)))^2/$B$5))))</f>
        <v>0.859261383939372</v>
      </c>
      <c r="R77" s="16" t="n">
        <f aca="false">IF(ABS(R76-$B$11/$B$9*((MAX(0,MIN(1,R76))^2/(MAX(0,MIN(1,R76))^2+(1-MAX(0,MIN(1,R76)))^2/$B$5))-(MAX(0,MIN(1,Q76))^2/(MAX(0,MIN(1,Q76))^2+(1-MAX(0,MIN(1,Q76)))^2/$B$5))))&lt;0.000000001,0,R76-$B$11/$B$9*((MAX(0,MIN(1,R76))^2/(MAX(0,MIN(1,R76))^2+(1-MAX(0,MIN(1,R76)))^2/$B$5))-(MAX(0,MIN(1,Q76))^2/(MAX(0,MIN(1,Q76))^2+(1-MAX(0,MIN(1,Q76)))^2/$B$5))))</f>
        <v>0.842851283732638</v>
      </c>
      <c r="S77" s="16" t="n">
        <f aca="false">IF(ABS(S76-$B$11/$B$9*((MAX(0,MIN(1,S76))^2/(MAX(0,MIN(1,S76))^2+(1-MAX(0,MIN(1,S76)))^2/$B$5))-(MAX(0,MIN(1,R76))^2/(MAX(0,MIN(1,R76))^2+(1-MAX(0,MIN(1,R76)))^2/$B$5))))&lt;0.000000001,0,S76-$B$11/$B$9*((MAX(0,MIN(1,S76))^2/(MAX(0,MIN(1,S76))^2+(1-MAX(0,MIN(1,S76)))^2/$B$5))-(MAX(0,MIN(1,R76))^2/(MAX(0,MIN(1,R76))^2+(1-MAX(0,MIN(1,R76)))^2/$B$5))))</f>
        <v>0.827692502048865</v>
      </c>
      <c r="T77" s="16" t="n">
        <f aca="false">IF(ABS(T76-$B$11/$B$9*((MAX(0,MIN(1,T76))^2/(MAX(0,MIN(1,T76))^2+(1-MAX(0,MIN(1,T76)))^2/$B$5))-(MAX(0,MIN(1,S76))^2/(MAX(0,MIN(1,S76))^2+(1-MAX(0,MIN(1,S76)))^2/$B$5))))&lt;0.000000001,0,T76-$B$11/$B$9*((MAX(0,MIN(1,T76))^2/(MAX(0,MIN(1,T76))^2+(1-MAX(0,MIN(1,T76)))^2/$B$5))-(MAX(0,MIN(1,S76))^2/(MAX(0,MIN(1,S76))^2+(1-MAX(0,MIN(1,S76)))^2/$B$5))))</f>
        <v>0.813568752183644</v>
      </c>
      <c r="U77" s="16" t="n">
        <f aca="false">IF(ABS(U76-$B$11/$B$9*((MAX(0,MIN(1,U76))^2/(MAX(0,MIN(1,U76))^2+(1-MAX(0,MIN(1,U76)))^2/$B$5))-(MAX(0,MIN(1,T76))^2/(MAX(0,MIN(1,T76))^2+(1-MAX(0,MIN(1,T76)))^2/$B$5))))&lt;0.000000001,0,U76-$B$11/$B$9*((MAX(0,MIN(1,U76))^2/(MAX(0,MIN(1,U76))^2+(1-MAX(0,MIN(1,U76)))^2/$B$5))-(MAX(0,MIN(1,T76))^2/(MAX(0,MIN(1,T76))^2+(1-MAX(0,MIN(1,T76)))^2/$B$5))))</f>
        <v>0.800317471505655</v>
      </c>
      <c r="V77" s="16" t="n">
        <f aca="false">IF(ABS(V76-$B$11/$B$9*((MAX(0,MIN(1,V76))^2/(MAX(0,MIN(1,V76))^2+(1-MAX(0,MIN(1,V76)))^2/$B$5))-(MAX(0,MIN(1,U76))^2/(MAX(0,MIN(1,U76))^2+(1-MAX(0,MIN(1,U76)))^2/$B$5))))&lt;0.000000001,0,V76-$B$11/$B$9*((MAX(0,MIN(1,V76))^2/(MAX(0,MIN(1,V76))^2+(1-MAX(0,MIN(1,V76)))^2/$B$5))-(MAX(0,MIN(1,U76))^2/(MAX(0,MIN(1,U76))^2+(1-MAX(0,MIN(1,U76)))^2/$B$5))))</f>
        <v>0.78781200956619</v>
      </c>
      <c r="W77" s="16" t="n">
        <f aca="false">IF(ABS(W76-$B$11/$B$9*((MAX(0,MIN(1,W76))^2/(MAX(0,MIN(1,W76))^2+(1-MAX(0,MIN(1,W76)))^2/$B$5))-(MAX(0,MIN(1,V76))^2/(MAX(0,MIN(1,V76))^2+(1-MAX(0,MIN(1,V76)))^2/$B$5))))&lt;0.000000001,0,W76-$B$11/$B$9*((MAX(0,MIN(1,W76))^2/(MAX(0,MIN(1,W76))^2+(1-MAX(0,MIN(1,W76)))^2/$B$5))-(MAX(0,MIN(1,V76))^2/(MAX(0,MIN(1,V76))^2+(1-MAX(0,MIN(1,V76)))^2/$B$5))))</f>
        <v>0.775950969648283</v>
      </c>
      <c r="X77" s="16" t="n">
        <f aca="false">IF(ABS(X76-$B$11/$B$9*((MAX(0,MIN(1,X76))^2/(MAX(0,MIN(1,X76))^2+(1-MAX(0,MIN(1,X76)))^2/$B$5))-(MAX(0,MIN(1,W76))^2/(MAX(0,MIN(1,W76))^2+(1-MAX(0,MIN(1,W76)))^2/$B$5))))&lt;0.000000001,0,X76-$B$11/$B$9*((MAX(0,MIN(1,X76))^2/(MAX(0,MIN(1,X76))^2+(1-MAX(0,MIN(1,X76)))^2/$B$5))-(MAX(0,MIN(1,W76))^2/(MAX(0,MIN(1,W76))^2+(1-MAX(0,MIN(1,W76)))^2/$B$5))))</f>
        <v>0.764651378010986</v>
      </c>
      <c r="Y77" s="16" t="n">
        <f aca="false">IF(ABS(Y76-$B$11/$B$9*((MAX(0,MIN(1,Y76))^2/(MAX(0,MIN(1,Y76))^2+(1-MAX(0,MIN(1,Y76)))^2/$B$5))-(MAX(0,MIN(1,X76))^2/(MAX(0,MIN(1,X76))^2+(1-MAX(0,MIN(1,X76)))^2/$B$5))))&lt;0.000000001,0,Y76-$B$11/$B$9*((MAX(0,MIN(1,Y76))^2/(MAX(0,MIN(1,Y76))^2+(1-MAX(0,MIN(1,Y76)))^2/$B$5))-(MAX(0,MIN(1,X76))^2/(MAX(0,MIN(1,X76))^2+(1-MAX(0,MIN(1,X76)))^2/$B$5))))</f>
        <v>0.753844071180122</v>
      </c>
      <c r="Z77" s="16" t="n">
        <f aca="false">IF(ABS(Z76-$B$11/$B$9*((MAX(0,MIN(1,Z76))^2/(MAX(0,MIN(1,Z76))^2+(1-MAX(0,MIN(1,Z76)))^2/$B$5))-(MAX(0,MIN(1,Y76))^2/(MAX(0,MIN(1,Y76))^2+(1-MAX(0,MIN(1,Y76)))^2/$B$5))))&lt;0.000000001,0,Z76-$B$11/$B$9*((MAX(0,MIN(1,Z76))^2/(MAX(0,MIN(1,Z76))^2+(1-MAX(0,MIN(1,Z76)))^2/$B$5))-(MAX(0,MIN(1,Y76))^2/(MAX(0,MIN(1,Y76))^2+(1-MAX(0,MIN(1,Y76)))^2/$B$5))))</f>
        <v>0.743470447390932</v>
      </c>
      <c r="AA77" s="16" t="n">
        <f aca="false">IF(ABS(AA76-$B$11/$B$9*((MAX(0,MIN(1,AA76))^2/(MAX(0,MIN(1,AA76))^2+(1-MAX(0,MIN(1,AA76)))^2/$B$5))-(MAX(0,MIN(1,Z76))^2/(MAX(0,MIN(1,Z76))^2+(1-MAX(0,MIN(1,Z76)))^2/$B$5))))&lt;0.000000001,0,AA76-$B$11/$B$9*((MAX(0,MIN(1,AA76))^2/(MAX(0,MIN(1,AA76))^2+(1-MAX(0,MIN(1,AA76)))^2/$B$5))-(MAX(0,MIN(1,Z76))^2/(MAX(0,MIN(1,Z76))^2+(1-MAX(0,MIN(1,Z76)))^2/$B$5))))</f>
        <v>0.733480095038914</v>
      </c>
      <c r="AB77" s="16" t="n">
        <f aca="false">IF(ABS(AB76-$B$11/$B$9*((MAX(0,MIN(1,AB76))^2/(MAX(0,MIN(1,AB76))^2+(1-MAX(0,MIN(1,AB76)))^2/$B$5))-(MAX(0,MIN(1,AA76))^2/(MAX(0,MIN(1,AA76))^2+(1-MAX(0,MIN(1,AA76)))^2/$B$5))))&lt;0.000000001,0,AB76-$B$11/$B$9*((MAX(0,MIN(1,AB76))^2/(MAX(0,MIN(1,AB76))^2+(1-MAX(0,MIN(1,AB76)))^2/$B$5))-(MAX(0,MIN(1,AA76))^2/(MAX(0,MIN(1,AA76))^2+(1-MAX(0,MIN(1,AA76)))^2/$B$5))))</f>
        <v>0.723829002798752</v>
      </c>
      <c r="AC77" s="16" t="n">
        <f aca="false">IF(ABS(AC76-$B$11/$B$9*((MAX(0,MIN(1,AC76))^2/(MAX(0,MIN(1,AC76))^2+(1-MAX(0,MIN(1,AC76)))^2/$B$5))-(MAX(0,MIN(1,AB76))^2/(MAX(0,MIN(1,AB76))^2+(1-MAX(0,MIN(1,AB76)))^2/$B$5))))&lt;0.000000001,0,AC76-$B$11/$B$9*((MAX(0,MIN(1,AC76))^2/(MAX(0,MIN(1,AC76))^2+(1-MAX(0,MIN(1,AC76)))^2/$B$5))-(MAX(0,MIN(1,AB76))^2/(MAX(0,MIN(1,AB76))^2+(1-MAX(0,MIN(1,AB76)))^2/$B$5))))</f>
        <v>0.71447816219927</v>
      </c>
      <c r="AD77" s="16" t="n">
        <f aca="false">IF(ABS(AD76-$B$11/$B$9*((MAX(0,MIN(1,AD76))^2/(MAX(0,MIN(1,AD76))^2+(1-MAX(0,MIN(1,AD76)))^2/$B$5))-(MAX(0,MIN(1,AC76))^2/(MAX(0,MIN(1,AC76))^2+(1-MAX(0,MIN(1,AC76)))^2/$B$5))))&lt;0.000000001,0,AD76-$B$11/$B$9*((MAX(0,MIN(1,AD76))^2/(MAX(0,MIN(1,AD76))^2+(1-MAX(0,MIN(1,AD76)))^2/$B$5))-(MAX(0,MIN(1,AC76))^2/(MAX(0,MIN(1,AC76))^2+(1-MAX(0,MIN(1,AC76)))^2/$B$5))))</f>
        <v>0.705392434372994</v>
      </c>
      <c r="AE77" s="16" t="n">
        <f aca="false">IF(ABS(AE76-$B$11/$B$9*((MAX(0,MIN(1,AE76))^2/(MAX(0,MIN(1,AE76))^2+(1-MAX(0,MIN(1,AE76)))^2/$B$5))-(MAX(0,MIN(1,AD76))^2/(MAX(0,MIN(1,AD76))^2+(1-MAX(0,MIN(1,AD76)))^2/$B$5))))&lt;0.000000001,0,AE76-$B$11/$B$9*((MAX(0,MIN(1,AE76))^2/(MAX(0,MIN(1,AE76))^2+(1-MAX(0,MIN(1,AE76)))^2/$B$5))-(MAX(0,MIN(1,AD76))^2/(MAX(0,MIN(1,AD76))^2+(1-MAX(0,MIN(1,AD76)))^2/$B$5))))</f>
        <v>0.696539587917635</v>
      </c>
      <c r="AF77" s="16" t="n">
        <f aca="false">IF(ABS(AF76-$B$11/$B$9*((MAX(0,MIN(1,AF76))^2/(MAX(0,MIN(1,AF76))^2+(1-MAX(0,MIN(1,AF76)))^2/$B$5))-(MAX(0,MIN(1,AE76))^2/(MAX(0,MIN(1,AE76))^2+(1-MAX(0,MIN(1,AE76)))^2/$B$5))))&lt;0.000000001,0,AF76-$B$11/$B$9*((MAX(0,MIN(1,AF76))^2/(MAX(0,MIN(1,AF76))^2+(1-MAX(0,MIN(1,AF76)))^2/$B$5))-(MAX(0,MIN(1,AE76))^2/(MAX(0,MIN(1,AE76))^2+(1-MAX(0,MIN(1,AE76)))^2/$B$5))))</f>
        <v>0.687889433875057</v>
      </c>
    </row>
    <row r="78" customFormat="false" ht="15" hidden="false" customHeight="false" outlineLevel="0" collapsed="false">
      <c r="A78" s="0" t="n">
        <v>0.73</v>
      </c>
      <c r="D78" s="0" t="n">
        <f aca="false">A78</f>
        <v>0.73</v>
      </c>
      <c r="E78" s="0" t="n">
        <f aca="false">(G78-G77)/(A78-A77)</f>
        <v>0.628091713737843</v>
      </c>
      <c r="F78" s="0" t="n">
        <f aca="false">G78/A78</f>
        <v>1.28216387108106</v>
      </c>
      <c r="G78" s="0" t="n">
        <f aca="false">A78^2/(A78^2+(1-A78)^2/$B$5)</f>
        <v>0.935979625889172</v>
      </c>
      <c r="L78" s="0" t="n">
        <v>68</v>
      </c>
      <c r="M78" s="16" t="n">
        <f aca="false">IF(ABS(M77-$B$11/$B$9*((MAX(0,MIN(1,M77))^2/(MAX(0,MIN(1,M77))^2+(1-MAX(0,MIN(1,M77)))^2/$B$5))-(MAX(0,MIN(1,1))^2/(MAX(0,MIN(1,1))^2+(1-MAX(0,MIN(1,1)))^2/$B$5))))&lt;0.000000001,0,M77-$B$11/$B$9*((MAX(0,MIN(1,M77))^2/(MAX(0,MIN(1,M77))^2+(1-MAX(0,MIN(1,M77)))^2/$B$5))-(MAX(0,MIN(1,1))^2/(MAX(0,MIN(1,1))^2+(1-MAX(0,MIN(1,1)))^2/$B$5))))</f>
        <v>0.948005586298646</v>
      </c>
      <c r="N78" s="16" t="n">
        <f aca="false">IF(ABS(N77-$B$11/$B$9*((MAX(0,MIN(1,N77))^2/(MAX(0,MIN(1,N77))^2+(1-MAX(0,MIN(1,N77)))^2/$B$5))-(MAX(0,MIN(1,M77))^2/(MAX(0,MIN(1,M77))^2+(1-MAX(0,MIN(1,M77)))^2/$B$5))))&lt;0.000000001,0,N77-$B$11/$B$9*((MAX(0,MIN(1,N77))^2/(MAX(0,MIN(1,N77))^2+(1-MAX(0,MIN(1,N77)))^2/$B$5))-(MAX(0,MIN(1,M77))^2/(MAX(0,MIN(1,M77))^2+(1-MAX(0,MIN(1,M77)))^2/$B$5))))</f>
        <v>0.920842514855923</v>
      </c>
      <c r="O78" s="16" t="n">
        <f aca="false">IF(ABS(O77-$B$11/$B$9*((MAX(0,MIN(1,O77))^2/(MAX(0,MIN(1,O77))^2+(1-MAX(0,MIN(1,O77)))^2/$B$5))-(MAX(0,MIN(1,N77))^2/(MAX(0,MIN(1,N77))^2+(1-MAX(0,MIN(1,N77)))^2/$B$5))))&lt;0.000000001,0,O77-$B$11/$B$9*((MAX(0,MIN(1,O77))^2/(MAX(0,MIN(1,O77))^2+(1-MAX(0,MIN(1,O77)))^2/$B$5))-(MAX(0,MIN(1,N77))^2/(MAX(0,MIN(1,N77))^2+(1-MAX(0,MIN(1,N77)))^2/$B$5))))</f>
        <v>0.89826053623068</v>
      </c>
      <c r="P78" s="16" t="n">
        <f aca="false">IF(ABS(P77-$B$11/$B$9*((MAX(0,MIN(1,P77))^2/(MAX(0,MIN(1,P77))^2+(1-MAX(0,MIN(1,P77)))^2/$B$5))-(MAX(0,MIN(1,O77))^2/(MAX(0,MIN(1,O77))^2+(1-MAX(0,MIN(1,O77)))^2/$B$5))))&lt;0.000000001,0,P77-$B$11/$B$9*((MAX(0,MIN(1,P77))^2/(MAX(0,MIN(1,P77))^2+(1-MAX(0,MIN(1,P77)))^2/$B$5))-(MAX(0,MIN(1,O77))^2/(MAX(0,MIN(1,O77))^2+(1-MAX(0,MIN(1,O77)))^2/$B$5))))</f>
        <v>0.878447581427238</v>
      </c>
      <c r="Q78" s="16" t="n">
        <f aca="false">IF(ABS(Q77-$B$11/$B$9*((MAX(0,MIN(1,Q77))^2/(MAX(0,MIN(1,Q77))^2+(1-MAX(0,MIN(1,Q77)))^2/$B$5))-(MAX(0,MIN(1,P77))^2/(MAX(0,MIN(1,P77))^2+(1-MAX(0,MIN(1,P77)))^2/$B$5))))&lt;0.000000001,0,Q77-$B$11/$B$9*((MAX(0,MIN(1,Q77))^2/(MAX(0,MIN(1,Q77))^2+(1-MAX(0,MIN(1,Q77)))^2/$B$5))-(MAX(0,MIN(1,P77))^2/(MAX(0,MIN(1,P77))^2+(1-MAX(0,MIN(1,P77)))^2/$B$5))))</f>
        <v>0.860621467663207</v>
      </c>
      <c r="R78" s="16" t="n">
        <f aca="false">IF(ABS(R77-$B$11/$B$9*((MAX(0,MIN(1,R77))^2/(MAX(0,MIN(1,R77))^2+(1-MAX(0,MIN(1,R77)))^2/$B$5))-(MAX(0,MIN(1,Q77))^2/(MAX(0,MIN(1,Q77))^2+(1-MAX(0,MIN(1,Q77)))^2/$B$5))))&lt;0.000000001,0,R77-$B$11/$B$9*((MAX(0,MIN(1,R77))^2/(MAX(0,MIN(1,R77))^2+(1-MAX(0,MIN(1,R77)))^2/$B$5))-(MAX(0,MIN(1,Q77))^2/(MAX(0,MIN(1,Q77))^2+(1-MAX(0,MIN(1,Q77)))^2/$B$5))))</f>
        <v>0.844331178582234</v>
      </c>
      <c r="S78" s="16" t="n">
        <f aca="false">IF(ABS(S77-$B$11/$B$9*((MAX(0,MIN(1,S77))^2/(MAX(0,MIN(1,S77))^2+(1-MAX(0,MIN(1,S77)))^2/$B$5))-(MAX(0,MIN(1,R77))^2/(MAX(0,MIN(1,R77))^2+(1-MAX(0,MIN(1,R77)))^2/$B$5))))&lt;0.000000001,0,S77-$B$11/$B$9*((MAX(0,MIN(1,S77))^2/(MAX(0,MIN(1,S77))^2+(1-MAX(0,MIN(1,S77)))^2/$B$5))-(MAX(0,MIN(1,R77))^2/(MAX(0,MIN(1,R77))^2+(1-MAX(0,MIN(1,R77)))^2/$B$5))))</f>
        <v>0.82927863241625</v>
      </c>
      <c r="T78" s="16" t="n">
        <f aca="false">IF(ABS(T77-$B$11/$B$9*((MAX(0,MIN(1,T77))^2/(MAX(0,MIN(1,T77))^2+(1-MAX(0,MIN(1,T77)))^2/$B$5))-(MAX(0,MIN(1,S77))^2/(MAX(0,MIN(1,S77))^2+(1-MAX(0,MIN(1,S77)))^2/$B$5))))&lt;0.000000001,0,T77-$B$11/$B$9*((MAX(0,MIN(1,T77))^2/(MAX(0,MIN(1,T77))^2+(1-MAX(0,MIN(1,T77)))^2/$B$5))-(MAX(0,MIN(1,S77))^2/(MAX(0,MIN(1,S77))^2+(1-MAX(0,MIN(1,S77)))^2/$B$5))))</f>
        <v>0.81525077803119</v>
      </c>
      <c r="U78" s="16" t="n">
        <f aca="false">IF(ABS(U77-$B$11/$B$9*((MAX(0,MIN(1,U77))^2/(MAX(0,MIN(1,U77))^2+(1-MAX(0,MIN(1,U77)))^2/$B$5))-(MAX(0,MIN(1,T77))^2/(MAX(0,MIN(1,T77))^2+(1-MAX(0,MIN(1,T77)))^2/$B$5))))&lt;0.000000001,0,U77-$B$11/$B$9*((MAX(0,MIN(1,U77))^2/(MAX(0,MIN(1,U77))^2+(1-MAX(0,MIN(1,U77)))^2/$B$5))-(MAX(0,MIN(1,T77))^2/(MAX(0,MIN(1,T77))^2+(1-MAX(0,MIN(1,T77)))^2/$B$5))))</f>
        <v>0.802087416812492</v>
      </c>
      <c r="V78" s="16" t="n">
        <f aca="false">IF(ABS(V77-$B$11/$B$9*((MAX(0,MIN(1,V77))^2/(MAX(0,MIN(1,V77))^2+(1-MAX(0,MIN(1,V77)))^2/$B$5))-(MAX(0,MIN(1,U77))^2/(MAX(0,MIN(1,U77))^2+(1-MAX(0,MIN(1,U77)))^2/$B$5))))&lt;0.000000001,0,V77-$B$11/$B$9*((MAX(0,MIN(1,V77))^2/(MAX(0,MIN(1,V77))^2+(1-MAX(0,MIN(1,V77)))^2/$B$5))-(MAX(0,MIN(1,U77))^2/(MAX(0,MIN(1,U77))^2+(1-MAX(0,MIN(1,U77)))^2/$B$5))))</f>
        <v>0.789663693229891</v>
      </c>
      <c r="W78" s="16" t="n">
        <f aca="false">IF(ABS(W77-$B$11/$B$9*((MAX(0,MIN(1,W77))^2/(MAX(0,MIN(1,W77))^2+(1-MAX(0,MIN(1,W77)))^2/$B$5))-(MAX(0,MIN(1,V77))^2/(MAX(0,MIN(1,V77))^2+(1-MAX(0,MIN(1,V77)))^2/$B$5))))&lt;0.000000001,0,W77-$B$11/$B$9*((MAX(0,MIN(1,W77))^2/(MAX(0,MIN(1,W77))^2+(1-MAX(0,MIN(1,W77)))^2/$B$5))-(MAX(0,MIN(1,V77))^2/(MAX(0,MIN(1,V77))^2+(1-MAX(0,MIN(1,V77)))^2/$B$5))))</f>
        <v>0.777879620034559</v>
      </c>
      <c r="X78" s="16" t="n">
        <f aca="false">IF(ABS(X77-$B$11/$B$9*((MAX(0,MIN(1,X77))^2/(MAX(0,MIN(1,X77))^2+(1-MAX(0,MIN(1,X77)))^2/$B$5))-(MAX(0,MIN(1,W77))^2/(MAX(0,MIN(1,W77))^2+(1-MAX(0,MIN(1,W77)))^2/$B$5))))&lt;0.000000001,0,X77-$B$11/$B$9*((MAX(0,MIN(1,X77))^2/(MAX(0,MIN(1,X77))^2+(1-MAX(0,MIN(1,X77)))^2/$B$5))-(MAX(0,MIN(1,W77))^2/(MAX(0,MIN(1,W77))^2+(1-MAX(0,MIN(1,W77)))^2/$B$5))))</f>
        <v>0.766653366280611</v>
      </c>
      <c r="Y78" s="16" t="n">
        <f aca="false">IF(ABS(Y77-$B$11/$B$9*((MAX(0,MIN(1,Y77))^2/(MAX(0,MIN(1,Y77))^2+(1-MAX(0,MIN(1,Y77)))^2/$B$5))-(MAX(0,MIN(1,X77))^2/(MAX(0,MIN(1,X77))^2+(1-MAX(0,MIN(1,X77)))^2/$B$5))))&lt;0.000000001,0,Y77-$B$11/$B$9*((MAX(0,MIN(1,Y77))^2/(MAX(0,MIN(1,Y77))^2+(1-MAX(0,MIN(1,Y77)))^2/$B$5))-(MAX(0,MIN(1,X77))^2/(MAX(0,MIN(1,X77))^2+(1-MAX(0,MIN(1,X77)))^2/$B$5))))</f>
        <v>0.755916725740276</v>
      </c>
      <c r="Z78" s="16" t="n">
        <f aca="false">IF(ABS(Z77-$B$11/$B$9*((MAX(0,MIN(1,Z77))^2/(MAX(0,MIN(1,Z77))^2+(1-MAX(0,MIN(1,Z77)))^2/$B$5))-(MAX(0,MIN(1,Y77))^2/(MAX(0,MIN(1,Y77))^2+(1-MAX(0,MIN(1,Y77)))^2/$B$5))))&lt;0.000000001,0,Z77-$B$11/$B$9*((MAX(0,MIN(1,Z77))^2/(MAX(0,MIN(1,Z77))^2+(1-MAX(0,MIN(1,Z77)))^2/$B$5))-(MAX(0,MIN(1,Y77))^2/(MAX(0,MIN(1,Y77))^2+(1-MAX(0,MIN(1,Y77)))^2/$B$5))))</f>
        <v>0.745611926839498</v>
      </c>
      <c r="AA78" s="16" t="n">
        <f aca="false">IF(ABS(AA77-$B$11/$B$9*((MAX(0,MIN(1,AA77))^2/(MAX(0,MIN(1,AA77))^2+(1-MAX(0,MIN(1,AA77)))^2/$B$5))-(MAX(0,MIN(1,Z77))^2/(MAX(0,MIN(1,Z77))^2+(1-MAX(0,MIN(1,Z77)))^2/$B$5))))&lt;0.000000001,0,AA77-$B$11/$B$9*((MAX(0,MIN(1,AA77))^2/(MAX(0,MIN(1,AA77))^2+(1-MAX(0,MIN(1,AA77)))^2/$B$5))-(MAX(0,MIN(1,Z77))^2/(MAX(0,MIN(1,Z77))^2+(1-MAX(0,MIN(1,Z77)))^2/$B$5))))</f>
        <v>0.735689305957893</v>
      </c>
      <c r="AB78" s="16" t="n">
        <f aca="false">IF(ABS(AB77-$B$11/$B$9*((MAX(0,MIN(1,AB77))^2/(MAX(0,MIN(1,AB77))^2+(1-MAX(0,MIN(1,AB77)))^2/$B$5))-(MAX(0,MIN(1,AA77))^2/(MAX(0,MIN(1,AA77))^2+(1-MAX(0,MIN(1,AA77)))^2/$B$5))))&lt;0.000000001,0,AB77-$B$11/$B$9*((MAX(0,MIN(1,AB77))^2/(MAX(0,MIN(1,AB77))^2+(1-MAX(0,MIN(1,AB77)))^2/$B$5))-(MAX(0,MIN(1,AA77))^2/(MAX(0,MIN(1,AA77))^2+(1-MAX(0,MIN(1,AA77)))^2/$B$5))))</f>
        <v>0.726105554623888</v>
      </c>
      <c r="AC78" s="16" t="n">
        <f aca="false">IF(ABS(AC77-$B$11/$B$9*((MAX(0,MIN(1,AC77))^2/(MAX(0,MIN(1,AC77))^2+(1-MAX(0,MIN(1,AC77)))^2/$B$5))-(MAX(0,MIN(1,AB77))^2/(MAX(0,MIN(1,AB77))^2+(1-MAX(0,MIN(1,AB77)))^2/$B$5))))&lt;0.000000001,0,AC77-$B$11/$B$9*((MAX(0,MIN(1,AC77))^2/(MAX(0,MIN(1,AC77))^2+(1-MAX(0,MIN(1,AC77)))^2/$B$5))-(MAX(0,MIN(1,AB77))^2/(MAX(0,MIN(1,AB77))^2+(1-MAX(0,MIN(1,AB77)))^2/$B$5))))</f>
        <v>0.716822355680318</v>
      </c>
      <c r="AD78" s="16" t="n">
        <f aca="false">IF(ABS(AD77-$B$11/$B$9*((MAX(0,MIN(1,AD77))^2/(MAX(0,MIN(1,AD77))^2+(1-MAX(0,MIN(1,AD77)))^2/$B$5))-(MAX(0,MIN(1,AC77))^2/(MAX(0,MIN(1,AC77))^2+(1-MAX(0,MIN(1,AC77)))^2/$B$5))))&lt;0.000000001,0,AD77-$B$11/$B$9*((MAX(0,MIN(1,AD77))^2/(MAX(0,MIN(1,AD77))^2+(1-MAX(0,MIN(1,AD77)))^2/$B$5))-(MAX(0,MIN(1,AC77))^2/(MAX(0,MIN(1,AC77))^2+(1-MAX(0,MIN(1,AC77)))^2/$B$5))))</f>
        <v>0.707805283763926</v>
      </c>
      <c r="AE78" s="16" t="n">
        <f aca="false">IF(ABS(AE77-$B$11/$B$9*((MAX(0,MIN(1,AE77))^2/(MAX(0,MIN(1,AE77))^2+(1-MAX(0,MIN(1,AE77)))^2/$B$5))-(MAX(0,MIN(1,AD77))^2/(MAX(0,MIN(1,AD77))^2+(1-MAX(0,MIN(1,AD77)))^2/$B$5))))&lt;0.000000001,0,AE77-$B$11/$B$9*((MAX(0,MIN(1,AE77))^2/(MAX(0,MIN(1,AE77))^2+(1-MAX(0,MIN(1,AE77)))^2/$B$5))-(MAX(0,MIN(1,AD77))^2/(MAX(0,MIN(1,AD77))^2+(1-MAX(0,MIN(1,AD77)))^2/$B$5))))</f>
        <v>0.699022880684508</v>
      </c>
      <c r="AF78" s="16" t="n">
        <f aca="false">IF(ABS(AF77-$B$11/$B$9*((MAX(0,MIN(1,AF77))^2/(MAX(0,MIN(1,AF77))^2+(1-MAX(0,MIN(1,AF77)))^2/$B$5))-(MAX(0,MIN(1,AE77))^2/(MAX(0,MIN(1,AE77))^2+(1-MAX(0,MIN(1,AE77)))^2/$B$5))))&lt;0.000000001,0,AF77-$B$11/$B$9*((MAX(0,MIN(1,AF77))^2/(MAX(0,MIN(1,AF77))^2+(1-MAX(0,MIN(1,AF77)))^2/$B$5))-(MAX(0,MIN(1,AE77))^2/(MAX(0,MIN(1,AE77))^2+(1-MAX(0,MIN(1,AE77)))^2/$B$5))))</f>
        <v>0.690445836076041</v>
      </c>
    </row>
    <row r="79" customFormat="false" ht="15" hidden="false" customHeight="false" outlineLevel="0" collapsed="false">
      <c r="A79" s="0" t="n">
        <v>0.74</v>
      </c>
      <c r="D79" s="0" t="n">
        <f aca="false">A79</f>
        <v>0.74</v>
      </c>
      <c r="E79" s="0" t="n">
        <f aca="false">(G79-G78)/(A79-A78)</f>
        <v>0.58848391951074</v>
      </c>
      <c r="F79" s="0" t="n">
        <f aca="false">G79/A79</f>
        <v>1.27278981768146</v>
      </c>
      <c r="G79" s="0" t="n">
        <f aca="false">A79^2/(A79^2+(1-A79)^2/$B$5)</f>
        <v>0.941864465084279</v>
      </c>
      <c r="L79" s="0" t="n">
        <v>69</v>
      </c>
      <c r="M79" s="16" t="n">
        <f aca="false">IF(ABS(M78-$B$11/$B$9*((MAX(0,MIN(1,M78))^2/(MAX(0,MIN(1,M78))^2+(1-MAX(0,MIN(1,M78)))^2/$B$5))-(MAX(0,MIN(1,1))^2/(MAX(0,MIN(1,1))^2+(1-MAX(0,MIN(1,1)))^2/$B$5))))&lt;0.000000001,0,M78-$B$11/$B$9*((MAX(0,MIN(1,M78))^2/(MAX(0,MIN(1,M78))^2+(1-MAX(0,MIN(1,M78)))^2/$B$5))-(MAX(0,MIN(1,1))^2/(MAX(0,MIN(1,1))^2+(1-MAX(0,MIN(1,1)))^2/$B$5))))</f>
        <v>0.948583071242197</v>
      </c>
      <c r="N79" s="16" t="n">
        <f aca="false">IF(ABS(N78-$B$11/$B$9*((MAX(0,MIN(1,N78))^2/(MAX(0,MIN(1,N78))^2+(1-MAX(0,MIN(1,N78)))^2/$B$5))-(MAX(0,MIN(1,M78))^2/(MAX(0,MIN(1,M78))^2+(1-MAX(0,MIN(1,M78)))^2/$B$5))))&lt;0.000000001,0,N78-$B$11/$B$9*((MAX(0,MIN(1,N78))^2/(MAX(0,MIN(1,N78))^2+(1-MAX(0,MIN(1,N78)))^2/$B$5))-(MAX(0,MIN(1,M78))^2/(MAX(0,MIN(1,M78))^2+(1-MAX(0,MIN(1,M78)))^2/$B$5))))</f>
        <v>0.921680541413838</v>
      </c>
      <c r="O79" s="16" t="n">
        <f aca="false">IF(ABS(O78-$B$11/$B$9*((MAX(0,MIN(1,O78))^2/(MAX(0,MIN(1,O78))^2+(1-MAX(0,MIN(1,O78)))^2/$B$5))-(MAX(0,MIN(1,N78))^2/(MAX(0,MIN(1,N78))^2+(1-MAX(0,MIN(1,N78)))^2/$B$5))))&lt;0.000000001,0,O78-$B$11/$B$9*((MAX(0,MIN(1,O78))^2/(MAX(0,MIN(1,O78))^2+(1-MAX(0,MIN(1,O78)))^2/$B$5))-(MAX(0,MIN(1,N78))^2/(MAX(0,MIN(1,N78))^2+(1-MAX(0,MIN(1,N78)))^2/$B$5))))</f>
        <v>0.8992957762356</v>
      </c>
      <c r="P79" s="16" t="n">
        <f aca="false">IF(ABS(P78-$B$11/$B$9*((MAX(0,MIN(1,P78))^2/(MAX(0,MIN(1,P78))^2+(1-MAX(0,MIN(1,P78)))^2/$B$5))-(MAX(0,MIN(1,O78))^2/(MAX(0,MIN(1,O78))^2+(1-MAX(0,MIN(1,O78)))^2/$B$5))))&lt;0.000000001,0,P78-$B$11/$B$9*((MAX(0,MIN(1,P78))^2/(MAX(0,MIN(1,P78))^2+(1-MAX(0,MIN(1,P78)))^2/$B$5))-(MAX(0,MIN(1,O78))^2/(MAX(0,MIN(1,O78))^2+(1-MAX(0,MIN(1,O78)))^2/$B$5))))</f>
        <v>0.879643188799356</v>
      </c>
      <c r="Q79" s="16" t="n">
        <f aca="false">IF(ABS(Q78-$B$11/$B$9*((MAX(0,MIN(1,Q78))^2/(MAX(0,MIN(1,Q78))^2+(1-MAX(0,MIN(1,Q78)))^2/$B$5))-(MAX(0,MIN(1,P78))^2/(MAX(0,MIN(1,P78))^2+(1-MAX(0,MIN(1,P78)))^2/$B$5))))&lt;0.000000001,0,Q78-$B$11/$B$9*((MAX(0,MIN(1,Q78))^2/(MAX(0,MIN(1,Q78))^2+(1-MAX(0,MIN(1,Q78)))^2/$B$5))-(MAX(0,MIN(1,P78))^2/(MAX(0,MIN(1,P78))^2+(1-MAX(0,MIN(1,P78)))^2/$B$5))))</f>
        <v>0.861952604269128</v>
      </c>
      <c r="R79" s="16" t="n">
        <f aca="false">IF(ABS(R78-$B$11/$B$9*((MAX(0,MIN(1,R78))^2/(MAX(0,MIN(1,R78))^2+(1-MAX(0,MIN(1,R78)))^2/$B$5))-(MAX(0,MIN(1,Q78))^2/(MAX(0,MIN(1,Q78))^2+(1-MAX(0,MIN(1,Q78)))^2/$B$5))))&lt;0.000000001,0,R78-$B$11/$B$9*((MAX(0,MIN(1,R78))^2/(MAX(0,MIN(1,R78))^2+(1-MAX(0,MIN(1,R78)))^2/$B$5))-(MAX(0,MIN(1,Q78))^2/(MAX(0,MIN(1,Q78))^2+(1-MAX(0,MIN(1,Q78)))^2/$B$5))))</f>
        <v>0.845779970699053</v>
      </c>
      <c r="S79" s="16" t="n">
        <f aca="false">IF(ABS(S78-$B$11/$B$9*((MAX(0,MIN(1,S78))^2/(MAX(0,MIN(1,S78))^2+(1-MAX(0,MIN(1,S78)))^2/$B$5))-(MAX(0,MIN(1,R78))^2/(MAX(0,MIN(1,R78))^2+(1-MAX(0,MIN(1,R78)))^2/$B$5))))&lt;0.000000001,0,S78-$B$11/$B$9*((MAX(0,MIN(1,S78))^2/(MAX(0,MIN(1,S78))^2+(1-MAX(0,MIN(1,S78)))^2/$B$5))-(MAX(0,MIN(1,R78))^2/(MAX(0,MIN(1,R78))^2+(1-MAX(0,MIN(1,R78)))^2/$B$5))))</f>
        <v>0.830831736196236</v>
      </c>
      <c r="T79" s="16" t="n">
        <f aca="false">IF(ABS(T78-$B$11/$B$9*((MAX(0,MIN(1,T78))^2/(MAX(0,MIN(1,T78))^2+(1-MAX(0,MIN(1,T78)))^2/$B$5))-(MAX(0,MIN(1,S78))^2/(MAX(0,MIN(1,S78))^2+(1-MAX(0,MIN(1,S78)))^2/$B$5))))&lt;0.000000001,0,T78-$B$11/$B$9*((MAX(0,MIN(1,T78))^2/(MAX(0,MIN(1,T78))^2+(1-MAX(0,MIN(1,T78)))^2/$B$5))-(MAX(0,MIN(1,S78))^2/(MAX(0,MIN(1,S78))^2+(1-MAX(0,MIN(1,S78)))^2/$B$5))))</f>
        <v>0.816898005100355</v>
      </c>
      <c r="U79" s="16" t="n">
        <f aca="false">IF(ABS(U78-$B$11/$B$9*((MAX(0,MIN(1,U78))^2/(MAX(0,MIN(1,U78))^2+(1-MAX(0,MIN(1,U78)))^2/$B$5))-(MAX(0,MIN(1,T78))^2/(MAX(0,MIN(1,T78))^2+(1-MAX(0,MIN(1,T78)))^2/$B$5))))&lt;0.000000001,0,U78-$B$11/$B$9*((MAX(0,MIN(1,U78))^2/(MAX(0,MIN(1,U78))^2+(1-MAX(0,MIN(1,U78)))^2/$B$5))-(MAX(0,MIN(1,T78))^2/(MAX(0,MIN(1,T78))^2+(1-MAX(0,MIN(1,T78)))^2/$B$5))))</f>
        <v>0.803820885072061</v>
      </c>
      <c r="V79" s="16" t="n">
        <f aca="false">IF(ABS(V78-$B$11/$B$9*((MAX(0,MIN(1,V78))^2/(MAX(0,MIN(1,V78))^2+(1-MAX(0,MIN(1,V78)))^2/$B$5))-(MAX(0,MIN(1,U78))^2/(MAX(0,MIN(1,U78))^2+(1-MAX(0,MIN(1,U78)))^2/$B$5))))&lt;0.000000001,0,V78-$B$11/$B$9*((MAX(0,MIN(1,V78))^2/(MAX(0,MIN(1,V78))^2+(1-MAX(0,MIN(1,V78)))^2/$B$5))-(MAX(0,MIN(1,U78))^2/(MAX(0,MIN(1,U78))^2+(1-MAX(0,MIN(1,U78)))^2/$B$5))))</f>
        <v>0.791477271299928</v>
      </c>
      <c r="W79" s="16" t="n">
        <f aca="false">IF(ABS(W78-$B$11/$B$9*((MAX(0,MIN(1,W78))^2/(MAX(0,MIN(1,W78))^2+(1-MAX(0,MIN(1,W78)))^2/$B$5))-(MAX(0,MIN(1,V78))^2/(MAX(0,MIN(1,V78))^2+(1-MAX(0,MIN(1,V78)))^2/$B$5))))&lt;0.000000001,0,W78-$B$11/$B$9*((MAX(0,MIN(1,W78))^2/(MAX(0,MIN(1,W78))^2+(1-MAX(0,MIN(1,W78)))^2/$B$5))-(MAX(0,MIN(1,V78))^2/(MAX(0,MIN(1,V78))^2+(1-MAX(0,MIN(1,V78)))^2/$B$5))))</f>
        <v>0.779768550001387</v>
      </c>
      <c r="X79" s="16" t="n">
        <f aca="false">IF(ABS(X78-$B$11/$B$9*((MAX(0,MIN(1,X78))^2/(MAX(0,MIN(1,X78))^2+(1-MAX(0,MIN(1,X78)))^2/$B$5))-(MAX(0,MIN(1,W78))^2/(MAX(0,MIN(1,W78))^2+(1-MAX(0,MIN(1,W78)))^2/$B$5))))&lt;0.000000001,0,X78-$B$11/$B$9*((MAX(0,MIN(1,X78))^2/(MAX(0,MIN(1,X78))^2+(1-MAX(0,MIN(1,X78)))^2/$B$5))-(MAX(0,MIN(1,W78))^2/(MAX(0,MIN(1,W78))^2+(1-MAX(0,MIN(1,W78)))^2/$B$5))))</f>
        <v>0.768614001697942</v>
      </c>
      <c r="Y79" s="16" t="n">
        <f aca="false">IF(ABS(Y78-$B$11/$B$9*((MAX(0,MIN(1,Y78))^2/(MAX(0,MIN(1,Y78))^2+(1-MAX(0,MIN(1,Y78)))^2/$B$5))-(MAX(0,MIN(1,X78))^2/(MAX(0,MIN(1,X78))^2+(1-MAX(0,MIN(1,X78)))^2/$B$5))))&lt;0.000000001,0,Y78-$B$11/$B$9*((MAX(0,MIN(1,Y78))^2/(MAX(0,MIN(1,Y78))^2+(1-MAX(0,MIN(1,Y78)))^2/$B$5))-(MAX(0,MIN(1,X78))^2/(MAX(0,MIN(1,X78))^2+(1-MAX(0,MIN(1,X78)))^2/$B$5))))</f>
        <v>0.757946348200213</v>
      </c>
      <c r="Z79" s="16" t="n">
        <f aca="false">IF(ABS(Z78-$B$11/$B$9*((MAX(0,MIN(1,Z78))^2/(MAX(0,MIN(1,Z78))^2+(1-MAX(0,MIN(1,Z78)))^2/$B$5))-(MAX(0,MIN(1,Y78))^2/(MAX(0,MIN(1,Y78))^2+(1-MAX(0,MIN(1,Y78)))^2/$B$5))))&lt;0.000000001,0,Z78-$B$11/$B$9*((MAX(0,MIN(1,Z78))^2/(MAX(0,MIN(1,Z78))^2+(1-MAX(0,MIN(1,Z78)))^2/$B$5))-(MAX(0,MIN(1,Y78))^2/(MAX(0,MIN(1,Y78))^2+(1-MAX(0,MIN(1,Y78)))^2/$B$5))))</f>
        <v>0.74770861895508</v>
      </c>
      <c r="AA79" s="16" t="n">
        <f aca="false">IF(ABS(AA78-$B$11/$B$9*((MAX(0,MIN(1,AA78))^2/(MAX(0,MIN(1,AA78))^2+(1-MAX(0,MIN(1,AA78)))^2/$B$5))-(MAX(0,MIN(1,Z78))^2/(MAX(0,MIN(1,Z78))^2+(1-MAX(0,MIN(1,Z78)))^2/$B$5))))&lt;0.000000001,0,AA78-$B$11/$B$9*((MAX(0,MIN(1,AA78))^2/(MAX(0,MIN(1,AA78))^2+(1-MAX(0,MIN(1,AA78)))^2/$B$5))-(MAX(0,MIN(1,Z78))^2/(MAX(0,MIN(1,Z78))^2+(1-MAX(0,MIN(1,Z78)))^2/$B$5))))</f>
        <v>0.737851867251376</v>
      </c>
      <c r="AB79" s="16" t="n">
        <f aca="false">IF(ABS(AB78-$B$11/$B$9*((MAX(0,MIN(1,AB78))^2/(MAX(0,MIN(1,AB78))^2+(1-MAX(0,MIN(1,AB78)))^2/$B$5))-(MAX(0,MIN(1,AA78))^2/(MAX(0,MIN(1,AA78))^2+(1-MAX(0,MIN(1,AA78)))^2/$B$5))))&lt;0.000000001,0,AB78-$B$11/$B$9*((MAX(0,MIN(1,AB78))^2/(MAX(0,MIN(1,AB78))^2+(1-MAX(0,MIN(1,AB78)))^2/$B$5))-(MAX(0,MIN(1,AA78))^2/(MAX(0,MIN(1,AA78))^2+(1-MAX(0,MIN(1,AA78)))^2/$B$5))))</f>
        <v>0.728333452410993</v>
      </c>
      <c r="AC79" s="16" t="n">
        <f aca="false">IF(ABS(AC78-$B$11/$B$9*((MAX(0,MIN(1,AC78))^2/(MAX(0,MIN(1,AC78))^2+(1-MAX(0,MIN(1,AC78)))^2/$B$5))-(MAX(0,MIN(1,AB78))^2/(MAX(0,MIN(1,AB78))^2+(1-MAX(0,MIN(1,AB78)))^2/$B$5))))&lt;0.000000001,0,AC78-$B$11/$B$9*((MAX(0,MIN(1,AC78))^2/(MAX(0,MIN(1,AC78))^2+(1-MAX(0,MIN(1,AC78)))^2/$B$5))-(MAX(0,MIN(1,AB78))^2/(MAX(0,MIN(1,AB78))^2+(1-MAX(0,MIN(1,AB78)))^2/$B$5))))</f>
        <v>0.719115707048754</v>
      </c>
      <c r="AD79" s="16" t="n">
        <f aca="false">IF(ABS(AD78-$B$11/$B$9*((MAX(0,MIN(1,AD78))^2/(MAX(0,MIN(1,AD78))^2+(1-MAX(0,MIN(1,AD78)))^2/$B$5))-(MAX(0,MIN(1,AC78))^2/(MAX(0,MIN(1,AC78))^2+(1-MAX(0,MIN(1,AC78)))^2/$B$5))))&lt;0.000000001,0,AD78-$B$11/$B$9*((MAX(0,MIN(1,AD78))^2/(MAX(0,MIN(1,AD78))^2+(1-MAX(0,MIN(1,AD78)))^2/$B$5))-(MAX(0,MIN(1,AC78))^2/(MAX(0,MIN(1,AC78))^2+(1-MAX(0,MIN(1,AC78)))^2/$B$5))))</f>
        <v>0.710164868029034</v>
      </c>
      <c r="AE79" s="16" t="n">
        <f aca="false">IF(ABS(AE78-$B$11/$B$9*((MAX(0,MIN(1,AE78))^2/(MAX(0,MIN(1,AE78))^2+(1-MAX(0,MIN(1,AE78)))^2/$B$5))-(MAX(0,MIN(1,AD78))^2/(MAX(0,MIN(1,AD78))^2+(1-MAX(0,MIN(1,AD78)))^2/$B$5))))&lt;0.000000001,0,AE78-$B$11/$B$9*((MAX(0,MIN(1,AE78))^2/(MAX(0,MIN(1,AE78))^2+(1-MAX(0,MIN(1,AE78)))^2/$B$5))-(MAX(0,MIN(1,AD78))^2/(MAX(0,MIN(1,AD78))^2+(1-MAX(0,MIN(1,AD78)))^2/$B$5))))</f>
        <v>0.701450184880297</v>
      </c>
      <c r="AF79" s="16" t="n">
        <f aca="false">IF(ABS(AF78-$B$11/$B$9*((MAX(0,MIN(1,AF78))^2/(MAX(0,MIN(1,AF78))^2+(1-MAX(0,MIN(1,AF78)))^2/$B$5))-(MAX(0,MIN(1,AE78))^2/(MAX(0,MIN(1,AE78))^2+(1-MAX(0,MIN(1,AE78)))^2/$B$5))))&lt;0.000000001,0,AF78-$B$11/$B$9*((MAX(0,MIN(1,AF78))^2/(MAX(0,MIN(1,AF78))^2+(1-MAX(0,MIN(1,AF78)))^2/$B$5))-(MAX(0,MIN(1,AE78))^2/(MAX(0,MIN(1,AE78))^2+(1-MAX(0,MIN(1,AE78)))^2/$B$5))))</f>
        <v>0.692943139687271</v>
      </c>
    </row>
    <row r="80" customFormat="false" ht="15" hidden="false" customHeight="false" outlineLevel="0" collapsed="false">
      <c r="A80" s="0" t="n">
        <v>0.75</v>
      </c>
      <c r="D80" s="0" t="n">
        <f aca="false">A80</f>
        <v>0.75</v>
      </c>
      <c r="E80" s="0" t="n">
        <f aca="false">(G80-G79)/(A80-A79)</f>
        <v>0.550395596835229</v>
      </c>
      <c r="F80" s="0" t="n">
        <f aca="false">G80/A80</f>
        <v>1.26315789473684</v>
      </c>
      <c r="G80" s="0" t="n">
        <f aca="false">A80^2/(A80^2+(1-A80)^2/$B$5)</f>
        <v>0.947368421052632</v>
      </c>
      <c r="L80" s="0" t="n">
        <v>70</v>
      </c>
      <c r="M80" s="16" t="n">
        <f aca="false">IF(ABS(M79-$B$11/$B$9*((MAX(0,MIN(1,M79))^2/(MAX(0,MIN(1,M79))^2+(1-MAX(0,MIN(1,M79)))^2/$B$5))-(MAX(0,MIN(1,1))^2/(MAX(0,MIN(1,1))^2+(1-MAX(0,MIN(1,1)))^2/$B$5))))&lt;0.000000001,0,M79-$B$11/$B$9*((MAX(0,MIN(1,M79))^2/(MAX(0,MIN(1,M79))^2+(1-MAX(0,MIN(1,M79)))^2/$B$5))-(MAX(0,MIN(1,1))^2/(MAX(0,MIN(1,1))^2+(1-MAX(0,MIN(1,1)))^2/$B$5))))</f>
        <v>0.949147131882198</v>
      </c>
      <c r="N80" s="16" t="n">
        <f aca="false">IF(ABS(N79-$B$11/$B$9*((MAX(0,MIN(1,N79))^2/(MAX(0,MIN(1,N79))^2+(1-MAX(0,MIN(1,N79)))^2/$B$5))-(MAX(0,MIN(1,M79))^2/(MAX(0,MIN(1,M79))^2+(1-MAX(0,MIN(1,M79)))^2/$B$5))))&lt;0.000000001,0,N79-$B$11/$B$9*((MAX(0,MIN(1,N79))^2/(MAX(0,MIN(1,N79))^2+(1-MAX(0,MIN(1,N79)))^2/$B$5))-(MAX(0,MIN(1,M79))^2/(MAX(0,MIN(1,M79))^2+(1-MAX(0,MIN(1,M79)))^2/$B$5))))</f>
        <v>0.922499776973343</v>
      </c>
      <c r="O80" s="16" t="n">
        <f aca="false">IF(ABS(O79-$B$11/$B$9*((MAX(0,MIN(1,O79))^2/(MAX(0,MIN(1,O79))^2+(1-MAX(0,MIN(1,O79)))^2/$B$5))-(MAX(0,MIN(1,N79))^2/(MAX(0,MIN(1,N79))^2+(1-MAX(0,MIN(1,N79)))^2/$B$5))))&lt;0.000000001,0,O79-$B$11/$B$9*((MAX(0,MIN(1,O79))^2/(MAX(0,MIN(1,O79))^2+(1-MAX(0,MIN(1,O79)))^2/$B$5))-(MAX(0,MIN(1,N79))^2/(MAX(0,MIN(1,N79))^2+(1-MAX(0,MIN(1,N79)))^2/$B$5))))</f>
        <v>0.900308429104923</v>
      </c>
      <c r="P80" s="16" t="n">
        <f aca="false">IF(ABS(P79-$B$11/$B$9*((MAX(0,MIN(1,P79))^2/(MAX(0,MIN(1,P79))^2+(1-MAX(0,MIN(1,P79)))^2/$B$5))-(MAX(0,MIN(1,O79))^2/(MAX(0,MIN(1,O79))^2+(1-MAX(0,MIN(1,O79)))^2/$B$5))))&lt;0.000000001,0,P79-$B$11/$B$9*((MAX(0,MIN(1,P79))^2/(MAX(0,MIN(1,P79))^2+(1-MAX(0,MIN(1,P79)))^2/$B$5))-(MAX(0,MIN(1,O79))^2/(MAX(0,MIN(1,O79))^2+(1-MAX(0,MIN(1,O79)))^2/$B$5))))</f>
        <v>0.880813259576867</v>
      </c>
      <c r="Q80" s="16" t="n">
        <f aca="false">IF(ABS(Q79-$B$11/$B$9*((MAX(0,MIN(1,Q79))^2/(MAX(0,MIN(1,Q79))^2+(1-MAX(0,MIN(1,Q79)))^2/$B$5))-(MAX(0,MIN(1,P79))^2/(MAX(0,MIN(1,P79))^2+(1-MAX(0,MIN(1,P79)))^2/$B$5))))&lt;0.000000001,0,Q79-$B$11/$B$9*((MAX(0,MIN(1,Q79))^2/(MAX(0,MIN(1,Q79))^2+(1-MAX(0,MIN(1,Q79)))^2/$B$5))-(MAX(0,MIN(1,P79))^2/(MAX(0,MIN(1,P79))^2+(1-MAX(0,MIN(1,P79)))^2/$B$5))))</f>
        <v>0.863255777756472</v>
      </c>
      <c r="R80" s="16" t="n">
        <f aca="false">IF(ABS(R79-$B$11/$B$9*((MAX(0,MIN(1,R79))^2/(MAX(0,MIN(1,R79))^2+(1-MAX(0,MIN(1,R79)))^2/$B$5))-(MAX(0,MIN(1,Q79))^2/(MAX(0,MIN(1,Q79))^2+(1-MAX(0,MIN(1,Q79)))^2/$B$5))))&lt;0.000000001,0,R79-$B$11/$B$9*((MAX(0,MIN(1,R79))^2/(MAX(0,MIN(1,R79))^2+(1-MAX(0,MIN(1,R79)))^2/$B$5))-(MAX(0,MIN(1,Q79))^2/(MAX(0,MIN(1,Q79))^2+(1-MAX(0,MIN(1,Q79)))^2/$B$5))))</f>
        <v>0.847198714461351</v>
      </c>
      <c r="S80" s="16" t="n">
        <f aca="false">IF(ABS(S79-$B$11/$B$9*((MAX(0,MIN(1,S79))^2/(MAX(0,MIN(1,S79))^2+(1-MAX(0,MIN(1,S79)))^2/$B$5))-(MAX(0,MIN(1,R79))^2/(MAX(0,MIN(1,R79))^2+(1-MAX(0,MIN(1,R79)))^2/$B$5))))&lt;0.000000001,0,S79-$B$11/$B$9*((MAX(0,MIN(1,S79))^2/(MAX(0,MIN(1,S79))^2+(1-MAX(0,MIN(1,S79)))^2/$B$5))-(MAX(0,MIN(1,R79))^2/(MAX(0,MIN(1,R79))^2+(1-MAX(0,MIN(1,R79)))^2/$B$5))))</f>
        <v>0.832352933650343</v>
      </c>
      <c r="T80" s="16" t="n">
        <f aca="false">IF(ABS(T79-$B$11/$B$9*((MAX(0,MIN(1,T79))^2/(MAX(0,MIN(1,T79))^2+(1-MAX(0,MIN(1,T79)))^2/$B$5))-(MAX(0,MIN(1,S79))^2/(MAX(0,MIN(1,S79))^2+(1-MAX(0,MIN(1,S79)))^2/$B$5))))&lt;0.000000001,0,T79-$B$11/$B$9*((MAX(0,MIN(1,T79))^2/(MAX(0,MIN(1,T79))^2+(1-MAX(0,MIN(1,T79)))^2/$B$5))-(MAX(0,MIN(1,S79))^2/(MAX(0,MIN(1,S79))^2+(1-MAX(0,MIN(1,S79)))^2/$B$5))))</f>
        <v>0.818511617976616</v>
      </c>
      <c r="U80" s="16" t="n">
        <f aca="false">IF(ABS(U79-$B$11/$B$9*((MAX(0,MIN(1,U79))^2/(MAX(0,MIN(1,U79))^2+(1-MAX(0,MIN(1,U79)))^2/$B$5))-(MAX(0,MIN(1,T79))^2/(MAX(0,MIN(1,T79))^2+(1-MAX(0,MIN(1,T79)))^2/$B$5))))&lt;0.000000001,0,U79-$B$11/$B$9*((MAX(0,MIN(1,U79))^2/(MAX(0,MIN(1,U79))^2+(1-MAX(0,MIN(1,U79)))^2/$B$5))-(MAX(0,MIN(1,T79))^2/(MAX(0,MIN(1,T79))^2+(1-MAX(0,MIN(1,T79)))^2/$B$5))))</f>
        <v>0.805519125849319</v>
      </c>
      <c r="V80" s="16" t="n">
        <f aca="false">IF(ABS(V79-$B$11/$B$9*((MAX(0,MIN(1,V79))^2/(MAX(0,MIN(1,V79))^2+(1-MAX(0,MIN(1,V79)))^2/$B$5))-(MAX(0,MIN(1,U79))^2/(MAX(0,MIN(1,U79))^2+(1-MAX(0,MIN(1,U79)))^2/$B$5))))&lt;0.000000001,0,V79-$B$11/$B$9*((MAX(0,MIN(1,V79))^2/(MAX(0,MIN(1,V79))^2+(1-MAX(0,MIN(1,V79)))^2/$B$5))-(MAX(0,MIN(1,U79))^2/(MAX(0,MIN(1,U79))^2+(1-MAX(0,MIN(1,U79)))^2/$B$5))))</f>
        <v>0.793254060830498</v>
      </c>
      <c r="W80" s="16" t="n">
        <f aca="false">IF(ABS(W79-$B$11/$B$9*((MAX(0,MIN(1,W79))^2/(MAX(0,MIN(1,W79))^2+(1-MAX(0,MIN(1,W79)))^2/$B$5))-(MAX(0,MIN(1,V79))^2/(MAX(0,MIN(1,V79))^2+(1-MAX(0,MIN(1,V79)))^2/$B$5))))&lt;0.000000001,0,W79-$B$11/$B$9*((MAX(0,MIN(1,W79))^2/(MAX(0,MIN(1,W79))^2+(1-MAX(0,MIN(1,W79)))^2/$B$5))-(MAX(0,MIN(1,V79))^2/(MAX(0,MIN(1,V79))^2+(1-MAX(0,MIN(1,V79)))^2/$B$5))))</f>
        <v>0.78161914832433</v>
      </c>
      <c r="X80" s="16" t="n">
        <f aca="false">IF(ABS(X79-$B$11/$B$9*((MAX(0,MIN(1,X79))^2/(MAX(0,MIN(1,X79))^2+(1-MAX(0,MIN(1,X79)))^2/$B$5))-(MAX(0,MIN(1,W79))^2/(MAX(0,MIN(1,W79))^2+(1-MAX(0,MIN(1,W79)))^2/$B$5))))&lt;0.000000001,0,X79-$B$11/$B$9*((MAX(0,MIN(1,X79))^2/(MAX(0,MIN(1,X79))^2+(1-MAX(0,MIN(1,X79)))^2/$B$5))-(MAX(0,MIN(1,W79))^2/(MAX(0,MIN(1,W79))^2+(1-MAX(0,MIN(1,W79)))^2/$B$5))))</f>
        <v>0.770534750751151</v>
      </c>
      <c r="Y80" s="16" t="n">
        <f aca="false">IF(ABS(Y79-$B$11/$B$9*((MAX(0,MIN(1,Y79))^2/(MAX(0,MIN(1,Y79))^2+(1-MAX(0,MIN(1,Y79)))^2/$B$5))-(MAX(0,MIN(1,X79))^2/(MAX(0,MIN(1,X79))^2+(1-MAX(0,MIN(1,X79)))^2/$B$5))))&lt;0.000000001,0,Y79-$B$11/$B$9*((MAX(0,MIN(1,Y79))^2/(MAX(0,MIN(1,Y79))^2+(1-MAX(0,MIN(1,Y79)))^2/$B$5))-(MAX(0,MIN(1,X79))^2/(MAX(0,MIN(1,X79))^2+(1-MAX(0,MIN(1,X79)))^2/$B$5))))</f>
        <v>0.759934490696375</v>
      </c>
      <c r="Z80" s="16" t="n">
        <f aca="false">IF(ABS(Z79-$B$11/$B$9*((MAX(0,MIN(1,Z79))^2/(MAX(0,MIN(1,Z79))^2+(1-MAX(0,MIN(1,Z79)))^2/$B$5))-(MAX(0,MIN(1,Y79))^2/(MAX(0,MIN(1,Y79))^2+(1-MAX(0,MIN(1,Y79)))^2/$B$5))))&lt;0.000000001,0,Z79-$B$11/$B$9*((MAX(0,MIN(1,Z79))^2/(MAX(0,MIN(1,Z79))^2+(1-MAX(0,MIN(1,Z79)))^2/$B$5))-(MAX(0,MIN(1,Y79))^2/(MAX(0,MIN(1,Y79))^2+(1-MAX(0,MIN(1,Y79)))^2/$B$5))))</f>
        <v>0.749762171744147</v>
      </c>
      <c r="AA80" s="16" t="n">
        <f aca="false">IF(ABS(AA79-$B$11/$B$9*((MAX(0,MIN(1,AA79))^2/(MAX(0,MIN(1,AA79))^2+(1-MAX(0,MIN(1,AA79)))^2/$B$5))-(MAX(0,MIN(1,Z79))^2/(MAX(0,MIN(1,Z79))^2+(1-MAX(0,MIN(1,Z79)))^2/$B$5))))&lt;0.000000001,0,AA79-$B$11/$B$9*((MAX(0,MIN(1,AA79))^2/(MAX(0,MIN(1,AA79))^2+(1-MAX(0,MIN(1,AA79)))^2/$B$5))-(MAX(0,MIN(1,Z79))^2/(MAX(0,MIN(1,Z79))^2+(1-MAX(0,MIN(1,Z79)))^2/$B$5))))</f>
        <v>0.739969535835203</v>
      </c>
      <c r="AB80" s="16" t="n">
        <f aca="false">IF(ABS(AB79-$B$11/$B$9*((MAX(0,MIN(1,AB79))^2/(MAX(0,MIN(1,AB79))^2+(1-MAX(0,MIN(1,AB79)))^2/$B$5))-(MAX(0,MIN(1,AA79))^2/(MAX(0,MIN(1,AA79))^2+(1-MAX(0,MIN(1,AA79)))^2/$B$5))))&lt;0.000000001,0,AB79-$B$11/$B$9*((MAX(0,MIN(1,AB79))^2/(MAX(0,MIN(1,AB79))^2+(1-MAX(0,MIN(1,AB79)))^2/$B$5))-(MAX(0,MIN(1,AA79))^2/(MAX(0,MIN(1,AA79))^2+(1-MAX(0,MIN(1,AA79)))^2/$B$5))))</f>
        <v>0.730514578626466</v>
      </c>
      <c r="AC80" s="16" t="n">
        <f aca="false">IF(ABS(AC79-$B$11/$B$9*((MAX(0,MIN(1,AC79))^2/(MAX(0,MIN(1,AC79))^2+(1-MAX(0,MIN(1,AC79)))^2/$B$5))-(MAX(0,MIN(1,AB79))^2/(MAX(0,MIN(1,AB79))^2+(1-MAX(0,MIN(1,AB79)))^2/$B$5))))&lt;0.000000001,0,AC79-$B$11/$B$9*((MAX(0,MIN(1,AC79))^2/(MAX(0,MIN(1,AC79))^2+(1-MAX(0,MIN(1,AC79)))^2/$B$5))-(MAX(0,MIN(1,AB79))^2/(MAX(0,MIN(1,AB79))^2+(1-MAX(0,MIN(1,AB79)))^2/$B$5))))</f>
        <v>0.721360245704852</v>
      </c>
      <c r="AD80" s="16" t="n">
        <f aca="false">IF(ABS(AD79-$B$11/$B$9*((MAX(0,MIN(1,AD79))^2/(MAX(0,MIN(1,AD79))^2+(1-MAX(0,MIN(1,AD79)))^2/$B$5))-(MAX(0,MIN(1,AC79))^2/(MAX(0,MIN(1,AC79))^2+(1-MAX(0,MIN(1,AC79)))^2/$B$5))))&lt;0.000000001,0,AD79-$B$11/$B$9*((MAX(0,MIN(1,AD79))^2/(MAX(0,MIN(1,AD79))^2+(1-MAX(0,MIN(1,AD79)))^2/$B$5))-(MAX(0,MIN(1,AC79))^2/(MAX(0,MIN(1,AC79))^2+(1-MAX(0,MIN(1,AC79)))^2/$B$5))))</f>
        <v>0.712473391286852</v>
      </c>
      <c r="AE80" s="16" t="n">
        <f aca="false">IF(ABS(AE79-$B$11/$B$9*((MAX(0,MIN(1,AE79))^2/(MAX(0,MIN(1,AE79))^2+(1-MAX(0,MIN(1,AE79)))^2/$B$5))-(MAX(0,MIN(1,AD79))^2/(MAX(0,MIN(1,AD79))^2+(1-MAX(0,MIN(1,AD79)))^2/$B$5))))&lt;0.000000001,0,AE79-$B$11/$B$9*((MAX(0,MIN(1,AE79))^2/(MAX(0,MIN(1,AE79))^2+(1-MAX(0,MIN(1,AE79)))^2/$B$5))-(MAX(0,MIN(1,AD79))^2/(MAX(0,MIN(1,AD79))^2+(1-MAX(0,MIN(1,AD79)))^2/$B$5))))</f>
        <v>0.703823915961285</v>
      </c>
      <c r="AF80" s="16" t="n">
        <f aca="false">IF(ABS(AF79-$B$11/$B$9*((MAX(0,MIN(1,AF79))^2/(MAX(0,MIN(1,AF79))^2+(1-MAX(0,MIN(1,AF79)))^2/$B$5))-(MAX(0,MIN(1,AE79))^2/(MAX(0,MIN(1,AE79))^2+(1-MAX(0,MIN(1,AE79)))^2/$B$5))))&lt;0.000000001,0,AF79-$B$11/$B$9*((MAX(0,MIN(1,AF79))^2/(MAX(0,MIN(1,AF79))^2+(1-MAX(0,MIN(1,AF79)))^2/$B$5))-(MAX(0,MIN(1,AE79))^2/(MAX(0,MIN(1,AE79))^2+(1-MAX(0,MIN(1,AE79)))^2/$B$5))))</f>
        <v>0.695384020578474</v>
      </c>
    </row>
    <row r="81" customFormat="false" ht="15" hidden="false" customHeight="false" outlineLevel="0" collapsed="false">
      <c r="A81" s="0" t="n">
        <v>0.76</v>
      </c>
      <c r="D81" s="0" t="n">
        <f aca="false">A81</f>
        <v>0.76</v>
      </c>
      <c r="E81" s="0" t="n">
        <f aca="false">(G81-G80)/(A81-A80)</f>
        <v>0.513817525343696</v>
      </c>
      <c r="F81" s="0" t="n">
        <f aca="false">G81/A81</f>
        <v>1.2532981530343</v>
      </c>
      <c r="G81" s="0" t="n">
        <f aca="false">A81^2/(A81^2+(1-A81)^2/$B$5)</f>
        <v>0.952506596306069</v>
      </c>
      <c r="L81" s="0" t="n">
        <v>71</v>
      </c>
      <c r="M81" s="16" t="n">
        <f aca="false">IF(ABS(M80-$B$11/$B$9*((MAX(0,MIN(1,M80))^2/(MAX(0,MIN(1,M80))^2+(1-MAX(0,MIN(1,M80)))^2/$B$5))-(MAX(0,MIN(1,1))^2/(MAX(0,MIN(1,1))^2+(1-MAX(0,MIN(1,1)))^2/$B$5))))&lt;0.000000001,0,M80-$B$11/$B$9*((MAX(0,MIN(1,M80))^2/(MAX(0,MIN(1,M80))^2+(1-MAX(0,MIN(1,M80)))^2/$B$5))-(MAX(0,MIN(1,1))^2/(MAX(0,MIN(1,1))^2+(1-MAX(0,MIN(1,1)))^2/$B$5))))</f>
        <v>0.94969824752548</v>
      </c>
      <c r="N81" s="16" t="n">
        <f aca="false">IF(ABS(N80-$B$11/$B$9*((MAX(0,MIN(1,N80))^2/(MAX(0,MIN(1,N80))^2+(1-MAX(0,MIN(1,N80)))^2/$B$5))-(MAX(0,MIN(1,M80))^2/(MAX(0,MIN(1,M80))^2+(1-MAX(0,MIN(1,M80)))^2/$B$5))))&lt;0.000000001,0,N80-$B$11/$B$9*((MAX(0,MIN(1,N80))^2/(MAX(0,MIN(1,N80))^2+(1-MAX(0,MIN(1,N80)))^2/$B$5))-(MAX(0,MIN(1,M80))^2/(MAX(0,MIN(1,M80))^2+(1-MAX(0,MIN(1,M80)))^2/$B$5))))</f>
        <v>0.923300874817757</v>
      </c>
      <c r="O81" s="16" t="n">
        <f aca="false">IF(ABS(O80-$B$11/$B$9*((MAX(0,MIN(1,O80))^2/(MAX(0,MIN(1,O80))^2+(1-MAX(0,MIN(1,O80)))^2/$B$5))-(MAX(0,MIN(1,N80))^2/(MAX(0,MIN(1,N80))^2+(1-MAX(0,MIN(1,N80)))^2/$B$5))))&lt;0.000000001,0,O80-$B$11/$B$9*((MAX(0,MIN(1,O80))^2/(MAX(0,MIN(1,O80))^2+(1-MAX(0,MIN(1,O80)))^2/$B$5))-(MAX(0,MIN(1,N80))^2/(MAX(0,MIN(1,N80))^2+(1-MAX(0,MIN(1,N80)))^2/$B$5))))</f>
        <v>0.901299266272034</v>
      </c>
      <c r="P81" s="16" t="n">
        <f aca="false">IF(ABS(P80-$B$11/$B$9*((MAX(0,MIN(1,P80))^2/(MAX(0,MIN(1,P80))^2+(1-MAX(0,MIN(1,P80)))^2/$B$5))-(MAX(0,MIN(1,O80))^2/(MAX(0,MIN(1,O80))^2+(1-MAX(0,MIN(1,O80)))^2/$B$5))))&lt;0.000000001,0,P80-$B$11/$B$9*((MAX(0,MIN(1,P80))^2/(MAX(0,MIN(1,P80))^2+(1-MAX(0,MIN(1,P80)))^2/$B$5))-(MAX(0,MIN(1,O80))^2/(MAX(0,MIN(1,O80))^2+(1-MAX(0,MIN(1,O80)))^2/$B$5))))</f>
        <v>0.881958655843843</v>
      </c>
      <c r="Q81" s="16" t="n">
        <f aca="false">IF(ABS(Q80-$B$11/$B$9*((MAX(0,MIN(1,Q80))^2/(MAX(0,MIN(1,Q80))^2+(1-MAX(0,MIN(1,Q80)))^2/$B$5))-(MAX(0,MIN(1,P80))^2/(MAX(0,MIN(1,P80))^2+(1-MAX(0,MIN(1,P80)))^2/$B$5))))&lt;0.000000001,0,Q80-$B$11/$B$9*((MAX(0,MIN(1,Q80))^2/(MAX(0,MIN(1,Q80))^2+(1-MAX(0,MIN(1,Q80)))^2/$B$5))-(MAX(0,MIN(1,P80))^2/(MAX(0,MIN(1,P80))^2+(1-MAX(0,MIN(1,P80)))^2/$B$5))))</f>
        <v>0.864531925628166</v>
      </c>
      <c r="R81" s="16" t="n">
        <f aca="false">IF(ABS(R80-$B$11/$B$9*((MAX(0,MIN(1,R80))^2/(MAX(0,MIN(1,R80))^2+(1-MAX(0,MIN(1,R80)))^2/$B$5))-(MAX(0,MIN(1,Q80))^2/(MAX(0,MIN(1,Q80))^2+(1-MAX(0,MIN(1,Q80)))^2/$B$5))))&lt;0.000000001,0,R80-$B$11/$B$9*((MAX(0,MIN(1,R80))^2/(MAX(0,MIN(1,R80))^2+(1-MAX(0,MIN(1,R80)))^2/$B$5))-(MAX(0,MIN(1,Q80))^2/(MAX(0,MIN(1,Q80))^2+(1-MAX(0,MIN(1,Q80)))^2/$B$5))))</f>
        <v>0.848588414212053</v>
      </c>
      <c r="S81" s="16" t="n">
        <f aca="false">IF(ABS(S80-$B$11/$B$9*((MAX(0,MIN(1,S80))^2/(MAX(0,MIN(1,S80))^2+(1-MAX(0,MIN(1,S80)))^2/$B$5))-(MAX(0,MIN(1,R80))^2/(MAX(0,MIN(1,R80))^2+(1-MAX(0,MIN(1,R80)))^2/$B$5))))&lt;0.000000001,0,S80-$B$11/$B$9*((MAX(0,MIN(1,S80))^2/(MAX(0,MIN(1,S80))^2+(1-MAX(0,MIN(1,S80)))^2/$B$5))-(MAX(0,MIN(1,R80))^2/(MAX(0,MIN(1,R80))^2+(1-MAX(0,MIN(1,R80)))^2/$B$5))))</f>
        <v>0.833843291473218</v>
      </c>
      <c r="T81" s="16" t="n">
        <f aca="false">IF(ABS(T80-$B$11/$B$9*((MAX(0,MIN(1,T80))^2/(MAX(0,MIN(1,T80))^2+(1-MAX(0,MIN(1,T80)))^2/$B$5))-(MAX(0,MIN(1,S80))^2/(MAX(0,MIN(1,S80))^2+(1-MAX(0,MIN(1,S80)))^2/$B$5))))&lt;0.000000001,0,T80-$B$11/$B$9*((MAX(0,MIN(1,T80))^2/(MAX(0,MIN(1,T80))^2+(1-MAX(0,MIN(1,T80)))^2/$B$5))-(MAX(0,MIN(1,S80))^2/(MAX(0,MIN(1,S80))^2+(1-MAX(0,MIN(1,S80)))^2/$B$5))))</f>
        <v>0.820092743997793</v>
      </c>
      <c r="U81" s="16" t="n">
        <f aca="false">IF(ABS(U80-$B$11/$B$9*((MAX(0,MIN(1,U80))^2/(MAX(0,MIN(1,U80))^2+(1-MAX(0,MIN(1,U80)))^2/$B$5))-(MAX(0,MIN(1,T80))^2/(MAX(0,MIN(1,T80))^2+(1-MAX(0,MIN(1,T80)))^2/$B$5))))&lt;0.000000001,0,U80-$B$11/$B$9*((MAX(0,MIN(1,U80))^2/(MAX(0,MIN(1,U80))^2+(1-MAX(0,MIN(1,U80)))^2/$B$5))-(MAX(0,MIN(1,T80))^2/(MAX(0,MIN(1,T80))^2+(1-MAX(0,MIN(1,T80)))^2/$B$5))))</f>
        <v>0.807183327498237</v>
      </c>
      <c r="V81" s="16" t="n">
        <f aca="false">IF(ABS(V80-$B$11/$B$9*((MAX(0,MIN(1,V80))^2/(MAX(0,MIN(1,V80))^2+(1-MAX(0,MIN(1,V80)))^2/$B$5))-(MAX(0,MIN(1,U80))^2/(MAX(0,MIN(1,U80))^2+(1-MAX(0,MIN(1,U80)))^2/$B$5))))&lt;0.000000001,0,V80-$B$11/$B$9*((MAX(0,MIN(1,V80))^2/(MAX(0,MIN(1,V80))^2+(1-MAX(0,MIN(1,V80)))^2/$B$5))-(MAX(0,MIN(1,U80))^2/(MAX(0,MIN(1,U80))^2+(1-MAX(0,MIN(1,U80)))^2/$B$5))))</f>
        <v>0.794995313288621</v>
      </c>
      <c r="W81" s="16" t="n">
        <f aca="false">IF(ABS(W80-$B$11/$B$9*((MAX(0,MIN(1,W80))^2/(MAX(0,MIN(1,W80))^2+(1-MAX(0,MIN(1,W80)))^2/$B$5))-(MAX(0,MIN(1,V80))^2/(MAX(0,MIN(1,V80))^2+(1-MAX(0,MIN(1,V80)))^2/$B$5))))&lt;0.000000001,0,W80-$B$11/$B$9*((MAX(0,MIN(1,W80))^2/(MAX(0,MIN(1,W80))^2+(1-MAX(0,MIN(1,W80)))^2/$B$5))-(MAX(0,MIN(1,V80))^2/(MAX(0,MIN(1,V80))^2+(1-MAX(0,MIN(1,V80)))^2/$B$5))))</f>
        <v>0.783432733260484</v>
      </c>
      <c r="X81" s="16" t="n">
        <f aca="false">IF(ABS(X80-$B$11/$B$9*((MAX(0,MIN(1,X80))^2/(MAX(0,MIN(1,X80))^2+(1-MAX(0,MIN(1,X80)))^2/$B$5))-(MAX(0,MIN(1,W80))^2/(MAX(0,MIN(1,W80))^2+(1-MAX(0,MIN(1,W80)))^2/$B$5))))&lt;0.000000001,0,X80-$B$11/$B$9*((MAX(0,MIN(1,X80))^2/(MAX(0,MIN(1,X80))^2+(1-MAX(0,MIN(1,X80)))^2/$B$5))-(MAX(0,MIN(1,W80))^2/(MAX(0,MIN(1,W80))^2+(1-MAX(0,MIN(1,W80)))^2/$B$5))))</f>
        <v>0.772417003755552</v>
      </c>
      <c r="Y81" s="16" t="n">
        <f aca="false">IF(ABS(Y80-$B$11/$B$9*((MAX(0,MIN(1,Y80))^2/(MAX(0,MIN(1,Y80))^2+(1-MAX(0,MIN(1,Y80)))^2/$B$5))-(MAX(0,MIN(1,X80))^2/(MAX(0,MIN(1,X80))^2+(1-MAX(0,MIN(1,X80)))^2/$B$5))))&lt;0.000000001,0,Y80-$B$11/$B$9*((MAX(0,MIN(1,Y80))^2/(MAX(0,MIN(1,Y80))^2+(1-MAX(0,MIN(1,Y80)))^2/$B$5))-(MAX(0,MIN(1,X80))^2/(MAX(0,MIN(1,X80))^2+(1-MAX(0,MIN(1,X80)))^2/$B$5))))</f>
        <v>0.761882622605425</v>
      </c>
      <c r="Z81" s="16" t="n">
        <f aca="false">IF(ABS(Z80-$B$11/$B$9*((MAX(0,MIN(1,Z80))^2/(MAX(0,MIN(1,Z80))^2+(1-MAX(0,MIN(1,Z80)))^2/$B$5))-(MAX(0,MIN(1,Y80))^2/(MAX(0,MIN(1,Y80))^2+(1-MAX(0,MIN(1,Y80)))^2/$B$5))))&lt;0.000000001,0,Z80-$B$11/$B$9*((MAX(0,MIN(1,Z80))^2/(MAX(0,MIN(1,Z80))^2+(1-MAX(0,MIN(1,Z80)))^2/$B$5))-(MAX(0,MIN(1,Y80))^2/(MAX(0,MIN(1,Y80))^2+(1-MAX(0,MIN(1,Y80)))^2/$B$5))))</f>
        <v>0.75177414266273</v>
      </c>
      <c r="AA81" s="16" t="n">
        <f aca="false">IF(ABS(AA80-$B$11/$B$9*((MAX(0,MIN(1,AA80))^2/(MAX(0,MIN(1,AA80))^2+(1-MAX(0,MIN(1,AA80)))^2/$B$5))-(MAX(0,MIN(1,Z80))^2/(MAX(0,MIN(1,Z80))^2+(1-MAX(0,MIN(1,Z80)))^2/$B$5))))&lt;0.000000001,0,AA80-$B$11/$B$9*((MAX(0,MIN(1,AA80))^2/(MAX(0,MIN(1,AA80))^2+(1-MAX(0,MIN(1,AA80)))^2/$B$5))-(MAX(0,MIN(1,Z80))^2/(MAX(0,MIN(1,Z80))^2+(1-MAX(0,MIN(1,Z80)))^2/$B$5))))</f>
        <v>0.742043968718559</v>
      </c>
      <c r="AB81" s="16" t="n">
        <f aca="false">IF(ABS(AB80-$B$11/$B$9*((MAX(0,MIN(1,AB80))^2/(MAX(0,MIN(1,AB80))^2+(1-MAX(0,MIN(1,AB80)))^2/$B$5))-(MAX(0,MIN(1,AA80))^2/(MAX(0,MIN(1,AA80))^2+(1-MAX(0,MIN(1,AA80)))^2/$B$5))))&lt;0.000000001,0,AB80-$B$11/$B$9*((MAX(0,MIN(1,AB80))^2/(MAX(0,MIN(1,AB80))^2+(1-MAX(0,MIN(1,AB80)))^2/$B$5))-(MAX(0,MIN(1,AA80))^2/(MAX(0,MIN(1,AA80))^2+(1-MAX(0,MIN(1,AA80)))^2/$B$5))))</f>
        <v>0.732650704413629</v>
      </c>
      <c r="AC81" s="16" t="n">
        <f aca="false">IF(ABS(AC80-$B$11/$B$9*((MAX(0,MIN(1,AC80))^2/(MAX(0,MIN(1,AC80))^2+(1-MAX(0,MIN(1,AC80)))^2/$B$5))-(MAX(0,MIN(1,AB80))^2/(MAX(0,MIN(1,AB80))^2+(1-MAX(0,MIN(1,AB80)))^2/$B$5))))&lt;0.000000001,0,AC80-$B$11/$B$9*((MAX(0,MIN(1,AC80))^2/(MAX(0,MIN(1,AC80))^2+(1-MAX(0,MIN(1,AC80)))^2/$B$5))-(MAX(0,MIN(1,AB80))^2/(MAX(0,MIN(1,AB80))^2+(1-MAX(0,MIN(1,AB80)))^2/$B$5))))</f>
        <v>0.723557875557899</v>
      </c>
      <c r="AD81" s="16" t="n">
        <f aca="false">IF(ABS(AD80-$B$11/$B$9*((MAX(0,MIN(1,AD80))^2/(MAX(0,MIN(1,AD80))^2+(1-MAX(0,MIN(1,AD80)))^2/$B$5))-(MAX(0,MIN(1,AC80))^2/(MAX(0,MIN(1,AC80))^2+(1-MAX(0,MIN(1,AC80)))^2/$B$5))))&lt;0.000000001,0,AD80-$B$11/$B$9*((MAX(0,MIN(1,AD80))^2/(MAX(0,MIN(1,AD80))^2+(1-MAX(0,MIN(1,AD80)))^2/$B$5))-(MAX(0,MIN(1,AC80))^2/(MAX(0,MIN(1,AC80))^2+(1-MAX(0,MIN(1,AC80)))^2/$B$5))))</f>
        <v>0.714732914259706</v>
      </c>
      <c r="AE81" s="16" t="n">
        <f aca="false">IF(ABS(AE80-$B$11/$B$9*((MAX(0,MIN(1,AE80))^2/(MAX(0,MIN(1,AE80))^2+(1-MAX(0,MIN(1,AE80)))^2/$B$5))-(MAX(0,MIN(1,AD80))^2/(MAX(0,MIN(1,AD80))^2+(1-MAX(0,MIN(1,AD80)))^2/$B$5))))&lt;0.000000001,0,AE80-$B$11/$B$9*((MAX(0,MIN(1,AE80))^2/(MAX(0,MIN(1,AE80))^2+(1-MAX(0,MIN(1,AE80)))^2/$B$5))-(MAX(0,MIN(1,AD80))^2/(MAX(0,MIN(1,AD80))^2+(1-MAX(0,MIN(1,AD80)))^2/$B$5))))</f>
        <v>0.706146322911267</v>
      </c>
      <c r="AF81" s="16" t="n">
        <f aca="false">IF(ABS(AF80-$B$11/$B$9*((MAX(0,MIN(1,AF80))^2/(MAX(0,MIN(1,AF80))^2+(1-MAX(0,MIN(1,AF80)))^2/$B$5))-(MAX(0,MIN(1,AE80))^2/(MAX(0,MIN(1,AE80))^2+(1-MAX(0,MIN(1,AE80)))^2/$B$5))))&lt;0.000000001,0,AF80-$B$11/$B$9*((MAX(0,MIN(1,AF80))^2/(MAX(0,MIN(1,AF80))^2+(1-MAX(0,MIN(1,AF80)))^2/$B$5))-(MAX(0,MIN(1,AE80))^2/(MAX(0,MIN(1,AE80))^2+(1-MAX(0,MIN(1,AE80)))^2/$B$5))))</f>
        <v>0.697770957771746</v>
      </c>
    </row>
    <row r="82" customFormat="false" ht="15" hidden="false" customHeight="false" outlineLevel="0" collapsed="false">
      <c r="A82" s="0" t="n">
        <v>0.77</v>
      </c>
      <c r="D82" s="0" t="n">
        <f aca="false">A82</f>
        <v>0.77</v>
      </c>
      <c r="E82" s="0" t="n">
        <f aca="false">(G82-G81)/(A82-A81)</f>
        <v>0.478734088614918</v>
      </c>
      <c r="F82" s="0" t="n">
        <f aca="false">G82/A82</f>
        <v>1.24323887947041</v>
      </c>
      <c r="G82" s="0" t="n">
        <f aca="false">A82^2/(A82^2+(1-A82)^2/$B$5)</f>
        <v>0.957293937192218</v>
      </c>
      <c r="L82" s="0" t="n">
        <v>72</v>
      </c>
      <c r="M82" s="16" t="n">
        <f aca="false">IF(ABS(M81-$B$11/$B$9*((MAX(0,MIN(1,M81))^2/(MAX(0,MIN(1,M81))^2+(1-MAX(0,MIN(1,M81)))^2/$B$5))-(MAX(0,MIN(1,1))^2/(MAX(0,MIN(1,1))^2+(1-MAX(0,MIN(1,1)))^2/$B$5))))&lt;0.000000001,0,M81-$B$11/$B$9*((MAX(0,MIN(1,M81))^2/(MAX(0,MIN(1,M81))^2+(1-MAX(0,MIN(1,M81)))^2/$B$5))-(MAX(0,MIN(1,1))^2/(MAX(0,MIN(1,1))^2+(1-MAX(0,MIN(1,1)))^2/$B$5))))</f>
        <v>0.950236874373104</v>
      </c>
      <c r="N82" s="16" t="n">
        <f aca="false">IF(ABS(N81-$B$11/$B$9*((MAX(0,MIN(1,N81))^2/(MAX(0,MIN(1,N81))^2+(1-MAX(0,MIN(1,N81)))^2/$B$5))-(MAX(0,MIN(1,M81))^2/(MAX(0,MIN(1,M81))^2+(1-MAX(0,MIN(1,M81)))^2/$B$5))))&lt;0.000000001,0,N81-$B$11/$B$9*((MAX(0,MIN(1,N81))^2/(MAX(0,MIN(1,N81))^2+(1-MAX(0,MIN(1,N81)))^2/$B$5))-(MAX(0,MIN(1,M81))^2/(MAX(0,MIN(1,M81))^2+(1-MAX(0,MIN(1,M81)))^2/$B$5))))</f>
        <v>0.924084457340735</v>
      </c>
      <c r="O82" s="16" t="n">
        <f aca="false">IF(ABS(O81-$B$11/$B$9*((MAX(0,MIN(1,O81))^2/(MAX(0,MIN(1,O81))^2+(1-MAX(0,MIN(1,O81)))^2/$B$5))-(MAX(0,MIN(1,N81))^2/(MAX(0,MIN(1,N81))^2+(1-MAX(0,MIN(1,N81)))^2/$B$5))))&lt;0.000000001,0,O81-$B$11/$B$9*((MAX(0,MIN(1,O81))^2/(MAX(0,MIN(1,O81))^2+(1-MAX(0,MIN(1,O81)))^2/$B$5))-(MAX(0,MIN(1,N81))^2/(MAX(0,MIN(1,N81))^2+(1-MAX(0,MIN(1,N81)))^2/$B$5))))</f>
        <v>0.902269023075818</v>
      </c>
      <c r="P82" s="16" t="n">
        <f aca="false">IF(ABS(P81-$B$11/$B$9*((MAX(0,MIN(1,P81))^2/(MAX(0,MIN(1,P81))^2+(1-MAX(0,MIN(1,P81)))^2/$B$5))-(MAX(0,MIN(1,O81))^2/(MAX(0,MIN(1,O81))^2+(1-MAX(0,MIN(1,O81)))^2/$B$5))))&lt;0.000000001,0,P81-$B$11/$B$9*((MAX(0,MIN(1,P81))^2/(MAX(0,MIN(1,P81))^2+(1-MAX(0,MIN(1,P81)))^2/$B$5))-(MAX(0,MIN(1,O81))^2/(MAX(0,MIN(1,O81))^2+(1-MAX(0,MIN(1,O81)))^2/$B$5))))</f>
        <v>0.883080199529292</v>
      </c>
      <c r="Q82" s="16" t="n">
        <f aca="false">IF(ABS(Q81-$B$11/$B$9*((MAX(0,MIN(1,Q81))^2/(MAX(0,MIN(1,Q81))^2+(1-MAX(0,MIN(1,Q81)))^2/$B$5))-(MAX(0,MIN(1,P81))^2/(MAX(0,MIN(1,P81))^2+(1-MAX(0,MIN(1,P81)))^2/$B$5))))&lt;0.000000001,0,Q81-$B$11/$B$9*((MAX(0,MIN(1,Q81))^2/(MAX(0,MIN(1,Q81))^2+(1-MAX(0,MIN(1,Q81)))^2/$B$5))-(MAX(0,MIN(1,P81))^2/(MAX(0,MIN(1,P81))^2+(1-MAX(0,MIN(1,P81)))^2/$B$5))))</f>
        <v>0.865781941714255</v>
      </c>
      <c r="R82" s="16" t="n">
        <f aca="false">IF(ABS(R81-$B$11/$B$9*((MAX(0,MIN(1,R81))^2/(MAX(0,MIN(1,R81))^2+(1-MAX(0,MIN(1,R81)))^2/$B$5))-(MAX(0,MIN(1,Q81))^2/(MAX(0,MIN(1,Q81))^2+(1-MAX(0,MIN(1,Q81)))^2/$B$5))))&lt;0.000000001,0,R81-$B$11/$B$9*((MAX(0,MIN(1,R81))^2/(MAX(0,MIN(1,R81))^2+(1-MAX(0,MIN(1,R81)))^2/$B$5))-(MAX(0,MIN(1,Q81))^2/(MAX(0,MIN(1,Q81))^2+(1-MAX(0,MIN(1,Q81)))^2/$B$5))))</f>
        <v>0.849950027325677</v>
      </c>
      <c r="S82" s="16" t="n">
        <f aca="false">IF(ABS(S81-$B$11/$B$9*((MAX(0,MIN(1,S81))^2/(MAX(0,MIN(1,S81))^2+(1-MAX(0,MIN(1,S81)))^2/$B$5))-(MAX(0,MIN(1,R81))^2/(MAX(0,MIN(1,R81))^2+(1-MAX(0,MIN(1,R81)))^2/$B$5))))&lt;0.000000001,0,S81-$B$11/$B$9*((MAX(0,MIN(1,S81))^2/(MAX(0,MIN(1,S81))^2+(1-MAX(0,MIN(1,S81)))^2/$B$5))-(MAX(0,MIN(1,R81))^2/(MAX(0,MIN(1,R81))^2+(1-MAX(0,MIN(1,R81)))^2/$B$5))))</f>
        <v>0.835303826117862</v>
      </c>
      <c r="T82" s="16" t="n">
        <f aca="false">IF(ABS(T81-$B$11/$B$9*((MAX(0,MIN(1,T81))^2/(MAX(0,MIN(1,T81))^2+(1-MAX(0,MIN(1,T81)))^2/$B$5))-(MAX(0,MIN(1,S81))^2/(MAX(0,MIN(1,S81))^2+(1-MAX(0,MIN(1,S81)))^2/$B$5))))&lt;0.000000001,0,T81-$B$11/$B$9*((MAX(0,MIN(1,T81))^2/(MAX(0,MIN(1,T81))^2+(1-MAX(0,MIN(1,T81)))^2/$B$5))-(MAX(0,MIN(1,S81))^2/(MAX(0,MIN(1,S81))^2+(1-MAX(0,MIN(1,S81)))^2/$B$5))))</f>
        <v>0.821642456864405</v>
      </c>
      <c r="U82" s="16" t="n">
        <f aca="false">IF(ABS(U81-$B$11/$B$9*((MAX(0,MIN(1,U81))^2/(MAX(0,MIN(1,U81))^2+(1-MAX(0,MIN(1,U81)))^2/$B$5))-(MAX(0,MIN(1,T81))^2/(MAX(0,MIN(1,T81))^2+(1-MAX(0,MIN(1,T81)))^2/$B$5))))&lt;0.000000001,0,U81-$B$11/$B$9*((MAX(0,MIN(1,U81))^2/(MAX(0,MIN(1,U81))^2+(1-MAX(0,MIN(1,U81)))^2/$B$5))-(MAX(0,MIN(1,T81))^2/(MAX(0,MIN(1,T81))^2+(1-MAX(0,MIN(1,T81)))^2/$B$5))))</f>
        <v>0.80881462109602</v>
      </c>
      <c r="V82" s="16" t="n">
        <f aca="false">IF(ABS(V81-$B$11/$B$9*((MAX(0,MIN(1,V81))^2/(MAX(0,MIN(1,V81))^2+(1-MAX(0,MIN(1,V81)))^2/$B$5))-(MAX(0,MIN(1,U81))^2/(MAX(0,MIN(1,U81))^2+(1-MAX(0,MIN(1,U81)))^2/$B$5))))&lt;0.000000001,0,V81-$B$11/$B$9*((MAX(0,MIN(1,V81))^2/(MAX(0,MIN(1,V81))^2+(1-MAX(0,MIN(1,V81)))^2/$B$5))-(MAX(0,MIN(1,U81))^2/(MAX(0,MIN(1,U81))^2+(1-MAX(0,MIN(1,U81)))^2/$B$5))))</f>
        <v>0.796702218864425</v>
      </c>
      <c r="W82" s="16" t="n">
        <f aca="false">IF(ABS(W81-$B$11/$B$9*((MAX(0,MIN(1,W81))^2/(MAX(0,MIN(1,W81))^2+(1-MAX(0,MIN(1,W81)))^2/$B$5))-(MAX(0,MIN(1,V81))^2/(MAX(0,MIN(1,V81))^2+(1-MAX(0,MIN(1,V81)))^2/$B$5))))&lt;0.000000001,0,W81-$B$11/$B$9*((MAX(0,MIN(1,W81))^2/(MAX(0,MIN(1,W81))^2+(1-MAX(0,MIN(1,W81)))^2/$B$5))-(MAX(0,MIN(1,V81))^2/(MAX(0,MIN(1,V81))^2+(1-MAX(0,MIN(1,V81)))^2/$B$5))))</f>
        <v>0.785210557303532</v>
      </c>
      <c r="X82" s="16" t="n">
        <f aca="false">IF(ABS(X81-$B$11/$B$9*((MAX(0,MIN(1,X81))^2/(MAX(0,MIN(1,X81))^2+(1-MAX(0,MIN(1,X81)))^2/$B$5))-(MAX(0,MIN(1,W81))^2/(MAX(0,MIN(1,W81))^2+(1-MAX(0,MIN(1,W81)))^2/$B$5))))&lt;0.000000001,0,X81-$B$11/$B$9*((MAX(0,MIN(1,X81))^2/(MAX(0,MIN(1,X81))^2+(1-MAX(0,MIN(1,X81)))^2/$B$5))-(MAX(0,MIN(1,W81))^2/(MAX(0,MIN(1,W81))^2+(1-MAX(0,MIN(1,W81)))^2/$B$5))))</f>
        <v>0.774262080143501</v>
      </c>
      <c r="Y82" s="16" t="n">
        <f aca="false">IF(ABS(Y81-$B$11/$B$9*((MAX(0,MIN(1,Y81))^2/(MAX(0,MIN(1,Y81))^2+(1-MAX(0,MIN(1,Y81)))^2/$B$5))-(MAX(0,MIN(1,X81))^2/(MAX(0,MIN(1,X81))^2+(1-MAX(0,MIN(1,X81)))^2/$B$5))))&lt;0.000000001,0,Y81-$B$11/$B$9*((MAX(0,MIN(1,Y81))^2/(MAX(0,MIN(1,Y81))^2+(1-MAX(0,MIN(1,Y81)))^2/$B$5))-(MAX(0,MIN(1,X81))^2/(MAX(0,MIN(1,X81))^2+(1-MAX(0,MIN(1,X81)))^2/$B$5))))</f>
        <v>0.763792136487665</v>
      </c>
      <c r="Z82" s="16" t="n">
        <f aca="false">IF(ABS(Z81-$B$11/$B$9*((MAX(0,MIN(1,Z81))^2/(MAX(0,MIN(1,Z81))^2+(1-MAX(0,MIN(1,Z81)))^2/$B$5))-(MAX(0,MIN(1,Y81))^2/(MAX(0,MIN(1,Y81))^2+(1-MAX(0,MIN(1,Y81)))^2/$B$5))))&lt;0.000000001,0,Z81-$B$11/$B$9*((MAX(0,MIN(1,Z81))^2/(MAX(0,MIN(1,Z81))^2+(1-MAX(0,MIN(1,Z81)))^2/$B$5))-(MAX(0,MIN(1,Y81))^2/(MAX(0,MIN(1,Y81))^2+(1-MAX(0,MIN(1,Y81)))^2/$B$5))))</f>
        <v>0.753746005371213</v>
      </c>
      <c r="AA82" s="16" t="n">
        <f aca="false">IF(ABS(AA81-$B$11/$B$9*((MAX(0,MIN(1,AA81))^2/(MAX(0,MIN(1,AA81))^2+(1-MAX(0,MIN(1,AA81)))^2/$B$5))-(MAX(0,MIN(1,Z81))^2/(MAX(0,MIN(1,Z81))^2+(1-MAX(0,MIN(1,Z81)))^2/$B$5))))&lt;0.000000001,0,AA81-$B$11/$B$9*((MAX(0,MIN(1,AA81))^2/(MAX(0,MIN(1,AA81))^2+(1-MAX(0,MIN(1,AA81)))^2/$B$5))-(MAX(0,MIN(1,Z81))^2/(MAX(0,MIN(1,Z81))^2+(1-MAX(0,MIN(1,Z81)))^2/$B$5))))</f>
        <v>0.744076730783132</v>
      </c>
      <c r="AB82" s="16" t="n">
        <f aca="false">IF(ABS(AB81-$B$11/$B$9*((MAX(0,MIN(1,AB81))^2/(MAX(0,MIN(1,AB81))^2+(1-MAX(0,MIN(1,AB81)))^2/$B$5))-(MAX(0,MIN(1,AA81))^2/(MAX(0,MIN(1,AA81))^2+(1-MAX(0,MIN(1,AA81)))^2/$B$5))))&lt;0.000000001,0,AB81-$B$11/$B$9*((MAX(0,MIN(1,AB81))^2/(MAX(0,MIN(1,AB81))^2+(1-MAX(0,MIN(1,AB81)))^2/$B$5))-(MAX(0,MIN(1,AA81))^2/(MAX(0,MIN(1,AA81))^2+(1-MAX(0,MIN(1,AA81)))^2/$B$5))))</f>
        <v>0.734743498688316</v>
      </c>
      <c r="AC82" s="16" t="n">
        <f aca="false">IF(ABS(AC81-$B$11/$B$9*((MAX(0,MIN(1,AC81))^2/(MAX(0,MIN(1,AC81))^2+(1-MAX(0,MIN(1,AC81)))^2/$B$5))-(MAX(0,MIN(1,AB81))^2/(MAX(0,MIN(1,AB81))^2+(1-MAX(0,MIN(1,AB81)))^2/$B$5))))&lt;0.000000001,0,AC81-$B$11/$B$9*((MAX(0,MIN(1,AC81))^2/(MAX(0,MIN(1,AC81))^2+(1-MAX(0,MIN(1,AC81)))^2/$B$5))-(MAX(0,MIN(1,AB81))^2/(MAX(0,MIN(1,AB81))^2+(1-MAX(0,MIN(1,AB81)))^2/$B$5))))</f>
        <v>0.72571038584608</v>
      </c>
      <c r="AD82" s="16" t="n">
        <f aca="false">IF(ABS(AD81-$B$11/$B$9*((MAX(0,MIN(1,AD81))^2/(MAX(0,MIN(1,AD81))^2+(1-MAX(0,MIN(1,AD81)))^2/$B$5))-(MAX(0,MIN(1,AC81))^2/(MAX(0,MIN(1,AC81))^2+(1-MAX(0,MIN(1,AC81)))^2/$B$5))))&lt;0.000000001,0,AD81-$B$11/$B$9*((MAX(0,MIN(1,AD81))^2/(MAX(0,MIN(1,AD81))^2+(1-MAX(0,MIN(1,AD81)))^2/$B$5))-(MAX(0,MIN(1,AC81))^2/(MAX(0,MIN(1,AC81))^2+(1-MAX(0,MIN(1,AC81)))^2/$B$5))))</f>
        <v>0.716945367398647</v>
      </c>
      <c r="AE82" s="16" t="n">
        <f aca="false">IF(ABS(AE81-$B$11/$B$9*((MAX(0,MIN(1,AE81))^2/(MAX(0,MIN(1,AE81))^2+(1-MAX(0,MIN(1,AE81)))^2/$B$5))-(MAX(0,MIN(1,AD81))^2/(MAX(0,MIN(1,AD81))^2+(1-MAX(0,MIN(1,AD81)))^2/$B$5))))&lt;0.000000001,0,AE81-$B$11/$B$9*((MAX(0,MIN(1,AE81))^2/(MAX(0,MIN(1,AE81))^2+(1-MAX(0,MIN(1,AE81)))^2/$B$5))-(MAX(0,MIN(1,AD81))^2/(MAX(0,MIN(1,AD81))^2+(1-MAX(0,MIN(1,AD81)))^2/$B$5))))</f>
        <v>0.708419504515438</v>
      </c>
      <c r="AF82" s="16" t="n">
        <f aca="false">IF(ABS(AF81-$B$11/$B$9*((MAX(0,MIN(1,AF81))^2/(MAX(0,MIN(1,AF81))^2+(1-MAX(0,MIN(1,AF81)))^2/$B$5))-(MAX(0,MIN(1,AE81))^2/(MAX(0,MIN(1,AE81))^2+(1-MAX(0,MIN(1,AE81)))^2/$B$5))))&lt;0.000000001,0,AF81-$B$11/$B$9*((MAX(0,MIN(1,AF81))^2/(MAX(0,MIN(1,AF81))^2+(1-MAX(0,MIN(1,AF81)))^2/$B$5))-(MAX(0,MIN(1,AE81))^2/(MAX(0,MIN(1,AE81))^2+(1-MAX(0,MIN(1,AE81)))^2/$B$5))))</f>
        <v>0.700106254117381</v>
      </c>
    </row>
    <row r="83" customFormat="false" ht="15" hidden="false" customHeight="false" outlineLevel="0" collapsed="false">
      <c r="A83" s="0" t="n">
        <v>0.78</v>
      </c>
      <c r="D83" s="0" t="n">
        <f aca="false">A83</f>
        <v>0.78</v>
      </c>
      <c r="E83" s="0" t="n">
        <f aca="false">(G83-G82)/(A83-A82)</f>
        <v>0.445124143566722</v>
      </c>
      <c r="F83" s="0" t="n">
        <f aca="false">G83/A83</f>
        <v>1.23300663926652</v>
      </c>
      <c r="G83" s="0" t="n">
        <f aca="false">A83^2/(A83^2+(1-A83)^2/$B$5)</f>
        <v>0.961745178627885</v>
      </c>
      <c r="L83" s="0" t="n">
        <v>73</v>
      </c>
      <c r="M83" s="16" t="n">
        <f aca="false">IF(ABS(M82-$B$11/$B$9*((MAX(0,MIN(1,M82))^2/(MAX(0,MIN(1,M82))^2+(1-MAX(0,MIN(1,M82)))^2/$B$5))-(MAX(0,MIN(1,1))^2/(MAX(0,MIN(1,1))^2+(1-MAX(0,MIN(1,1)))^2/$B$5))))&lt;0.000000001,0,M82-$B$11/$B$9*((MAX(0,MIN(1,M82))^2/(MAX(0,MIN(1,M82))^2+(1-MAX(0,MIN(1,M82)))^2/$B$5))-(MAX(0,MIN(1,1))^2/(MAX(0,MIN(1,1))^2+(1-MAX(0,MIN(1,1)))^2/$B$5))))</f>
        <v>0.950763446920969</v>
      </c>
      <c r="N83" s="16" t="n">
        <f aca="false">IF(ABS(N82-$B$11/$B$9*((MAX(0,MIN(1,N82))^2/(MAX(0,MIN(1,N82))^2+(1-MAX(0,MIN(1,N82)))^2/$B$5))-(MAX(0,MIN(1,M82))^2/(MAX(0,MIN(1,M82))^2+(1-MAX(0,MIN(1,M82)))^2/$B$5))))&lt;0.000000001,0,N82-$B$11/$B$9*((MAX(0,MIN(1,N82))^2/(MAX(0,MIN(1,N82))^2+(1-MAX(0,MIN(1,N82)))^2/$B$5))-(MAX(0,MIN(1,M82))^2/(MAX(0,MIN(1,M82))^2+(1-MAX(0,MIN(1,M82)))^2/$B$5))))</f>
        <v>0.924851117893363</v>
      </c>
      <c r="O83" s="16" t="n">
        <f aca="false">IF(ABS(O82-$B$11/$B$9*((MAX(0,MIN(1,O82))^2/(MAX(0,MIN(1,O82))^2+(1-MAX(0,MIN(1,O82)))^2/$B$5))-(MAX(0,MIN(1,N82))^2/(MAX(0,MIN(1,N82))^2+(1-MAX(0,MIN(1,N82)))^2/$B$5))))&lt;0.000000001,0,O82-$B$11/$B$9*((MAX(0,MIN(1,O82))^2/(MAX(0,MIN(1,O82))^2+(1-MAX(0,MIN(1,O82)))^2/$B$5))-(MAX(0,MIN(1,N82))^2/(MAX(0,MIN(1,N82))^2+(1-MAX(0,MIN(1,N82)))^2/$B$5))))</f>
        <v>0.903218400908138</v>
      </c>
      <c r="P83" s="16" t="n">
        <f aca="false">IF(ABS(P82-$B$11/$B$9*((MAX(0,MIN(1,P82))^2/(MAX(0,MIN(1,P82))^2+(1-MAX(0,MIN(1,P82)))^2/$B$5))-(MAX(0,MIN(1,O82))^2/(MAX(0,MIN(1,O82))^2+(1-MAX(0,MIN(1,O82)))^2/$B$5))))&lt;0.000000001,0,P82-$B$11/$B$9*((MAX(0,MIN(1,P82))^2/(MAX(0,MIN(1,P82))^2+(1-MAX(0,MIN(1,P82)))^2/$B$5))-(MAX(0,MIN(1,O82))^2/(MAX(0,MIN(1,O82))^2+(1-MAX(0,MIN(1,O82)))^2/$B$5))))</f>
        <v>0.884178674798094</v>
      </c>
      <c r="Q83" s="16" t="n">
        <f aca="false">IF(ABS(Q82-$B$11/$B$9*((MAX(0,MIN(1,Q82))^2/(MAX(0,MIN(1,Q82))^2+(1-MAX(0,MIN(1,Q82)))^2/$B$5))-(MAX(0,MIN(1,P82))^2/(MAX(0,MIN(1,P82))^2+(1-MAX(0,MIN(1,P82)))^2/$B$5))))&lt;0.000000001,0,Q82-$B$11/$B$9*((MAX(0,MIN(1,Q82))^2/(MAX(0,MIN(1,Q82))^2+(1-MAX(0,MIN(1,Q82)))^2/$B$5))-(MAX(0,MIN(1,P82))^2/(MAX(0,MIN(1,P82))^2+(1-MAX(0,MIN(1,P82)))^2/$B$5))))</f>
        <v>0.867006678785886</v>
      </c>
      <c r="R83" s="16" t="n">
        <f aca="false">IF(ABS(R82-$B$11/$B$9*((MAX(0,MIN(1,R82))^2/(MAX(0,MIN(1,R82))^2+(1-MAX(0,MIN(1,R82)))^2/$B$5))-(MAX(0,MIN(1,Q82))^2/(MAX(0,MIN(1,Q82))^2+(1-MAX(0,MIN(1,Q82)))^2/$B$5))))&lt;0.000000001,0,R82-$B$11/$B$9*((MAX(0,MIN(1,R82))^2/(MAX(0,MIN(1,R82))^2+(1-MAX(0,MIN(1,R82)))^2/$B$5))-(MAX(0,MIN(1,Q82))^2/(MAX(0,MIN(1,Q82))^2+(1-MAX(0,MIN(1,Q82)))^2/$B$5))))</f>
        <v>0.851284467044644</v>
      </c>
      <c r="S83" s="16" t="n">
        <f aca="false">IF(ABS(S82-$B$11/$B$9*((MAX(0,MIN(1,S82))^2/(MAX(0,MIN(1,S82))^2+(1-MAX(0,MIN(1,S82)))^2/$B$5))-(MAX(0,MIN(1,R82))^2/(MAX(0,MIN(1,R82))^2+(1-MAX(0,MIN(1,R82)))^2/$B$5))))&lt;0.000000001,0,S82-$B$11/$B$9*((MAX(0,MIN(1,S82))^2/(MAX(0,MIN(1,S82))^2+(1-MAX(0,MIN(1,S82)))^2/$B$5))-(MAX(0,MIN(1,R82))^2/(MAX(0,MIN(1,R82))^2+(1-MAX(0,MIN(1,R82)))^2/$B$5))))</f>
        <v>0.836735506866647</v>
      </c>
      <c r="T83" s="16" t="n">
        <f aca="false">IF(ABS(T82-$B$11/$B$9*((MAX(0,MIN(1,T82))^2/(MAX(0,MIN(1,T82))^2+(1-MAX(0,MIN(1,T82)))^2/$B$5))-(MAX(0,MIN(1,S82))^2/(MAX(0,MIN(1,S82))^2+(1-MAX(0,MIN(1,S82)))^2/$B$5))))&lt;0.000000001,0,T82-$B$11/$B$9*((MAX(0,MIN(1,T82))^2/(MAX(0,MIN(1,T82))^2+(1-MAX(0,MIN(1,T82)))^2/$B$5))-(MAX(0,MIN(1,S82))^2/(MAX(0,MIN(1,S82))^2+(1-MAX(0,MIN(1,S82)))^2/$B$5))))</f>
        <v>0.823161779968498</v>
      </c>
      <c r="U83" s="16" t="n">
        <f aca="false">IF(ABS(U82-$B$11/$B$9*((MAX(0,MIN(1,U82))^2/(MAX(0,MIN(1,U82))^2+(1-MAX(0,MIN(1,U82)))^2/$B$5))-(MAX(0,MIN(1,T82))^2/(MAX(0,MIN(1,T82))^2+(1-MAX(0,MIN(1,T82)))^2/$B$5))))&lt;0.000000001,0,U82-$B$11/$B$9*((MAX(0,MIN(1,U82))^2/(MAX(0,MIN(1,U82))^2+(1-MAX(0,MIN(1,U82)))^2/$B$5))-(MAX(0,MIN(1,T82))^2/(MAX(0,MIN(1,T82))^2+(1-MAX(0,MIN(1,T82)))^2/$B$5))))</f>
        <v>0.810414084063322</v>
      </c>
      <c r="V83" s="16" t="n">
        <f aca="false">IF(ABS(V82-$B$11/$B$9*((MAX(0,MIN(1,V82))^2/(MAX(0,MIN(1,V82))^2+(1-MAX(0,MIN(1,V82)))^2/$B$5))-(MAX(0,MIN(1,U82))^2/(MAX(0,MIN(1,U82))^2+(1-MAX(0,MIN(1,U82)))^2/$B$5))))&lt;0.000000001,0,V82-$B$11/$B$9*((MAX(0,MIN(1,V82))^2/(MAX(0,MIN(1,V82))^2+(1-MAX(0,MIN(1,V82)))^2/$B$5))-(MAX(0,MIN(1,U82))^2/(MAX(0,MIN(1,U82))^2+(1-MAX(0,MIN(1,U82)))^2/$B$5))))</f>
        <v>0.79837591042801</v>
      </c>
      <c r="W83" s="16" t="n">
        <f aca="false">IF(ABS(W82-$B$11/$B$9*((MAX(0,MIN(1,W82))^2/(MAX(0,MIN(1,W82))^2+(1-MAX(0,MIN(1,W82)))^2/$B$5))-(MAX(0,MIN(1,V82))^2/(MAX(0,MIN(1,V82))^2+(1-MAX(0,MIN(1,V82)))^2/$B$5))))&lt;0.000000001,0,W82-$B$11/$B$9*((MAX(0,MIN(1,W82))^2/(MAX(0,MIN(1,W82))^2+(1-MAX(0,MIN(1,W82)))^2/$B$5))-(MAX(0,MIN(1,V82))^2/(MAX(0,MIN(1,V82))^2+(1-MAX(0,MIN(1,V82)))^2/$B$5))))</f>
        <v>0.786953811536738</v>
      </c>
      <c r="X83" s="16" t="n">
        <f aca="false">IF(ABS(X82-$B$11/$B$9*((MAX(0,MIN(1,X82))^2/(MAX(0,MIN(1,X82))^2+(1-MAX(0,MIN(1,X82)))^2/$B$5))-(MAX(0,MIN(1,W82))^2/(MAX(0,MIN(1,W82))^2+(1-MAX(0,MIN(1,W82)))^2/$B$5))))&lt;0.000000001,0,X82-$B$11/$B$9*((MAX(0,MIN(1,X82))^2/(MAX(0,MIN(1,X82))^2+(1-MAX(0,MIN(1,X82)))^2/$B$5))-(MAX(0,MIN(1,W82))^2/(MAX(0,MIN(1,W82))^2+(1-MAX(0,MIN(1,W82)))^2/$B$5))))</f>
        <v>0.776071233291165</v>
      </c>
      <c r="Y83" s="16" t="n">
        <f aca="false">IF(ABS(Y82-$B$11/$B$9*((MAX(0,MIN(1,Y82))^2/(MAX(0,MIN(1,Y82))^2+(1-MAX(0,MIN(1,Y82)))^2/$B$5))-(MAX(0,MIN(1,X82))^2/(MAX(0,MIN(1,X82))^2+(1-MAX(0,MIN(1,X82)))^2/$B$5))))&lt;0.000000001,0,Y82-$B$11/$B$9*((MAX(0,MIN(1,Y82))^2/(MAX(0,MIN(1,Y82))^2+(1-MAX(0,MIN(1,Y82)))^2/$B$5))-(MAX(0,MIN(1,X82))^2/(MAX(0,MIN(1,X82))^2+(1-MAX(0,MIN(1,X82)))^2/$B$5))))</f>
        <v>0.765664353489307</v>
      </c>
      <c r="Z83" s="16" t="n">
        <f aca="false">IF(ABS(Z82-$B$11/$B$9*((MAX(0,MIN(1,Z82))^2/(MAX(0,MIN(1,Z82))^2+(1-MAX(0,MIN(1,Z82)))^2/$B$5))-(MAX(0,MIN(1,Y82))^2/(MAX(0,MIN(1,Y82))^2+(1-MAX(0,MIN(1,Y82)))^2/$B$5))))&lt;0.000000001,0,Z82-$B$11/$B$9*((MAX(0,MIN(1,Z82))^2/(MAX(0,MIN(1,Z82))^2+(1-MAX(0,MIN(1,Z82)))^2/$B$5))-(MAX(0,MIN(1,Y82))^2/(MAX(0,MIN(1,Y82))^2+(1-MAX(0,MIN(1,Y82)))^2/$B$5))))</f>
        <v>0.755679155846657</v>
      </c>
      <c r="AA83" s="16" t="n">
        <f aca="false">IF(ABS(AA82-$B$11/$B$9*((MAX(0,MIN(1,AA82))^2/(MAX(0,MIN(1,AA82))^2+(1-MAX(0,MIN(1,AA82)))^2/$B$5))-(MAX(0,MIN(1,Z82))^2/(MAX(0,MIN(1,Z82))^2+(1-MAX(0,MIN(1,Z82)))^2/$B$5))))&lt;0.000000001,0,AA82-$B$11/$B$9*((MAX(0,MIN(1,AA82))^2/(MAX(0,MIN(1,AA82))^2+(1-MAX(0,MIN(1,AA82)))^2/$B$5))-(MAX(0,MIN(1,Z82))^2/(MAX(0,MIN(1,Z82))^2+(1-MAX(0,MIN(1,Z82)))^2/$B$5))))</f>
        <v>0.74606930178569</v>
      </c>
      <c r="AB83" s="16" t="n">
        <f aca="false">IF(ABS(AB82-$B$11/$B$9*((MAX(0,MIN(1,AB82))^2/(MAX(0,MIN(1,AB82))^2+(1-MAX(0,MIN(1,AB82)))^2/$B$5))-(MAX(0,MIN(1,AA82))^2/(MAX(0,MIN(1,AA82))^2+(1-MAX(0,MIN(1,AA82)))^2/$B$5))))&lt;0.000000001,0,AB82-$B$11/$B$9*((MAX(0,MIN(1,AB82))^2/(MAX(0,MIN(1,AB82))^2+(1-MAX(0,MIN(1,AB82)))^2/$B$5))-(MAX(0,MIN(1,AA82))^2/(MAX(0,MIN(1,AA82))^2+(1-MAX(0,MIN(1,AA82)))^2/$B$5))))</f>
        <v>0.73679453627686</v>
      </c>
      <c r="AC83" s="16" t="n">
        <f aca="false">IF(ABS(AC82-$B$11/$B$9*((MAX(0,MIN(1,AC82))^2/(MAX(0,MIN(1,AC82))^2+(1-MAX(0,MIN(1,AC82)))^2/$B$5))-(MAX(0,MIN(1,AB82))^2/(MAX(0,MIN(1,AB82))^2+(1-MAX(0,MIN(1,AB82)))^2/$B$5))))&lt;0.000000001,0,AC82-$B$11/$B$9*((MAX(0,MIN(1,AC82))^2/(MAX(0,MIN(1,AC82))^2+(1-MAX(0,MIN(1,AC82)))^2/$B$5))-(MAX(0,MIN(1,AB82))^2/(MAX(0,MIN(1,AB82))^2+(1-MAX(0,MIN(1,AB82)))^2/$B$5))))</f>
        <v>0.727819460749295</v>
      </c>
      <c r="AD83" s="16" t="n">
        <f aca="false">IF(ABS(AD82-$B$11/$B$9*((MAX(0,MIN(1,AD82))^2/(MAX(0,MIN(1,AD82))^2+(1-MAX(0,MIN(1,AD82)))^2/$B$5))-(MAX(0,MIN(1,AC82))^2/(MAX(0,MIN(1,AC82))^2+(1-MAX(0,MIN(1,AC82)))^2/$B$5))))&lt;0.000000001,0,AD82-$B$11/$B$9*((MAX(0,MIN(1,AD82))^2/(MAX(0,MIN(1,AD82))^2+(1-MAX(0,MIN(1,AD82)))^2/$B$5))-(MAX(0,MIN(1,AC82))^2/(MAX(0,MIN(1,AC82))^2+(1-MAX(0,MIN(1,AC82)))^2/$B$5))))</f>
        <v>0.719112562449782</v>
      </c>
      <c r="AE83" s="16" t="n">
        <f aca="false">IF(ABS(AE82-$B$11/$B$9*((MAX(0,MIN(1,AE82))^2/(MAX(0,MIN(1,AE82))^2+(1-MAX(0,MIN(1,AE82)))^2/$B$5))-(MAX(0,MIN(1,AD82))^2/(MAX(0,MIN(1,AD82))^2+(1-MAX(0,MIN(1,AD82)))^2/$B$5))))&lt;0.000000001,0,AE82-$B$11/$B$9*((MAX(0,MIN(1,AE82))^2/(MAX(0,MIN(1,AE82))^2+(1-MAX(0,MIN(1,AE82)))^2/$B$5))-(MAX(0,MIN(1,AD82))^2/(MAX(0,MIN(1,AD82))^2+(1-MAX(0,MIN(1,AD82)))^2/$B$5))))</f>
        <v>0.710645423568707</v>
      </c>
      <c r="AF83" s="16" t="n">
        <f aca="false">IF(ABS(AF82-$B$11/$B$9*((MAX(0,MIN(1,AF82))^2/(MAX(0,MIN(1,AF82))^2+(1-MAX(0,MIN(1,AF82)))^2/$B$5))-(MAX(0,MIN(1,AE82))^2/(MAX(0,MIN(1,AE82))^2+(1-MAX(0,MIN(1,AE82)))^2/$B$5))))&lt;0.000000001,0,AF82-$B$11/$B$9*((MAX(0,MIN(1,AF82))^2/(MAX(0,MIN(1,AF82))^2+(1-MAX(0,MIN(1,AF82)))^2/$B$5))-(MAX(0,MIN(1,AE82))^2/(MAX(0,MIN(1,AE82))^2+(1-MAX(0,MIN(1,AE82)))^2/$B$5))))</f>
        <v>0.702392054155055</v>
      </c>
    </row>
    <row r="84" customFormat="false" ht="15" hidden="false" customHeight="false" outlineLevel="0" collapsed="false">
      <c r="A84" s="0" t="n">
        <v>0.79</v>
      </c>
      <c r="D84" s="0" t="n">
        <f aca="false">A84</f>
        <v>0.79</v>
      </c>
      <c r="E84" s="0" t="n">
        <f aca="false">(G84-G83)/(A84-A83)</f>
        <v>0.412961824590596</v>
      </c>
      <c r="F84" s="0" t="n">
        <f aca="false">G84/A84</f>
        <v>1.2226263251567</v>
      </c>
      <c r="G84" s="0" t="n">
        <f aca="false">A84^2/(A84^2+(1-A84)^2/$B$5)</f>
        <v>0.965874796873791</v>
      </c>
      <c r="L84" s="0" t="n">
        <v>74</v>
      </c>
      <c r="M84" s="16" t="n">
        <f aca="false">IF(ABS(M83-$B$11/$B$9*((MAX(0,MIN(1,M83))^2/(MAX(0,MIN(1,M83))^2+(1-MAX(0,MIN(1,M83)))^2/$B$5))-(MAX(0,MIN(1,1))^2/(MAX(0,MIN(1,1))^2+(1-MAX(0,MIN(1,1)))^2/$B$5))))&lt;0.000000001,0,M83-$B$11/$B$9*((MAX(0,MIN(1,M83))^2/(MAX(0,MIN(1,M83))^2+(1-MAX(0,MIN(1,M83)))^2/$B$5))-(MAX(0,MIN(1,1))^2/(MAX(0,MIN(1,1))^2+(1-MAX(0,MIN(1,1)))^2/$B$5))))</f>
        <v>0.951278379258371</v>
      </c>
      <c r="N84" s="16" t="n">
        <f aca="false">IF(ABS(N83-$B$11/$B$9*((MAX(0,MIN(1,N83))^2/(MAX(0,MIN(1,N83))^2+(1-MAX(0,MIN(1,N83)))^2/$B$5))-(MAX(0,MIN(1,M83))^2/(MAX(0,MIN(1,M83))^2+(1-MAX(0,MIN(1,M83)))^2/$B$5))))&lt;0.000000001,0,N83-$B$11/$B$9*((MAX(0,MIN(1,N83))^2/(MAX(0,MIN(1,N83))^2+(1-MAX(0,MIN(1,N83)))^2/$B$5))-(MAX(0,MIN(1,M83))^2/(MAX(0,MIN(1,M83))^2+(1-MAX(0,MIN(1,M83)))^2/$B$5))))</f>
        <v>0.925601422497895</v>
      </c>
      <c r="O84" s="16" t="n">
        <f aca="false">IF(ABS(O83-$B$11/$B$9*((MAX(0,MIN(1,O83))^2/(MAX(0,MIN(1,O83))^2+(1-MAX(0,MIN(1,O83)))^2/$B$5))-(MAX(0,MIN(1,N83))^2/(MAX(0,MIN(1,N83))^2+(1-MAX(0,MIN(1,N83)))^2/$B$5))))&lt;0.000000001,0,O83-$B$11/$B$9*((MAX(0,MIN(1,O83))^2/(MAX(0,MIN(1,O83))^2+(1-MAX(0,MIN(1,O83)))^2/$B$5))-(MAX(0,MIN(1,N83))^2/(MAX(0,MIN(1,N83))^2+(1-MAX(0,MIN(1,N83)))^2/$B$5))))</f>
        <v>0.904148069206405</v>
      </c>
      <c r="P84" s="16" t="n">
        <f aca="false">IF(ABS(P83-$B$11/$B$9*((MAX(0,MIN(1,P83))^2/(MAX(0,MIN(1,P83))^2+(1-MAX(0,MIN(1,P83)))^2/$B$5))-(MAX(0,MIN(1,O83))^2/(MAX(0,MIN(1,O83))^2+(1-MAX(0,MIN(1,O83)))^2/$B$5))))&lt;0.000000001,0,P83-$B$11/$B$9*((MAX(0,MIN(1,P83))^2/(MAX(0,MIN(1,P83))^2+(1-MAX(0,MIN(1,P83)))^2/$B$5))-(MAX(0,MIN(1,O83))^2/(MAX(0,MIN(1,O83))^2+(1-MAX(0,MIN(1,O83)))^2/$B$5))))</f>
        <v>0.88525483026863</v>
      </c>
      <c r="Q84" s="16" t="n">
        <f aca="false">IF(ABS(Q83-$B$11/$B$9*((MAX(0,MIN(1,Q83))^2/(MAX(0,MIN(1,Q83))^2+(1-MAX(0,MIN(1,Q83)))^2/$B$5))-(MAX(0,MIN(1,P83))^2/(MAX(0,MIN(1,P83))^2+(1-MAX(0,MIN(1,P83)))^2/$B$5))))&lt;0.000000001,0,Q83-$B$11/$B$9*((MAX(0,MIN(1,Q83))^2/(MAX(0,MIN(1,Q83))^2+(1-MAX(0,MIN(1,Q83)))^2/$B$5))-(MAX(0,MIN(1,P83))^2/(MAX(0,MIN(1,P83))^2+(1-MAX(0,MIN(1,P83)))^2/$B$5))))</f>
        <v>0.868206950978107</v>
      </c>
      <c r="R84" s="16" t="n">
        <f aca="false">IF(ABS(R83-$B$11/$B$9*((MAX(0,MIN(1,R83))^2/(MAX(0,MIN(1,R83))^2+(1-MAX(0,MIN(1,R83)))^2/$B$5))-(MAX(0,MIN(1,Q83))^2/(MAX(0,MIN(1,Q83))^2+(1-MAX(0,MIN(1,Q83)))^2/$B$5))))&lt;0.000000001,0,R83-$B$11/$B$9*((MAX(0,MIN(1,R83))^2/(MAX(0,MIN(1,R83))^2+(1-MAX(0,MIN(1,R83)))^2/$B$5))-(MAX(0,MIN(1,Q83))^2/(MAX(0,MIN(1,Q83))^2+(1-MAX(0,MIN(1,Q83)))^2/$B$5))))</f>
        <v>0.852592605105505</v>
      </c>
      <c r="S84" s="16" t="n">
        <f aca="false">IF(ABS(S83-$B$11/$B$9*((MAX(0,MIN(1,S83))^2/(MAX(0,MIN(1,S83))^2+(1-MAX(0,MIN(1,S83)))^2/$B$5))-(MAX(0,MIN(1,R83))^2/(MAX(0,MIN(1,R83))^2+(1-MAX(0,MIN(1,R83)))^2/$B$5))))&lt;0.000000001,0,S83-$B$11/$B$9*((MAX(0,MIN(1,S83))^2/(MAX(0,MIN(1,S83))^2+(1-MAX(0,MIN(1,S83)))^2/$B$5))-(MAX(0,MIN(1,R83))^2/(MAX(0,MIN(1,R83))^2+(1-MAX(0,MIN(1,R83)))^2/$B$5))))</f>
        <v>0.838139258671207</v>
      </c>
      <c r="T84" s="16" t="n">
        <f aca="false">IF(ABS(T83-$B$11/$B$9*((MAX(0,MIN(1,T83))^2/(MAX(0,MIN(1,T83))^2+(1-MAX(0,MIN(1,T83)))^2/$B$5))-(MAX(0,MIN(1,S83))^2/(MAX(0,MIN(1,S83))^2+(1-MAX(0,MIN(1,S83)))^2/$B$5))))&lt;0.000000001,0,T83-$B$11/$B$9*((MAX(0,MIN(1,T83))^2/(MAX(0,MIN(1,T83))^2+(1-MAX(0,MIN(1,T83)))^2/$B$5))-(MAX(0,MIN(1,S83))^2/(MAX(0,MIN(1,S83))^2+(1-MAX(0,MIN(1,S83)))^2/$B$5))))</f>
        <v>0.824651689467083</v>
      </c>
      <c r="U84" s="16" t="n">
        <f aca="false">IF(ABS(U83-$B$11/$B$9*((MAX(0,MIN(1,U83))^2/(MAX(0,MIN(1,U83))^2+(1-MAX(0,MIN(1,U83)))^2/$B$5))-(MAX(0,MIN(1,T83))^2/(MAX(0,MIN(1,T83))^2+(1-MAX(0,MIN(1,T83)))^2/$B$5))))&lt;0.000000001,0,U83-$B$11/$B$9*((MAX(0,MIN(1,U83))^2/(MAX(0,MIN(1,U83))^2+(1-MAX(0,MIN(1,U83)))^2/$B$5))-(MAX(0,MIN(1,T83))^2/(MAX(0,MIN(1,T83))^2+(1-MAX(0,MIN(1,T83)))^2/$B$5))))</f>
        <v>0.811982743500391</v>
      </c>
      <c r="V84" s="16" t="n">
        <f aca="false">IF(ABS(V83-$B$11/$B$9*((MAX(0,MIN(1,V83))^2/(MAX(0,MIN(1,V83))^2+(1-MAX(0,MIN(1,V83)))^2/$B$5))-(MAX(0,MIN(1,U83))^2/(MAX(0,MIN(1,U83))^2+(1-MAX(0,MIN(1,U83)))^2/$B$5))))&lt;0.000000001,0,V83-$B$11/$B$9*((MAX(0,MIN(1,V83))^2/(MAX(0,MIN(1,V83))^2+(1-MAX(0,MIN(1,V83)))^2/$B$5))-(MAX(0,MIN(1,U83))^2/(MAX(0,MIN(1,U83))^2+(1-MAX(0,MIN(1,U83)))^2/$B$5))))</f>
        <v>0.800017467167665</v>
      </c>
      <c r="W84" s="16" t="n">
        <f aca="false">IF(ABS(W83-$B$11/$B$9*((MAX(0,MIN(1,W83))^2/(MAX(0,MIN(1,W83))^2+(1-MAX(0,MIN(1,W83)))^2/$B$5))-(MAX(0,MIN(1,V83))^2/(MAX(0,MIN(1,V83))^2+(1-MAX(0,MIN(1,V83)))^2/$B$5))))&lt;0.000000001,0,W83-$B$11/$B$9*((MAX(0,MIN(1,W83))^2/(MAX(0,MIN(1,W83))^2+(1-MAX(0,MIN(1,W83)))^2/$B$5))-(MAX(0,MIN(1,V83))^2/(MAX(0,MIN(1,V83))^2+(1-MAX(0,MIN(1,V83)))^2/$B$5))))</f>
        <v>0.788663629624835</v>
      </c>
      <c r="X84" s="16" t="n">
        <f aca="false">IF(ABS(X83-$B$11/$B$9*((MAX(0,MIN(1,X83))^2/(MAX(0,MIN(1,X83))^2+(1-MAX(0,MIN(1,X83)))^2/$B$5))-(MAX(0,MIN(1,W83))^2/(MAX(0,MIN(1,W83))^2+(1-MAX(0,MIN(1,W83)))^2/$B$5))))&lt;0.000000001,0,X83-$B$11/$B$9*((MAX(0,MIN(1,X83))^2/(MAX(0,MIN(1,X83))^2+(1-MAX(0,MIN(1,X83)))^2/$B$5))-(MAX(0,MIN(1,W83))^2/(MAX(0,MIN(1,W83))^2+(1-MAX(0,MIN(1,W83)))^2/$B$5))))</f>
        <v>0.7778456549312</v>
      </c>
      <c r="Y84" s="16" t="n">
        <f aca="false">IF(ABS(Y83-$B$11/$B$9*((MAX(0,MIN(1,Y83))^2/(MAX(0,MIN(1,Y83))^2+(1-MAX(0,MIN(1,Y83)))^2/$B$5))-(MAX(0,MIN(1,X83))^2/(MAX(0,MIN(1,X83))^2+(1-MAX(0,MIN(1,X83)))^2/$B$5))))&lt;0.000000001,0,Y83-$B$11/$B$9*((MAX(0,MIN(1,Y83))^2/(MAX(0,MIN(1,Y83))^2+(1-MAX(0,MIN(1,Y83)))^2/$B$5))-(MAX(0,MIN(1,X83))^2/(MAX(0,MIN(1,X83))^2+(1-MAX(0,MIN(1,X83)))^2/$B$5))))</f>
        <v>0.767500528263453</v>
      </c>
      <c r="Z84" s="16" t="n">
        <f aca="false">IF(ABS(Z83-$B$11/$B$9*((MAX(0,MIN(1,Z83))^2/(MAX(0,MIN(1,Z83))^2+(1-MAX(0,MIN(1,Z83)))^2/$B$5))-(MAX(0,MIN(1,Y83))^2/(MAX(0,MIN(1,Y83))^2+(1-MAX(0,MIN(1,Y83)))^2/$B$5))))&lt;0.000000001,0,Z83-$B$11/$B$9*((MAX(0,MIN(1,Z83))^2/(MAX(0,MIN(1,Z83))^2+(1-MAX(0,MIN(1,Z83)))^2/$B$5))-(MAX(0,MIN(1,Y83))^2/(MAX(0,MIN(1,Y83))^2+(1-MAX(0,MIN(1,Y83)))^2/$B$5))))</f>
        <v>0.757574917927095</v>
      </c>
      <c r="AA84" s="16" t="n">
        <f aca="false">IF(ABS(AA83-$B$11/$B$9*((MAX(0,MIN(1,AA83))^2/(MAX(0,MIN(1,AA83))^2+(1-MAX(0,MIN(1,AA83)))^2/$B$5))-(MAX(0,MIN(1,Z83))^2/(MAX(0,MIN(1,Z83))^2+(1-MAX(0,MIN(1,Z83)))^2/$B$5))))&lt;0.000000001,0,AA83-$B$11/$B$9*((MAX(0,MIN(1,AA83))^2/(MAX(0,MIN(1,AA83))^2+(1-MAX(0,MIN(1,AA83)))^2/$B$5))-(MAX(0,MIN(1,Z83))^2/(MAX(0,MIN(1,Z83))^2+(1-MAX(0,MIN(1,Z83)))^2/$B$5))))</f>
        <v>0.748023082678749</v>
      </c>
      <c r="AB84" s="16" t="n">
        <f aca="false">IF(ABS(AB83-$B$11/$B$9*((MAX(0,MIN(1,AB83))^2/(MAX(0,MIN(1,AB83))^2+(1-MAX(0,MIN(1,AB83)))^2/$B$5))-(MAX(0,MIN(1,AA83))^2/(MAX(0,MIN(1,AA83))^2+(1-MAX(0,MIN(1,AA83)))^2/$B$5))))&lt;0.000000001,0,AB83-$B$11/$B$9*((MAX(0,MIN(1,AB83))^2/(MAX(0,MIN(1,AB83))^2+(1-MAX(0,MIN(1,AB83)))^2/$B$5))-(MAX(0,MIN(1,AA83))^2/(MAX(0,MIN(1,AA83))^2+(1-MAX(0,MIN(1,AA83)))^2/$B$5))))</f>
        <v>0.738805305219799</v>
      </c>
      <c r="AC84" s="16" t="n">
        <f aca="false">IF(ABS(AC83-$B$11/$B$9*((MAX(0,MIN(1,AC83))^2/(MAX(0,MIN(1,AC83))^2+(1-MAX(0,MIN(1,AC83)))^2/$B$5))-(MAX(0,MIN(1,AB83))^2/(MAX(0,MIN(1,AB83))^2+(1-MAX(0,MIN(1,AB83)))^2/$B$5))))&lt;0.000000001,0,AC83-$B$11/$B$9*((MAX(0,MIN(1,AC83))^2/(MAX(0,MIN(1,AC83))^2+(1-MAX(0,MIN(1,AC83)))^2/$B$5))-(MAX(0,MIN(1,AB83))^2/(MAX(0,MIN(1,AB83))^2+(1-MAX(0,MIN(1,AB83)))^2/$B$5))))</f>
        <v>0.729886687959583</v>
      </c>
      <c r="AD84" s="16" t="n">
        <f aca="false">IF(ABS(AD83-$B$11/$B$9*((MAX(0,MIN(1,AD83))^2/(MAX(0,MIN(1,AD83))^2+(1-MAX(0,MIN(1,AD83)))^2/$B$5))-(MAX(0,MIN(1,AC83))^2/(MAX(0,MIN(1,AC83))^2+(1-MAX(0,MIN(1,AC83)))^2/$B$5))))&lt;0.000000001,0,AD83-$B$11/$B$9*((MAX(0,MIN(1,AD83))^2/(MAX(0,MIN(1,AD83))^2+(1-MAX(0,MIN(1,AD83)))^2/$B$5))-(MAX(0,MIN(1,AC83))^2/(MAX(0,MIN(1,AC83))^2+(1-MAX(0,MIN(1,AC83)))^2/$B$5))))</f>
        <v>0.721236202687945</v>
      </c>
      <c r="AE84" s="16" t="n">
        <f aca="false">IF(ABS(AE83-$B$11/$B$9*((MAX(0,MIN(1,AE83))^2/(MAX(0,MIN(1,AE83))^2+(1-MAX(0,MIN(1,AE83)))^2/$B$5))-(MAX(0,MIN(1,AD83))^2/(MAX(0,MIN(1,AD83))^2+(1-MAX(0,MIN(1,AD83)))^2/$B$5))))&lt;0.000000001,0,AE83-$B$11/$B$9*((MAX(0,MIN(1,AE83))^2/(MAX(0,MIN(1,AE83))^2+(1-MAX(0,MIN(1,AE83)))^2/$B$5))-(MAX(0,MIN(1,AD83))^2/(MAX(0,MIN(1,AD83))^2+(1-MAX(0,MIN(1,AD83)))^2/$B$5))))</f>
        <v>0.71282591933737</v>
      </c>
      <c r="AF84" s="16" t="n">
        <f aca="false">IF(ABS(AF83-$B$11/$B$9*((MAX(0,MIN(1,AF83))^2/(MAX(0,MIN(1,AF83))^2+(1-MAX(0,MIN(1,AF83)))^2/$B$5))-(MAX(0,MIN(1,AE83))^2/(MAX(0,MIN(1,AE83))^2+(1-MAX(0,MIN(1,AE83)))^2/$B$5))))&lt;0.000000001,0,AF83-$B$11/$B$9*((MAX(0,MIN(1,AF83))^2/(MAX(0,MIN(1,AF83))^2+(1-MAX(0,MIN(1,AF83)))^2/$B$5))-(MAX(0,MIN(1,AE83))^2/(MAX(0,MIN(1,AE83))^2+(1-MAX(0,MIN(1,AE83)))^2/$B$5))))</f>
        <v>0.70463035962392</v>
      </c>
    </row>
    <row r="85" customFormat="false" ht="15" hidden="false" customHeight="false" outlineLevel="0" collapsed="false">
      <c r="A85" s="0" t="n">
        <v>0.8</v>
      </c>
      <c r="D85" s="0" t="n">
        <f aca="false">A85</f>
        <v>0.8</v>
      </c>
      <c r="E85" s="0" t="n">
        <f aca="false">(G85-G84)/(A85-A84)</f>
        <v>0.382217282317887</v>
      </c>
      <c r="F85" s="0" t="n">
        <f aca="false">G85/A85</f>
        <v>1.21212121212121</v>
      </c>
      <c r="G85" s="0" t="n">
        <f aca="false">A85^2/(A85^2+(1-A85)^2/$B$5)</f>
        <v>0.96969696969697</v>
      </c>
      <c r="L85" s="0" t="n">
        <v>75</v>
      </c>
      <c r="M85" s="16" t="n">
        <f aca="false">IF(ABS(M84-$B$11/$B$9*((MAX(0,MIN(1,M84))^2/(MAX(0,MIN(1,M84))^2+(1-MAX(0,MIN(1,M84)))^2/$B$5))-(MAX(0,MIN(1,1))^2/(MAX(0,MIN(1,1))^2+(1-MAX(0,MIN(1,1)))^2/$B$5))))&lt;0.000000001,0,M84-$B$11/$B$9*((MAX(0,MIN(1,M84))^2/(MAX(0,MIN(1,M84))^2+(1-MAX(0,MIN(1,M84)))^2/$B$5))-(MAX(0,MIN(1,1))^2/(MAX(0,MIN(1,1))^2+(1-MAX(0,MIN(1,1)))^2/$B$5))))</f>
        <v>0.951782066273164</v>
      </c>
      <c r="N85" s="16" t="n">
        <f aca="false">IF(ABS(N84-$B$11/$B$9*((MAX(0,MIN(1,N84))^2/(MAX(0,MIN(1,N84))^2+(1-MAX(0,MIN(1,N84)))^2/$B$5))-(MAX(0,MIN(1,M84))^2/(MAX(0,MIN(1,M84))^2+(1-MAX(0,MIN(1,M84)))^2/$B$5))))&lt;0.000000001,0,N84-$B$11/$B$9*((MAX(0,MIN(1,N84))^2/(MAX(0,MIN(1,N84))^2+(1-MAX(0,MIN(1,N84)))^2/$B$5))-(MAX(0,MIN(1,M84))^2/(MAX(0,MIN(1,M84))^2+(1-MAX(0,MIN(1,M84)))^2/$B$5))))</f>
        <v>0.926335911439383</v>
      </c>
      <c r="O85" s="16" t="n">
        <f aca="false">IF(ABS(O84-$B$11/$B$9*((MAX(0,MIN(1,O84))^2/(MAX(0,MIN(1,O84))^2+(1-MAX(0,MIN(1,O84)))^2/$B$5))-(MAX(0,MIN(1,N84))^2/(MAX(0,MIN(1,N84))^2+(1-MAX(0,MIN(1,N84)))^2/$B$5))))&lt;0.000000001,0,O84-$B$11/$B$9*((MAX(0,MIN(1,O84))^2/(MAX(0,MIN(1,O84))^2+(1-MAX(0,MIN(1,O84)))^2/$B$5))-(MAX(0,MIN(1,N84))^2/(MAX(0,MIN(1,N84))^2+(1-MAX(0,MIN(1,N84)))^2/$B$5))))</f>
        <v>0.905058667304329</v>
      </c>
      <c r="P85" s="16" t="n">
        <f aca="false">IF(ABS(P84-$B$11/$B$9*((MAX(0,MIN(1,P84))^2/(MAX(0,MIN(1,P84))^2+(1-MAX(0,MIN(1,P84)))^2/$B$5))-(MAX(0,MIN(1,O84))^2/(MAX(0,MIN(1,O84))^2+(1-MAX(0,MIN(1,O84)))^2/$B$5))))&lt;0.000000001,0,P84-$B$11/$B$9*((MAX(0,MIN(1,P84))^2/(MAX(0,MIN(1,P84))^2+(1-MAX(0,MIN(1,P84)))^2/$B$5))-(MAX(0,MIN(1,O84))^2/(MAX(0,MIN(1,O84))^2+(1-MAX(0,MIN(1,O84)))^2/$B$5))))</f>
        <v>0.886309381071898</v>
      </c>
      <c r="Q85" s="16" t="n">
        <f aca="false">IF(ABS(Q84-$B$11/$B$9*((MAX(0,MIN(1,Q84))^2/(MAX(0,MIN(1,Q84))^2+(1-MAX(0,MIN(1,Q84)))^2/$B$5))-(MAX(0,MIN(1,P84))^2/(MAX(0,MIN(1,P84))^2+(1-MAX(0,MIN(1,P84)))^2/$B$5))))&lt;0.000000001,0,Q84-$B$11/$B$9*((MAX(0,MIN(1,Q84))^2/(MAX(0,MIN(1,Q84))^2+(1-MAX(0,MIN(1,Q84)))^2/$B$5))-(MAX(0,MIN(1,P84))^2/(MAX(0,MIN(1,P84))^2+(1-MAX(0,MIN(1,P84)))^2/$B$5))))</f>
        <v>0.869383536037982</v>
      </c>
      <c r="R85" s="16" t="n">
        <f aca="false">IF(ABS(R84-$B$11/$B$9*((MAX(0,MIN(1,R84))^2/(MAX(0,MIN(1,R84))^2+(1-MAX(0,MIN(1,R84)))^2/$B$5))-(MAX(0,MIN(1,Q84))^2/(MAX(0,MIN(1,Q84))^2+(1-MAX(0,MIN(1,Q84)))^2/$B$5))))&lt;0.000000001,0,R84-$B$11/$B$9*((MAX(0,MIN(1,R84))^2/(MAX(0,MIN(1,R84))^2+(1-MAX(0,MIN(1,R84)))^2/$B$5))-(MAX(0,MIN(1,Q84))^2/(MAX(0,MIN(1,Q84))^2+(1-MAX(0,MIN(1,Q84)))^2/$B$5))))</f>
        <v>0.853875274173504</v>
      </c>
      <c r="S85" s="16" t="n">
        <f aca="false">IF(ABS(S84-$B$11/$B$9*((MAX(0,MIN(1,S84))^2/(MAX(0,MIN(1,S84))^2+(1-MAX(0,MIN(1,S84)))^2/$B$5))-(MAX(0,MIN(1,R84))^2/(MAX(0,MIN(1,R84))^2+(1-MAX(0,MIN(1,R84)))^2/$B$5))))&lt;0.000000001,0,S84-$B$11/$B$9*((MAX(0,MIN(1,S84))^2/(MAX(0,MIN(1,S84))^2+(1-MAX(0,MIN(1,S84)))^2/$B$5))-(MAX(0,MIN(1,R84))^2/(MAX(0,MIN(1,R84))^2+(1-MAX(0,MIN(1,R84)))^2/$B$5))))</f>
        <v>0.839515964781862</v>
      </c>
      <c r="T85" s="16" t="n">
        <f aca="false">IF(ABS(T84-$B$11/$B$9*((MAX(0,MIN(1,T84))^2/(MAX(0,MIN(1,T84))^2+(1-MAX(0,MIN(1,T84)))^2/$B$5))-(MAX(0,MIN(1,S84))^2/(MAX(0,MIN(1,S84))^2+(1-MAX(0,MIN(1,S84)))^2/$B$5))))&lt;0.000000001,0,T84-$B$11/$B$9*((MAX(0,MIN(1,T84))^2/(MAX(0,MIN(1,T84))^2+(1-MAX(0,MIN(1,T84)))^2/$B$5))-(MAX(0,MIN(1,S84))^2/(MAX(0,MIN(1,S84))^2+(1-MAX(0,MIN(1,S84)))^2/$B$5))))</f>
        <v>0.826113117123545</v>
      </c>
      <c r="U85" s="16" t="n">
        <f aca="false">IF(ABS(U84-$B$11/$B$9*((MAX(0,MIN(1,U84))^2/(MAX(0,MIN(1,U84))^2+(1-MAX(0,MIN(1,U84)))^2/$B$5))-(MAX(0,MIN(1,T84))^2/(MAX(0,MIN(1,T84))^2+(1-MAX(0,MIN(1,T84)))^2/$B$5))))&lt;0.000000001,0,U84-$B$11/$B$9*((MAX(0,MIN(1,U84))^2/(MAX(0,MIN(1,U84))^2+(1-MAX(0,MIN(1,U84)))^2/$B$5))-(MAX(0,MIN(1,T84))^2/(MAX(0,MIN(1,T84))^2+(1-MAX(0,MIN(1,T84)))^2/$B$5))))</f>
        <v>0.813521579265816</v>
      </c>
      <c r="V85" s="16" t="n">
        <f aca="false">IF(ABS(V84-$B$11/$B$9*((MAX(0,MIN(1,V84))^2/(MAX(0,MIN(1,V84))^2+(1-MAX(0,MIN(1,V84)))^2/$B$5))-(MAX(0,MIN(1,U84))^2/(MAX(0,MIN(1,U84))^2+(1-MAX(0,MIN(1,U84)))^2/$B$5))))&lt;0.000000001,0,V84-$B$11/$B$9*((MAX(0,MIN(1,V84))^2/(MAX(0,MIN(1,V84))^2+(1-MAX(0,MIN(1,V84)))^2/$B$5))-(MAX(0,MIN(1,U84))^2/(MAX(0,MIN(1,U84))^2+(1-MAX(0,MIN(1,U84)))^2/$B$5))))</f>
        <v>0.801627917940242</v>
      </c>
      <c r="W85" s="16" t="n">
        <f aca="false">IF(ABS(W84-$B$11/$B$9*((MAX(0,MIN(1,W84))^2/(MAX(0,MIN(1,W84))^2+(1-MAX(0,MIN(1,W84)))^2/$B$5))-(MAX(0,MIN(1,V84))^2/(MAX(0,MIN(1,V84))^2+(1-MAX(0,MIN(1,V84)))^2/$B$5))))&lt;0.000000001,0,W84-$B$11/$B$9*((MAX(0,MIN(1,W84))^2/(MAX(0,MIN(1,W84))^2+(1-MAX(0,MIN(1,W84)))^2/$B$5))-(MAX(0,MIN(1,V84))^2/(MAX(0,MIN(1,V84))^2+(1-MAX(0,MIN(1,V84)))^2/$B$5))))</f>
        <v>0.790341091480902</v>
      </c>
      <c r="X85" s="16" t="n">
        <f aca="false">IF(ABS(X84-$B$11/$B$9*((MAX(0,MIN(1,X84))^2/(MAX(0,MIN(1,X84))^2+(1-MAX(0,MIN(1,X84)))^2/$B$5))-(MAX(0,MIN(1,W84))^2/(MAX(0,MIN(1,W84))^2+(1-MAX(0,MIN(1,W84)))^2/$B$5))))&lt;0.000000001,0,X84-$B$11/$B$9*((MAX(0,MIN(1,X84))^2/(MAX(0,MIN(1,X84))^2+(1-MAX(0,MIN(1,X84)))^2/$B$5))-(MAX(0,MIN(1,W84))^2/(MAX(0,MIN(1,W84))^2+(1-MAX(0,MIN(1,W84)))^2/$B$5))))</f>
        <v>0.779586479194307</v>
      </c>
      <c r="Y85" s="16" t="n">
        <f aca="false">IF(ABS(Y84-$B$11/$B$9*((MAX(0,MIN(1,Y84))^2/(MAX(0,MIN(1,Y84))^2+(1-MAX(0,MIN(1,Y84)))^2/$B$5))-(MAX(0,MIN(1,X84))^2/(MAX(0,MIN(1,X84))^2+(1-MAX(0,MIN(1,X84)))^2/$B$5))))&lt;0.000000001,0,Y84-$B$11/$B$9*((MAX(0,MIN(1,Y84))^2/(MAX(0,MIN(1,Y84))^2+(1-MAX(0,MIN(1,Y84)))^2/$B$5))-(MAX(0,MIN(1,X84))^2/(MAX(0,MIN(1,X84))^2+(1-MAX(0,MIN(1,X84)))^2/$B$5))))</f>
        <v>0.769301853461802</v>
      </c>
      <c r="Z85" s="16" t="n">
        <f aca="false">IF(ABS(Z84-$B$11/$B$9*((MAX(0,MIN(1,Z84))^2/(MAX(0,MIN(1,Z84))^2+(1-MAX(0,MIN(1,Z84)))^2/$B$5))-(MAX(0,MIN(1,Y84))^2/(MAX(0,MIN(1,Y84))^2+(1-MAX(0,MIN(1,Y84)))^2/$B$5))))&lt;0.000000001,0,Z84-$B$11/$B$9*((MAX(0,MIN(1,Z84))^2/(MAX(0,MIN(1,Z84))^2+(1-MAX(0,MIN(1,Z84)))^2/$B$5))-(MAX(0,MIN(1,Y84))^2/(MAX(0,MIN(1,Y84))^2+(1-MAX(0,MIN(1,Y84)))^2/$B$5))))</f>
        <v>0.759434548352094</v>
      </c>
      <c r="AA85" s="16" t="n">
        <f aca="false">IF(ABS(AA84-$B$11/$B$9*((MAX(0,MIN(1,AA84))^2/(MAX(0,MIN(1,AA84))^2+(1-MAX(0,MIN(1,AA84)))^2/$B$5))-(MAX(0,MIN(1,Z84))^2/(MAX(0,MIN(1,Z84))^2+(1-MAX(0,MIN(1,Z84)))^2/$B$5))))&lt;0.000000001,0,AA84-$B$11/$B$9*((MAX(0,MIN(1,AA84))^2/(MAX(0,MIN(1,AA84))^2+(1-MAX(0,MIN(1,AA84)))^2/$B$5))-(MAX(0,MIN(1,Z84))^2/(MAX(0,MIN(1,Z84))^2+(1-MAX(0,MIN(1,Z84)))^2/$B$5))))</f>
        <v>0.749939401330423</v>
      </c>
      <c r="AB85" s="16" t="n">
        <f aca="false">IF(ABS(AB84-$B$11/$B$9*((MAX(0,MIN(1,AB84))^2/(MAX(0,MIN(1,AB84))^2+(1-MAX(0,MIN(1,AB84)))^2/$B$5))-(MAX(0,MIN(1,AA84))^2/(MAX(0,MIN(1,AA84))^2+(1-MAX(0,MIN(1,AA84)))^2/$B$5))))&lt;0.000000001,0,AB84-$B$11/$B$9*((MAX(0,MIN(1,AB84))^2/(MAX(0,MIN(1,AB84))^2+(1-MAX(0,MIN(1,AB84)))^2/$B$5))-(MAX(0,MIN(1,AA84))^2/(MAX(0,MIN(1,AA84))^2+(1-MAX(0,MIN(1,AA84)))^2/$B$5))))</f>
        <v>0.740777213345889</v>
      </c>
      <c r="AC85" s="16" t="n">
        <f aca="false">IF(ABS(AC84-$B$11/$B$9*((MAX(0,MIN(1,AC84))^2/(MAX(0,MIN(1,AC84))^2+(1-MAX(0,MIN(1,AC84)))^2/$B$5))-(MAX(0,MIN(1,AB84))^2/(MAX(0,MIN(1,AB84))^2+(1-MAX(0,MIN(1,AB84)))^2/$B$5))))&lt;0.000000001,0,AC84-$B$11/$B$9*((MAX(0,MIN(1,AC84))^2/(MAX(0,MIN(1,AC84))^2+(1-MAX(0,MIN(1,AC84)))^2/$B$5))-(MAX(0,MIN(1,AB84))^2/(MAX(0,MIN(1,AB84))^2+(1-MAX(0,MIN(1,AB84)))^2/$B$5))))</f>
        <v>0.731913566347493</v>
      </c>
      <c r="AD85" s="16" t="n">
        <f aca="false">IF(ABS(AD84-$B$11/$B$9*((MAX(0,MIN(1,AD84))^2/(MAX(0,MIN(1,AD84))^2+(1-MAX(0,MIN(1,AD84)))^2/$B$5))-(MAX(0,MIN(1,AC84))^2/(MAX(0,MIN(1,AC84))^2+(1-MAX(0,MIN(1,AC84)))^2/$B$5))))&lt;0.000000001,0,AD84-$B$11/$B$9*((MAX(0,MIN(1,AD84))^2/(MAX(0,MIN(1,AD84))^2+(1-MAX(0,MIN(1,AD84)))^2/$B$5))-(MAX(0,MIN(1,AC84))^2/(MAX(0,MIN(1,AC84))^2+(1-MAX(0,MIN(1,AC84)))^2/$B$5))))</f>
        <v>0.723317892005433</v>
      </c>
      <c r="AE85" s="16" t="n">
        <f aca="false">IF(ABS(AE84-$B$11/$B$9*((MAX(0,MIN(1,AE84))^2/(MAX(0,MIN(1,AE84))^2+(1-MAX(0,MIN(1,AE84)))^2/$B$5))-(MAX(0,MIN(1,AD84))^2/(MAX(0,MIN(1,AD84))^2+(1-MAX(0,MIN(1,AD84)))^2/$B$5))))&lt;0.000000001,0,AE84-$B$11/$B$9*((MAX(0,MIN(1,AE84))^2/(MAX(0,MIN(1,AE84))^2+(1-MAX(0,MIN(1,AE84)))^2/$B$5))-(MAX(0,MIN(1,AD84))^2/(MAX(0,MIN(1,AD84))^2+(1-MAX(0,MIN(1,AD84)))^2/$B$5))))</f>
        <v>0.714962718535846</v>
      </c>
      <c r="AF85" s="16" t="n">
        <f aca="false">IF(ABS(AF84-$B$11/$B$9*((MAX(0,MIN(1,AF84))^2/(MAX(0,MIN(1,AF84))^2+(1-MAX(0,MIN(1,AF84)))^2/$B$5))-(MAX(0,MIN(1,AE84))^2/(MAX(0,MIN(1,AE84))^2+(1-MAX(0,MIN(1,AE84)))^2/$B$5))))&lt;0.000000001,0,AF84-$B$11/$B$9*((MAX(0,MIN(1,AF84))^2/(MAX(0,MIN(1,AF84))^2+(1-MAX(0,MIN(1,AF84)))^2/$B$5))-(MAX(0,MIN(1,AE84))^2/(MAX(0,MIN(1,AE84))^2+(1-MAX(0,MIN(1,AE84)))^2/$B$5))))</f>
        <v>0.706823042996945</v>
      </c>
    </row>
    <row r="86" customFormat="false" ht="15" hidden="false" customHeight="false" outlineLevel="0" collapsed="false">
      <c r="A86" s="0" t="n">
        <v>0.81</v>
      </c>
      <c r="D86" s="0" t="n">
        <f aca="false">A86</f>
        <v>0.81</v>
      </c>
      <c r="E86" s="0" t="n">
        <f aca="false">(G86-G85)/(A86-A85)</f>
        <v>0.352857357974911</v>
      </c>
      <c r="F86" s="0" t="n">
        <f aca="false">G86/A86</f>
        <v>1.20151301639101</v>
      </c>
      <c r="G86" s="0" t="n">
        <f aca="false">A86^2/(A86^2+(1-A86)^2/$B$5)</f>
        <v>0.973225543276719</v>
      </c>
      <c r="L86" s="0" t="n">
        <v>76</v>
      </c>
      <c r="M86" s="16" t="n">
        <f aca="false">IF(ABS(M85-$B$11/$B$9*((MAX(0,MIN(1,M85))^2/(MAX(0,MIN(1,M85))^2+(1-MAX(0,MIN(1,M85)))^2/$B$5))-(MAX(0,MIN(1,1))^2/(MAX(0,MIN(1,1))^2+(1-MAX(0,MIN(1,1)))^2/$B$5))))&lt;0.000000001,0,M85-$B$11/$B$9*((MAX(0,MIN(1,M85))^2/(MAX(0,MIN(1,M85))^2+(1-MAX(0,MIN(1,M85)))^2/$B$5))-(MAX(0,MIN(1,1))^2/(MAX(0,MIN(1,1))^2+(1-MAX(0,MIN(1,1)))^2/$B$5))))</f>
        <v>0.952274884771374</v>
      </c>
      <c r="N86" s="16" t="n">
        <f aca="false">IF(ABS(N85-$B$11/$B$9*((MAX(0,MIN(1,N85))^2/(MAX(0,MIN(1,N85))^2+(1-MAX(0,MIN(1,N85)))^2/$B$5))-(MAX(0,MIN(1,M85))^2/(MAX(0,MIN(1,M85))^2+(1-MAX(0,MIN(1,M85)))^2/$B$5))))&lt;0.000000001,0,N85-$B$11/$B$9*((MAX(0,MIN(1,N85))^2/(MAX(0,MIN(1,N85))^2+(1-MAX(0,MIN(1,N85)))^2/$B$5))-(MAX(0,MIN(1,M85))^2/(MAX(0,MIN(1,M85))^2+(1-MAX(0,MIN(1,M85)))^2/$B$5))))</f>
        <v>0.927055100745388</v>
      </c>
      <c r="O86" s="16" t="n">
        <f aca="false">IF(ABS(O85-$B$11/$B$9*((MAX(0,MIN(1,O85))^2/(MAX(0,MIN(1,O85))^2+(1-MAX(0,MIN(1,O85)))^2/$B$5))-(MAX(0,MIN(1,N85))^2/(MAX(0,MIN(1,N85))^2+(1-MAX(0,MIN(1,N85)))^2/$B$5))))&lt;0.000000001,0,O85-$B$11/$B$9*((MAX(0,MIN(1,O85))^2/(MAX(0,MIN(1,O85))^2+(1-MAX(0,MIN(1,O85)))^2/$B$5))-(MAX(0,MIN(1,N85))^2/(MAX(0,MIN(1,N85))^2+(1-MAX(0,MIN(1,N85)))^2/$B$5))))</f>
        <v>0.905950806152718</v>
      </c>
      <c r="P86" s="16" t="n">
        <f aca="false">IF(ABS(P85-$B$11/$B$9*((MAX(0,MIN(1,P85))^2/(MAX(0,MIN(1,P85))^2+(1-MAX(0,MIN(1,P85)))^2/$B$5))-(MAX(0,MIN(1,O85))^2/(MAX(0,MIN(1,O85))^2+(1-MAX(0,MIN(1,O85)))^2/$B$5))))&lt;0.000000001,0,P85-$B$11/$B$9*((MAX(0,MIN(1,P85))^2/(MAX(0,MIN(1,P85))^2+(1-MAX(0,MIN(1,P85)))^2/$B$5))-(MAX(0,MIN(1,O85))^2/(MAX(0,MIN(1,O85))^2+(1-MAX(0,MIN(1,O85)))^2/$B$5))))</f>
        <v>0.887343010765437</v>
      </c>
      <c r="Q86" s="16" t="n">
        <f aca="false">IF(ABS(Q85-$B$11/$B$9*((MAX(0,MIN(1,Q85))^2/(MAX(0,MIN(1,Q85))^2+(1-MAX(0,MIN(1,Q85)))^2/$B$5))-(MAX(0,MIN(1,P85))^2/(MAX(0,MIN(1,P85))^2+(1-MAX(0,MIN(1,P85)))^2/$B$5))))&lt;0.000000001,0,Q85-$B$11/$B$9*((MAX(0,MIN(1,Q85))^2/(MAX(0,MIN(1,Q85))^2+(1-MAX(0,MIN(1,Q85)))^2/$B$5))-(MAX(0,MIN(1,P85))^2/(MAX(0,MIN(1,P85))^2+(1-MAX(0,MIN(1,P85)))^2/$B$5))))</f>
        <v>0.870537177412894</v>
      </c>
      <c r="R86" s="16" t="n">
        <f aca="false">IF(ABS(R85-$B$11/$B$9*((MAX(0,MIN(1,R85))^2/(MAX(0,MIN(1,R85))^2+(1-MAX(0,MIN(1,R85)))^2/$B$5))-(MAX(0,MIN(1,Q85))^2/(MAX(0,MIN(1,Q85))^2+(1-MAX(0,MIN(1,Q85)))^2/$B$5))))&lt;0.000000001,0,R85-$B$11/$B$9*((MAX(0,MIN(1,R85))^2/(MAX(0,MIN(1,R85))^2+(1-MAX(0,MIN(1,R85)))^2/$B$5))-(MAX(0,MIN(1,Q85))^2/(MAX(0,MIN(1,Q85))^2+(1-MAX(0,MIN(1,Q85)))^2/$B$5))))</f>
        <v>0.855133270102031</v>
      </c>
      <c r="S86" s="16" t="n">
        <f aca="false">IF(ABS(S85-$B$11/$B$9*((MAX(0,MIN(1,S85))^2/(MAX(0,MIN(1,S85))^2+(1-MAX(0,MIN(1,S85)))^2/$B$5))-(MAX(0,MIN(1,R85))^2/(MAX(0,MIN(1,R85))^2+(1-MAX(0,MIN(1,R85)))^2/$B$5))))&lt;0.000000001,0,S85-$B$11/$B$9*((MAX(0,MIN(1,S85))^2/(MAX(0,MIN(1,S85))^2+(1-MAX(0,MIN(1,S85)))^2/$B$5))-(MAX(0,MIN(1,R85))^2/(MAX(0,MIN(1,R85))^2+(1-MAX(0,MIN(1,R85)))^2/$B$5))))</f>
        <v>0.840866469185093</v>
      </c>
      <c r="T86" s="16" t="n">
        <f aca="false">IF(ABS(T85-$B$11/$B$9*((MAX(0,MIN(1,T85))^2/(MAX(0,MIN(1,T85))^2+(1-MAX(0,MIN(1,T85)))^2/$B$5))-(MAX(0,MIN(1,S85))^2/(MAX(0,MIN(1,S85))^2+(1-MAX(0,MIN(1,S85)))^2/$B$5))))&lt;0.000000001,0,T85-$B$11/$B$9*((MAX(0,MIN(1,T85))^2/(MAX(0,MIN(1,T85))^2+(1-MAX(0,MIN(1,T85)))^2/$B$5))-(MAX(0,MIN(1,S85))^2/(MAX(0,MIN(1,S85))^2+(1-MAX(0,MIN(1,S85)))^2/$B$5))))</f>
        <v>0.827546952937866</v>
      </c>
      <c r="U86" s="16" t="n">
        <f aca="false">IF(ABS(U85-$B$11/$B$9*((MAX(0,MIN(1,U85))^2/(MAX(0,MIN(1,U85))^2+(1-MAX(0,MIN(1,U85)))^2/$B$5))-(MAX(0,MIN(1,T85))^2/(MAX(0,MIN(1,T85))^2+(1-MAX(0,MIN(1,T85)))^2/$B$5))))&lt;0.000000001,0,U85-$B$11/$B$9*((MAX(0,MIN(1,U85))^2/(MAX(0,MIN(1,U85))^2+(1-MAX(0,MIN(1,U85)))^2/$B$5))-(MAX(0,MIN(1,T85))^2/(MAX(0,MIN(1,T85))^2+(1-MAX(0,MIN(1,T85)))^2/$B$5))))</f>
        <v>0.815031526821596</v>
      </c>
      <c r="V86" s="16" t="n">
        <f aca="false">IF(ABS(V85-$B$11/$B$9*((MAX(0,MIN(1,V85))^2/(MAX(0,MIN(1,V85))^2+(1-MAX(0,MIN(1,V85)))^2/$B$5))-(MAX(0,MIN(1,U85))^2/(MAX(0,MIN(1,U85))^2+(1-MAX(0,MIN(1,U85)))^2/$B$5))))&lt;0.000000001,0,V85-$B$11/$B$9*((MAX(0,MIN(1,V85))^2/(MAX(0,MIN(1,V85))^2+(1-MAX(0,MIN(1,V85)))^2/$B$5))-(MAX(0,MIN(1,U85))^2/(MAX(0,MIN(1,U85))^2+(1-MAX(0,MIN(1,U85)))^2/$B$5))))</f>
        <v>0.803208244360994</v>
      </c>
      <c r="W86" s="16" t="n">
        <f aca="false">IF(ABS(W85-$B$11/$B$9*((MAX(0,MIN(1,W85))^2/(MAX(0,MIN(1,W85))^2+(1-MAX(0,MIN(1,W85)))^2/$B$5))-(MAX(0,MIN(1,V85))^2/(MAX(0,MIN(1,V85))^2+(1-MAX(0,MIN(1,V85)))^2/$B$5))))&lt;0.000000001,0,W85-$B$11/$B$9*((MAX(0,MIN(1,W85))^2/(MAX(0,MIN(1,W85))^2+(1-MAX(0,MIN(1,W85)))^2/$B$5))-(MAX(0,MIN(1,V85))^2/(MAX(0,MIN(1,V85))^2+(1-MAX(0,MIN(1,V85)))^2/$B$5))))</f>
        <v>0.791987226640095</v>
      </c>
      <c r="X86" s="16" t="n">
        <f aca="false">IF(ABS(X85-$B$11/$B$9*((MAX(0,MIN(1,X85))^2/(MAX(0,MIN(1,X85))^2+(1-MAX(0,MIN(1,X85)))^2/$B$5))-(MAX(0,MIN(1,W85))^2/(MAX(0,MIN(1,W85))^2+(1-MAX(0,MIN(1,W85)))^2/$B$5))))&lt;0.000000001,0,X85-$B$11/$B$9*((MAX(0,MIN(1,X85))^2/(MAX(0,MIN(1,X85))^2+(1-MAX(0,MIN(1,X85)))^2/$B$5))-(MAX(0,MIN(1,W85))^2/(MAX(0,MIN(1,W85))^2+(1-MAX(0,MIN(1,W85)))^2/$B$5))))</f>
        <v>0.781294786317384</v>
      </c>
      <c r="Y86" s="16" t="n">
        <f aca="false">IF(ABS(Y85-$B$11/$B$9*((MAX(0,MIN(1,Y85))^2/(MAX(0,MIN(1,Y85))^2+(1-MAX(0,MIN(1,Y85)))^2/$B$5))-(MAX(0,MIN(1,X85))^2/(MAX(0,MIN(1,X85))^2+(1-MAX(0,MIN(1,X85)))^2/$B$5))))&lt;0.000000001,0,Y85-$B$11/$B$9*((MAX(0,MIN(1,Y85))^2/(MAX(0,MIN(1,Y85))^2+(1-MAX(0,MIN(1,Y85)))^2/$B$5))-(MAX(0,MIN(1,X85))^2/(MAX(0,MIN(1,X85))^2+(1-MAX(0,MIN(1,X85)))^2/$B$5))))</f>
        <v>0.771069463842554</v>
      </c>
      <c r="Z86" s="16" t="n">
        <f aca="false">IF(ABS(Z85-$B$11/$B$9*((MAX(0,MIN(1,Z85))^2/(MAX(0,MIN(1,Z85))^2+(1-MAX(0,MIN(1,Z85)))^2/$B$5))-(MAX(0,MIN(1,Y85))^2/(MAX(0,MIN(1,Y85))^2+(1-MAX(0,MIN(1,Y85)))^2/$B$5))))&lt;0.000000001,0,Z85-$B$11/$B$9*((MAX(0,MIN(1,Z85))^2/(MAX(0,MIN(1,Z85))^2+(1-MAX(0,MIN(1,Z85)))^2/$B$5))-(MAX(0,MIN(1,Y85))^2/(MAX(0,MIN(1,Y85))^2+(1-MAX(0,MIN(1,Y85)))^2/$B$5))))</f>
        <v>0.761259241355301</v>
      </c>
      <c r="AA86" s="16" t="n">
        <f aca="false">IF(ABS(AA85-$B$11/$B$9*((MAX(0,MIN(1,AA85))^2/(MAX(0,MIN(1,AA85))^2+(1-MAX(0,MIN(1,AA85)))^2/$B$5))-(MAX(0,MIN(1,Z85))^2/(MAX(0,MIN(1,Z85))^2+(1-MAX(0,MIN(1,Z85)))^2/$B$5))))&lt;0.000000001,0,AA85-$B$11/$B$9*((MAX(0,MIN(1,AA85))^2/(MAX(0,MIN(1,AA85))^2+(1-MAX(0,MIN(1,AA85)))^2/$B$5))-(MAX(0,MIN(1,Z85))^2/(MAX(0,MIN(1,Z85))^2+(1-MAX(0,MIN(1,Z85)))^2/$B$5))))</f>
        <v>0.751819517713214</v>
      </c>
      <c r="AB86" s="16" t="n">
        <f aca="false">IF(ABS(AB85-$B$11/$B$9*((MAX(0,MIN(1,AB85))^2/(MAX(0,MIN(1,AB85))^2+(1-MAX(0,MIN(1,AB85)))^2/$B$5))-(MAX(0,MIN(1,AA85))^2/(MAX(0,MIN(1,AA85))^2+(1-MAX(0,MIN(1,AA85)))^2/$B$5))))&lt;0.000000001,0,AB85-$B$11/$B$9*((MAX(0,MIN(1,AB85))^2/(MAX(0,MIN(1,AB85))^2+(1-MAX(0,MIN(1,AB85)))^2/$B$5))-(MAX(0,MIN(1,AA85))^2/(MAX(0,MIN(1,AA85))^2+(1-MAX(0,MIN(1,AA85)))^2/$B$5))))</f>
        <v>0.742711594205672</v>
      </c>
      <c r="AC86" s="16" t="n">
        <f aca="false">IF(ABS(AC85-$B$11/$B$9*((MAX(0,MIN(1,AC85))^2/(MAX(0,MIN(1,AC85))^2+(1-MAX(0,MIN(1,AC85)))^2/$B$5))-(MAX(0,MIN(1,AB85))^2/(MAX(0,MIN(1,AB85))^2+(1-MAX(0,MIN(1,AB85)))^2/$B$5))))&lt;0.000000001,0,AC85-$B$11/$B$9*((MAX(0,MIN(1,AC85))^2/(MAX(0,MIN(1,AC85))^2+(1-MAX(0,MIN(1,AC85)))^2/$B$5))-(MAX(0,MIN(1,AB85))^2/(MAX(0,MIN(1,AB85))^2+(1-MAX(0,MIN(1,AB85)))^2/$B$5))))</f>
        <v>0.733901512841201</v>
      </c>
      <c r="AD86" s="16" t="n">
        <f aca="false">IF(ABS(AD85-$B$11/$B$9*((MAX(0,MIN(1,AD85))^2/(MAX(0,MIN(1,AD85))^2+(1-MAX(0,MIN(1,AD85)))^2/$B$5))-(MAX(0,MIN(1,AC85))^2/(MAX(0,MIN(1,AC85))^2+(1-MAX(0,MIN(1,AC85)))^2/$B$5))))&lt;0.000000001,0,AD85-$B$11/$B$9*((MAX(0,MIN(1,AD85))^2/(MAX(0,MIN(1,AD85))^2+(1-MAX(0,MIN(1,AD85)))^2/$B$5))-(MAX(0,MIN(1,AC85))^2/(MAX(0,MIN(1,AC85))^2+(1-MAX(0,MIN(1,AC85)))^2/$B$5))))</f>
        <v>0.725359143012584</v>
      </c>
      <c r="AE86" s="16" t="n">
        <f aca="false">IF(ABS(AE85-$B$11/$B$9*((MAX(0,MIN(1,AE85))^2/(MAX(0,MIN(1,AE85))^2+(1-MAX(0,MIN(1,AE85)))^2/$B$5))-(MAX(0,MIN(1,AD85))^2/(MAX(0,MIN(1,AD85))^2+(1-MAX(0,MIN(1,AD85)))^2/$B$5))))&lt;0.000000001,0,AE85-$B$11/$B$9*((MAX(0,MIN(1,AE85))^2/(MAX(0,MIN(1,AE85))^2+(1-MAX(0,MIN(1,AE85)))^2/$B$5))-(MAX(0,MIN(1,AD85))^2/(MAX(0,MIN(1,AD85))^2+(1-MAX(0,MIN(1,AD85)))^2/$B$5))))</f>
        <v>0.717057445034513</v>
      </c>
      <c r="AF86" s="16" t="n">
        <f aca="false">IF(ABS(AF85-$B$11/$B$9*((MAX(0,MIN(1,AF85))^2/(MAX(0,MIN(1,AF85))^2+(1-MAX(0,MIN(1,AF85)))^2/$B$5))-(MAX(0,MIN(1,AE85))^2/(MAX(0,MIN(1,AE85))^2+(1-MAX(0,MIN(1,AE85)))^2/$B$5))))&lt;0.000000001,0,AF85-$B$11/$B$9*((MAX(0,MIN(1,AF85))^2/(MAX(0,MIN(1,AF85))^2+(1-MAX(0,MIN(1,AF85)))^2/$B$5))-(MAX(0,MIN(1,AE85))^2/(MAX(0,MIN(1,AE85))^2+(1-MAX(0,MIN(1,AE85)))^2/$B$5))))</f>
        <v>0.708971859345509</v>
      </c>
    </row>
    <row r="87" customFormat="false" ht="15" hidden="false" customHeight="false" outlineLevel="0" collapsed="false">
      <c r="A87" s="0" t="n">
        <v>0.82</v>
      </c>
      <c r="D87" s="0" t="n">
        <f aca="false">A87</f>
        <v>0.82</v>
      </c>
      <c r="E87" s="0" t="n">
        <f aca="false">(G87-G86)/(A87-A86)</f>
        <v>0.324846195128007</v>
      </c>
      <c r="F87" s="0" t="n">
        <f aca="false">G87/A87</f>
        <v>1.19082195759512</v>
      </c>
      <c r="G87" s="0" t="n">
        <f aca="false">A87^2/(A87^2+(1-A87)^2/$B$5)</f>
        <v>0.976474005227999</v>
      </c>
      <c r="L87" s="0" t="n">
        <v>77</v>
      </c>
      <c r="M87" s="16" t="n">
        <f aca="false">IF(ABS(M86-$B$11/$B$9*((MAX(0,MIN(1,M86))^2/(MAX(0,MIN(1,M86))^2+(1-MAX(0,MIN(1,M86)))^2/$B$5))-(MAX(0,MIN(1,1))^2/(MAX(0,MIN(1,1))^2+(1-MAX(0,MIN(1,1)))^2/$B$5))))&lt;0.000000001,0,M86-$B$11/$B$9*((MAX(0,MIN(1,M86))^2/(MAX(0,MIN(1,M86))^2+(1-MAX(0,MIN(1,M86)))^2/$B$5))-(MAX(0,MIN(1,1))^2/(MAX(0,MIN(1,1))^2+(1-MAX(0,MIN(1,1)))^2/$B$5))))</f>
        <v>0.952757194518318</v>
      </c>
      <c r="N87" s="16" t="n">
        <f aca="false">IF(ABS(N86-$B$11/$B$9*((MAX(0,MIN(1,N86))^2/(MAX(0,MIN(1,N86))^2+(1-MAX(0,MIN(1,N86)))^2/$B$5))-(MAX(0,MIN(1,M86))^2/(MAX(0,MIN(1,M86))^2+(1-MAX(0,MIN(1,M86)))^2/$B$5))))&lt;0.000000001,0,N86-$B$11/$B$9*((MAX(0,MIN(1,N86))^2/(MAX(0,MIN(1,N86))^2+(1-MAX(0,MIN(1,N86)))^2/$B$5))-(MAX(0,MIN(1,M86))^2/(MAX(0,MIN(1,M86))^2+(1-MAX(0,MIN(1,M86)))^2/$B$5))))</f>
        <v>0.927759483562964</v>
      </c>
      <c r="O87" s="16" t="n">
        <f aca="false">IF(ABS(O86-$B$11/$B$9*((MAX(0,MIN(1,O86))^2/(MAX(0,MIN(1,O86))^2+(1-MAX(0,MIN(1,O86)))^2/$B$5))-(MAX(0,MIN(1,N86))^2/(MAX(0,MIN(1,N86))^2+(1-MAX(0,MIN(1,N86)))^2/$B$5))))&lt;0.000000001,0,O86-$B$11/$B$9*((MAX(0,MIN(1,O86))^2/(MAX(0,MIN(1,O86))^2+(1-MAX(0,MIN(1,O86)))^2/$B$5))-(MAX(0,MIN(1,N86))^2/(MAX(0,MIN(1,N86))^2+(1-MAX(0,MIN(1,N86)))^2/$B$5))))</f>
        <v>0.906825069921006</v>
      </c>
      <c r="P87" s="16" t="n">
        <f aca="false">IF(ABS(P86-$B$11/$B$9*((MAX(0,MIN(1,P86))^2/(MAX(0,MIN(1,P86))^2+(1-MAX(0,MIN(1,P86)))^2/$B$5))-(MAX(0,MIN(1,O86))^2/(MAX(0,MIN(1,O86))^2+(1-MAX(0,MIN(1,O86)))^2/$B$5))))&lt;0.000000001,0,P86-$B$11/$B$9*((MAX(0,MIN(1,P86))^2/(MAX(0,MIN(1,P86))^2+(1-MAX(0,MIN(1,P86)))^2/$B$5))-(MAX(0,MIN(1,O86))^2/(MAX(0,MIN(1,O86))^2+(1-MAX(0,MIN(1,O86)))^2/$B$5))))</f>
        <v>0.88835637311412</v>
      </c>
      <c r="Q87" s="16" t="n">
        <f aca="false">IF(ABS(Q86-$B$11/$B$9*((MAX(0,MIN(1,Q86))^2/(MAX(0,MIN(1,Q86))^2+(1-MAX(0,MIN(1,Q86)))^2/$B$5))-(MAX(0,MIN(1,P86))^2/(MAX(0,MIN(1,P86))^2+(1-MAX(0,MIN(1,P86)))^2/$B$5))))&lt;0.000000001,0,Q86-$B$11/$B$9*((MAX(0,MIN(1,Q86))^2/(MAX(0,MIN(1,Q86))^2+(1-MAX(0,MIN(1,Q86)))^2/$B$5))-(MAX(0,MIN(1,P86))^2/(MAX(0,MIN(1,P86))^2+(1-MAX(0,MIN(1,P86)))^2/$B$5))))</f>
        <v>0.87166858619243</v>
      </c>
      <c r="R87" s="16" t="n">
        <f aca="false">IF(ABS(R86-$B$11/$B$9*((MAX(0,MIN(1,R86))^2/(MAX(0,MIN(1,R86))^2+(1-MAX(0,MIN(1,R86)))^2/$B$5))-(MAX(0,MIN(1,Q86))^2/(MAX(0,MIN(1,Q86))^2+(1-MAX(0,MIN(1,Q86)))^2/$B$5))))&lt;0.000000001,0,R86-$B$11/$B$9*((MAX(0,MIN(1,R86))^2/(MAX(0,MIN(1,R86))^2+(1-MAX(0,MIN(1,R86)))^2/$B$5))-(MAX(0,MIN(1,Q86))^2/(MAX(0,MIN(1,Q86))^2+(1-MAX(0,MIN(1,Q86)))^2/$B$5))))</f>
        <v>0.856367354031887</v>
      </c>
      <c r="S87" s="16" t="n">
        <f aca="false">IF(ABS(S86-$B$11/$B$9*((MAX(0,MIN(1,S86))^2/(MAX(0,MIN(1,S86))^2+(1-MAX(0,MIN(1,S86)))^2/$B$5))-(MAX(0,MIN(1,R86))^2/(MAX(0,MIN(1,R86))^2+(1-MAX(0,MIN(1,R86)))^2/$B$5))))&lt;0.000000001,0,S86-$B$11/$B$9*((MAX(0,MIN(1,S86))^2/(MAX(0,MIN(1,S86))^2+(1-MAX(0,MIN(1,S86)))^2/$B$5))-(MAX(0,MIN(1,R86))^2/(MAX(0,MIN(1,R86))^2+(1-MAX(0,MIN(1,R86)))^2/$B$5))))</f>
        <v>0.842191578865691</v>
      </c>
      <c r="T87" s="16" t="n">
        <f aca="false">IF(ABS(T86-$B$11/$B$9*((MAX(0,MIN(1,T86))^2/(MAX(0,MIN(1,T86))^2+(1-MAX(0,MIN(1,T86)))^2/$B$5))-(MAX(0,MIN(1,S86))^2/(MAX(0,MIN(1,S86))^2+(1-MAX(0,MIN(1,S86)))^2/$B$5))))&lt;0.000000001,0,T86-$B$11/$B$9*((MAX(0,MIN(1,T86))^2/(MAX(0,MIN(1,T86))^2+(1-MAX(0,MIN(1,T86)))^2/$B$5))-(MAX(0,MIN(1,S86))^2/(MAX(0,MIN(1,S86))^2+(1-MAX(0,MIN(1,S86)))^2/$B$5))))</f>
        <v>0.828954047584369</v>
      </c>
      <c r="U87" s="16" t="n">
        <f aca="false">IF(ABS(U86-$B$11/$B$9*((MAX(0,MIN(1,U86))^2/(MAX(0,MIN(1,U86))^2+(1-MAX(0,MIN(1,U86)))^2/$B$5))-(MAX(0,MIN(1,T86))^2/(MAX(0,MIN(1,T86))^2+(1-MAX(0,MIN(1,T86)))^2/$B$5))))&lt;0.000000001,0,U86-$B$11/$B$9*((MAX(0,MIN(1,U86))^2/(MAX(0,MIN(1,U86))^2+(1-MAX(0,MIN(1,U86)))^2/$B$5))-(MAX(0,MIN(1,T86))^2/(MAX(0,MIN(1,T86))^2+(1-MAX(0,MIN(1,T86)))^2/$B$5))))</f>
        <v>0.816513479865728</v>
      </c>
      <c r="V87" s="16" t="n">
        <f aca="false">IF(ABS(V86-$B$11/$B$9*((MAX(0,MIN(1,V86))^2/(MAX(0,MIN(1,V86))^2+(1-MAX(0,MIN(1,V86)))^2/$B$5))-(MAX(0,MIN(1,U86))^2/(MAX(0,MIN(1,U86))^2+(1-MAX(0,MIN(1,U86)))^2/$B$5))))&lt;0.000000001,0,V86-$B$11/$B$9*((MAX(0,MIN(1,V86))^2/(MAX(0,MIN(1,V86))^2+(1-MAX(0,MIN(1,V86)))^2/$B$5))-(MAX(0,MIN(1,U86))^2/(MAX(0,MIN(1,U86))^2+(1-MAX(0,MIN(1,U86)))^2/$B$5))))</f>
        <v>0.804759383657174</v>
      </c>
      <c r="W87" s="16" t="n">
        <f aca="false">IF(ABS(W86-$B$11/$B$9*((MAX(0,MIN(1,W86))^2/(MAX(0,MIN(1,W86))^2+(1-MAX(0,MIN(1,W86)))^2/$B$5))-(MAX(0,MIN(1,V86))^2/(MAX(0,MIN(1,V86))^2+(1-MAX(0,MIN(1,V86)))^2/$B$5))))&lt;0.000000001,0,W86-$B$11/$B$9*((MAX(0,MIN(1,W86))^2/(MAX(0,MIN(1,W86))^2+(1-MAX(0,MIN(1,W86)))^2/$B$5))-(MAX(0,MIN(1,V86))^2/(MAX(0,MIN(1,V86))^2+(1-MAX(0,MIN(1,V86)))^2/$B$5))))</f>
        <v>0.793603017368423</v>
      </c>
      <c r="X87" s="16" t="n">
        <f aca="false">IF(ABS(X86-$B$11/$B$9*((MAX(0,MIN(1,X86))^2/(MAX(0,MIN(1,X86))^2+(1-MAX(0,MIN(1,X86)))^2/$B$5))-(MAX(0,MIN(1,W86))^2/(MAX(0,MIN(1,W86))^2+(1-MAX(0,MIN(1,W86)))^2/$B$5))))&lt;0.000000001,0,X86-$B$11/$B$9*((MAX(0,MIN(1,X86))^2/(MAX(0,MIN(1,X86))^2+(1-MAX(0,MIN(1,X86)))^2/$B$5))-(MAX(0,MIN(1,W86))^2/(MAX(0,MIN(1,W86))^2+(1-MAX(0,MIN(1,W86)))^2/$B$5))))</f>
        <v>0.782971606051528</v>
      </c>
      <c r="Y87" s="16" t="n">
        <f aca="false">IF(ABS(Y86-$B$11/$B$9*((MAX(0,MIN(1,Y86))^2/(MAX(0,MIN(1,Y86))^2+(1-MAX(0,MIN(1,Y86)))^2/$B$5))-(MAX(0,MIN(1,X86))^2/(MAX(0,MIN(1,X86))^2+(1-MAX(0,MIN(1,X86)))^2/$B$5))))&lt;0.000000001,0,Y86-$B$11/$B$9*((MAX(0,MIN(1,Y86))^2/(MAX(0,MIN(1,Y86))^2+(1-MAX(0,MIN(1,Y86)))^2/$B$5))-(MAX(0,MIN(1,X86))^2/(MAX(0,MIN(1,X86))^2+(1-MAX(0,MIN(1,X86)))^2/$B$5))))</f>
        <v>0.772804440034263</v>
      </c>
      <c r="Z87" s="16" t="n">
        <f aca="false">IF(ABS(Z86-$B$11/$B$9*((MAX(0,MIN(1,Z86))^2/(MAX(0,MIN(1,Z86))^2+(1-MAX(0,MIN(1,Z86)))^2/$B$5))-(MAX(0,MIN(1,Y86))^2/(MAX(0,MIN(1,Y86))^2+(1-MAX(0,MIN(1,Y86)))^2/$B$5))))&lt;0.000000001,0,Z86-$B$11/$B$9*((MAX(0,MIN(1,Z86))^2/(MAX(0,MIN(1,Z86))^2+(1-MAX(0,MIN(1,Z86)))^2/$B$5))-(MAX(0,MIN(1,Y86))^2/(MAX(0,MIN(1,Y86))^2+(1-MAX(0,MIN(1,Y86)))^2/$B$5))))</f>
        <v>0.763050132857468</v>
      </c>
      <c r="AA87" s="16" t="n">
        <f aca="false">IF(ABS(AA86-$B$11/$B$9*((MAX(0,MIN(1,AA86))^2/(MAX(0,MIN(1,AA86))^2+(1-MAX(0,MIN(1,AA86)))^2/$B$5))-(MAX(0,MIN(1,Z86))^2/(MAX(0,MIN(1,Z86))^2+(1-MAX(0,MIN(1,Z86)))^2/$B$5))))&lt;0.000000001,0,AA86-$B$11/$B$9*((MAX(0,MIN(1,AA86))^2/(MAX(0,MIN(1,AA86))^2+(1-MAX(0,MIN(1,AA86)))^2/$B$5))-(MAX(0,MIN(1,Z86))^2/(MAX(0,MIN(1,Z86))^2+(1-MAX(0,MIN(1,Z86)))^2/$B$5))))</f>
        <v>0.753664628621933</v>
      </c>
      <c r="AB87" s="16" t="n">
        <f aca="false">IF(ABS(AB86-$B$11/$B$9*((MAX(0,MIN(1,AB86))^2/(MAX(0,MIN(1,AB86))^2+(1-MAX(0,MIN(1,AB86)))^2/$B$5))-(MAX(0,MIN(1,AA86))^2/(MAX(0,MIN(1,AA86))^2+(1-MAX(0,MIN(1,AA86)))^2/$B$5))))&lt;0.000000001,0,AB86-$B$11/$B$9*((MAX(0,MIN(1,AB86))^2/(MAX(0,MIN(1,AB86))^2+(1-MAX(0,MIN(1,AB86)))^2/$B$5))-(MAX(0,MIN(1,AA86))^2/(MAX(0,MIN(1,AA86))^2+(1-MAX(0,MIN(1,AA86)))^2/$B$5))))</f>
        <v>0.74460971244094</v>
      </c>
      <c r="AC87" s="16" t="n">
        <f aca="false">IF(ABS(AC86-$B$11/$B$9*((MAX(0,MIN(1,AC86))^2/(MAX(0,MIN(1,AC86))^2+(1-MAX(0,MIN(1,AC86)))^2/$B$5))-(MAX(0,MIN(1,AB86))^2/(MAX(0,MIN(1,AB86))^2+(1-MAX(0,MIN(1,AB86)))^2/$B$5))))&lt;0.000000001,0,AC86-$B$11/$B$9*((MAX(0,MIN(1,AC86))^2/(MAX(0,MIN(1,AC86))^2+(1-MAX(0,MIN(1,AC86)))^2/$B$5))-(MAX(0,MIN(1,AB86))^2/(MAX(0,MIN(1,AB86))^2+(1-MAX(0,MIN(1,AB86)))^2/$B$5))))</f>
        <v>0.73585186861744</v>
      </c>
      <c r="AD87" s="16" t="n">
        <f aca="false">IF(ABS(AD86-$B$11/$B$9*((MAX(0,MIN(1,AD86))^2/(MAX(0,MIN(1,AD86))^2+(1-MAX(0,MIN(1,AD86)))^2/$B$5))-(MAX(0,MIN(1,AC86))^2/(MAX(0,MIN(1,AC86))^2+(1-MAX(0,MIN(1,AC86)))^2/$B$5))))&lt;0.000000001,0,AD86-$B$11/$B$9*((MAX(0,MIN(1,AD86))^2/(MAX(0,MIN(1,AD86))^2+(1-MAX(0,MIN(1,AD86)))^2/$B$5))-(MAX(0,MIN(1,AC86))^2/(MAX(0,MIN(1,AC86))^2+(1-MAX(0,MIN(1,AC86)))^2/$B$5))))</f>
        <v>0.72736138428182</v>
      </c>
      <c r="AE87" s="16" t="n">
        <f aca="false">IF(ABS(AE86-$B$11/$B$9*((MAX(0,MIN(1,AE86))^2/(MAX(0,MIN(1,AE86))^2+(1-MAX(0,MIN(1,AE86)))^2/$B$5))-(MAX(0,MIN(1,AD86))^2/(MAX(0,MIN(1,AD86))^2+(1-MAX(0,MIN(1,AD86)))^2/$B$5))))&lt;0.000000001,0,AE86-$B$11/$B$9*((MAX(0,MIN(1,AE86))^2/(MAX(0,MIN(1,AE86))^2+(1-MAX(0,MIN(1,AE86)))^2/$B$5))-(MAX(0,MIN(1,AD86))^2/(MAX(0,MIN(1,AD86))^2+(1-MAX(0,MIN(1,AD86)))^2/$B$5))))</f>
        <v>0.719111628478047</v>
      </c>
      <c r="AF87" s="16" t="n">
        <f aca="false">IF(ABS(AF86-$B$11/$B$9*((MAX(0,MIN(1,AF86))^2/(MAX(0,MIN(1,AF86))^2+(1-MAX(0,MIN(1,AF86)))^2/$B$5))-(MAX(0,MIN(1,AE86))^2/(MAX(0,MIN(1,AE86))^2+(1-MAX(0,MIN(1,AE86)))^2/$B$5))))&lt;0.000000001,0,AF86-$B$11/$B$9*((MAX(0,MIN(1,AF86))^2/(MAX(0,MIN(1,AF86))^2+(1-MAX(0,MIN(1,AF86)))^2/$B$5))-(MAX(0,MIN(1,AE86))^2/(MAX(0,MIN(1,AE86))^2+(1-MAX(0,MIN(1,AE86)))^2/$B$5))))</f>
        <v>0.711078456785221</v>
      </c>
    </row>
    <row r="88" customFormat="false" ht="15" hidden="false" customHeight="false" outlineLevel="0" collapsed="false">
      <c r="A88" s="0" t="n">
        <v>0.83</v>
      </c>
      <c r="D88" s="0" t="n">
        <f aca="false">A88</f>
        <v>0.83</v>
      </c>
      <c r="E88" s="0" t="n">
        <f aca="false">(G88-G87)/(A88-A87)</f>
        <v>0.2981457912685</v>
      </c>
      <c r="F88" s="0" t="n">
        <f aca="false">G88/A88</f>
        <v>1.18006682306107</v>
      </c>
      <c r="G88" s="0" t="n">
        <f aca="false">A88^2/(A88^2+(1-A88)^2/$B$5)</f>
        <v>0.979455463140684</v>
      </c>
      <c r="L88" s="0" t="n">
        <v>78</v>
      </c>
      <c r="M88" s="16" t="n">
        <f aca="false">IF(ABS(M87-$B$11/$B$9*((MAX(0,MIN(1,M87))^2/(MAX(0,MIN(1,M87))^2+(1-MAX(0,MIN(1,M87)))^2/$B$5))-(MAX(0,MIN(1,1))^2/(MAX(0,MIN(1,1))^2+(1-MAX(0,MIN(1,1)))^2/$B$5))))&lt;0.000000001,0,M87-$B$11/$B$9*((MAX(0,MIN(1,M87))^2/(MAX(0,MIN(1,M87))^2+(1-MAX(0,MIN(1,M87)))^2/$B$5))-(MAX(0,MIN(1,1))^2/(MAX(0,MIN(1,1))^2+(1-MAX(0,MIN(1,1)))^2/$B$5))))</f>
        <v>0.953229339207665</v>
      </c>
      <c r="N88" s="16" t="n">
        <f aca="false">IF(ABS(N87-$B$11/$B$9*((MAX(0,MIN(1,N87))^2/(MAX(0,MIN(1,N87))^2+(1-MAX(0,MIN(1,N87)))^2/$B$5))-(MAX(0,MIN(1,M87))^2/(MAX(0,MIN(1,M87))^2+(1-MAX(0,MIN(1,M87)))^2/$B$5))))&lt;0.000000001,0,N87-$B$11/$B$9*((MAX(0,MIN(1,N87))^2/(MAX(0,MIN(1,N87))^2+(1-MAX(0,MIN(1,N87)))^2/$B$5))-(MAX(0,MIN(1,M87))^2/(MAX(0,MIN(1,M87))^2+(1-MAX(0,MIN(1,M87)))^2/$B$5))))</f>
        <v>0.928449531441264</v>
      </c>
      <c r="O88" s="16" t="n">
        <f aca="false">IF(ABS(O87-$B$11/$B$9*((MAX(0,MIN(1,O87))^2/(MAX(0,MIN(1,O87))^2+(1-MAX(0,MIN(1,O87)))^2/$B$5))-(MAX(0,MIN(1,N87))^2/(MAX(0,MIN(1,N87))^2+(1-MAX(0,MIN(1,N87)))^2/$B$5))))&lt;0.000000001,0,O87-$B$11/$B$9*((MAX(0,MIN(1,O87))^2/(MAX(0,MIN(1,O87))^2+(1-MAX(0,MIN(1,O87)))^2/$B$5))-(MAX(0,MIN(1,N87))^2/(MAX(0,MIN(1,N87))^2+(1-MAX(0,MIN(1,N87)))^2/$B$5))))</f>
        <v>0.907682017489226</v>
      </c>
      <c r="P88" s="16" t="n">
        <f aca="false">IF(ABS(P87-$B$11/$B$9*((MAX(0,MIN(1,P87))^2/(MAX(0,MIN(1,P87))^2+(1-MAX(0,MIN(1,P87)))^2/$B$5))-(MAX(0,MIN(1,O87))^2/(MAX(0,MIN(1,O87))^2+(1-MAX(0,MIN(1,O87)))^2/$B$5))))&lt;0.000000001,0,P87-$B$11/$B$9*((MAX(0,MIN(1,P87))^2/(MAX(0,MIN(1,P87))^2+(1-MAX(0,MIN(1,P87)))^2/$B$5))-(MAX(0,MIN(1,O87))^2/(MAX(0,MIN(1,O87))^2+(1-MAX(0,MIN(1,O87)))^2/$B$5))))</f>
        <v>0.889350093748706</v>
      </c>
      <c r="Q88" s="16" t="n">
        <f aca="false">IF(ABS(Q87-$B$11/$B$9*((MAX(0,MIN(1,Q87))^2/(MAX(0,MIN(1,Q87))^2+(1-MAX(0,MIN(1,Q87)))^2/$B$5))-(MAX(0,MIN(1,P87))^2/(MAX(0,MIN(1,P87))^2+(1-MAX(0,MIN(1,P87)))^2/$B$5))))&lt;0.000000001,0,Q87-$B$11/$B$9*((MAX(0,MIN(1,Q87))^2/(MAX(0,MIN(1,Q87))^2+(1-MAX(0,MIN(1,Q87)))^2/$B$5))-(MAX(0,MIN(1,P87))^2/(MAX(0,MIN(1,P87))^2+(1-MAX(0,MIN(1,P87)))^2/$B$5))))</f>
        <v>0.872778442915988</v>
      </c>
      <c r="R88" s="16" t="n">
        <f aca="false">IF(ABS(R87-$B$11/$B$9*((MAX(0,MIN(1,R87))^2/(MAX(0,MIN(1,R87))^2+(1-MAX(0,MIN(1,R87)))^2/$B$5))-(MAX(0,MIN(1,Q87))^2/(MAX(0,MIN(1,Q87))^2+(1-MAX(0,MIN(1,Q87)))^2/$B$5))))&lt;0.000000001,0,R87-$B$11/$B$9*((MAX(0,MIN(1,R87))^2/(MAX(0,MIN(1,R87))^2+(1-MAX(0,MIN(1,R87)))^2/$B$5))-(MAX(0,MIN(1,Q87))^2/(MAX(0,MIN(1,Q87))^2+(1-MAX(0,MIN(1,Q87)))^2/$B$5))))</f>
        <v>0.857578254343779</v>
      </c>
      <c r="S88" s="16" t="n">
        <f aca="false">IF(ABS(S87-$B$11/$B$9*((MAX(0,MIN(1,S87))^2/(MAX(0,MIN(1,S87))^2+(1-MAX(0,MIN(1,S87)))^2/$B$5))-(MAX(0,MIN(1,R87))^2/(MAX(0,MIN(1,R87))^2+(1-MAX(0,MIN(1,R87)))^2/$B$5))))&lt;0.000000001,0,S87-$B$11/$B$9*((MAX(0,MIN(1,S87))^2/(MAX(0,MIN(1,S87))^2+(1-MAX(0,MIN(1,S87)))^2/$B$5))-(MAX(0,MIN(1,R87))^2/(MAX(0,MIN(1,R87))^2+(1-MAX(0,MIN(1,R87)))^2/$B$5))))</f>
        <v>0.843492065908573</v>
      </c>
      <c r="T88" s="16" t="n">
        <f aca="false">IF(ABS(T87-$B$11/$B$9*((MAX(0,MIN(1,T87))^2/(MAX(0,MIN(1,T87))^2+(1-MAX(0,MIN(1,T87)))^2/$B$5))-(MAX(0,MIN(1,S87))^2/(MAX(0,MIN(1,S87))^2+(1-MAX(0,MIN(1,S87)))^2/$B$5))))&lt;0.000000001,0,T87-$B$11/$B$9*((MAX(0,MIN(1,T87))^2/(MAX(0,MIN(1,T87))^2+(1-MAX(0,MIN(1,T87)))^2/$B$5))-(MAX(0,MIN(1,S87))^2/(MAX(0,MIN(1,S87))^2+(1-MAX(0,MIN(1,S87)))^2/$B$5))))</f>
        <v>0.830335214673757</v>
      </c>
      <c r="U88" s="16" t="n">
        <f aca="false">IF(ABS(U87-$B$11/$B$9*((MAX(0,MIN(1,U87))^2/(MAX(0,MIN(1,U87))^2+(1-MAX(0,MIN(1,U87)))^2/$B$5))-(MAX(0,MIN(1,T87))^2/(MAX(0,MIN(1,T87))^2+(1-MAX(0,MIN(1,T87)))^2/$B$5))))&lt;0.000000001,0,U87-$B$11/$B$9*((MAX(0,MIN(1,U87))^2/(MAX(0,MIN(1,U87))^2+(1-MAX(0,MIN(1,U87)))^2/$B$5))-(MAX(0,MIN(1,T87))^2/(MAX(0,MIN(1,T87))^2+(1-MAX(0,MIN(1,T87)))^2/$B$5))))</f>
        <v>0.817968292771269</v>
      </c>
      <c r="V88" s="16" t="n">
        <f aca="false">IF(ABS(V87-$B$11/$B$9*((MAX(0,MIN(1,V87))^2/(MAX(0,MIN(1,V87))^2+(1-MAX(0,MIN(1,V87)))^2/$B$5))-(MAX(0,MIN(1,U87))^2/(MAX(0,MIN(1,U87))^2+(1-MAX(0,MIN(1,U87)))^2/$B$5))))&lt;0.000000001,0,V87-$B$11/$B$9*((MAX(0,MIN(1,V87))^2/(MAX(0,MIN(1,V87))^2+(1-MAX(0,MIN(1,V87)))^2/$B$5))-(MAX(0,MIN(1,U87))^2/(MAX(0,MIN(1,U87))^2+(1-MAX(0,MIN(1,U87)))^2/$B$5))))</f>
        <v>0.806282231307054</v>
      </c>
      <c r="W88" s="16" t="n">
        <f aca="false">IF(ABS(W87-$B$11/$B$9*((MAX(0,MIN(1,W87))^2/(MAX(0,MIN(1,W87))^2+(1-MAX(0,MIN(1,W87)))^2/$B$5))-(MAX(0,MIN(1,V87))^2/(MAX(0,MIN(1,V87))^2+(1-MAX(0,MIN(1,V87)))^2/$B$5))))&lt;0.000000001,0,W87-$B$11/$B$9*((MAX(0,MIN(1,W87))^2/(MAX(0,MIN(1,W87))^2+(1-MAX(0,MIN(1,W87)))^2/$B$5))-(MAX(0,MIN(1,V87))^2/(MAX(0,MIN(1,V87))^2+(1-MAX(0,MIN(1,V87)))^2/$B$5))))</f>
        <v>0.795189401531637</v>
      </c>
      <c r="X88" s="16" t="n">
        <f aca="false">IF(ABS(X87-$B$11/$B$9*((MAX(0,MIN(1,X87))^2/(MAX(0,MIN(1,X87))^2+(1-MAX(0,MIN(1,X87)))^2/$B$5))-(MAX(0,MIN(1,W87))^2/(MAX(0,MIN(1,W87))^2+(1-MAX(0,MIN(1,W87)))^2/$B$5))))&lt;0.000000001,0,X87-$B$11/$B$9*((MAX(0,MIN(1,X87))^2/(MAX(0,MIN(1,X87))^2+(1-MAX(0,MIN(1,X87)))^2/$B$5))-(MAX(0,MIN(1,W87))^2/(MAX(0,MIN(1,W87))^2+(1-MAX(0,MIN(1,W87)))^2/$B$5))))</f>
        <v>0.78461792079921</v>
      </c>
      <c r="Y88" s="16" t="n">
        <f aca="false">IF(ABS(Y87-$B$11/$B$9*((MAX(0,MIN(1,Y87))^2/(MAX(0,MIN(1,Y87))^2+(1-MAX(0,MIN(1,Y87)))^2/$B$5))-(MAX(0,MIN(1,X87))^2/(MAX(0,MIN(1,X87))^2+(1-MAX(0,MIN(1,X87)))^2/$B$5))))&lt;0.000000001,0,Y87-$B$11/$B$9*((MAX(0,MIN(1,Y87))^2/(MAX(0,MIN(1,Y87))^2+(1-MAX(0,MIN(1,Y87)))^2/$B$5))-(MAX(0,MIN(1,X87))^2/(MAX(0,MIN(1,X87))^2+(1-MAX(0,MIN(1,X87)))^2/$B$5))))</f>
        <v>0.7745078119906</v>
      </c>
      <c r="Z88" s="16" t="n">
        <f aca="false">IF(ABS(Z87-$B$11/$B$9*((MAX(0,MIN(1,Z87))^2/(MAX(0,MIN(1,Z87))^2+(1-MAX(0,MIN(1,Z87)))^2/$B$5))-(MAX(0,MIN(1,Y87))^2/(MAX(0,MIN(1,Y87))^2+(1-MAX(0,MIN(1,Y87)))^2/$B$5))))&lt;0.000000001,0,Z87-$B$11/$B$9*((MAX(0,MIN(1,Z87))^2/(MAX(0,MIN(1,Z87))^2+(1-MAX(0,MIN(1,Z87)))^2/$B$5))-(MAX(0,MIN(1,Y87))^2/(MAX(0,MIN(1,Y87))^2+(1-MAX(0,MIN(1,Y87)))^2/$B$5))))</f>
        <v>0.764808304302243</v>
      </c>
      <c r="AA88" s="16" t="n">
        <f aca="false">IF(ABS(AA87-$B$11/$B$9*((MAX(0,MIN(1,AA87))^2/(MAX(0,MIN(1,AA87))^2+(1-MAX(0,MIN(1,AA87)))^2/$B$5))-(MAX(0,MIN(1,Z87))^2/(MAX(0,MIN(1,Z87))^2+(1-MAX(0,MIN(1,Z87)))^2/$B$5))))&lt;0.000000001,0,AA87-$B$11/$B$9*((MAX(0,MIN(1,AA87))^2/(MAX(0,MIN(1,AA87))^2+(1-MAX(0,MIN(1,AA87)))^2/$B$5))-(MAX(0,MIN(1,Z87))^2/(MAX(0,MIN(1,Z87))^2+(1-MAX(0,MIN(1,Z87)))^2/$B$5))))</f>
        <v>0.755475871972942</v>
      </c>
      <c r="AB88" s="16" t="n">
        <f aca="false">IF(ABS(AB87-$B$11/$B$9*((MAX(0,MIN(1,AB87))^2/(MAX(0,MIN(1,AB87))^2+(1-MAX(0,MIN(1,AB87)))^2/$B$5))-(MAX(0,MIN(1,AA87))^2/(MAX(0,MIN(1,AA87))^2+(1-MAX(0,MIN(1,AA87)))^2/$B$5))))&lt;0.000000001,0,AB87-$B$11/$B$9*((MAX(0,MIN(1,AB87))^2/(MAX(0,MIN(1,AB87))^2+(1-MAX(0,MIN(1,AB87)))^2/$B$5))-(MAX(0,MIN(1,AA87))^2/(MAX(0,MIN(1,AA87))^2+(1-MAX(0,MIN(1,AA87)))^2/$B$5))))</f>
        <v>0.746472768655747</v>
      </c>
      <c r="AC88" s="16" t="n">
        <f aca="false">IF(ABS(AC87-$B$11/$B$9*((MAX(0,MIN(1,AC87))^2/(MAX(0,MIN(1,AC87))^2+(1-MAX(0,MIN(1,AC87)))^2/$B$5))-(MAX(0,MIN(1,AB87))^2/(MAX(0,MIN(1,AB87))^2+(1-MAX(0,MIN(1,AB87)))^2/$B$5))))&lt;0.000000001,0,AC87-$B$11/$B$9*((MAX(0,MIN(1,AC87))^2/(MAX(0,MIN(1,AC87))^2+(1-MAX(0,MIN(1,AC87)))^2/$B$5))-(MAX(0,MIN(1,AB87))^2/(MAX(0,MIN(1,AB87))^2+(1-MAX(0,MIN(1,AB87)))^2/$B$5))))</f>
        <v>0.737765904688638</v>
      </c>
      <c r="AD88" s="16" t="n">
        <f aca="false">IF(ABS(AD87-$B$11/$B$9*((MAX(0,MIN(1,AD87))^2/(MAX(0,MIN(1,AD87))^2+(1-MAX(0,MIN(1,AD87)))^2/$B$5))-(MAX(0,MIN(1,AC87))^2/(MAX(0,MIN(1,AC87))^2+(1-MAX(0,MIN(1,AC87)))^2/$B$5))))&lt;0.000000001,0,AD87-$B$11/$B$9*((MAX(0,MIN(1,AD87))^2/(MAX(0,MIN(1,AD87))^2+(1-MAX(0,MIN(1,AD87)))^2/$B$5))-(MAX(0,MIN(1,AC87))^2/(MAX(0,MIN(1,AC87))^2+(1-MAX(0,MIN(1,AC87)))^2/$B$5))))</f>
        <v>0.729325966846217</v>
      </c>
      <c r="AE88" s="16" t="n">
        <f aca="false">IF(ABS(AE87-$B$11/$B$9*((MAX(0,MIN(1,AE87))^2/(MAX(0,MIN(1,AE87))^2+(1-MAX(0,MIN(1,AE87)))^2/$B$5))-(MAX(0,MIN(1,AD87))^2/(MAX(0,MIN(1,AD87))^2+(1-MAX(0,MIN(1,AD87)))^2/$B$5))))&lt;0.000000001,0,AE87-$B$11/$B$9*((MAX(0,MIN(1,AE87))^2/(MAX(0,MIN(1,AE87))^2+(1-MAX(0,MIN(1,AE87)))^2/$B$5))-(MAX(0,MIN(1,AD87))^2/(MAX(0,MIN(1,AD87))^2+(1-MAX(0,MIN(1,AD87)))^2/$B$5))))</f>
        <v>0.721126711963976</v>
      </c>
      <c r="AF88" s="16" t="n">
        <f aca="false">IF(ABS(AF87-$B$11/$B$9*((MAX(0,MIN(1,AF87))^2/(MAX(0,MIN(1,AF87))^2+(1-MAX(0,MIN(1,AF87)))^2/$B$5))-(MAX(0,MIN(1,AE87))^2/(MAX(0,MIN(1,AE87))^2+(1-MAX(0,MIN(1,AE87)))^2/$B$5))))&lt;0.000000001,0,AF87-$B$11/$B$9*((MAX(0,MIN(1,AF87))^2/(MAX(0,MIN(1,AF87))^2+(1-MAX(0,MIN(1,AF87)))^2/$B$5))-(MAX(0,MIN(1,AE87))^2/(MAX(0,MIN(1,AE87))^2+(1-MAX(0,MIN(1,AE87)))^2/$B$5))))</f>
        <v>0.713144385710092</v>
      </c>
    </row>
    <row r="89" customFormat="false" ht="15" hidden="false" customHeight="false" outlineLevel="0" collapsed="false">
      <c r="A89" s="0" t="n">
        <v>0.84</v>
      </c>
      <c r="D89" s="0" t="n">
        <f aca="false">A89</f>
        <v>0.84</v>
      </c>
      <c r="E89" s="0" t="n">
        <f aca="false">(G89-G88)/(A89-A88)</f>
        <v>0.27271649216769</v>
      </c>
      <c r="F89" s="0" t="n">
        <f aca="false">G89/A89</f>
        <v>1.16926503340757</v>
      </c>
      <c r="G89" s="0" t="n">
        <f aca="false">A89^2/(A89^2+(1-A89)^2/$B$5)</f>
        <v>0.982182628062361</v>
      </c>
      <c r="L89" s="0" t="n">
        <v>79</v>
      </c>
      <c r="M89" s="16" t="n">
        <f aca="false">IF(ABS(M88-$B$11/$B$9*((MAX(0,MIN(1,M88))^2/(MAX(0,MIN(1,M88))^2+(1-MAX(0,MIN(1,M88)))^2/$B$5))-(MAX(0,MIN(1,1))^2/(MAX(0,MIN(1,1))^2+(1-MAX(0,MIN(1,1)))^2/$B$5))))&lt;0.000000001,0,M88-$B$11/$B$9*((MAX(0,MIN(1,M88))^2/(MAX(0,MIN(1,M88))^2+(1-MAX(0,MIN(1,M88)))^2/$B$5))-(MAX(0,MIN(1,1))^2/(MAX(0,MIN(1,1))^2+(1-MAX(0,MIN(1,1)))^2/$B$5))))</f>
        <v>0.953691647364227</v>
      </c>
      <c r="N89" s="16" t="n">
        <f aca="false">IF(ABS(N88-$B$11/$B$9*((MAX(0,MIN(1,N88))^2/(MAX(0,MIN(1,N88))^2+(1-MAX(0,MIN(1,N88)))^2/$B$5))-(MAX(0,MIN(1,M88))^2/(MAX(0,MIN(1,M88))^2+(1-MAX(0,MIN(1,M88)))^2/$B$5))))&lt;0.000000001,0,N88-$B$11/$B$9*((MAX(0,MIN(1,N88))^2/(MAX(0,MIN(1,N88))^2+(1-MAX(0,MIN(1,N88)))^2/$B$5))-(MAX(0,MIN(1,M88))^2/(MAX(0,MIN(1,M88))^2+(1-MAX(0,MIN(1,M88)))^2/$B$5))))</f>
        <v>0.929125695527329</v>
      </c>
      <c r="O89" s="16" t="n">
        <f aca="false">IF(ABS(O88-$B$11/$B$9*((MAX(0,MIN(1,O88))^2/(MAX(0,MIN(1,O88))^2+(1-MAX(0,MIN(1,O88)))^2/$B$5))-(MAX(0,MIN(1,N88))^2/(MAX(0,MIN(1,N88))^2+(1-MAX(0,MIN(1,N88)))^2/$B$5))))&lt;0.000000001,0,O88-$B$11/$B$9*((MAX(0,MIN(1,O88))^2/(MAX(0,MIN(1,O88))^2+(1-MAX(0,MIN(1,O88)))^2/$B$5))-(MAX(0,MIN(1,N88))^2/(MAX(0,MIN(1,N88))^2+(1-MAX(0,MIN(1,N88)))^2/$B$5))))</f>
        <v>0.908522183839223</v>
      </c>
      <c r="P89" s="16" t="n">
        <f aca="false">IF(ABS(P88-$B$11/$B$9*((MAX(0,MIN(1,P88))^2/(MAX(0,MIN(1,P88))^2+(1-MAX(0,MIN(1,P88)))^2/$B$5))-(MAX(0,MIN(1,O88))^2/(MAX(0,MIN(1,O88))^2+(1-MAX(0,MIN(1,O88)))^2/$B$5))))&lt;0.000000001,0,P88-$B$11/$B$9*((MAX(0,MIN(1,P88))^2/(MAX(0,MIN(1,P88))^2+(1-MAX(0,MIN(1,P88)))^2/$B$5))-(MAX(0,MIN(1,O88))^2/(MAX(0,MIN(1,O88))^2+(1-MAX(0,MIN(1,O88)))^2/$B$5))))</f>
        <v>0.890324771712028</v>
      </c>
      <c r="Q89" s="16" t="n">
        <f aca="false">IF(ABS(Q88-$B$11/$B$9*((MAX(0,MIN(1,Q88))^2/(MAX(0,MIN(1,Q88))^2+(1-MAX(0,MIN(1,Q88)))^2/$B$5))-(MAX(0,MIN(1,P88))^2/(MAX(0,MIN(1,P88))^2+(1-MAX(0,MIN(1,P88)))^2/$B$5))))&lt;0.000000001,0,Q88-$B$11/$B$9*((MAX(0,MIN(1,Q88))^2/(MAX(0,MIN(1,Q88))^2+(1-MAX(0,MIN(1,Q88)))^2/$B$5))-(MAX(0,MIN(1,P88))^2/(MAX(0,MIN(1,P88))^2+(1-MAX(0,MIN(1,P88)))^2/$B$5))))</f>
        <v>0.873867399257037</v>
      </c>
      <c r="R89" s="16" t="n">
        <f aca="false">IF(ABS(R88-$B$11/$B$9*((MAX(0,MIN(1,R88))^2/(MAX(0,MIN(1,R88))^2+(1-MAX(0,MIN(1,R88)))^2/$B$5))-(MAX(0,MIN(1,Q88))^2/(MAX(0,MIN(1,Q88))^2+(1-MAX(0,MIN(1,Q88)))^2/$B$5))))&lt;0.000000001,0,R88-$B$11/$B$9*((MAX(0,MIN(1,R88))^2/(MAX(0,MIN(1,R88))^2+(1-MAX(0,MIN(1,R88)))^2/$B$5))-(MAX(0,MIN(1,Q88))^2/(MAX(0,MIN(1,Q88))^2+(1-MAX(0,MIN(1,Q88)))^2/$B$5))))</f>
        <v>0.858766668476216</v>
      </c>
      <c r="S89" s="16" t="n">
        <f aca="false">IF(ABS(S88-$B$11/$B$9*((MAX(0,MIN(1,S88))^2/(MAX(0,MIN(1,S88))^2+(1-MAX(0,MIN(1,S88)))^2/$B$5))-(MAX(0,MIN(1,R88))^2/(MAX(0,MIN(1,R88))^2+(1-MAX(0,MIN(1,R88)))^2/$B$5))))&lt;0.000000001,0,S88-$B$11/$B$9*((MAX(0,MIN(1,S88))^2/(MAX(0,MIN(1,S88))^2+(1-MAX(0,MIN(1,S88)))^2/$B$5))-(MAX(0,MIN(1,R88))^2/(MAX(0,MIN(1,R88))^2+(1-MAX(0,MIN(1,R88)))^2/$B$5))))</f>
        <v>0.844768669453726</v>
      </c>
      <c r="T89" s="16" t="n">
        <f aca="false">IF(ABS(T88-$B$11/$B$9*((MAX(0,MIN(1,T88))^2/(MAX(0,MIN(1,T88))^2+(1-MAX(0,MIN(1,T88)))^2/$B$5))-(MAX(0,MIN(1,S88))^2/(MAX(0,MIN(1,S88))^2+(1-MAX(0,MIN(1,S88)))^2/$B$5))))&lt;0.000000001,0,T88-$B$11/$B$9*((MAX(0,MIN(1,T88))^2/(MAX(0,MIN(1,T88))^2+(1-MAX(0,MIN(1,T88)))^2/$B$5))-(MAX(0,MIN(1,S88))^2/(MAX(0,MIN(1,S88))^2+(1-MAX(0,MIN(1,S88)))^2/$B$5))))</f>
        <v>0.831691232854504</v>
      </c>
      <c r="U89" s="16" t="n">
        <f aca="false">IF(ABS(U88-$B$11/$B$9*((MAX(0,MIN(1,U88))^2/(MAX(0,MIN(1,U88))^2+(1-MAX(0,MIN(1,U88)))^2/$B$5))-(MAX(0,MIN(1,T88))^2/(MAX(0,MIN(1,T88))^2+(1-MAX(0,MIN(1,T88)))^2/$B$5))))&lt;0.000000001,0,U88-$B$11/$B$9*((MAX(0,MIN(1,U88))^2/(MAX(0,MIN(1,U88))^2+(1-MAX(0,MIN(1,U88)))^2/$B$5))-(MAX(0,MIN(1,T88))^2/(MAX(0,MIN(1,T88))^2+(1-MAX(0,MIN(1,T88)))^2/$B$5))))</f>
        <v>0.819396782848871</v>
      </c>
      <c r="V89" s="16" t="n">
        <f aca="false">IF(ABS(V88-$B$11/$B$9*((MAX(0,MIN(1,V88))^2/(MAX(0,MIN(1,V88))^2+(1-MAX(0,MIN(1,V88)))^2/$B$5))-(MAX(0,MIN(1,U88))^2/(MAX(0,MIN(1,U88))^2+(1-MAX(0,MIN(1,U88)))^2/$B$5))))&lt;0.000000001,0,V88-$B$11/$B$9*((MAX(0,MIN(1,V88))^2/(MAX(0,MIN(1,V88))^2+(1-MAX(0,MIN(1,V88)))^2/$B$5))-(MAX(0,MIN(1,U88))^2/(MAX(0,MIN(1,U88))^2+(1-MAX(0,MIN(1,U88)))^2/$B$5))))</f>
        <v>0.807777643483688</v>
      </c>
      <c r="W89" s="16" t="n">
        <f aca="false">IF(ABS(W88-$B$11/$B$9*((MAX(0,MIN(1,W88))^2/(MAX(0,MIN(1,W88))^2+(1-MAX(0,MIN(1,W88)))^2/$B$5))-(MAX(0,MIN(1,V88))^2/(MAX(0,MIN(1,V88))^2+(1-MAX(0,MIN(1,V88)))^2/$B$5))))&lt;0.000000001,0,W88-$B$11/$B$9*((MAX(0,MIN(1,W88))^2/(MAX(0,MIN(1,W88))^2+(1-MAX(0,MIN(1,W88)))^2/$B$5))-(MAX(0,MIN(1,V88))^2/(MAX(0,MIN(1,V88))^2+(1-MAX(0,MIN(1,V88)))^2/$B$5))))</f>
        <v>0.796747275246468</v>
      </c>
      <c r="X89" s="16" t="n">
        <f aca="false">IF(ABS(X88-$B$11/$B$9*((MAX(0,MIN(1,X88))^2/(MAX(0,MIN(1,X88))^2+(1-MAX(0,MIN(1,X88)))^2/$B$5))-(MAX(0,MIN(1,W88))^2/(MAX(0,MIN(1,W88))^2+(1-MAX(0,MIN(1,W88)))^2/$B$5))))&lt;0.000000001,0,X88-$B$11/$B$9*((MAX(0,MIN(1,X88))^2/(MAX(0,MIN(1,X88))^2+(1-MAX(0,MIN(1,X88)))^2/$B$5))-(MAX(0,MIN(1,W88))^2/(MAX(0,MIN(1,W88))^2+(1-MAX(0,MIN(1,W88)))^2/$B$5))))</f>
        <v>0.786234668506644</v>
      </c>
      <c r="Y89" s="16" t="n">
        <f aca="false">IF(ABS(Y88-$B$11/$B$9*((MAX(0,MIN(1,Y88))^2/(MAX(0,MIN(1,Y88))^2+(1-MAX(0,MIN(1,Y88)))^2/$B$5))-(MAX(0,MIN(1,X88))^2/(MAX(0,MIN(1,X88))^2+(1-MAX(0,MIN(1,X88)))^2/$B$5))))&lt;0.000000001,0,Y88-$B$11/$B$9*((MAX(0,MIN(1,Y88))^2/(MAX(0,MIN(1,Y88))^2+(1-MAX(0,MIN(1,Y88)))^2/$B$5))-(MAX(0,MIN(1,X88))^2/(MAX(0,MIN(1,X88))^2+(1-MAX(0,MIN(1,X88)))^2/$B$5))))</f>
        <v>0.776180562166798</v>
      </c>
      <c r="Z89" s="16" t="n">
        <f aca="false">IF(ABS(Z88-$B$11/$B$9*((MAX(0,MIN(1,Z88))^2/(MAX(0,MIN(1,Z88))^2+(1-MAX(0,MIN(1,Z88)))^2/$B$5))-(MAX(0,MIN(1,Y88))^2/(MAX(0,MIN(1,Y88))^2+(1-MAX(0,MIN(1,Y88)))^2/$B$5))))&lt;0.000000001,0,Z88-$B$11/$B$9*((MAX(0,MIN(1,Z88))^2/(MAX(0,MIN(1,Z88))^2+(1-MAX(0,MIN(1,Z88)))^2/$B$5))-(MAX(0,MIN(1,Y88))^2/(MAX(0,MIN(1,Y88))^2+(1-MAX(0,MIN(1,Y88)))^2/$B$5))))</f>
        <v>0.766534786171755</v>
      </c>
      <c r="AA89" s="16" t="n">
        <f aca="false">IF(ABS(AA88-$B$11/$B$9*((MAX(0,MIN(1,AA88))^2/(MAX(0,MIN(1,AA88))^2+(1-MAX(0,MIN(1,AA88)))^2/$B$5))-(MAX(0,MIN(1,Z88))^2/(MAX(0,MIN(1,Z88))^2+(1-MAX(0,MIN(1,Z88)))^2/$B$5))))&lt;0.000000001,0,AA88-$B$11/$B$9*((MAX(0,MIN(1,AA88))^2/(MAX(0,MIN(1,AA88))^2+(1-MAX(0,MIN(1,AA88)))^2/$B$5))-(MAX(0,MIN(1,Z88))^2/(MAX(0,MIN(1,Z88))^2+(1-MAX(0,MIN(1,Z88)))^2/$B$5))))</f>
        <v>0.757254330730061</v>
      </c>
      <c r="AB89" s="16" t="n">
        <f aca="false">IF(ABS(AB88-$B$11/$B$9*((MAX(0,MIN(1,AB88))^2/(MAX(0,MIN(1,AB88))^2+(1-MAX(0,MIN(1,AB88)))^2/$B$5))-(MAX(0,MIN(1,AA88))^2/(MAX(0,MIN(1,AA88))^2+(1-MAX(0,MIN(1,AA88)))^2/$B$5))))&lt;0.000000001,0,AB88-$B$11/$B$9*((MAX(0,MIN(1,AB88))^2/(MAX(0,MIN(1,AB88))^2+(1-MAX(0,MIN(1,AB88)))^2/$B$5))-(MAX(0,MIN(1,AA88))^2/(MAX(0,MIN(1,AA88))^2+(1-MAX(0,MIN(1,AA88)))^2/$B$5))))</f>
        <v>0.748301903845604</v>
      </c>
      <c r="AC89" s="16" t="n">
        <f aca="false">IF(ABS(AC88-$B$11/$B$9*((MAX(0,MIN(1,AC88))^2/(MAX(0,MIN(1,AC88))^2+(1-MAX(0,MIN(1,AC88)))^2/$B$5))-(MAX(0,MIN(1,AB88))^2/(MAX(0,MIN(1,AB88))^2+(1-MAX(0,MIN(1,AB88)))^2/$B$5))))&lt;0.000000001,0,AC88-$B$11/$B$9*((MAX(0,MIN(1,AC88))^2/(MAX(0,MIN(1,AC88))^2+(1-MAX(0,MIN(1,AC88)))^2/$B$5))-(MAX(0,MIN(1,AB88))^2/(MAX(0,MIN(1,AB88))^2+(1-MAX(0,MIN(1,AB88)))^2/$B$5))))</f>
        <v>0.739644826958478</v>
      </c>
      <c r="AD89" s="16" t="n">
        <f aca="false">IF(ABS(AD88-$B$11/$B$9*((MAX(0,MIN(1,AD88))^2/(MAX(0,MIN(1,AD88))^2+(1-MAX(0,MIN(1,AD88)))^2/$B$5))-(MAX(0,MIN(1,AC88))^2/(MAX(0,MIN(1,AC88))^2+(1-MAX(0,MIN(1,AC88)))^2/$B$5))))&lt;0.000000001,0,AD88-$B$11/$B$9*((MAX(0,MIN(1,AD88))^2/(MAX(0,MIN(1,AD88))^2+(1-MAX(0,MIN(1,AD88)))^2/$B$5))-(MAX(0,MIN(1,AC88))^2/(MAX(0,MIN(1,AC88))^2+(1-MAX(0,MIN(1,AC88)))^2/$B$5))))</f>
        <v>0.731254170046737</v>
      </c>
      <c r="AE89" s="16" t="n">
        <f aca="false">IF(ABS(AE88-$B$11/$B$9*((MAX(0,MIN(1,AE88))^2/(MAX(0,MIN(1,AE88))^2+(1-MAX(0,MIN(1,AE88)))^2/$B$5))-(MAX(0,MIN(1,AD88))^2/(MAX(0,MIN(1,AD88))^2+(1-MAX(0,MIN(1,AD88)))^2/$B$5))))&lt;0.000000001,0,AE88-$B$11/$B$9*((MAX(0,MIN(1,AE88))^2/(MAX(0,MIN(1,AE88))^2+(1-MAX(0,MIN(1,AE88)))^2/$B$5))-(MAX(0,MIN(1,AD88))^2/(MAX(0,MIN(1,AD88))^2+(1-MAX(0,MIN(1,AD88)))^2/$B$5))))</f>
        <v>0.723104058907104</v>
      </c>
      <c r="AF89" s="16" t="n">
        <f aca="false">IF(ABS(AF88-$B$11/$B$9*((MAX(0,MIN(1,AF88))^2/(MAX(0,MIN(1,AF88))^2+(1-MAX(0,MIN(1,AF88)))^2/$B$5))-(MAX(0,MIN(1,AE88))^2/(MAX(0,MIN(1,AE88))^2+(1-MAX(0,MIN(1,AE88)))^2/$B$5))))&lt;0.000000001,0,AF88-$B$11/$B$9*((MAX(0,MIN(1,AF88))^2/(MAX(0,MIN(1,AF88))^2+(1-MAX(0,MIN(1,AF88)))^2/$B$5))-(MAX(0,MIN(1,AE88))^2/(MAX(0,MIN(1,AE88))^2+(1-MAX(0,MIN(1,AE88)))^2/$B$5))))</f>
        <v>0.715171106986922</v>
      </c>
    </row>
    <row r="90" customFormat="false" ht="15" hidden="false" customHeight="false" outlineLevel="0" collapsed="false">
      <c r="A90" s="0" t="n">
        <v>0.85</v>
      </c>
      <c r="D90" s="0" t="n">
        <f aca="false">A90</f>
        <v>0.85</v>
      </c>
      <c r="E90" s="0" t="n">
        <f aca="false">(G90-G89)/(A90-A89)</f>
        <v>0.248517432264772</v>
      </c>
      <c r="F90" s="0" t="n">
        <f aca="false">G90/A90</f>
        <v>1.15843270868825</v>
      </c>
      <c r="G90" s="0" t="n">
        <f aca="false">A90^2/(A90^2+(1-A90)^2/$B$5)</f>
        <v>0.984667802385009</v>
      </c>
      <c r="L90" s="0" t="n">
        <v>80</v>
      </c>
      <c r="M90" s="16" t="n">
        <f aca="false">IF(ABS(M89-$B$11/$B$9*((MAX(0,MIN(1,M89))^2/(MAX(0,MIN(1,M89))^2+(1-MAX(0,MIN(1,M89)))^2/$B$5))-(MAX(0,MIN(1,1))^2/(MAX(0,MIN(1,1))^2+(1-MAX(0,MIN(1,1)))^2/$B$5))))&lt;0.000000001,0,M89-$B$11/$B$9*((MAX(0,MIN(1,M89))^2/(MAX(0,MIN(1,M89))^2+(1-MAX(0,MIN(1,M89)))^2/$B$5))-(MAX(0,MIN(1,1))^2/(MAX(0,MIN(1,1))^2+(1-MAX(0,MIN(1,1)))^2/$B$5))))</f>
        <v>0.954144433185793</v>
      </c>
      <c r="N90" s="16" t="n">
        <f aca="false">IF(ABS(N89-$B$11/$B$9*((MAX(0,MIN(1,N89))^2/(MAX(0,MIN(1,N89))^2+(1-MAX(0,MIN(1,N89)))^2/$B$5))-(MAX(0,MIN(1,M89))^2/(MAX(0,MIN(1,M89))^2+(1-MAX(0,MIN(1,M89)))^2/$B$5))))&lt;0.000000001,0,N89-$B$11/$B$9*((MAX(0,MIN(1,N89))^2/(MAX(0,MIN(1,N89))^2+(1-MAX(0,MIN(1,N89)))^2/$B$5))-(MAX(0,MIN(1,M89))^2/(MAX(0,MIN(1,M89))^2+(1-MAX(0,MIN(1,M89)))^2/$B$5))))</f>
        <v>0.929788407681944</v>
      </c>
      <c r="O90" s="16" t="n">
        <f aca="false">IF(ABS(O89-$B$11/$B$9*((MAX(0,MIN(1,O89))^2/(MAX(0,MIN(1,O89))^2+(1-MAX(0,MIN(1,O89)))^2/$B$5))-(MAX(0,MIN(1,N89))^2/(MAX(0,MIN(1,N89))^2+(1-MAX(0,MIN(1,N89)))^2/$B$5))))&lt;0.000000001,0,O89-$B$11/$B$9*((MAX(0,MIN(1,O89))^2/(MAX(0,MIN(1,O89))^2+(1-MAX(0,MIN(1,O89)))^2/$B$5))-(MAX(0,MIN(1,N89))^2/(MAX(0,MIN(1,N89))^2+(1-MAX(0,MIN(1,N89)))^2/$B$5))))</f>
        <v>0.909346081353078</v>
      </c>
      <c r="P90" s="16" t="n">
        <f aca="false">IF(ABS(P89-$B$11/$B$9*((MAX(0,MIN(1,P89))^2/(MAX(0,MIN(1,P89))^2+(1-MAX(0,MIN(1,P89)))^2/$B$5))-(MAX(0,MIN(1,O89))^2/(MAX(0,MIN(1,O89))^2+(1-MAX(0,MIN(1,O89)))^2/$B$5))))&lt;0.000000001,0,P89-$B$11/$B$9*((MAX(0,MIN(1,P89))^2/(MAX(0,MIN(1,P89))^2+(1-MAX(0,MIN(1,P89)))^2/$B$5))-(MAX(0,MIN(1,O89))^2/(MAX(0,MIN(1,O89))^2+(1-MAX(0,MIN(1,O89)))^2/$B$5))))</f>
        <v>0.891280980901783</v>
      </c>
      <c r="Q90" s="16" t="n">
        <f aca="false">IF(ABS(Q89-$B$11/$B$9*((MAX(0,MIN(1,Q89))^2/(MAX(0,MIN(1,Q89))^2+(1-MAX(0,MIN(1,Q89)))^2/$B$5))-(MAX(0,MIN(1,P89))^2/(MAX(0,MIN(1,P89))^2+(1-MAX(0,MIN(1,P89)))^2/$B$5))))&lt;0.000000001,0,Q89-$B$11/$B$9*((MAX(0,MIN(1,Q89))^2/(MAX(0,MIN(1,Q89))^2+(1-MAX(0,MIN(1,Q89)))^2/$B$5))-(MAX(0,MIN(1,P89))^2/(MAX(0,MIN(1,P89))^2+(1-MAX(0,MIN(1,P89)))^2/$B$5))))</f>
        <v>0.874936079593988</v>
      </c>
      <c r="R90" s="16" t="n">
        <f aca="false">IF(ABS(R89-$B$11/$B$9*((MAX(0,MIN(1,R89))^2/(MAX(0,MIN(1,R89))^2+(1-MAX(0,MIN(1,R89)))^2/$B$5))-(MAX(0,MIN(1,Q89))^2/(MAX(0,MIN(1,Q89))^2+(1-MAX(0,MIN(1,Q89)))^2/$B$5))))&lt;0.000000001,0,R89-$B$11/$B$9*((MAX(0,MIN(1,R89))^2/(MAX(0,MIN(1,R89))^2+(1-MAX(0,MIN(1,R89)))^2/$B$5))-(MAX(0,MIN(1,Q89))^2/(MAX(0,MIN(1,Q89))^2+(1-MAX(0,MIN(1,Q89)))^2/$B$5))))</f>
        <v>0.859933264619765</v>
      </c>
      <c r="S90" s="16" t="n">
        <f aca="false">IF(ABS(S89-$B$11/$B$9*((MAX(0,MIN(1,S89))^2/(MAX(0,MIN(1,S89))^2+(1-MAX(0,MIN(1,S89)))^2/$B$5))-(MAX(0,MIN(1,R89))^2/(MAX(0,MIN(1,R89))^2+(1-MAX(0,MIN(1,R89)))^2/$B$5))))&lt;0.000000001,0,S89-$B$11/$B$9*((MAX(0,MIN(1,S89))^2/(MAX(0,MIN(1,S89))^2+(1-MAX(0,MIN(1,S89)))^2/$B$5))-(MAX(0,MIN(1,R89))^2/(MAX(0,MIN(1,R89))^2+(1-MAX(0,MIN(1,R89)))^2/$B$5))))</f>
        <v>0.846022097516483</v>
      </c>
      <c r="T90" s="16" t="n">
        <f aca="false">IF(ABS(T89-$B$11/$B$9*((MAX(0,MIN(1,T89))^2/(MAX(0,MIN(1,T89))^2+(1-MAX(0,MIN(1,T89)))^2/$B$5))-(MAX(0,MIN(1,S89))^2/(MAX(0,MIN(1,S89))^2+(1-MAX(0,MIN(1,S89)))^2/$B$5))))&lt;0.000000001,0,T89-$B$11/$B$9*((MAX(0,MIN(1,T89))^2/(MAX(0,MIN(1,T89))^2+(1-MAX(0,MIN(1,T89)))^2/$B$5))-(MAX(0,MIN(1,S89))^2/(MAX(0,MIN(1,S89))^2+(1-MAX(0,MIN(1,S89)))^2/$B$5))))</f>
        <v>0.833022847767201</v>
      </c>
      <c r="U90" s="16" t="n">
        <f aca="false">IF(ABS(U89-$B$11/$B$9*((MAX(0,MIN(1,U89))^2/(MAX(0,MIN(1,U89))^2+(1-MAX(0,MIN(1,U89)))^2/$B$5))-(MAX(0,MIN(1,T89))^2/(MAX(0,MIN(1,T89))^2+(1-MAX(0,MIN(1,T89)))^2/$B$5))))&lt;0.000000001,0,U89-$B$11/$B$9*((MAX(0,MIN(1,U89))^2/(MAX(0,MIN(1,U89))^2+(1-MAX(0,MIN(1,U89)))^2/$B$5))-(MAX(0,MIN(1,T89))^2/(MAX(0,MIN(1,T89))^2+(1-MAX(0,MIN(1,T89)))^2/$B$5))))</f>
        <v>0.820799732448032</v>
      </c>
      <c r="V90" s="16" t="n">
        <f aca="false">IF(ABS(V89-$B$11/$B$9*((MAX(0,MIN(1,V89))^2/(MAX(0,MIN(1,V89))^2+(1-MAX(0,MIN(1,V89)))^2/$B$5))-(MAX(0,MIN(1,U89))^2/(MAX(0,MIN(1,U89))^2+(1-MAX(0,MIN(1,U89)))^2/$B$5))))&lt;0.000000001,0,V89-$B$11/$B$9*((MAX(0,MIN(1,V89))^2/(MAX(0,MIN(1,V89))^2+(1-MAX(0,MIN(1,V89)))^2/$B$5))-(MAX(0,MIN(1,U89))^2/(MAX(0,MIN(1,U89))^2+(1-MAX(0,MIN(1,U89)))^2/$B$5))))</f>
        <v>0.809246439320753</v>
      </c>
      <c r="W90" s="16" t="n">
        <f aca="false">IF(ABS(W89-$B$11/$B$9*((MAX(0,MIN(1,W89))^2/(MAX(0,MIN(1,W89))^2+(1-MAX(0,MIN(1,W89)))^2/$B$5))-(MAX(0,MIN(1,V89))^2/(MAX(0,MIN(1,V89))^2+(1-MAX(0,MIN(1,V89)))^2/$B$5))))&lt;0.000000001,0,W89-$B$11/$B$9*((MAX(0,MIN(1,W89))^2/(MAX(0,MIN(1,W89))^2+(1-MAX(0,MIN(1,W89)))^2/$B$5))-(MAX(0,MIN(1,V89))^2/(MAX(0,MIN(1,V89))^2+(1-MAX(0,MIN(1,V89)))^2/$B$5))))</f>
        <v>0.798277495334095</v>
      </c>
      <c r="X90" s="16" t="n">
        <f aca="false">IF(ABS(X89-$B$11/$B$9*((MAX(0,MIN(1,X89))^2/(MAX(0,MIN(1,X89))^2+(1-MAX(0,MIN(1,X89)))^2/$B$5))-(MAX(0,MIN(1,W89))^2/(MAX(0,MIN(1,W89))^2+(1-MAX(0,MIN(1,W89)))^2/$B$5))))&lt;0.000000001,0,X89-$B$11/$B$9*((MAX(0,MIN(1,X89))^2/(MAX(0,MIN(1,X89))^2+(1-MAX(0,MIN(1,X89)))^2/$B$5))-(MAX(0,MIN(1,W89))^2/(MAX(0,MIN(1,W89))^2+(1-MAX(0,MIN(1,W89)))^2/$B$5))))</f>
        <v>0.787822745334376</v>
      </c>
      <c r="Y90" s="16" t="n">
        <f aca="false">IF(ABS(Y89-$B$11/$B$9*((MAX(0,MIN(1,Y89))^2/(MAX(0,MIN(1,Y89))^2+(1-MAX(0,MIN(1,Y89)))^2/$B$5))-(MAX(0,MIN(1,X89))^2/(MAX(0,MIN(1,X89))^2+(1-MAX(0,MIN(1,X89)))^2/$B$5))))&lt;0.000000001,0,Y89-$B$11/$B$9*((MAX(0,MIN(1,Y89))^2/(MAX(0,MIN(1,Y89))^2+(1-MAX(0,MIN(1,Y89)))^2/$B$5))-(MAX(0,MIN(1,X89))^2/(MAX(0,MIN(1,X89))^2+(1-MAX(0,MIN(1,X89)))^2/$B$5))))</f>
        <v>0.777823628444922</v>
      </c>
      <c r="Z90" s="16" t="n">
        <f aca="false">IF(ABS(Z89-$B$11/$B$9*((MAX(0,MIN(1,Z89))^2/(MAX(0,MIN(1,Z89))^2+(1-MAX(0,MIN(1,Z89)))^2/$B$5))-(MAX(0,MIN(1,Y89))^2/(MAX(0,MIN(1,Y89))^2+(1-MAX(0,MIN(1,Y89)))^2/$B$5))))&lt;0.000000001,0,Z89-$B$11/$B$9*((MAX(0,MIN(1,Z89))^2/(MAX(0,MIN(1,Z89))^2+(1-MAX(0,MIN(1,Z89)))^2/$B$5))-(MAX(0,MIN(1,Y89))^2/(MAX(0,MIN(1,Y89))^2+(1-MAX(0,MIN(1,Y89)))^2/$B$5))))</f>
        <v>0.768230561214512</v>
      </c>
      <c r="AA90" s="16" t="n">
        <f aca="false">IF(ABS(AA89-$B$11/$B$9*((MAX(0,MIN(1,AA89))^2/(MAX(0,MIN(1,AA89))^2+(1-MAX(0,MIN(1,AA89)))^2/$B$5))-(MAX(0,MIN(1,Z89))^2/(MAX(0,MIN(1,Z89))^2+(1-MAX(0,MIN(1,Z89)))^2/$B$5))))&lt;0.000000001,0,AA89-$B$11/$B$9*((MAX(0,MIN(1,AA89))^2/(MAX(0,MIN(1,AA89))^2+(1-MAX(0,MIN(1,AA89)))^2/$B$5))-(MAX(0,MIN(1,Z89))^2/(MAX(0,MIN(1,Z89))^2+(1-MAX(0,MIN(1,Z89)))^2/$B$5))))</f>
        <v>0.759001036496696</v>
      </c>
      <c r="AB90" s="16" t="n">
        <f aca="false">IF(ABS(AB89-$B$11/$B$9*((MAX(0,MIN(1,AB89))^2/(MAX(0,MIN(1,AB89))^2+(1-MAX(0,MIN(1,AB89)))^2/$B$5))-(MAX(0,MIN(1,AA89))^2/(MAX(0,MIN(1,AA89))^2+(1-MAX(0,MIN(1,AA89)))^2/$B$5))))&lt;0.000000001,0,AB89-$B$11/$B$9*((MAX(0,MIN(1,AB89))^2/(MAX(0,MIN(1,AB89))^2+(1-MAX(0,MIN(1,AB89)))^2/$B$5))-(MAX(0,MIN(1,AA89))^2/(MAX(0,MIN(1,AA89))^2+(1-MAX(0,MIN(1,AA89)))^2/$B$5))))</f>
        <v>0.750098203433914</v>
      </c>
      <c r="AC90" s="16" t="n">
        <f aca="false">IF(ABS(AC89-$B$11/$B$9*((MAX(0,MIN(1,AC89))^2/(MAX(0,MIN(1,AC89))^2+(1-MAX(0,MIN(1,AC89)))^2/$B$5))-(MAX(0,MIN(1,AB89))^2/(MAX(0,MIN(1,AB89))^2+(1-MAX(0,MIN(1,AB89)))^2/$B$5))))&lt;0.000000001,0,AC89-$B$11/$B$9*((MAX(0,MIN(1,AC89))^2/(MAX(0,MIN(1,AC89))^2+(1-MAX(0,MIN(1,AC89)))^2/$B$5))-(MAX(0,MIN(1,AB89))^2/(MAX(0,MIN(1,AB89))^2+(1-MAX(0,MIN(1,AB89)))^2/$B$5))))</f>
        <v>0.741489780807911</v>
      </c>
      <c r="AD90" s="16" t="n">
        <f aca="false">IF(ABS(AD89-$B$11/$B$9*((MAX(0,MIN(1,AD89))^2/(MAX(0,MIN(1,AD89))^2+(1-MAX(0,MIN(1,AD89)))^2/$B$5))-(MAX(0,MIN(1,AC89))^2/(MAX(0,MIN(1,AC89))^2+(1-MAX(0,MIN(1,AC89)))^2/$B$5))))&lt;0.000000001,0,AD89-$B$11/$B$9*((MAX(0,MIN(1,AD89))^2/(MAX(0,MIN(1,AD89))^2+(1-MAX(0,MIN(1,AD89)))^2/$B$5))-(MAX(0,MIN(1,AC89))^2/(MAX(0,MIN(1,AC89))^2+(1-MAX(0,MIN(1,AC89)))^2/$B$5))))</f>
        <v>0.733147206808266</v>
      </c>
      <c r="AE90" s="16" t="n">
        <f aca="false">IF(ABS(AE89-$B$11/$B$9*((MAX(0,MIN(1,AE89))^2/(MAX(0,MIN(1,AE89))^2+(1-MAX(0,MIN(1,AE89)))^2/$B$5))-(MAX(0,MIN(1,AD89))^2/(MAX(0,MIN(1,AD89))^2+(1-MAX(0,MIN(1,AD89)))^2/$B$5))))&lt;0.000000001,0,AE89-$B$11/$B$9*((MAX(0,MIN(1,AE89))^2/(MAX(0,MIN(1,AE89))^2+(1-MAX(0,MIN(1,AE89)))^2/$B$5))-(MAX(0,MIN(1,AD89))^2/(MAX(0,MIN(1,AD89))^2+(1-MAX(0,MIN(1,AD89)))^2/$B$5))))</f>
        <v>0.725044959195746</v>
      </c>
      <c r="AF90" s="16" t="n">
        <f aca="false">IF(ABS(AF89-$B$11/$B$9*((MAX(0,MIN(1,AF89))^2/(MAX(0,MIN(1,AF89))^2+(1-MAX(0,MIN(1,AF89)))^2/$B$5))-(MAX(0,MIN(1,AE89))^2/(MAX(0,MIN(1,AE89))^2+(1-MAX(0,MIN(1,AE89)))^2/$B$5))))&lt;0.000000001,0,AF89-$B$11/$B$9*((MAX(0,MIN(1,AF89))^2/(MAX(0,MIN(1,AF89))^2+(1-MAX(0,MIN(1,AF89)))^2/$B$5))-(MAX(0,MIN(1,AE89))^2/(MAX(0,MIN(1,AE89))^2+(1-MAX(0,MIN(1,AE89)))^2/$B$5))))</f>
        <v>0.717159999253323</v>
      </c>
    </row>
    <row r="91" customFormat="false" ht="15" hidden="false" customHeight="false" outlineLevel="0" collapsed="false">
      <c r="A91" s="0" t="n">
        <v>0.86</v>
      </c>
      <c r="D91" s="0" t="n">
        <f aca="false">A91</f>
        <v>0.86</v>
      </c>
      <c r="E91" s="0" t="n">
        <f aca="false">(G91-G90)/(A91-A90)</f>
        <v>0.225506924562935</v>
      </c>
      <c r="F91" s="0" t="n">
        <f aca="false">G91/A91</f>
        <v>1.14758473445423</v>
      </c>
      <c r="G91" s="0" t="n">
        <f aca="false">A91^2/(A91^2+(1-A91)^2/$B$5)</f>
        <v>0.986922871630638</v>
      </c>
      <c r="L91" s="0" t="n">
        <v>81</v>
      </c>
      <c r="M91" s="16" t="n">
        <f aca="false">IF(ABS(M90-$B$11/$B$9*((MAX(0,MIN(1,M90))^2/(MAX(0,MIN(1,M90))^2+(1-MAX(0,MIN(1,M90)))^2/$B$5))-(MAX(0,MIN(1,1))^2/(MAX(0,MIN(1,1))^2+(1-MAX(0,MIN(1,1)))^2/$B$5))))&lt;0.000000001,0,M90-$B$11/$B$9*((MAX(0,MIN(1,M90))^2/(MAX(0,MIN(1,M90))^2+(1-MAX(0,MIN(1,M90)))^2/$B$5))-(MAX(0,MIN(1,1))^2/(MAX(0,MIN(1,1))^2+(1-MAX(0,MIN(1,1)))^2/$B$5))))</f>
        <v>0.954587997328775</v>
      </c>
      <c r="N91" s="16" t="n">
        <f aca="false">IF(ABS(N90-$B$11/$B$9*((MAX(0,MIN(1,N90))^2/(MAX(0,MIN(1,N90))^2+(1-MAX(0,MIN(1,N90)))^2/$B$5))-(MAX(0,MIN(1,M90))^2/(MAX(0,MIN(1,M90))^2+(1-MAX(0,MIN(1,M90)))^2/$B$5))))&lt;0.000000001,0,N90-$B$11/$B$9*((MAX(0,MIN(1,N90))^2/(MAX(0,MIN(1,N90))^2+(1-MAX(0,MIN(1,N90)))^2/$B$5))-(MAX(0,MIN(1,M90))^2/(MAX(0,MIN(1,M90))^2+(1-MAX(0,MIN(1,M90)))^2/$B$5))))</f>
        <v>0.930438081521792</v>
      </c>
      <c r="O91" s="16" t="n">
        <f aca="false">IF(ABS(O90-$B$11/$B$9*((MAX(0,MIN(1,O90))^2/(MAX(0,MIN(1,O90))^2+(1-MAX(0,MIN(1,O90)))^2/$B$5))-(MAX(0,MIN(1,N90))^2/(MAX(0,MIN(1,N90))^2+(1-MAX(0,MIN(1,N90)))^2/$B$5))))&lt;0.000000001,0,O90-$B$11/$B$9*((MAX(0,MIN(1,O90))^2/(MAX(0,MIN(1,O90))^2+(1-MAX(0,MIN(1,O90)))^2/$B$5))-(MAX(0,MIN(1,N90))^2/(MAX(0,MIN(1,N90))^2+(1-MAX(0,MIN(1,N90)))^2/$B$5))))</f>
        <v>0.910154201026019</v>
      </c>
      <c r="P91" s="16" t="n">
        <f aca="false">IF(ABS(P90-$B$11/$B$9*((MAX(0,MIN(1,P90))^2/(MAX(0,MIN(1,P90))^2+(1-MAX(0,MIN(1,P90)))^2/$B$5))-(MAX(0,MIN(1,O90))^2/(MAX(0,MIN(1,O90))^2+(1-MAX(0,MIN(1,O90)))^2/$B$5))))&lt;0.000000001,0,P90-$B$11/$B$9*((MAX(0,MIN(1,P90))^2/(MAX(0,MIN(1,P90))^2+(1-MAX(0,MIN(1,P90)))^2/$B$5))-(MAX(0,MIN(1,O90))^2/(MAX(0,MIN(1,O90))^2+(1-MAX(0,MIN(1,O90)))^2/$B$5))))</f>
        <v>0.892219271418049</v>
      </c>
      <c r="Q91" s="16" t="n">
        <f aca="false">IF(ABS(Q90-$B$11/$B$9*((MAX(0,MIN(1,Q90))^2/(MAX(0,MIN(1,Q90))^2+(1-MAX(0,MIN(1,Q90)))^2/$B$5))-(MAX(0,MIN(1,P90))^2/(MAX(0,MIN(1,P90))^2+(1-MAX(0,MIN(1,P90)))^2/$B$5))))&lt;0.000000001,0,Q90-$B$11/$B$9*((MAX(0,MIN(1,Q90))^2/(MAX(0,MIN(1,Q90))^2+(1-MAX(0,MIN(1,Q90)))^2/$B$5))-(MAX(0,MIN(1,P90))^2/(MAX(0,MIN(1,P90))^2+(1-MAX(0,MIN(1,P90)))^2/$B$5))))</f>
        <v>0.875985082476666</v>
      </c>
      <c r="R91" s="16" t="n">
        <f aca="false">IF(ABS(R90-$B$11/$B$9*((MAX(0,MIN(1,R90))^2/(MAX(0,MIN(1,R90))^2+(1-MAX(0,MIN(1,R90)))^2/$B$5))-(MAX(0,MIN(1,Q90))^2/(MAX(0,MIN(1,Q90))^2+(1-MAX(0,MIN(1,Q90)))^2/$B$5))))&lt;0.000000001,0,R90-$B$11/$B$9*((MAX(0,MIN(1,R90))^2/(MAX(0,MIN(1,R90))^2+(1-MAX(0,MIN(1,R90)))^2/$B$5))-(MAX(0,MIN(1,Q90))^2/(MAX(0,MIN(1,Q90))^2+(1-MAX(0,MIN(1,Q90)))^2/$B$5))))</f>
        <v>0.861078683297636</v>
      </c>
      <c r="S91" s="16" t="n">
        <f aca="false">IF(ABS(S90-$B$11/$B$9*((MAX(0,MIN(1,S90))^2/(MAX(0,MIN(1,S90))^2+(1-MAX(0,MIN(1,S90)))^2/$B$5))-(MAX(0,MIN(1,R90))^2/(MAX(0,MIN(1,R90))^2+(1-MAX(0,MIN(1,R90)))^2/$B$5))))&lt;0.000000001,0,S90-$B$11/$B$9*((MAX(0,MIN(1,S90))^2/(MAX(0,MIN(1,S90))^2+(1-MAX(0,MIN(1,S90)))^2/$B$5))-(MAX(0,MIN(1,R90))^2/(MAX(0,MIN(1,R90))^2+(1-MAX(0,MIN(1,R90)))^2/$B$5))))</f>
        <v>0.847253028684123</v>
      </c>
      <c r="T91" s="16" t="n">
        <f aca="false">IF(ABS(T90-$B$11/$B$9*((MAX(0,MIN(1,T90))^2/(MAX(0,MIN(1,T90))^2+(1-MAX(0,MIN(1,T90)))^2/$B$5))-(MAX(0,MIN(1,S90))^2/(MAX(0,MIN(1,S90))^2+(1-MAX(0,MIN(1,S90)))^2/$B$5))))&lt;0.000000001,0,T90-$B$11/$B$9*((MAX(0,MIN(1,T90))^2/(MAX(0,MIN(1,T90))^2+(1-MAX(0,MIN(1,T90)))^2/$B$5))-(MAX(0,MIN(1,S90))^2/(MAX(0,MIN(1,S90))^2+(1-MAX(0,MIN(1,S90)))^2/$B$5))))</f>
        <v>0.834330773864089</v>
      </c>
      <c r="U91" s="16" t="n">
        <f aca="false">IF(ABS(U90-$B$11/$B$9*((MAX(0,MIN(1,U90))^2/(MAX(0,MIN(1,U90))^2+(1-MAX(0,MIN(1,U90)))^2/$B$5))-(MAX(0,MIN(1,T90))^2/(MAX(0,MIN(1,T90))^2+(1-MAX(0,MIN(1,T90)))^2/$B$5))))&lt;0.000000001,0,U90-$B$11/$B$9*((MAX(0,MIN(1,U90))^2/(MAX(0,MIN(1,U90))^2+(1-MAX(0,MIN(1,U90)))^2/$B$5))-(MAX(0,MIN(1,T90))^2/(MAX(0,MIN(1,T90))^2+(1-MAX(0,MIN(1,T90)))^2/$B$5))))</f>
        <v>0.822177890910803</v>
      </c>
      <c r="V91" s="16" t="n">
        <f aca="false">IF(ABS(V90-$B$11/$B$9*((MAX(0,MIN(1,V90))^2/(MAX(0,MIN(1,V90))^2+(1-MAX(0,MIN(1,V90)))^2/$B$5))-(MAX(0,MIN(1,U90))^2/(MAX(0,MIN(1,U90))^2+(1-MAX(0,MIN(1,U90)))^2/$B$5))))&lt;0.000000001,0,V90-$B$11/$B$9*((MAX(0,MIN(1,V90))^2/(MAX(0,MIN(1,V90))^2+(1-MAX(0,MIN(1,V90)))^2/$B$5))-(MAX(0,MIN(1,U90))^2/(MAX(0,MIN(1,U90))^2+(1-MAX(0,MIN(1,U90)))^2/$B$5))))</f>
        <v>0.810689403015955</v>
      </c>
      <c r="W91" s="16" t="n">
        <f aca="false">IF(ABS(W90-$B$11/$B$9*((MAX(0,MIN(1,W90))^2/(MAX(0,MIN(1,W90))^2+(1-MAX(0,MIN(1,W90)))^2/$B$5))-(MAX(0,MIN(1,V90))^2/(MAX(0,MIN(1,V90))^2+(1-MAX(0,MIN(1,V90)))^2/$B$5))))&lt;0.000000001,0,W90-$B$11/$B$9*((MAX(0,MIN(1,W90))^2/(MAX(0,MIN(1,W90))^2+(1-MAX(0,MIN(1,W90)))^2/$B$5))-(MAX(0,MIN(1,V90))^2/(MAX(0,MIN(1,V90))^2+(1-MAX(0,MIN(1,V90)))^2/$B$5))))</f>
        <v>0.799780881593562</v>
      </c>
      <c r="X91" s="16" t="n">
        <f aca="false">IF(ABS(X90-$B$11/$B$9*((MAX(0,MIN(1,X90))^2/(MAX(0,MIN(1,X90))^2+(1-MAX(0,MIN(1,X90)))^2/$B$5))-(MAX(0,MIN(1,W90))^2/(MAX(0,MIN(1,W90))^2+(1-MAX(0,MIN(1,W90)))^2/$B$5))))&lt;0.000000001,0,X90-$B$11/$B$9*((MAX(0,MIN(1,X90))^2/(MAX(0,MIN(1,X90))^2+(1-MAX(0,MIN(1,X90)))^2/$B$5))-(MAX(0,MIN(1,W90))^2/(MAX(0,MIN(1,W90))^2+(1-MAX(0,MIN(1,W90)))^2/$B$5))))</f>
        <v>0.789383008126633</v>
      </c>
      <c r="Y91" s="16" t="n">
        <f aca="false">IF(ABS(Y90-$B$11/$B$9*((MAX(0,MIN(1,Y90))^2/(MAX(0,MIN(1,Y90))^2+(1-MAX(0,MIN(1,Y90)))^2/$B$5))-(MAX(0,MIN(1,X90))^2/(MAX(0,MIN(1,X90))^2+(1-MAX(0,MIN(1,X90)))^2/$B$5))))&lt;0.000000001,0,Y90-$B$11/$B$9*((MAX(0,MIN(1,Y90))^2/(MAX(0,MIN(1,Y90))^2+(1-MAX(0,MIN(1,Y90)))^2/$B$5))-(MAX(0,MIN(1,X90))^2/(MAX(0,MIN(1,X90))^2+(1-MAX(0,MIN(1,X90)))^2/$B$5))))</f>
        <v>0.77943790683205</v>
      </c>
      <c r="Z91" s="16" t="n">
        <f aca="false">IF(ABS(Z90-$B$11/$B$9*((MAX(0,MIN(1,Z90))^2/(MAX(0,MIN(1,Z90))^2+(1-MAX(0,MIN(1,Z90)))^2/$B$5))-(MAX(0,MIN(1,Y90))^2/(MAX(0,MIN(1,Y90))^2+(1-MAX(0,MIN(1,Y90)))^2/$B$5))))&lt;0.000000001,0,Z90-$B$11/$B$9*((MAX(0,MIN(1,Z90))^2/(MAX(0,MIN(1,Z90))^2+(1-MAX(0,MIN(1,Z90)))^2/$B$5))-(MAX(0,MIN(1,Y90))^2/(MAX(0,MIN(1,Y90))^2+(1-MAX(0,MIN(1,Y90)))^2/$B$5))))</f>
        <v>0.769896567414231</v>
      </c>
      <c r="AA91" s="16" t="n">
        <f aca="false">IF(ABS(AA90-$B$11/$B$9*((MAX(0,MIN(1,AA90))^2/(MAX(0,MIN(1,AA90))^2+(1-MAX(0,MIN(1,AA90)))^2/$B$5))-(MAX(0,MIN(1,Z90))^2/(MAX(0,MIN(1,Z90))^2+(1-MAX(0,MIN(1,Z90)))^2/$B$5))))&lt;0.000000001,0,AA90-$B$11/$B$9*((MAX(0,MIN(1,AA90))^2/(MAX(0,MIN(1,AA90))^2+(1-MAX(0,MIN(1,AA90)))^2/$B$5))-(MAX(0,MIN(1,Z90))^2/(MAX(0,MIN(1,Z90))^2+(1-MAX(0,MIN(1,Z90)))^2/$B$5))))</f>
        <v>0.760716972808841</v>
      </c>
      <c r="AB91" s="16" t="n">
        <f aca="false">IF(ABS(AB90-$B$11/$B$9*((MAX(0,MIN(1,AB90))^2/(MAX(0,MIN(1,AB90))^2+(1-MAX(0,MIN(1,AB90)))^2/$B$5))-(MAX(0,MIN(1,AA90))^2/(MAX(0,MIN(1,AA90))^2+(1-MAX(0,MIN(1,AA90)))^2/$B$5))))&lt;0.000000001,0,AB90-$B$11/$B$9*((MAX(0,MIN(1,AB90))^2/(MAX(0,MIN(1,AB90))^2+(1-MAX(0,MIN(1,AB90)))^2/$B$5))-(MAX(0,MIN(1,AA90))^2/(MAX(0,MIN(1,AA90))^2+(1-MAX(0,MIN(1,AA90)))^2/$B$5))))</f>
        <v>0.751862700958251</v>
      </c>
      <c r="AC91" s="16" t="n">
        <f aca="false">IF(ABS(AC90-$B$11/$B$9*((MAX(0,MIN(1,AC90))^2/(MAX(0,MIN(1,AC90))^2+(1-MAX(0,MIN(1,AC90)))^2/$B$5))-(MAX(0,MIN(1,AB90))^2/(MAX(0,MIN(1,AB90))^2+(1-MAX(0,MIN(1,AB90)))^2/$B$5))))&lt;0.000000001,0,AC90-$B$11/$B$9*((MAX(0,MIN(1,AC90))^2/(MAX(0,MIN(1,AC90))^2+(1-MAX(0,MIN(1,AC90)))^2/$B$5))-(MAX(0,MIN(1,AB90))^2/(MAX(0,MIN(1,AB90))^2+(1-MAX(0,MIN(1,AB90)))^2/$B$5))))</f>
        <v>0.743301855265127</v>
      </c>
      <c r="AD91" s="16" t="n">
        <f aca="false">IF(ABS(AD90-$B$11/$B$9*((MAX(0,MIN(1,AD90))^2/(MAX(0,MIN(1,AD90))^2+(1-MAX(0,MIN(1,AD90)))^2/$B$5))-(MAX(0,MIN(1,AC90))^2/(MAX(0,MIN(1,AC90))^2+(1-MAX(0,MIN(1,AC90)))^2/$B$5))))&lt;0.000000001,0,AD90-$B$11/$B$9*((MAX(0,MIN(1,AD90))^2/(MAX(0,MIN(1,AD90))^2+(1-MAX(0,MIN(1,AD90)))^2/$B$5))-(MAX(0,MIN(1,AC90))^2/(MAX(0,MIN(1,AC90))^2+(1-MAX(0,MIN(1,AC90)))^2/$B$5))))</f>
        <v>0.735006228413011</v>
      </c>
      <c r="AE91" s="16" t="n">
        <f aca="false">IF(ABS(AE90-$B$11/$B$9*((MAX(0,MIN(1,AE90))^2/(MAX(0,MIN(1,AE90))^2+(1-MAX(0,MIN(1,AE90)))^2/$B$5))-(MAX(0,MIN(1,AD90))^2/(MAX(0,MIN(1,AD90))^2+(1-MAX(0,MIN(1,AD90)))^2/$B$5))))&lt;0.000000001,0,AE90-$B$11/$B$9*((MAX(0,MIN(1,AE90))^2/(MAX(0,MIN(1,AE90))^2+(1-MAX(0,MIN(1,AE90)))^2/$B$5))-(MAX(0,MIN(1,AD90))^2/(MAX(0,MIN(1,AD90))^2+(1-MAX(0,MIN(1,AD90)))^2/$B$5))))</f>
        <v>0.726950634729521</v>
      </c>
      <c r="AF91" s="16" t="n">
        <f aca="false">IF(ABS(AF90-$B$11/$B$9*((MAX(0,MIN(1,AF90))^2/(MAX(0,MIN(1,AF90))^2+(1-MAX(0,MIN(1,AF90)))^2/$B$5))-(MAX(0,MIN(1,AE90))^2/(MAX(0,MIN(1,AE90))^2+(1-MAX(0,MIN(1,AE90)))^2/$B$5))))&lt;0.000000001,0,AF90-$B$11/$B$9*((MAX(0,MIN(1,AF90))^2/(MAX(0,MIN(1,AF90))^2+(1-MAX(0,MIN(1,AF90)))^2/$B$5))-(MAX(0,MIN(1,AE90))^2/(MAX(0,MIN(1,AE90))^2+(1-MAX(0,MIN(1,AE90)))^2/$B$5))))</f>
        <v>0.719112365439634</v>
      </c>
    </row>
    <row r="92" customFormat="false" ht="15" hidden="false" customHeight="false" outlineLevel="0" collapsed="false">
      <c r="A92" s="0" t="n">
        <v>0.87</v>
      </c>
      <c r="D92" s="0" t="n">
        <f aca="false">A92</f>
        <v>0.87</v>
      </c>
      <c r="E92" s="0" t="n">
        <f aca="false">(G92-G91)/(A92-A91)</f>
        <v>0.203642803618131</v>
      </c>
      <c r="F92" s="0" t="n">
        <f aca="false">G92/A92</f>
        <v>1.13673482720324</v>
      </c>
      <c r="G92" s="0" t="n">
        <f aca="false">A92^2/(A92^2+(1-A92)^2/$B$5)</f>
        <v>0.988959299666819</v>
      </c>
      <c r="L92" s="0" t="n">
        <v>82</v>
      </c>
      <c r="M92" s="16" t="n">
        <f aca="false">IF(ABS(M91-$B$11/$B$9*((MAX(0,MIN(1,M91))^2/(MAX(0,MIN(1,M91))^2+(1-MAX(0,MIN(1,M91)))^2/$B$5))-(MAX(0,MIN(1,1))^2/(MAX(0,MIN(1,1))^2+(1-MAX(0,MIN(1,1)))^2/$B$5))))&lt;0.000000001,0,M91-$B$11/$B$9*((MAX(0,MIN(1,M91))^2/(MAX(0,MIN(1,M91))^2+(1-MAX(0,MIN(1,M91)))^2/$B$5))-(MAX(0,MIN(1,1))^2/(MAX(0,MIN(1,1))^2+(1-MAX(0,MIN(1,1)))^2/$B$5))))</f>
        <v>0.955022627642058</v>
      </c>
      <c r="N92" s="16" t="n">
        <f aca="false">IF(ABS(N91-$B$11/$B$9*((MAX(0,MIN(1,N91))^2/(MAX(0,MIN(1,N91))^2+(1-MAX(0,MIN(1,N91)))^2/$B$5))-(MAX(0,MIN(1,M91))^2/(MAX(0,MIN(1,M91))^2+(1-MAX(0,MIN(1,M91)))^2/$B$5))))&lt;0.000000001,0,N91-$B$11/$B$9*((MAX(0,MIN(1,N91))^2/(MAX(0,MIN(1,N91))^2+(1-MAX(0,MIN(1,N91)))^2/$B$5))-(MAX(0,MIN(1,M91))^2/(MAX(0,MIN(1,M91))^2+(1-MAX(0,MIN(1,M91)))^2/$B$5))))</f>
        <v>0.931075113393621</v>
      </c>
      <c r="O92" s="16" t="n">
        <f aca="false">IF(ABS(O91-$B$11/$B$9*((MAX(0,MIN(1,O91))^2/(MAX(0,MIN(1,O91))^2+(1-MAX(0,MIN(1,O91)))^2/$B$5))-(MAX(0,MIN(1,N91))^2/(MAX(0,MIN(1,N91))^2+(1-MAX(0,MIN(1,N91)))^2/$B$5))))&lt;0.000000001,0,O91-$B$11/$B$9*((MAX(0,MIN(1,O91))^2/(MAX(0,MIN(1,O91))^2+(1-MAX(0,MIN(1,O91)))^2/$B$5))-(MAX(0,MIN(1,N91))^2/(MAX(0,MIN(1,N91))^2+(1-MAX(0,MIN(1,N91)))^2/$B$5))))</f>
        <v>0.910947013600421</v>
      </c>
      <c r="P92" s="16" t="n">
        <f aca="false">IF(ABS(P91-$B$11/$B$9*((MAX(0,MIN(1,P91))^2/(MAX(0,MIN(1,P91))^2+(1-MAX(0,MIN(1,P91)))^2/$B$5))-(MAX(0,MIN(1,O91))^2/(MAX(0,MIN(1,O91))^2+(1-MAX(0,MIN(1,O91)))^2/$B$5))))&lt;0.000000001,0,P91-$B$11/$B$9*((MAX(0,MIN(1,P91))^2/(MAX(0,MIN(1,P91))^2+(1-MAX(0,MIN(1,P91)))^2/$B$5))-(MAX(0,MIN(1,O91))^2/(MAX(0,MIN(1,O91))^2+(1-MAX(0,MIN(1,O91)))^2/$B$5))))</f>
        <v>0.893140170822942</v>
      </c>
      <c r="Q92" s="16" t="n">
        <f aca="false">IF(ABS(Q91-$B$11/$B$9*((MAX(0,MIN(1,Q91))^2/(MAX(0,MIN(1,Q91))^2+(1-MAX(0,MIN(1,Q91)))^2/$B$5))-(MAX(0,MIN(1,P91))^2/(MAX(0,MIN(1,P91))^2+(1-MAX(0,MIN(1,P91)))^2/$B$5))))&lt;0.000000001,0,Q91-$B$11/$B$9*((MAX(0,MIN(1,Q91))^2/(MAX(0,MIN(1,Q91))^2+(1-MAX(0,MIN(1,Q91)))^2/$B$5))-(MAX(0,MIN(1,P91))^2/(MAX(0,MIN(1,P91))^2+(1-MAX(0,MIN(1,P91)))^2/$B$5))))</f>
        <v>0.87701498199658</v>
      </c>
      <c r="R92" s="16" t="n">
        <f aca="false">IF(ABS(R91-$B$11/$B$9*((MAX(0,MIN(1,R91))^2/(MAX(0,MIN(1,R91))^2+(1-MAX(0,MIN(1,R91)))^2/$B$5))-(MAX(0,MIN(1,Q91))^2/(MAX(0,MIN(1,Q91))^2+(1-MAX(0,MIN(1,Q91)))^2/$B$5))))&lt;0.000000001,0,R91-$B$11/$B$9*((MAX(0,MIN(1,R91))^2/(MAX(0,MIN(1,R91))^2+(1-MAX(0,MIN(1,R91)))^2/$B$5))-(MAX(0,MIN(1,Q91))^2/(MAX(0,MIN(1,Q91))^2+(1-MAX(0,MIN(1,Q91)))^2/$B$5))))</f>
        <v>0.862203538841601</v>
      </c>
      <c r="S92" s="16" t="n">
        <f aca="false">IF(ABS(S91-$B$11/$B$9*((MAX(0,MIN(1,S91))^2/(MAX(0,MIN(1,S91))^2+(1-MAX(0,MIN(1,S91)))^2/$B$5))-(MAX(0,MIN(1,R91))^2/(MAX(0,MIN(1,R91))^2+(1-MAX(0,MIN(1,R91)))^2/$B$5))))&lt;0.000000001,0,S91-$B$11/$B$9*((MAX(0,MIN(1,S91))^2/(MAX(0,MIN(1,S91))^2+(1-MAX(0,MIN(1,S91)))^2/$B$5))-(MAX(0,MIN(1,R91))^2/(MAX(0,MIN(1,R91))^2+(1-MAX(0,MIN(1,R91)))^2/$B$5))))</f>
        <v>0.848462113698774</v>
      </c>
      <c r="T92" s="16" t="n">
        <f aca="false">IF(ABS(T91-$B$11/$B$9*((MAX(0,MIN(1,T91))^2/(MAX(0,MIN(1,T91))^2+(1-MAX(0,MIN(1,T91)))^2/$B$5))-(MAX(0,MIN(1,S91))^2/(MAX(0,MIN(1,S91))^2+(1-MAX(0,MIN(1,S91)))^2/$B$5))))&lt;0.000000001,0,T91-$B$11/$B$9*((MAX(0,MIN(1,T91))^2/(MAX(0,MIN(1,T91))^2+(1-MAX(0,MIN(1,T91)))^2/$B$5))-(MAX(0,MIN(1,S91))^2/(MAX(0,MIN(1,S91))^2+(1-MAX(0,MIN(1,S91)))^2/$B$5))))</f>
        <v>0.835615696104852</v>
      </c>
      <c r="U92" s="16" t="n">
        <f aca="false">IF(ABS(U91-$B$11/$B$9*((MAX(0,MIN(1,U91))^2/(MAX(0,MIN(1,U91))^2+(1-MAX(0,MIN(1,U91)))^2/$B$5))-(MAX(0,MIN(1,T91))^2/(MAX(0,MIN(1,T91))^2+(1-MAX(0,MIN(1,T91)))^2/$B$5))))&lt;0.000000001,0,U91-$B$11/$B$9*((MAX(0,MIN(1,U91))^2/(MAX(0,MIN(1,U91))^2+(1-MAX(0,MIN(1,U91)))^2/$B$5))-(MAX(0,MIN(1,T91))^2/(MAX(0,MIN(1,T91))^2+(1-MAX(0,MIN(1,T91)))^2/$B$5))))</f>
        <v>0.823531976390301</v>
      </c>
      <c r="V92" s="16" t="n">
        <f aca="false">IF(ABS(V91-$B$11/$B$9*((MAX(0,MIN(1,V91))^2/(MAX(0,MIN(1,V91))^2+(1-MAX(0,MIN(1,V91)))^2/$B$5))-(MAX(0,MIN(1,U91))^2/(MAX(0,MIN(1,U91))^2+(1-MAX(0,MIN(1,U91)))^2/$B$5))))&lt;0.000000001,0,V91-$B$11/$B$9*((MAX(0,MIN(1,V91))^2/(MAX(0,MIN(1,V91))^2+(1-MAX(0,MIN(1,V91)))^2/$B$5))-(MAX(0,MIN(1,U91))^2/(MAX(0,MIN(1,U91))^2+(1-MAX(0,MIN(1,U91)))^2/$B$5))))</f>
        <v>0.812107285785969</v>
      </c>
      <c r="W92" s="16" t="n">
        <f aca="false">IF(ABS(W91-$B$11/$B$9*((MAX(0,MIN(1,W91))^2/(MAX(0,MIN(1,W91))^2+(1-MAX(0,MIN(1,W91)))^2/$B$5))-(MAX(0,MIN(1,V91))^2/(MAX(0,MIN(1,V91))^2+(1-MAX(0,MIN(1,V91)))^2/$B$5))))&lt;0.000000001,0,W91-$B$11/$B$9*((MAX(0,MIN(1,W91))^2/(MAX(0,MIN(1,W91))^2+(1-MAX(0,MIN(1,W91)))^2/$B$5))-(MAX(0,MIN(1,V91))^2/(MAX(0,MIN(1,V91))^2+(1-MAX(0,MIN(1,V91)))^2/$B$5))))</f>
        <v>0.801258218911034</v>
      </c>
      <c r="X92" s="16" t="n">
        <f aca="false">IF(ABS(X91-$B$11/$B$9*((MAX(0,MIN(1,X91))^2/(MAX(0,MIN(1,X91))^2+(1-MAX(0,MIN(1,X91)))^2/$B$5))-(MAX(0,MIN(1,W91))^2/(MAX(0,MIN(1,W91))^2+(1-MAX(0,MIN(1,W91)))^2/$B$5))))&lt;0.000000001,0,X91-$B$11/$B$9*((MAX(0,MIN(1,X91))^2/(MAX(0,MIN(1,X91))^2+(1-MAX(0,MIN(1,X91)))^2/$B$5))-(MAX(0,MIN(1,W91))^2/(MAX(0,MIN(1,W91))^2+(1-MAX(0,MIN(1,W91)))^2/$B$5))))</f>
        <v>0.790916276697721</v>
      </c>
      <c r="Y92" s="16" t="n">
        <f aca="false">IF(ABS(Y91-$B$11/$B$9*((MAX(0,MIN(1,Y91))^2/(MAX(0,MIN(1,Y91))^2+(1-MAX(0,MIN(1,Y91)))^2/$B$5))-(MAX(0,MIN(1,X91))^2/(MAX(0,MIN(1,X91))^2+(1-MAX(0,MIN(1,X91)))^2/$B$5))))&lt;0.000000001,0,Y91-$B$11/$B$9*((MAX(0,MIN(1,Y91))^2/(MAX(0,MIN(1,Y91))^2+(1-MAX(0,MIN(1,Y91)))^2/$B$5))-(MAX(0,MIN(1,X91))^2/(MAX(0,MIN(1,X91))^2+(1-MAX(0,MIN(1,X91)))^2/$B$5))))</f>
        <v>0.781024253952695</v>
      </c>
      <c r="Z92" s="16" t="n">
        <f aca="false">IF(ABS(Z91-$B$11/$B$9*((MAX(0,MIN(1,Z91))^2/(MAX(0,MIN(1,Z91))^2+(1-MAX(0,MIN(1,Z91)))^2/$B$5))-(MAX(0,MIN(1,Y91))^2/(MAX(0,MIN(1,Y91))^2+(1-MAX(0,MIN(1,Y91)))^2/$B$5))))&lt;0.000000001,0,Z91-$B$11/$B$9*((MAX(0,MIN(1,Z91))^2/(MAX(0,MIN(1,Z91))^2+(1-MAX(0,MIN(1,Z91)))^2/$B$5))-(MAX(0,MIN(1,Y91))^2/(MAX(0,MIN(1,Y91))^2+(1-MAX(0,MIN(1,Y91)))^2/$B$5))))</f>
        <v>0.77153370072486</v>
      </c>
      <c r="AA92" s="16" t="n">
        <f aca="false">IF(ABS(AA91-$B$11/$B$9*((MAX(0,MIN(1,AA91))^2/(MAX(0,MIN(1,AA91))^2+(1-MAX(0,MIN(1,AA91)))^2/$B$5))-(MAX(0,MIN(1,Z91))^2/(MAX(0,MIN(1,Z91))^2+(1-MAX(0,MIN(1,Z91)))^2/$B$5))))&lt;0.000000001,0,AA91-$B$11/$B$9*((MAX(0,MIN(1,AA91))^2/(MAX(0,MIN(1,AA91))^2+(1-MAX(0,MIN(1,AA91)))^2/$B$5))-(MAX(0,MIN(1,Z91))^2/(MAX(0,MIN(1,Z91))^2+(1-MAX(0,MIN(1,Z91)))^2/$B$5))))</f>
        <v>0.762403078159295</v>
      </c>
      <c r="AB92" s="16" t="n">
        <f aca="false">IF(ABS(AB91-$B$11/$B$9*((MAX(0,MIN(1,AB91))^2/(MAX(0,MIN(1,AB91))^2+(1-MAX(0,MIN(1,AB91)))^2/$B$5))-(MAX(0,MIN(1,AA91))^2/(MAX(0,MIN(1,AA91))^2+(1-MAX(0,MIN(1,AA91)))^2/$B$5))))&lt;0.000000001,0,AB91-$B$11/$B$9*((MAX(0,MIN(1,AB91))^2/(MAX(0,MIN(1,AB91))^2+(1-MAX(0,MIN(1,AB91)))^2/$B$5))-(MAX(0,MIN(1,AA91))^2/(MAX(0,MIN(1,AA91))^2+(1-MAX(0,MIN(1,AA91)))^2/$B$5))))</f>
        <v>0.753596381443678</v>
      </c>
      <c r="AC92" s="16" t="n">
        <f aca="false">IF(ABS(AC91-$B$11/$B$9*((MAX(0,MIN(1,AC91))^2/(MAX(0,MIN(1,AC91))^2+(1-MAX(0,MIN(1,AC91)))^2/$B$5))-(MAX(0,MIN(1,AB91))^2/(MAX(0,MIN(1,AB91))^2+(1-MAX(0,MIN(1,AB91)))^2/$B$5))))&lt;0.000000001,0,AC91-$B$11/$B$9*((MAX(0,MIN(1,AC91))^2/(MAX(0,MIN(1,AC91))^2+(1-MAX(0,MIN(1,AC91)))^2/$B$5))-(MAX(0,MIN(1,AB91))^2/(MAX(0,MIN(1,AB91))^2+(1-MAX(0,MIN(1,AB91)))^2/$B$5))))</f>
        <v>0.745082086805766</v>
      </c>
      <c r="AD92" s="16" t="n">
        <f aca="false">IF(ABS(AD91-$B$11/$B$9*((MAX(0,MIN(1,AD91))^2/(MAX(0,MIN(1,AD91))^2+(1-MAX(0,MIN(1,AD91)))^2/$B$5))-(MAX(0,MIN(1,AC91))^2/(MAX(0,MIN(1,AC91))^2+(1-MAX(0,MIN(1,AC91)))^2/$B$5))))&lt;0.000000001,0,AD91-$B$11/$B$9*((MAX(0,MIN(1,AD91))^2/(MAX(0,MIN(1,AD91))^2+(1-MAX(0,MIN(1,AD91)))^2/$B$5))-(MAX(0,MIN(1,AC91))^2/(MAX(0,MIN(1,AC91))^2+(1-MAX(0,MIN(1,AC91)))^2/$B$5))))</f>
        <v>0.73683232883008</v>
      </c>
      <c r="AE92" s="16" t="n">
        <f aca="false">IF(ABS(AE91-$B$11/$B$9*((MAX(0,MIN(1,AE91))^2/(MAX(0,MIN(1,AE91))^2+(1-MAX(0,MIN(1,AE91)))^2/$B$5))-(MAX(0,MIN(1,AD91))^2/(MAX(0,MIN(1,AD91))^2+(1-MAX(0,MIN(1,AD91)))^2/$B$5))))&lt;0.000000001,0,AE91-$B$11/$B$9*((MAX(0,MIN(1,AE91))^2/(MAX(0,MIN(1,AE91))^2+(1-MAX(0,MIN(1,AE91)))^2/$B$5))-(MAX(0,MIN(1,AD91))^2/(MAX(0,MIN(1,AD91))^2+(1-MAX(0,MIN(1,AD91)))^2/$B$5))))</f>
        <v>0.728822244415072</v>
      </c>
      <c r="AF92" s="16" t="n">
        <f aca="false">IF(ABS(AF91-$B$11/$B$9*((MAX(0,MIN(1,AF91))^2/(MAX(0,MIN(1,AF91))^2+(1-MAX(0,MIN(1,AF91)))^2/$B$5))-(MAX(0,MIN(1,AE91))^2/(MAX(0,MIN(1,AE91))^2+(1-MAX(0,MIN(1,AE91)))^2/$B$5))))&lt;0.000000001,0,AF91-$B$11/$B$9*((MAX(0,MIN(1,AF91))^2/(MAX(0,MIN(1,AF91))^2+(1-MAX(0,MIN(1,AF91)))^2/$B$5))-(MAX(0,MIN(1,AE91))^2/(MAX(0,MIN(1,AE91))^2+(1-MAX(0,MIN(1,AE91)))^2/$B$5))))</f>
        <v>0.72102943861609</v>
      </c>
    </row>
    <row r="93" customFormat="false" ht="15" hidden="false" customHeight="false" outlineLevel="0" collapsed="false">
      <c r="A93" s="0" t="n">
        <v>0.88</v>
      </c>
      <c r="D93" s="0" t="n">
        <f aca="false">A93</f>
        <v>0.88</v>
      </c>
      <c r="E93" s="0" t="n">
        <f aca="false">(G93-G92)/(A93-A92)</f>
        <v>0.182882725232103</v>
      </c>
      <c r="F93" s="0" t="n">
        <f aca="false">G93/A93</f>
        <v>1.12589559877175</v>
      </c>
      <c r="G93" s="0" t="n">
        <f aca="false">A93^2/(A93^2+(1-A93)^2/$B$5)</f>
        <v>0.99078812691914</v>
      </c>
      <c r="L93" s="0" t="n">
        <v>83</v>
      </c>
      <c r="M93" s="16" t="n">
        <f aca="false">IF(ABS(M92-$B$11/$B$9*((MAX(0,MIN(1,M92))^2/(MAX(0,MIN(1,M92))^2+(1-MAX(0,MIN(1,M92)))^2/$B$5))-(MAX(0,MIN(1,1))^2/(MAX(0,MIN(1,1))^2+(1-MAX(0,MIN(1,1)))^2/$B$5))))&lt;0.000000001,0,M92-$B$11/$B$9*((MAX(0,MIN(1,M92))^2/(MAX(0,MIN(1,M92))^2+(1-MAX(0,MIN(1,M92)))^2/$B$5))-(MAX(0,MIN(1,1))^2/(MAX(0,MIN(1,1))^2+(1-MAX(0,MIN(1,1)))^2/$B$5))))</f>
        <v>0.955448599853021</v>
      </c>
      <c r="N93" s="16" t="n">
        <f aca="false">IF(ABS(N92-$B$11/$B$9*((MAX(0,MIN(1,N92))^2/(MAX(0,MIN(1,N92))^2+(1-MAX(0,MIN(1,N92)))^2/$B$5))-(MAX(0,MIN(1,M92))^2/(MAX(0,MIN(1,M92))^2+(1-MAX(0,MIN(1,M92)))^2/$B$5))))&lt;0.000000001,0,N92-$B$11/$B$9*((MAX(0,MIN(1,N92))^2/(MAX(0,MIN(1,N92))^2+(1-MAX(0,MIN(1,N92)))^2/$B$5))-(MAX(0,MIN(1,M92))^2/(MAX(0,MIN(1,M92))^2+(1-MAX(0,MIN(1,M92)))^2/$B$5))))</f>
        <v>0.931699883285595</v>
      </c>
      <c r="O93" s="16" t="n">
        <f aca="false">IF(ABS(O92-$B$11/$B$9*((MAX(0,MIN(1,O92))^2/(MAX(0,MIN(1,O92))^2+(1-MAX(0,MIN(1,O92)))^2/$B$5))-(MAX(0,MIN(1,N92))^2/(MAX(0,MIN(1,N92))^2+(1-MAX(0,MIN(1,N92)))^2/$B$5))))&lt;0.000000001,0,O92-$B$11/$B$9*((MAX(0,MIN(1,O92))^2/(MAX(0,MIN(1,O92))^2+(1-MAX(0,MIN(1,O92)))^2/$B$5))-(MAX(0,MIN(1,N92))^2/(MAX(0,MIN(1,N92))^2+(1-MAX(0,MIN(1,N92)))^2/$B$5))))</f>
        <v>0.911724970626917</v>
      </c>
      <c r="P93" s="16" t="n">
        <f aca="false">IF(ABS(P92-$B$11/$B$9*((MAX(0,MIN(1,P92))^2/(MAX(0,MIN(1,P92))^2+(1-MAX(0,MIN(1,P92)))^2/$B$5))-(MAX(0,MIN(1,O92))^2/(MAX(0,MIN(1,O92))^2+(1-MAX(0,MIN(1,O92)))^2/$B$5))))&lt;0.000000001,0,P92-$B$11/$B$9*((MAX(0,MIN(1,P92))^2/(MAX(0,MIN(1,P92))^2+(1-MAX(0,MIN(1,P92)))^2/$B$5))-(MAX(0,MIN(1,O92))^2/(MAX(0,MIN(1,O92))^2+(1-MAX(0,MIN(1,O92)))^2/$B$5))))</f>
        <v>0.894044185319148</v>
      </c>
      <c r="Q93" s="16" t="n">
        <f aca="false">IF(ABS(Q92-$B$11/$B$9*((MAX(0,MIN(1,Q92))^2/(MAX(0,MIN(1,Q92))^2+(1-MAX(0,MIN(1,Q92)))^2/$B$5))-(MAX(0,MIN(1,P92))^2/(MAX(0,MIN(1,P92))^2+(1-MAX(0,MIN(1,P92)))^2/$B$5))))&lt;0.000000001,0,Q92-$B$11/$B$9*((MAX(0,MIN(1,Q92))^2/(MAX(0,MIN(1,Q92))^2+(1-MAX(0,MIN(1,Q92)))^2/$B$5))-(MAX(0,MIN(1,P92))^2/(MAX(0,MIN(1,P92))^2+(1-MAX(0,MIN(1,P92)))^2/$B$5))))</f>
        <v>0.878026329068438</v>
      </c>
      <c r="R93" s="16" t="n">
        <f aca="false">IF(ABS(R92-$B$11/$B$9*((MAX(0,MIN(1,R92))^2/(MAX(0,MIN(1,R92))^2+(1-MAX(0,MIN(1,R92)))^2/$B$5))-(MAX(0,MIN(1,Q92))^2/(MAX(0,MIN(1,Q92))^2+(1-MAX(0,MIN(1,Q92)))^2/$B$5))))&lt;0.000000001,0,R92-$B$11/$B$9*((MAX(0,MIN(1,R92))^2/(MAX(0,MIN(1,R92))^2+(1-MAX(0,MIN(1,R92)))^2/$B$5))-(MAX(0,MIN(1,Q92))^2/(MAX(0,MIN(1,Q92))^2+(1-MAX(0,MIN(1,Q92)))^2/$B$5))))</f>
        <v>0.863308420771468</v>
      </c>
      <c r="S93" s="16" t="n">
        <f aca="false">IF(ABS(S92-$B$11/$B$9*((MAX(0,MIN(1,S92))^2/(MAX(0,MIN(1,S92))^2+(1-MAX(0,MIN(1,S92)))^2/$B$5))-(MAX(0,MIN(1,R92))^2/(MAX(0,MIN(1,R92))^2+(1-MAX(0,MIN(1,R92)))^2/$B$5))))&lt;0.000000001,0,S92-$B$11/$B$9*((MAX(0,MIN(1,S92))^2/(MAX(0,MIN(1,S92))^2+(1-MAX(0,MIN(1,S92)))^2/$B$5))-(MAX(0,MIN(1,R92))^2/(MAX(0,MIN(1,R92))^2+(1-MAX(0,MIN(1,R92)))^2/$B$5))))</f>
        <v>0.849649976935653</v>
      </c>
      <c r="T93" s="16" t="n">
        <f aca="false">IF(ABS(T92-$B$11/$B$9*((MAX(0,MIN(1,T92))^2/(MAX(0,MIN(1,T92))^2+(1-MAX(0,MIN(1,T92)))^2/$B$5))-(MAX(0,MIN(1,S92))^2/(MAX(0,MIN(1,S92))^2+(1-MAX(0,MIN(1,S92)))^2/$B$5))))&lt;0.000000001,0,T92-$B$11/$B$9*((MAX(0,MIN(1,T92))^2/(MAX(0,MIN(1,T92))^2+(1-MAX(0,MIN(1,T92)))^2/$B$5))-(MAX(0,MIN(1,S92))^2/(MAX(0,MIN(1,S92))^2+(1-MAX(0,MIN(1,S92)))^2/$B$5))))</f>
        <v>0.836878271538678</v>
      </c>
      <c r="U93" s="16" t="n">
        <f aca="false">IF(ABS(U92-$B$11/$B$9*((MAX(0,MIN(1,U92))^2/(MAX(0,MIN(1,U92))^2+(1-MAX(0,MIN(1,U92)))^2/$B$5))-(MAX(0,MIN(1,T92))^2/(MAX(0,MIN(1,T92))^2+(1-MAX(0,MIN(1,T92)))^2/$B$5))))&lt;0.000000001,0,U92-$B$11/$B$9*((MAX(0,MIN(1,U92))^2/(MAX(0,MIN(1,U92))^2+(1-MAX(0,MIN(1,U92)))^2/$B$5))-(MAX(0,MIN(1,T92))^2/(MAX(0,MIN(1,T92))^2+(1-MAX(0,MIN(1,T92)))^2/$B$5))))</f>
        <v>0.824862677545213</v>
      </c>
      <c r="V93" s="16" t="n">
        <f aca="false">IF(ABS(V92-$B$11/$B$9*((MAX(0,MIN(1,V92))^2/(MAX(0,MIN(1,V92))^2+(1-MAX(0,MIN(1,V92)))^2/$B$5))-(MAX(0,MIN(1,U92))^2/(MAX(0,MIN(1,U92))^2+(1-MAX(0,MIN(1,U92)))^2/$B$5))))&lt;0.000000001,0,V92-$B$11/$B$9*((MAX(0,MIN(1,V92))^2/(MAX(0,MIN(1,V92))^2+(1-MAX(0,MIN(1,V92)))^2/$B$5))-(MAX(0,MIN(1,U92))^2/(MAX(0,MIN(1,U92))^2+(1-MAX(0,MIN(1,U92)))^2/$B$5))))</f>
        <v>0.813500807685451</v>
      </c>
      <c r="W93" s="16" t="n">
        <f aca="false">IF(ABS(W92-$B$11/$B$9*((MAX(0,MIN(1,W92))^2/(MAX(0,MIN(1,W92))^2+(1-MAX(0,MIN(1,W92)))^2/$B$5))-(MAX(0,MIN(1,V92))^2/(MAX(0,MIN(1,V92))^2+(1-MAX(0,MIN(1,V92)))^2/$B$5))))&lt;0.000000001,0,W92-$B$11/$B$9*((MAX(0,MIN(1,W92))^2/(MAX(0,MIN(1,W92))^2+(1-MAX(0,MIN(1,W92)))^2/$B$5))-(MAX(0,MIN(1,V92))^2/(MAX(0,MIN(1,V92))^2+(1-MAX(0,MIN(1,V92)))^2/$B$5))))</f>
        <v>0.802710259219123</v>
      </c>
      <c r="X93" s="16" t="n">
        <f aca="false">IF(ABS(X92-$B$11/$B$9*((MAX(0,MIN(1,X92))^2/(MAX(0,MIN(1,X92))^2+(1-MAX(0,MIN(1,X92)))^2/$B$5))-(MAX(0,MIN(1,W92))^2/(MAX(0,MIN(1,W92))^2+(1-MAX(0,MIN(1,W92)))^2/$B$5))))&lt;0.000000001,0,X92-$B$11/$B$9*((MAX(0,MIN(1,X92))^2/(MAX(0,MIN(1,X92))^2+(1-MAX(0,MIN(1,X92)))^2/$B$5))-(MAX(0,MIN(1,W92))^2/(MAX(0,MIN(1,W92))^2+(1-MAX(0,MIN(1,W92)))^2/$B$5))))</f>
        <v>0.792423335951801</v>
      </c>
      <c r="Y93" s="16" t="n">
        <f aca="false">IF(ABS(Y92-$B$11/$B$9*((MAX(0,MIN(1,Y92))^2/(MAX(0,MIN(1,Y92))^2+(1-MAX(0,MIN(1,Y92)))^2/$B$5))-(MAX(0,MIN(1,X92))^2/(MAX(0,MIN(1,X92))^2+(1-MAX(0,MIN(1,X92)))^2/$B$5))))&lt;0.000000001,0,Y92-$B$11/$B$9*((MAX(0,MIN(1,Y92))^2/(MAX(0,MIN(1,Y92))^2+(1-MAX(0,MIN(1,Y92)))^2/$B$5))-(MAX(0,MIN(1,X92))^2/(MAX(0,MIN(1,X92))^2+(1-MAX(0,MIN(1,X92)))^2/$B$5))))</f>
        <v>0.782583489354456</v>
      </c>
      <c r="Z93" s="16" t="n">
        <f aca="false">IF(ABS(Z92-$B$11/$B$9*((MAX(0,MIN(1,Z92))^2/(MAX(0,MIN(1,Z92))^2+(1-MAX(0,MIN(1,Z92)))^2/$B$5))-(MAX(0,MIN(1,Y92))^2/(MAX(0,MIN(1,Y92))^2+(1-MAX(0,MIN(1,Y92)))^2/$B$5))))&lt;0.000000001,0,Z92-$B$11/$B$9*((MAX(0,MIN(1,Z92))^2/(MAX(0,MIN(1,Z92))^2+(1-MAX(0,MIN(1,Z92)))^2/$B$5))-(MAX(0,MIN(1,Y92))^2/(MAX(0,MIN(1,Y92))^2+(1-MAX(0,MIN(1,Y92)))^2/$B$5))))</f>
        <v>0.773142817594179</v>
      </c>
      <c r="AA93" s="16" t="n">
        <f aca="false">IF(ABS(AA92-$B$11/$B$9*((MAX(0,MIN(1,AA92))^2/(MAX(0,MIN(1,AA92))^2+(1-MAX(0,MIN(1,AA92)))^2/$B$5))-(MAX(0,MIN(1,Z92))^2/(MAX(0,MIN(1,Z92))^2+(1-MAX(0,MIN(1,Z92)))^2/$B$5))))&lt;0.000000001,0,AA92-$B$11/$B$9*((MAX(0,MIN(1,AA92))^2/(MAX(0,MIN(1,AA92))^2+(1-MAX(0,MIN(1,AA92)))^2/$B$5))-(MAX(0,MIN(1,Z92))^2/(MAX(0,MIN(1,Z92))^2+(1-MAX(0,MIN(1,Z92)))^2/$B$5))))</f>
        <v>0.764060248779883</v>
      </c>
      <c r="AB93" s="16" t="n">
        <f aca="false">IF(ABS(AB92-$B$11/$B$9*((MAX(0,MIN(1,AB92))^2/(MAX(0,MIN(1,AB92))^2+(1-MAX(0,MIN(1,AB92)))^2/$B$5))-(MAX(0,MIN(1,AA92))^2/(MAX(0,MIN(1,AA92))^2+(1-MAX(0,MIN(1,AA92)))^2/$B$5))))&lt;0.000000001,0,AB92-$B$11/$B$9*((MAX(0,MIN(1,AB92))^2/(MAX(0,MIN(1,AB92))^2+(1-MAX(0,MIN(1,AB92)))^2/$B$5))-(MAX(0,MIN(1,AA92))^2/(MAX(0,MIN(1,AA92))^2+(1-MAX(0,MIN(1,AA92)))^2/$B$5))))</f>
        <v>0.755300184495576</v>
      </c>
      <c r="AC93" s="16" t="n">
        <f aca="false">IF(ABS(AC92-$B$11/$B$9*((MAX(0,MIN(1,AC92))^2/(MAX(0,MIN(1,AC92))^2+(1-MAX(0,MIN(1,AC92)))^2/$B$5))-(MAX(0,MIN(1,AB92))^2/(MAX(0,MIN(1,AB92))^2+(1-MAX(0,MIN(1,AB92)))^2/$B$5))))&lt;0.000000001,0,AC92-$B$11/$B$9*((MAX(0,MIN(1,AC92))^2/(MAX(0,MIN(1,AC92))^2+(1-MAX(0,MIN(1,AC92)))^2/$B$5))-(MAX(0,MIN(1,AB92))^2/(MAX(0,MIN(1,AB92))^2+(1-MAX(0,MIN(1,AB92)))^2/$B$5))))</f>
        <v>0.746831462823604</v>
      </c>
      <c r="AD93" s="16" t="n">
        <f aca="false">IF(ABS(AD92-$B$11/$B$9*((MAX(0,MIN(1,AD92))^2/(MAX(0,MIN(1,AD92))^2+(1-MAX(0,MIN(1,AD92)))^2/$B$5))-(MAX(0,MIN(1,AC92))^2/(MAX(0,MIN(1,AC92))^2+(1-MAX(0,MIN(1,AC92)))^2/$B$5))))&lt;0.000000001,0,AD92-$B$11/$B$9*((MAX(0,MIN(1,AD92))^2/(MAX(0,MIN(1,AD92))^2+(1-MAX(0,MIN(1,AD92)))^2/$B$5))-(MAX(0,MIN(1,AC92))^2/(MAX(0,MIN(1,AC92))^2+(1-MAX(0,MIN(1,AC92)))^2/$B$5))))</f>
        <v>0.738626548651967</v>
      </c>
      <c r="AE93" s="16" t="n">
        <f aca="false">IF(ABS(AE92-$B$11/$B$9*((MAX(0,MIN(1,AE92))^2/(MAX(0,MIN(1,AE92))^2+(1-MAX(0,MIN(1,AE92)))^2/$B$5))-(MAX(0,MIN(1,AD92))^2/(MAX(0,MIN(1,AD92))^2+(1-MAX(0,MIN(1,AD92)))^2/$B$5))))&lt;0.000000001,0,AE92-$B$11/$B$9*((MAX(0,MIN(1,AE92))^2/(MAX(0,MIN(1,AE92))^2+(1-MAX(0,MIN(1,AE92)))^2/$B$5))-(MAX(0,MIN(1,AD92))^2/(MAX(0,MIN(1,AD92))^2+(1-MAX(0,MIN(1,AD92)))^2/$B$5))))</f>
        <v>0.730660888684994</v>
      </c>
      <c r="AF93" s="16" t="n">
        <f aca="false">IF(ABS(AF92-$B$11/$B$9*((MAX(0,MIN(1,AF92))^2/(MAX(0,MIN(1,AF92))^2+(1-MAX(0,MIN(1,AF92)))^2/$B$5))-(MAX(0,MIN(1,AE92))^2/(MAX(0,MIN(1,AE92))^2+(1-MAX(0,MIN(1,AE92)))^2/$B$5))))&lt;0.000000001,0,AF92-$B$11/$B$9*((MAX(0,MIN(1,AF92))^2/(MAX(0,MIN(1,AF92))^2+(1-MAX(0,MIN(1,AF92)))^2/$B$5))-(MAX(0,MIN(1,AE92))^2/(MAX(0,MIN(1,AE92))^2+(1-MAX(0,MIN(1,AE92)))^2/$B$5))))</f>
        <v>0.722912387251059</v>
      </c>
    </row>
    <row r="94" customFormat="false" ht="15" hidden="false" customHeight="false" outlineLevel="0" collapsed="false">
      <c r="A94" s="0" t="n">
        <v>0.89</v>
      </c>
      <c r="D94" s="0" t="n">
        <f aca="false">A94</f>
        <v>0.89</v>
      </c>
      <c r="E94" s="0" t="n">
        <f aca="false">(G94-G93)/(A94-A93)</f>
        <v>0.163184426422136</v>
      </c>
      <c r="F94" s="0" t="n">
        <f aca="false">G94/A94</f>
        <v>1.11507861930715</v>
      </c>
      <c r="G94" s="0" t="n">
        <f aca="false">A94^2/(A94^2+(1-A94)^2/$B$5)</f>
        <v>0.992419971183362</v>
      </c>
      <c r="L94" s="0" t="n">
        <v>84</v>
      </c>
      <c r="M94" s="16" t="n">
        <f aca="false">IF(ABS(M93-$B$11/$B$9*((MAX(0,MIN(1,M93))^2/(MAX(0,MIN(1,M93))^2+(1-MAX(0,MIN(1,M93)))^2/$B$5))-(MAX(0,MIN(1,1))^2/(MAX(0,MIN(1,1))^2+(1-MAX(0,MIN(1,1)))^2/$B$5))))&lt;0.000000001,0,M93-$B$11/$B$9*((MAX(0,MIN(1,M93))^2/(MAX(0,MIN(1,M93))^2+(1-MAX(0,MIN(1,M93)))^2/$B$5))-(MAX(0,MIN(1,1))^2/(MAX(0,MIN(1,1))^2+(1-MAX(0,MIN(1,1)))^2/$B$5))))</f>
        <v>0.955866178209381</v>
      </c>
      <c r="N94" s="16" t="n">
        <f aca="false">IF(ABS(N93-$B$11/$B$9*((MAX(0,MIN(1,N93))^2/(MAX(0,MIN(1,N93))^2+(1-MAX(0,MIN(1,N93)))^2/$B$5))-(MAX(0,MIN(1,M93))^2/(MAX(0,MIN(1,M93))^2+(1-MAX(0,MIN(1,M93)))^2/$B$5))))&lt;0.000000001,0,N93-$B$11/$B$9*((MAX(0,MIN(1,N93))^2/(MAX(0,MIN(1,N93))^2+(1-MAX(0,MIN(1,N93)))^2/$B$5))-(MAX(0,MIN(1,M93))^2/(MAX(0,MIN(1,M93))^2+(1-MAX(0,MIN(1,M93)))^2/$B$5))))</f>
        <v>0.932312755680588</v>
      </c>
      <c r="O94" s="16" t="n">
        <f aca="false">IF(ABS(O93-$B$11/$B$9*((MAX(0,MIN(1,O93))^2/(MAX(0,MIN(1,O93))^2+(1-MAX(0,MIN(1,O93)))^2/$B$5))-(MAX(0,MIN(1,N93))^2/(MAX(0,MIN(1,N93))^2+(1-MAX(0,MIN(1,N93)))^2/$B$5))))&lt;0.000000001,0,O93-$B$11/$B$9*((MAX(0,MIN(1,O93))^2/(MAX(0,MIN(1,O93))^2+(1-MAX(0,MIN(1,O93)))^2/$B$5))-(MAX(0,MIN(1,N93))^2/(MAX(0,MIN(1,N93))^2+(1-MAX(0,MIN(1,N93)))^2/$B$5))))</f>
        <v>0.912488505458127</v>
      </c>
      <c r="P94" s="16" t="n">
        <f aca="false">IF(ABS(P93-$B$11/$B$9*((MAX(0,MIN(1,P93))^2/(MAX(0,MIN(1,P93))^2+(1-MAX(0,MIN(1,P93)))^2/$B$5))-(MAX(0,MIN(1,O93))^2/(MAX(0,MIN(1,O93))^2+(1-MAX(0,MIN(1,O93)))^2/$B$5))))&lt;0.000000001,0,P93-$B$11/$B$9*((MAX(0,MIN(1,P93))^2/(MAX(0,MIN(1,P93))^2+(1-MAX(0,MIN(1,P93)))^2/$B$5))-(MAX(0,MIN(1,O93))^2/(MAX(0,MIN(1,O93))^2+(1-MAX(0,MIN(1,O93)))^2/$B$5))))</f>
        <v>0.894931800853493</v>
      </c>
      <c r="Q94" s="16" t="n">
        <f aca="false">IF(ABS(Q93-$B$11/$B$9*((MAX(0,MIN(1,Q93))^2/(MAX(0,MIN(1,Q93))^2+(1-MAX(0,MIN(1,Q93)))^2/$B$5))-(MAX(0,MIN(1,P93))^2/(MAX(0,MIN(1,P93))^2+(1-MAX(0,MIN(1,P93)))^2/$B$5))))&lt;0.000000001,0,Q93-$B$11/$B$9*((MAX(0,MIN(1,Q93))^2/(MAX(0,MIN(1,Q93))^2+(1-MAX(0,MIN(1,Q93)))^2/$B$5))-(MAX(0,MIN(1,P93))^2/(MAX(0,MIN(1,P93))^2+(1-MAX(0,MIN(1,P93)))^2/$B$5))))</f>
        <v>0.879019652629691</v>
      </c>
      <c r="R94" s="16" t="n">
        <f aca="false">IF(ABS(R93-$B$11/$B$9*((MAX(0,MIN(1,R93))^2/(MAX(0,MIN(1,R93))^2+(1-MAX(0,MIN(1,R93)))^2/$B$5))-(MAX(0,MIN(1,Q93))^2/(MAX(0,MIN(1,Q93))^2+(1-MAX(0,MIN(1,Q93)))^2/$B$5))))&lt;0.000000001,0,R93-$B$11/$B$9*((MAX(0,MIN(1,R93))^2/(MAX(0,MIN(1,R93))^2+(1-MAX(0,MIN(1,R93)))^2/$B$5))-(MAX(0,MIN(1,Q93))^2/(MAX(0,MIN(1,Q93))^2+(1-MAX(0,MIN(1,Q93)))^2/$B$5))))</f>
        <v>0.864393895085553</v>
      </c>
      <c r="S94" s="16" t="n">
        <f aca="false">IF(ABS(S93-$B$11/$B$9*((MAX(0,MIN(1,S93))^2/(MAX(0,MIN(1,S93))^2+(1-MAX(0,MIN(1,S93)))^2/$B$5))-(MAX(0,MIN(1,R93))^2/(MAX(0,MIN(1,R93))^2+(1-MAX(0,MIN(1,R93)))^2/$B$5))))&lt;0.000000001,0,S93-$B$11/$B$9*((MAX(0,MIN(1,S93))^2/(MAX(0,MIN(1,S93))^2+(1-MAX(0,MIN(1,S93)))^2/$B$5))-(MAX(0,MIN(1,R93))^2/(MAX(0,MIN(1,R93))^2+(1-MAX(0,MIN(1,R93)))^2/$B$5))))</f>
        <v>0.85081721778486</v>
      </c>
      <c r="T94" s="16" t="n">
        <f aca="false">IF(ABS(T93-$B$11/$B$9*((MAX(0,MIN(1,T93))^2/(MAX(0,MIN(1,T93))^2+(1-MAX(0,MIN(1,T93)))^2/$B$5))-(MAX(0,MIN(1,S93))^2/(MAX(0,MIN(1,S93))^2+(1-MAX(0,MIN(1,S93)))^2/$B$5))))&lt;0.000000001,0,T93-$B$11/$B$9*((MAX(0,MIN(1,T93))^2/(MAX(0,MIN(1,T93))^2+(1-MAX(0,MIN(1,T93)))^2/$B$5))-(MAX(0,MIN(1,S93))^2/(MAX(0,MIN(1,S93))^2+(1-MAX(0,MIN(1,S93)))^2/$B$5))))</f>
        <v>0.83811913078166</v>
      </c>
      <c r="U94" s="16" t="n">
        <f aca="false">IF(ABS(U93-$B$11/$B$9*((MAX(0,MIN(1,U93))^2/(MAX(0,MIN(1,U93))^2+(1-MAX(0,MIN(1,U93)))^2/$B$5))-(MAX(0,MIN(1,T93))^2/(MAX(0,MIN(1,T93))^2+(1-MAX(0,MIN(1,T93)))^2/$B$5))))&lt;0.000000001,0,U93-$B$11/$B$9*((MAX(0,MIN(1,U93))^2/(MAX(0,MIN(1,U93))^2+(1-MAX(0,MIN(1,U93)))^2/$B$5))-(MAX(0,MIN(1,T93))^2/(MAX(0,MIN(1,T93))^2+(1-MAX(0,MIN(1,T93)))^2/$B$5))))</f>
        <v>0.826170655120354</v>
      </c>
      <c r="V94" s="16" t="n">
        <f aca="false">IF(ABS(V93-$B$11/$B$9*((MAX(0,MIN(1,V93))^2/(MAX(0,MIN(1,V93))^2+(1-MAX(0,MIN(1,V93)))^2/$B$5))-(MAX(0,MIN(1,U93))^2/(MAX(0,MIN(1,U93))^2+(1-MAX(0,MIN(1,U93)))^2/$B$5))))&lt;0.000000001,0,V93-$B$11/$B$9*((MAX(0,MIN(1,V93))^2/(MAX(0,MIN(1,V93))^2+(1-MAX(0,MIN(1,V93)))^2/$B$5))-(MAX(0,MIN(1,U93))^2/(MAX(0,MIN(1,U93))^2+(1-MAX(0,MIN(1,U93)))^2/$B$5))))</f>
        <v>0.814870659301425</v>
      </c>
      <c r="W94" s="16" t="n">
        <f aca="false">IF(ABS(W93-$B$11/$B$9*((MAX(0,MIN(1,W93))^2/(MAX(0,MIN(1,W93))^2+(1-MAX(0,MIN(1,W93)))^2/$B$5))-(MAX(0,MIN(1,V93))^2/(MAX(0,MIN(1,V93))^2+(1-MAX(0,MIN(1,V93)))^2/$B$5))))&lt;0.000000001,0,W93-$B$11/$B$9*((MAX(0,MIN(1,W93))^2/(MAX(0,MIN(1,W93))^2+(1-MAX(0,MIN(1,W93)))^2/$B$5))-(MAX(0,MIN(1,V93))^2/(MAX(0,MIN(1,V93))^2+(1-MAX(0,MIN(1,V93)))^2/$B$5))))</f>
        <v>0.804137723319087</v>
      </c>
      <c r="X94" s="16" t="n">
        <f aca="false">IF(ABS(X93-$B$11/$B$9*((MAX(0,MIN(1,X93))^2/(MAX(0,MIN(1,X93))^2+(1-MAX(0,MIN(1,X93)))^2/$B$5))-(MAX(0,MIN(1,W93))^2/(MAX(0,MIN(1,W93))^2+(1-MAX(0,MIN(1,W93)))^2/$B$5))))&lt;0.000000001,0,X93-$B$11/$B$9*((MAX(0,MIN(1,X93))^2/(MAX(0,MIN(1,X93))^2+(1-MAX(0,MIN(1,X93)))^2/$B$5))-(MAX(0,MIN(1,W93))^2/(MAX(0,MIN(1,W93))^2+(1-MAX(0,MIN(1,W93)))^2/$B$5))))</f>
        <v>0.793904937850703</v>
      </c>
      <c r="Y94" s="16" t="n">
        <f aca="false">IF(ABS(Y93-$B$11/$B$9*((MAX(0,MIN(1,Y93))^2/(MAX(0,MIN(1,Y93))^2+(1-MAX(0,MIN(1,Y93)))^2/$B$5))-(MAX(0,MIN(1,X93))^2/(MAX(0,MIN(1,X93))^2+(1-MAX(0,MIN(1,X93)))^2/$B$5))))&lt;0.000000001,0,Y93-$B$11/$B$9*((MAX(0,MIN(1,Y93))^2/(MAX(0,MIN(1,Y93))^2+(1-MAX(0,MIN(1,Y93)))^2/$B$5))-(MAX(0,MIN(1,X93))^2/(MAX(0,MIN(1,X93))^2+(1-MAX(0,MIN(1,X93)))^2/$B$5))))</f>
        <v>0.784116397643836</v>
      </c>
      <c r="Z94" s="16" t="n">
        <f aca="false">IF(ABS(Z93-$B$11/$B$9*((MAX(0,MIN(1,Z93))^2/(MAX(0,MIN(1,Z93))^2+(1-MAX(0,MIN(1,Z93)))^2/$B$5))-(MAX(0,MIN(1,Y93))^2/(MAX(0,MIN(1,Y93))^2+(1-MAX(0,MIN(1,Y93)))^2/$B$5))))&lt;0.000000001,0,Z93-$B$11/$B$9*((MAX(0,MIN(1,Z93))^2/(MAX(0,MIN(1,Z93))^2+(1-MAX(0,MIN(1,Z93)))^2/$B$5))-(MAX(0,MIN(1,Y93))^2/(MAX(0,MIN(1,Y93))^2+(1-MAX(0,MIN(1,Y93)))^2/$B$5))))</f>
        <v>0.774724737295808</v>
      </c>
      <c r="AA94" s="16" t="n">
        <f aca="false">IF(ABS(AA93-$B$11/$B$9*((MAX(0,MIN(1,AA93))^2/(MAX(0,MIN(1,AA93))^2+(1-MAX(0,MIN(1,AA93)))^2/$B$5))-(MAX(0,MIN(1,Z93))^2/(MAX(0,MIN(1,Z93))^2+(1-MAX(0,MIN(1,Z93)))^2/$B$5))))&lt;0.000000001,0,AA93-$B$11/$B$9*((MAX(0,MIN(1,AA93))^2/(MAX(0,MIN(1,AA93))^2+(1-MAX(0,MIN(1,AA93)))^2/$B$5))-(MAX(0,MIN(1,Z93))^2/(MAX(0,MIN(1,Z93))^2+(1-MAX(0,MIN(1,Z93)))^2/$B$5))))</f>
        <v>0.765689341205246</v>
      </c>
      <c r="AB94" s="16" t="n">
        <f aca="false">IF(ABS(AB93-$B$11/$B$9*((MAX(0,MIN(1,AB93))^2/(MAX(0,MIN(1,AB93))^2+(1-MAX(0,MIN(1,AB93)))^2/$B$5))-(MAX(0,MIN(1,AA93))^2/(MAX(0,MIN(1,AA93))^2+(1-MAX(0,MIN(1,AA93)))^2/$B$5))))&lt;0.000000001,0,AB93-$B$11/$B$9*((MAX(0,MIN(1,AB93))^2/(MAX(0,MIN(1,AB93))^2+(1-MAX(0,MIN(1,AB93)))^2/$B$5))-(MAX(0,MIN(1,AA93))^2/(MAX(0,MIN(1,AA93))^2+(1-MAX(0,MIN(1,AA93)))^2/$B$5))))</f>
        <v>0.756975007140532</v>
      </c>
      <c r="AC94" s="16" t="n">
        <f aca="false">IF(ABS(AC93-$B$11/$B$9*((MAX(0,MIN(1,AC93))^2/(MAX(0,MIN(1,AC93))^2+(1-MAX(0,MIN(1,AC93)))^2/$B$5))-(MAX(0,MIN(1,AB93))^2/(MAX(0,MIN(1,AB93))^2+(1-MAX(0,MIN(1,AB93)))^2/$B$5))))&lt;0.000000001,0,AC93-$B$11/$B$9*((MAX(0,MIN(1,AC93))^2/(MAX(0,MIN(1,AC93))^2+(1-MAX(0,MIN(1,AC93)))^2/$B$5))-(MAX(0,MIN(1,AB93))^2/(MAX(0,MIN(1,AB93))^2+(1-MAX(0,MIN(1,AB93)))^2/$B$5))))</f>
        <v>0.748550924806753</v>
      </c>
      <c r="AD94" s="16" t="n">
        <f aca="false">IF(ABS(AD93-$B$11/$B$9*((MAX(0,MIN(1,AD93))^2/(MAX(0,MIN(1,AD93))^2+(1-MAX(0,MIN(1,AD93)))^2/$B$5))-(MAX(0,MIN(1,AC93))^2/(MAX(0,MIN(1,AC93))^2+(1-MAX(0,MIN(1,AC93)))^2/$B$5))))&lt;0.000000001,0,AD93-$B$11/$B$9*((MAX(0,MIN(1,AD93))^2/(MAX(0,MIN(1,AD93))^2+(1-MAX(0,MIN(1,AD93)))^2/$B$5))-(MAX(0,MIN(1,AC93))^2/(MAX(0,MIN(1,AC93))^2+(1-MAX(0,MIN(1,AC93)))^2/$B$5))))</f>
        <v>0.740389878681813</v>
      </c>
      <c r="AE94" s="16" t="n">
        <f aca="false">IF(ABS(AE93-$B$11/$B$9*((MAX(0,MIN(1,AE93))^2/(MAX(0,MIN(1,AE93))^2+(1-MAX(0,MIN(1,AE93)))^2/$B$5))-(MAX(0,MIN(1,AD93))^2/(MAX(0,MIN(1,AD93))^2+(1-MAX(0,MIN(1,AD93)))^2/$B$5))))&lt;0.000000001,0,AE93-$B$11/$B$9*((MAX(0,MIN(1,AE93))^2/(MAX(0,MIN(1,AE93))^2+(1-MAX(0,MIN(1,AE93)))^2/$B$5))-(MAX(0,MIN(1,AD93))^2/(MAX(0,MIN(1,AD93))^2+(1-MAX(0,MIN(1,AD93)))^2/$B$5))))</f>
        <v>0.732467613595943</v>
      </c>
      <c r="AF94" s="16" t="n">
        <f aca="false">IF(ABS(AF93-$B$11/$B$9*((MAX(0,MIN(1,AF93))^2/(MAX(0,MIN(1,AF93))^2+(1-MAX(0,MIN(1,AF93)))^2/$B$5))-(MAX(0,MIN(1,AE93))^2/(MAX(0,MIN(1,AE93))^2+(1-MAX(0,MIN(1,AE93)))^2/$B$5))))&lt;0.000000001,0,AF93-$B$11/$B$9*((MAX(0,MIN(1,AF93))^2/(MAX(0,MIN(1,AF93))^2+(1-MAX(0,MIN(1,AF93)))^2/$B$5))-(MAX(0,MIN(1,AE93))^2/(MAX(0,MIN(1,AE93))^2+(1-MAX(0,MIN(1,AE93)))^2/$B$5))))</f>
        <v>0.724762319953341</v>
      </c>
    </row>
    <row r="95" customFormat="false" ht="15" hidden="false" customHeight="false" outlineLevel="0" collapsed="false">
      <c r="A95" s="0" t="n">
        <v>0.9</v>
      </c>
      <c r="D95" s="0" t="n">
        <f aca="false">A95</f>
        <v>0.9</v>
      </c>
      <c r="E95" s="0" t="n">
        <f aca="false">(G95-G94)/(A95-A94)</f>
        <v>0.14450594914851</v>
      </c>
      <c r="F95" s="0" t="n">
        <f aca="false">G95/A95</f>
        <v>1.10429447852761</v>
      </c>
      <c r="G95" s="0" t="n">
        <f aca="false">A95^2/(A95^2+(1-A95)^2/$B$5)</f>
        <v>0.993865030674847</v>
      </c>
      <c r="L95" s="0" t="n">
        <v>85</v>
      </c>
      <c r="M95" s="16" t="n">
        <f aca="false">IF(ABS(M94-$B$11/$B$9*((MAX(0,MIN(1,M94))^2/(MAX(0,MIN(1,M94))^2+(1-MAX(0,MIN(1,M94)))^2/$B$5))-(MAX(0,MIN(1,1))^2/(MAX(0,MIN(1,1))^2+(1-MAX(0,MIN(1,1)))^2/$B$5))))&lt;0.000000001,0,M94-$B$11/$B$9*((MAX(0,MIN(1,M94))^2/(MAX(0,MIN(1,M94))^2+(1-MAX(0,MIN(1,M94)))^2/$B$5))-(MAX(0,MIN(1,1))^2/(MAX(0,MIN(1,1))^2+(1-MAX(0,MIN(1,1)))^2/$B$5))))</f>
        <v>0.956275616080157</v>
      </c>
      <c r="N95" s="16" t="n">
        <f aca="false">IF(ABS(N94-$B$11/$B$9*((MAX(0,MIN(1,N94))^2/(MAX(0,MIN(1,N94))^2+(1-MAX(0,MIN(1,N94)))^2/$B$5))-(MAX(0,MIN(1,M94))^2/(MAX(0,MIN(1,M94))^2+(1-MAX(0,MIN(1,M94)))^2/$B$5))))&lt;0.000000001,0,N94-$B$11/$B$9*((MAX(0,MIN(1,N94))^2/(MAX(0,MIN(1,N94))^2+(1-MAX(0,MIN(1,N94)))^2/$B$5))-(MAX(0,MIN(1,M94))^2/(MAX(0,MIN(1,M94))^2+(1-MAX(0,MIN(1,M94)))^2/$B$5))))</f>
        <v>0.932914080355721</v>
      </c>
      <c r="O95" s="16" t="n">
        <f aca="false">IF(ABS(O94-$B$11/$B$9*((MAX(0,MIN(1,O94))^2/(MAX(0,MIN(1,O94))^2+(1-MAX(0,MIN(1,O94)))^2/$B$5))-(MAX(0,MIN(1,N94))^2/(MAX(0,MIN(1,N94))^2+(1-MAX(0,MIN(1,N94)))^2/$B$5))))&lt;0.000000001,0,O94-$B$11/$B$9*((MAX(0,MIN(1,O94))^2/(MAX(0,MIN(1,O94))^2+(1-MAX(0,MIN(1,O94)))^2/$B$5))-(MAX(0,MIN(1,N94))^2/(MAX(0,MIN(1,N94))^2+(1-MAX(0,MIN(1,N94)))^2/$B$5))))</f>
        <v>0.913238034180013</v>
      </c>
      <c r="P95" s="16" t="n">
        <f aca="false">IF(ABS(P94-$B$11/$B$9*((MAX(0,MIN(1,P94))^2/(MAX(0,MIN(1,P94))^2+(1-MAX(0,MIN(1,P94)))^2/$B$5))-(MAX(0,MIN(1,O94))^2/(MAX(0,MIN(1,O94))^2+(1-MAX(0,MIN(1,O94)))^2/$B$5))))&lt;0.000000001,0,P94-$B$11/$B$9*((MAX(0,MIN(1,P94))^2/(MAX(0,MIN(1,P94))^2+(1-MAX(0,MIN(1,P94)))^2/$B$5))-(MAX(0,MIN(1,O94))^2/(MAX(0,MIN(1,O94))^2+(1-MAX(0,MIN(1,O94)))^2/$B$5))))</f>
        <v>0.895803484151133</v>
      </c>
      <c r="Q95" s="16" t="n">
        <f aca="false">IF(ABS(Q94-$B$11/$B$9*((MAX(0,MIN(1,Q94))^2/(MAX(0,MIN(1,Q94))^2+(1-MAX(0,MIN(1,Q94)))^2/$B$5))-(MAX(0,MIN(1,P94))^2/(MAX(0,MIN(1,P94))^2+(1-MAX(0,MIN(1,P94)))^2/$B$5))))&lt;0.000000001,0,Q94-$B$11/$B$9*((MAX(0,MIN(1,Q94))^2/(MAX(0,MIN(1,Q94))^2+(1-MAX(0,MIN(1,Q94)))^2/$B$5))-(MAX(0,MIN(1,P94))^2/(MAX(0,MIN(1,P94))^2+(1-MAX(0,MIN(1,P94)))^2/$B$5))))</f>
        <v>0.879995460764284</v>
      </c>
      <c r="R95" s="16" t="n">
        <f aca="false">IF(ABS(R94-$B$11/$B$9*((MAX(0,MIN(1,R94))^2/(MAX(0,MIN(1,R94))^2+(1-MAX(0,MIN(1,R94)))^2/$B$5))-(MAX(0,MIN(1,Q94))^2/(MAX(0,MIN(1,Q94))^2+(1-MAX(0,MIN(1,Q94)))^2/$B$5))))&lt;0.000000001,0,R94-$B$11/$B$9*((MAX(0,MIN(1,R94))^2/(MAX(0,MIN(1,R94))^2+(1-MAX(0,MIN(1,R94)))^2/$B$5))-(MAX(0,MIN(1,Q94))^2/(MAX(0,MIN(1,Q94))^2+(1-MAX(0,MIN(1,Q94)))^2/$B$5))))</f>
        <v>0.865460505468944</v>
      </c>
      <c r="S95" s="16" t="n">
        <f aca="false">IF(ABS(S94-$B$11/$B$9*((MAX(0,MIN(1,S94))^2/(MAX(0,MIN(1,S94))^2+(1-MAX(0,MIN(1,S94)))^2/$B$5))-(MAX(0,MIN(1,R94))^2/(MAX(0,MIN(1,R94))^2+(1-MAX(0,MIN(1,R94)))^2/$B$5))))&lt;0.000000001,0,S94-$B$11/$B$9*((MAX(0,MIN(1,S94))^2/(MAX(0,MIN(1,S94))^2+(1-MAX(0,MIN(1,S94)))^2/$B$5))-(MAX(0,MIN(1,R94))^2/(MAX(0,MIN(1,R94))^2+(1-MAX(0,MIN(1,R94)))^2/$B$5))))</f>
        <v>0.851964411944184</v>
      </c>
      <c r="T95" s="16" t="n">
        <f aca="false">IF(ABS(T94-$B$11/$B$9*((MAX(0,MIN(1,T94))^2/(MAX(0,MIN(1,T94))^2+(1-MAX(0,MIN(1,T94)))^2/$B$5))-(MAX(0,MIN(1,S94))^2/(MAX(0,MIN(1,S94))^2+(1-MAX(0,MIN(1,S94)))^2/$B$5))))&lt;0.000000001,0,T94-$B$11/$B$9*((MAX(0,MIN(1,T94))^2/(MAX(0,MIN(1,T94))^2+(1-MAX(0,MIN(1,T94)))^2/$B$5))-(MAX(0,MIN(1,S94))^2/(MAX(0,MIN(1,S94))^2+(1-MAX(0,MIN(1,S94)))^2/$B$5))))</f>
        <v>0.839338879397785</v>
      </c>
      <c r="U95" s="16" t="n">
        <f aca="false">IF(ABS(U94-$B$11/$B$9*((MAX(0,MIN(1,U94))^2/(MAX(0,MIN(1,U94))^2+(1-MAX(0,MIN(1,U94)))^2/$B$5))-(MAX(0,MIN(1,T94))^2/(MAX(0,MIN(1,T94))^2+(1-MAX(0,MIN(1,T94)))^2/$B$5))))&lt;0.000000001,0,U94-$B$11/$B$9*((MAX(0,MIN(1,U94))^2/(MAX(0,MIN(1,U94))^2+(1-MAX(0,MIN(1,U94)))^2/$B$5))-(MAX(0,MIN(1,T94))^2/(MAX(0,MIN(1,T94))^2+(1-MAX(0,MIN(1,T94)))^2/$B$5))))</f>
        <v>0.82745654342245</v>
      </c>
      <c r="V95" s="16" t="n">
        <f aca="false">IF(ABS(V94-$B$11/$B$9*((MAX(0,MIN(1,V94))^2/(MAX(0,MIN(1,V94))^2+(1-MAX(0,MIN(1,V94)))^2/$B$5))-(MAX(0,MIN(1,U94))^2/(MAX(0,MIN(1,U94))^2+(1-MAX(0,MIN(1,U94)))^2/$B$5))))&lt;0.000000001,0,V94-$B$11/$B$9*((MAX(0,MIN(1,V94))^2/(MAX(0,MIN(1,V94))^2+(1-MAX(0,MIN(1,V94)))^2/$B$5))-(MAX(0,MIN(1,U94))^2/(MAX(0,MIN(1,U94))^2+(1-MAX(0,MIN(1,U94)))^2/$B$5))))</f>
        <v>0.816217503333281</v>
      </c>
      <c r="W95" s="16" t="n">
        <f aca="false">IF(ABS(W94-$B$11/$B$9*((MAX(0,MIN(1,W94))^2/(MAX(0,MIN(1,W94))^2+(1-MAX(0,MIN(1,W94)))^2/$B$5))-(MAX(0,MIN(1,V94))^2/(MAX(0,MIN(1,V94))^2+(1-MAX(0,MIN(1,V94)))^2/$B$5))))&lt;0.000000001,0,W94-$B$11/$B$9*((MAX(0,MIN(1,W94))^2/(MAX(0,MIN(1,W94))^2+(1-MAX(0,MIN(1,W94)))^2/$B$5))-(MAX(0,MIN(1,V94))^2/(MAX(0,MIN(1,V94))^2+(1-MAX(0,MIN(1,V94)))^2/$B$5))))</f>
        <v>0.80554130257743</v>
      </c>
      <c r="X95" s="16" t="n">
        <f aca="false">IF(ABS(X94-$B$11/$B$9*((MAX(0,MIN(1,X94))^2/(MAX(0,MIN(1,X94))^2+(1-MAX(0,MIN(1,X94)))^2/$B$5))-(MAX(0,MIN(1,W94))^2/(MAX(0,MIN(1,W94))^2+(1-MAX(0,MIN(1,W94)))^2/$B$5))))&lt;0.000000001,0,X94-$B$11/$B$9*((MAX(0,MIN(1,X94))^2/(MAX(0,MIN(1,X94))^2+(1-MAX(0,MIN(1,X94)))^2/$B$5))-(MAX(0,MIN(1,W94))^2/(MAX(0,MIN(1,W94))^2+(1-MAX(0,MIN(1,W94)))^2/$B$5))))</f>
        <v>0.795361803242873</v>
      </c>
      <c r="Y95" s="16" t="n">
        <f aca="false">IF(ABS(Y94-$B$11/$B$9*((MAX(0,MIN(1,Y94))^2/(MAX(0,MIN(1,Y94))^2+(1-MAX(0,MIN(1,Y94)))^2/$B$5))-(MAX(0,MIN(1,X94))^2/(MAX(0,MIN(1,X94))^2+(1-MAX(0,MIN(1,X94)))^2/$B$5))))&lt;0.000000001,0,Y94-$B$11/$B$9*((MAX(0,MIN(1,Y94))^2/(MAX(0,MIN(1,Y94))^2+(1-MAX(0,MIN(1,Y94)))^2/$B$5))-(MAX(0,MIN(1,X94))^2/(MAX(0,MIN(1,X94))^2+(1-MAX(0,MIN(1,X94)))^2/$B$5))))</f>
        <v>0.785623730467356</v>
      </c>
      <c r="Z95" s="16" t="n">
        <f aca="false">IF(ABS(Z94-$B$11/$B$9*((MAX(0,MIN(1,Z94))^2/(MAX(0,MIN(1,Z94))^2+(1-MAX(0,MIN(1,Z94)))^2/$B$5))-(MAX(0,MIN(1,Y94))^2/(MAX(0,MIN(1,Y94))^2+(1-MAX(0,MIN(1,Y94)))^2/$B$5))))&lt;0.000000001,0,Z94-$B$11/$B$9*((MAX(0,MIN(1,Z94))^2/(MAX(0,MIN(1,Z94))^2+(1-MAX(0,MIN(1,Z94)))^2/$B$5))-(MAX(0,MIN(1,Y94))^2/(MAX(0,MIN(1,Y94))^2+(1-MAX(0,MIN(1,Y94)))^2/$B$5))))</f>
        <v>0.776280244087297</v>
      </c>
      <c r="AA95" s="16" t="n">
        <f aca="false">IF(ABS(AA94-$B$11/$B$9*((MAX(0,MIN(1,AA94))^2/(MAX(0,MIN(1,AA94))^2+(1-MAX(0,MIN(1,AA94)))^2/$B$5))-(MAX(0,MIN(1,Z94))^2/(MAX(0,MIN(1,Z94))^2+(1-MAX(0,MIN(1,Z94)))^2/$B$5))))&lt;0.000000001,0,AA94-$B$11/$B$9*((MAX(0,MIN(1,AA94))^2/(MAX(0,MIN(1,AA94))^2+(1-MAX(0,MIN(1,AA94)))^2/$B$5))-(MAX(0,MIN(1,Z94))^2/(MAX(0,MIN(1,Z94))^2+(1-MAX(0,MIN(1,Z94)))^2/$B$5))))</f>
        <v>0.767291174639122</v>
      </c>
      <c r="AB95" s="16" t="n">
        <f aca="false">IF(ABS(AB94-$B$11/$B$9*((MAX(0,MIN(1,AB94))^2/(MAX(0,MIN(1,AB94))^2+(1-MAX(0,MIN(1,AB94)))^2/$B$5))-(MAX(0,MIN(1,AA94))^2/(MAX(0,MIN(1,AA94))^2+(1-MAX(0,MIN(1,AA94)))^2/$B$5))))&lt;0.000000001,0,AB94-$B$11/$B$9*((MAX(0,MIN(1,AB94))^2/(MAX(0,MIN(1,AB94))^2+(1-MAX(0,MIN(1,AB94)))^2/$B$5))-(MAX(0,MIN(1,AA94))^2/(MAX(0,MIN(1,AA94))^2+(1-MAX(0,MIN(1,AA94)))^2/$B$5))))</f>
        <v>0.758621706440359</v>
      </c>
      <c r="AC95" s="16" t="n">
        <f aca="false">IF(ABS(AC94-$B$11/$B$9*((MAX(0,MIN(1,AC94))^2/(MAX(0,MIN(1,AC94))^2+(1-MAX(0,MIN(1,AC94)))^2/$B$5))-(MAX(0,MIN(1,AB94))^2/(MAX(0,MIN(1,AB94))^2+(1-MAX(0,MIN(1,AB94)))^2/$B$5))))&lt;0.000000001,0,AC94-$B$11/$B$9*((MAX(0,MIN(1,AC94))^2/(MAX(0,MIN(1,AC94))^2+(1-MAX(0,MIN(1,AC94)))^2/$B$5))-(MAX(0,MIN(1,AB94))^2/(MAX(0,MIN(1,AB94))^2+(1-MAX(0,MIN(1,AB94)))^2/$B$5))))</f>
        <v>0.750241371250017</v>
      </c>
      <c r="AD95" s="16" t="n">
        <f aca="false">IF(ABS(AD94-$B$11/$B$9*((MAX(0,MIN(1,AD94))^2/(MAX(0,MIN(1,AD94))^2+(1-MAX(0,MIN(1,AD94)))^2/$B$5))-(MAX(0,MIN(1,AC94))^2/(MAX(0,MIN(1,AC94))^2+(1-MAX(0,MIN(1,AC94)))^2/$B$5))))&lt;0.000000001,0,AD94-$B$11/$B$9*((MAX(0,MIN(1,AD94))^2/(MAX(0,MIN(1,AD94))^2+(1-MAX(0,MIN(1,AD94)))^2/$B$5))-(MAX(0,MIN(1,AC94))^2/(MAX(0,MIN(1,AC94))^2+(1-MAX(0,MIN(1,AC94)))^2/$B$5))))</f>
        <v>0.74212326320952</v>
      </c>
      <c r="AE95" s="16" t="n">
        <f aca="false">IF(ABS(AE94-$B$11/$B$9*((MAX(0,MIN(1,AE94))^2/(MAX(0,MIN(1,AE94))^2+(1-MAX(0,MIN(1,AE94)))^2/$B$5))-(MAX(0,MIN(1,AD94))^2/(MAX(0,MIN(1,AD94))^2+(1-MAX(0,MIN(1,AD94)))^2/$B$5))))&lt;0.000000001,0,AE94-$B$11/$B$9*((MAX(0,MIN(1,AE94))^2/(MAX(0,MIN(1,AE94))^2+(1-MAX(0,MIN(1,AE94)))^2/$B$5))-(MAX(0,MIN(1,AD94))^2/(MAX(0,MIN(1,AD94))^2+(1-MAX(0,MIN(1,AD94)))^2/$B$5))))</f>
        <v>0.7342434145542</v>
      </c>
      <c r="AF95" s="16" t="n">
        <f aca="false">IF(ABS(AF94-$B$11/$B$9*((MAX(0,MIN(1,AF94))^2/(MAX(0,MIN(1,AF94))^2+(1-MAX(0,MIN(1,AF94)))^2/$B$5))-(MAX(0,MIN(1,AE94))^2/(MAX(0,MIN(1,AE94))^2+(1-MAX(0,MIN(1,AE94)))^2/$B$5))))&lt;0.000000001,0,AF94-$B$11/$B$9*((MAX(0,MIN(1,AF94))^2/(MAX(0,MIN(1,AF94))^2+(1-MAX(0,MIN(1,AF94)))^2/$B$5))-(MAX(0,MIN(1,AE94))^2/(MAX(0,MIN(1,AE94))^2+(1-MAX(0,MIN(1,AE94)))^2/$B$5))))</f>
        <v>0.726580289760856</v>
      </c>
    </row>
    <row r="96" customFormat="false" ht="15" hidden="false" customHeight="false" outlineLevel="0" collapsed="false">
      <c r="A96" s="0" t="n">
        <v>0.91</v>
      </c>
      <c r="D96" s="0" t="n">
        <f aca="false">A96</f>
        <v>0.91</v>
      </c>
      <c r="E96" s="0" t="n">
        <f aca="false">(G96-G95)/(A96-A95)</f>
        <v>0.1268058311514</v>
      </c>
      <c r="F96" s="0" t="n">
        <f aca="false">G96/A96</f>
        <v>1.09355284503996</v>
      </c>
      <c r="G96" s="0" t="n">
        <f aca="false">A96^2/(A96^2+(1-A96)^2/$B$5)</f>
        <v>0.995133088986361</v>
      </c>
      <c r="L96" s="0" t="n">
        <v>86</v>
      </c>
      <c r="M96" s="16" t="n">
        <f aca="false">IF(ABS(M95-$B$11/$B$9*((MAX(0,MIN(1,M95))^2/(MAX(0,MIN(1,M95))^2+(1-MAX(0,MIN(1,M95)))^2/$B$5))-(MAX(0,MIN(1,1))^2/(MAX(0,MIN(1,1))^2+(1-MAX(0,MIN(1,1)))^2/$B$5))))&lt;0.000000001,0,M95-$B$11/$B$9*((MAX(0,MIN(1,M95))^2/(MAX(0,MIN(1,M95))^2+(1-MAX(0,MIN(1,M95)))^2/$B$5))-(MAX(0,MIN(1,1))^2/(MAX(0,MIN(1,1))^2+(1-MAX(0,MIN(1,1)))^2/$B$5))))</f>
        <v>0.95667715651881</v>
      </c>
      <c r="N96" s="16" t="n">
        <f aca="false">IF(ABS(N95-$B$11/$B$9*((MAX(0,MIN(1,N95))^2/(MAX(0,MIN(1,N95))^2+(1-MAX(0,MIN(1,N95)))^2/$B$5))-(MAX(0,MIN(1,M95))^2/(MAX(0,MIN(1,M95))^2+(1-MAX(0,MIN(1,M95)))^2/$B$5))))&lt;0.000000001,0,N95-$B$11/$B$9*((MAX(0,MIN(1,N95))^2/(MAX(0,MIN(1,N95))^2+(1-MAX(0,MIN(1,N95)))^2/$B$5))-(MAX(0,MIN(1,M95))^2/(MAX(0,MIN(1,M95))^2+(1-MAX(0,MIN(1,M95)))^2/$B$5))))</f>
        <v>0.933504193132129</v>
      </c>
      <c r="O96" s="16" t="n">
        <f aca="false">IF(ABS(O95-$B$11/$B$9*((MAX(0,MIN(1,O95))^2/(MAX(0,MIN(1,O95))^2+(1-MAX(0,MIN(1,O95)))^2/$B$5))-(MAX(0,MIN(1,N95))^2/(MAX(0,MIN(1,N95))^2+(1-MAX(0,MIN(1,N95)))^2/$B$5))))&lt;0.000000001,0,O95-$B$11/$B$9*((MAX(0,MIN(1,O95))^2/(MAX(0,MIN(1,O95))^2+(1-MAX(0,MIN(1,O95)))^2/$B$5))-(MAX(0,MIN(1,N95))^2/(MAX(0,MIN(1,N95))^2+(1-MAX(0,MIN(1,N95)))^2/$B$5))))</f>
        <v>0.913973956485469</v>
      </c>
      <c r="P96" s="16" t="n">
        <f aca="false">IF(ABS(P95-$B$11/$B$9*((MAX(0,MIN(1,P95))^2/(MAX(0,MIN(1,P95))^2+(1-MAX(0,MIN(1,P95)))^2/$B$5))-(MAX(0,MIN(1,O95))^2/(MAX(0,MIN(1,O95))^2+(1-MAX(0,MIN(1,O95)))^2/$B$5))))&lt;0.000000001,0,P95-$B$11/$B$9*((MAX(0,MIN(1,P95))^2/(MAX(0,MIN(1,P95))^2+(1-MAX(0,MIN(1,P95)))^2/$B$5))-(MAX(0,MIN(1,O95))^2/(MAX(0,MIN(1,O95))^2+(1-MAX(0,MIN(1,O95)))^2/$B$5))))</f>
        <v>0.896659683685538</v>
      </c>
      <c r="Q96" s="16" t="n">
        <f aca="false">IF(ABS(Q95-$B$11/$B$9*((MAX(0,MIN(1,Q95))^2/(MAX(0,MIN(1,Q95))^2+(1-MAX(0,MIN(1,Q95)))^2/$B$5))-(MAX(0,MIN(1,P95))^2/(MAX(0,MIN(1,P95))^2+(1-MAX(0,MIN(1,P95)))^2/$B$5))))&lt;0.000000001,0,Q95-$B$11/$B$9*((MAX(0,MIN(1,Q95))^2/(MAX(0,MIN(1,Q95))^2+(1-MAX(0,MIN(1,Q95)))^2/$B$5))-(MAX(0,MIN(1,P95))^2/(MAX(0,MIN(1,P95))^2+(1-MAX(0,MIN(1,P95)))^2/$B$5))))</f>
        <v>0.880954241756281</v>
      </c>
      <c r="R96" s="16" t="n">
        <f aca="false">IF(ABS(R95-$B$11/$B$9*((MAX(0,MIN(1,R95))^2/(MAX(0,MIN(1,R95))^2+(1-MAX(0,MIN(1,R95)))^2/$B$5))-(MAX(0,MIN(1,Q95))^2/(MAX(0,MIN(1,Q95))^2+(1-MAX(0,MIN(1,Q95)))^2/$B$5))))&lt;0.000000001,0,R95-$B$11/$B$9*((MAX(0,MIN(1,R95))^2/(MAX(0,MIN(1,R95))^2+(1-MAX(0,MIN(1,R95)))^2/$B$5))-(MAX(0,MIN(1,Q95))^2/(MAX(0,MIN(1,Q95))^2+(1-MAX(0,MIN(1,Q95)))^2/$B$5))))</f>
        <v>0.866508774425765</v>
      </c>
      <c r="S96" s="16" t="n">
        <f aca="false">IF(ABS(S95-$B$11/$B$9*((MAX(0,MIN(1,S95))^2/(MAX(0,MIN(1,S95))^2+(1-MAX(0,MIN(1,S95)))^2/$B$5))-(MAX(0,MIN(1,R95))^2/(MAX(0,MIN(1,R95))^2+(1-MAX(0,MIN(1,R95)))^2/$B$5))))&lt;0.000000001,0,S95-$B$11/$B$9*((MAX(0,MIN(1,S95))^2/(MAX(0,MIN(1,S95))^2+(1-MAX(0,MIN(1,S95)))^2/$B$5))-(MAX(0,MIN(1,R95))^2/(MAX(0,MIN(1,R95))^2+(1-MAX(0,MIN(1,R95)))^2/$B$5))))</f>
        <v>0.853092112629722</v>
      </c>
      <c r="T96" s="16" t="n">
        <f aca="false">IF(ABS(T95-$B$11/$B$9*((MAX(0,MIN(1,T95))^2/(MAX(0,MIN(1,T95))^2+(1-MAX(0,MIN(1,T95)))^2/$B$5))-(MAX(0,MIN(1,S95))^2/(MAX(0,MIN(1,S95))^2+(1-MAX(0,MIN(1,S95)))^2/$B$5))))&lt;0.000000001,0,T95-$B$11/$B$9*((MAX(0,MIN(1,T95))^2/(MAX(0,MIN(1,T95))^2+(1-MAX(0,MIN(1,T95)))^2/$B$5))-(MAX(0,MIN(1,S95))^2/(MAX(0,MIN(1,S95))^2+(1-MAX(0,MIN(1,S95)))^2/$B$5))))</f>
        <v>0.840538099190974</v>
      </c>
      <c r="U96" s="16" t="n">
        <f aca="false">IF(ABS(U95-$B$11/$B$9*((MAX(0,MIN(1,U95))^2/(MAX(0,MIN(1,U95))^2+(1-MAX(0,MIN(1,U95)))^2/$B$5))-(MAX(0,MIN(1,T95))^2/(MAX(0,MIN(1,T95))^2+(1-MAX(0,MIN(1,T95)))^2/$B$5))))&lt;0.000000001,0,U95-$B$11/$B$9*((MAX(0,MIN(1,U95))^2/(MAX(0,MIN(1,U95))^2+(1-MAX(0,MIN(1,U95)))^2/$B$5))-(MAX(0,MIN(1,T95))^2/(MAX(0,MIN(1,T95))^2+(1-MAX(0,MIN(1,T95)))^2/$B$5))))</f>
        <v>0.828720951699401</v>
      </c>
      <c r="V96" s="16" t="n">
        <f aca="false">IF(ABS(V95-$B$11/$B$9*((MAX(0,MIN(1,V95))^2/(MAX(0,MIN(1,V95))^2+(1-MAX(0,MIN(1,V95)))^2/$B$5))-(MAX(0,MIN(1,U95))^2/(MAX(0,MIN(1,U95))^2+(1-MAX(0,MIN(1,U95)))^2/$B$5))))&lt;0.000000001,0,V95-$B$11/$B$9*((MAX(0,MIN(1,V95))^2/(MAX(0,MIN(1,V95))^2+(1-MAX(0,MIN(1,V95)))^2/$B$5))-(MAX(0,MIN(1,U95))^2/(MAX(0,MIN(1,U95))^2+(1-MAX(0,MIN(1,U95)))^2/$B$5))))</f>
        <v>0.817541976067603</v>
      </c>
      <c r="W96" s="16" t="n">
        <f aca="false">IF(ABS(W95-$B$11/$B$9*((MAX(0,MIN(1,W95))^2/(MAX(0,MIN(1,W95))^2+(1-MAX(0,MIN(1,W95)))^2/$B$5))-(MAX(0,MIN(1,V95))^2/(MAX(0,MIN(1,V95))^2+(1-MAX(0,MIN(1,V95)))^2/$B$5))))&lt;0.000000001,0,W95-$B$11/$B$9*((MAX(0,MIN(1,W95))^2/(MAX(0,MIN(1,W95))^2+(1-MAX(0,MIN(1,W95)))^2/$B$5))-(MAX(0,MIN(1,V95))^2/(MAX(0,MIN(1,V95))^2+(1-MAX(0,MIN(1,V95)))^2/$B$5))))</f>
        <v>0.806921660507285</v>
      </c>
      <c r="X96" s="16" t="n">
        <f aca="false">IF(ABS(X95-$B$11/$B$9*((MAX(0,MIN(1,X95))^2/(MAX(0,MIN(1,X95))^2+(1-MAX(0,MIN(1,X95)))^2/$B$5))-(MAX(0,MIN(1,W95))^2/(MAX(0,MIN(1,W95))^2+(1-MAX(0,MIN(1,W95)))^2/$B$5))))&lt;0.000000001,0,X95-$B$11/$B$9*((MAX(0,MIN(1,X95))^2/(MAX(0,MIN(1,X95))^2+(1-MAX(0,MIN(1,X95)))^2/$B$5))-(MAX(0,MIN(1,W95))^2/(MAX(0,MIN(1,W95))^2+(1-MAX(0,MIN(1,W95)))^2/$B$5))))</f>
        <v>0.79679462356529</v>
      </c>
      <c r="Y96" s="16" t="n">
        <f aca="false">IF(ABS(Y95-$B$11/$B$9*((MAX(0,MIN(1,Y95))^2/(MAX(0,MIN(1,Y95))^2+(1-MAX(0,MIN(1,Y95)))^2/$B$5))-(MAX(0,MIN(1,X95))^2/(MAX(0,MIN(1,X95))^2+(1-MAX(0,MIN(1,X95)))^2/$B$5))))&lt;0.000000001,0,Y95-$B$11/$B$9*((MAX(0,MIN(1,Y95))^2/(MAX(0,MIN(1,Y95))^2+(1-MAX(0,MIN(1,Y95)))^2/$B$5))-(MAX(0,MIN(1,X95))^2/(MAX(0,MIN(1,X95))^2+(1-MAX(0,MIN(1,X95)))^2/$B$5))))</f>
        <v>0.787106208351507</v>
      </c>
      <c r="Z96" s="16" t="n">
        <f aca="false">IF(ABS(Z95-$B$11/$B$9*((MAX(0,MIN(1,Z95))^2/(MAX(0,MIN(1,Z95))^2+(1-MAX(0,MIN(1,Z95)))^2/$B$5))-(MAX(0,MIN(1,Y95))^2/(MAX(0,MIN(1,Y95))^2+(1-MAX(0,MIN(1,Y95)))^2/$B$5))))&lt;0.000000001,0,Z95-$B$11/$B$9*((MAX(0,MIN(1,Z95))^2/(MAX(0,MIN(1,Z95))^2+(1-MAX(0,MIN(1,Z95)))^2/$B$5))-(MAX(0,MIN(1,Y95))^2/(MAX(0,MIN(1,Y95))^2+(1-MAX(0,MIN(1,Y95)))^2/$B$5))))</f>
        <v>0.777810089210018</v>
      </c>
      <c r="AA96" s="16" t="n">
        <f aca="false">IF(ABS(AA95-$B$11/$B$9*((MAX(0,MIN(1,AA95))^2/(MAX(0,MIN(1,AA95))^2+(1-MAX(0,MIN(1,AA95)))^2/$B$5))-(MAX(0,MIN(1,Z95))^2/(MAX(0,MIN(1,Z95))^2+(1-MAX(0,MIN(1,Z95)))^2/$B$5))))&lt;0.000000001,0,AA95-$B$11/$B$9*((MAX(0,MIN(1,AA95))^2/(MAX(0,MIN(1,AA95))^2+(1-MAX(0,MIN(1,AA95)))^2/$B$5))-(MAX(0,MIN(1,Z95))^2/(MAX(0,MIN(1,Z95))^2+(1-MAX(0,MIN(1,Z95)))^2/$B$5))))</f>
        <v>0.768866533141638</v>
      </c>
      <c r="AB96" s="16" t="n">
        <f aca="false">IF(ABS(AB95-$B$11/$B$9*((MAX(0,MIN(1,AB95))^2/(MAX(0,MIN(1,AB95))^2+(1-MAX(0,MIN(1,AB95)))^2/$B$5))-(MAX(0,MIN(1,AA95))^2/(MAX(0,MIN(1,AA95))^2+(1-MAX(0,MIN(1,AA95)))^2/$B$5))))&lt;0.000000001,0,AB95-$B$11/$B$9*((MAX(0,MIN(1,AB95))^2/(MAX(0,MIN(1,AB95))^2+(1-MAX(0,MIN(1,AB95)))^2/$B$5))-(MAX(0,MIN(1,AA95))^2/(MAX(0,MIN(1,AA95))^2+(1-MAX(0,MIN(1,AA95)))^2/$B$5))))</f>
        <v>0.760241101901399</v>
      </c>
      <c r="AC96" s="16" t="n">
        <f aca="false">IF(ABS(AC95-$B$11/$B$9*((MAX(0,MIN(1,AC95))^2/(MAX(0,MIN(1,AC95))^2+(1-MAX(0,MIN(1,AC95)))^2/$B$5))-(MAX(0,MIN(1,AB95))^2/(MAX(0,MIN(1,AB95))^2+(1-MAX(0,MIN(1,AB95)))^2/$B$5))))&lt;0.000000001,0,AC95-$B$11/$B$9*((MAX(0,MIN(1,AC95))^2/(MAX(0,MIN(1,AC95))^2+(1-MAX(0,MIN(1,AC95)))^2/$B$5))-(MAX(0,MIN(1,AB95))^2/(MAX(0,MIN(1,AB95))^2+(1-MAX(0,MIN(1,AB95)))^2/$B$5))))</f>
        <v>0.751903660330272</v>
      </c>
      <c r="AD96" s="16" t="n">
        <f aca="false">IF(ABS(AD95-$B$11/$B$9*((MAX(0,MIN(1,AD95))^2/(MAX(0,MIN(1,AD95))^2+(1-MAX(0,MIN(1,AD95)))^2/$B$5))-(MAX(0,MIN(1,AC95))^2/(MAX(0,MIN(1,AC95))^2+(1-MAX(0,MIN(1,AC95)))^2/$B$5))))&lt;0.000000001,0,AD95-$B$11/$B$9*((MAX(0,MIN(1,AD95))^2/(MAX(0,MIN(1,AD95))^2+(1-MAX(0,MIN(1,AD95)))^2/$B$5))-(MAX(0,MIN(1,AC95))^2/(MAX(0,MIN(1,AC95))^2+(1-MAX(0,MIN(1,AC95)))^2/$B$5))))</f>
        <v>0.743827603009898</v>
      </c>
      <c r="AE96" s="16" t="n">
        <f aca="false">IF(ABS(AE95-$B$11/$B$9*((MAX(0,MIN(1,AE95))^2/(MAX(0,MIN(1,AE95))^2+(1-MAX(0,MIN(1,AE95)))^2/$B$5))-(MAX(0,MIN(1,AD95))^2/(MAX(0,MIN(1,AD95))^2+(1-MAX(0,MIN(1,AD95)))^2/$B$5))))&lt;0.000000001,0,AE95-$B$11/$B$9*((MAX(0,MIN(1,AE95))^2/(MAX(0,MIN(1,AE95))^2+(1-MAX(0,MIN(1,AE95)))^2/$B$5))-(MAX(0,MIN(1,AD95))^2/(MAX(0,MIN(1,AD95))^2+(1-MAX(0,MIN(1,AD95)))^2/$B$5))))</f>
        <v>0.735989239710364</v>
      </c>
      <c r="AF96" s="16" t="n">
        <f aca="false">IF(ABS(AF95-$B$11/$B$9*((MAX(0,MIN(1,AF95))^2/(MAX(0,MIN(1,AF95))^2+(1-MAX(0,MIN(1,AF95)))^2/$B$5))-(MAX(0,MIN(1,AE95))^2/(MAX(0,MIN(1,AE95))^2+(1-MAX(0,MIN(1,AE95)))^2/$B$5))))&lt;0.000000001,0,AF95-$B$11/$B$9*((MAX(0,MIN(1,AF95))^2/(MAX(0,MIN(1,AF95))^2+(1-MAX(0,MIN(1,AF95)))^2/$B$5))-(MAX(0,MIN(1,AE95))^2/(MAX(0,MIN(1,AE95))^2+(1-MAX(0,MIN(1,AE95)))^2/$B$5))))</f>
        <v>0.728367298029197</v>
      </c>
    </row>
    <row r="97" customFormat="false" ht="15" hidden="false" customHeight="false" outlineLevel="0" collapsed="false">
      <c r="A97" s="0" t="n">
        <v>0.92</v>
      </c>
      <c r="D97" s="0" t="n">
        <f aca="false">A97</f>
        <v>0.92</v>
      </c>
      <c r="E97" s="0" t="n">
        <f aca="false">(G97-G96)/(A97-A96)</f>
        <v>0.110043267088988</v>
      </c>
      <c r="F97" s="0" t="n">
        <f aca="false">G97/A97</f>
        <v>1.08286252354049</v>
      </c>
      <c r="G97" s="0" t="n">
        <f aca="false">A97^2/(A97^2+(1-A97)^2/$B$5)</f>
        <v>0.996233521657251</v>
      </c>
      <c r="L97" s="0" t="n">
        <v>87</v>
      </c>
      <c r="M97" s="16" t="n">
        <f aca="false">IF(ABS(M96-$B$11/$B$9*((MAX(0,MIN(1,M96))^2/(MAX(0,MIN(1,M96))^2+(1-MAX(0,MIN(1,M96)))^2/$B$5))-(MAX(0,MIN(1,1))^2/(MAX(0,MIN(1,1))^2+(1-MAX(0,MIN(1,1)))^2/$B$5))))&lt;0.000000001,0,M96-$B$11/$B$9*((MAX(0,MIN(1,M96))^2/(MAX(0,MIN(1,M96))^2+(1-MAX(0,MIN(1,M96)))^2/$B$5))-(MAX(0,MIN(1,1))^2/(MAX(0,MIN(1,1))^2+(1-MAX(0,MIN(1,1)))^2/$B$5))))</f>
        <v>0.95707103279131</v>
      </c>
      <c r="N97" s="16" t="n">
        <f aca="false">IF(ABS(N96-$B$11/$B$9*((MAX(0,MIN(1,N96))^2/(MAX(0,MIN(1,N96))^2+(1-MAX(0,MIN(1,N96)))^2/$B$5))-(MAX(0,MIN(1,M96))^2/(MAX(0,MIN(1,M96))^2+(1-MAX(0,MIN(1,M96)))^2/$B$5))))&lt;0.000000001,0,N96-$B$11/$B$9*((MAX(0,MIN(1,N96))^2/(MAX(0,MIN(1,N96))^2+(1-MAX(0,MIN(1,N96)))^2/$B$5))-(MAX(0,MIN(1,M96))^2/(MAX(0,MIN(1,M96))^2+(1-MAX(0,MIN(1,M96)))^2/$B$5))))</f>
        <v>0.934083416578572</v>
      </c>
      <c r="O97" s="16" t="n">
        <f aca="false">IF(ABS(O96-$B$11/$B$9*((MAX(0,MIN(1,O96))^2/(MAX(0,MIN(1,O96))^2+(1-MAX(0,MIN(1,O96)))^2/$B$5))-(MAX(0,MIN(1,N96))^2/(MAX(0,MIN(1,N96))^2+(1-MAX(0,MIN(1,N96)))^2/$B$5))))&lt;0.000000001,0,O96-$B$11/$B$9*((MAX(0,MIN(1,O96))^2/(MAX(0,MIN(1,O96))^2+(1-MAX(0,MIN(1,O96)))^2/$B$5))-(MAX(0,MIN(1,N96))^2/(MAX(0,MIN(1,N96))^2+(1-MAX(0,MIN(1,N96)))^2/$B$5))))</f>
        <v>0.914696656494336</v>
      </c>
      <c r="P97" s="16" t="n">
        <f aca="false">IF(ABS(P96-$B$11/$B$9*((MAX(0,MIN(1,P96))^2/(MAX(0,MIN(1,P96))^2+(1-MAX(0,MIN(1,P96)))^2/$B$5))-(MAX(0,MIN(1,O96))^2/(MAX(0,MIN(1,O96))^2+(1-MAX(0,MIN(1,O96)))^2/$B$5))))&lt;0.000000001,0,P96-$B$11/$B$9*((MAX(0,MIN(1,P96))^2/(MAX(0,MIN(1,P96))^2+(1-MAX(0,MIN(1,P96)))^2/$B$5))-(MAX(0,MIN(1,O96))^2/(MAX(0,MIN(1,O96))^2+(1-MAX(0,MIN(1,O96)))^2/$B$5))))</f>
        <v>0.897500830588917</v>
      </c>
      <c r="Q97" s="16" t="n">
        <f aca="false">IF(ABS(Q96-$B$11/$B$9*((MAX(0,MIN(1,Q96))^2/(MAX(0,MIN(1,Q96))^2+(1-MAX(0,MIN(1,Q96)))^2/$B$5))-(MAX(0,MIN(1,P96))^2/(MAX(0,MIN(1,P96))^2+(1-MAX(0,MIN(1,P96)))^2/$B$5))))&lt;0.000000001,0,Q96-$B$11/$B$9*((MAX(0,MIN(1,Q96))^2/(MAX(0,MIN(1,Q96))^2+(1-MAX(0,MIN(1,Q96)))^2/$B$5))-(MAX(0,MIN(1,P96))^2/(MAX(0,MIN(1,P96))^2+(1-MAX(0,MIN(1,P96)))^2/$B$5))))</f>
        <v>0.881896465078513</v>
      </c>
      <c r="R97" s="16" t="n">
        <f aca="false">IF(ABS(R96-$B$11/$B$9*((MAX(0,MIN(1,R96))^2/(MAX(0,MIN(1,R96))^2+(1-MAX(0,MIN(1,R96)))^2/$B$5))-(MAX(0,MIN(1,Q96))^2/(MAX(0,MIN(1,Q96))^2+(1-MAX(0,MIN(1,Q96)))^2/$B$5))))&lt;0.000000001,0,R96-$B$11/$B$9*((MAX(0,MIN(1,R96))^2/(MAX(0,MIN(1,R96))^2+(1-MAX(0,MIN(1,R96)))^2/$B$5))-(MAX(0,MIN(1,Q96))^2/(MAX(0,MIN(1,Q96))^2+(1-MAX(0,MIN(1,Q96)))^2/$B$5))))</f>
        <v>0.867539204341075</v>
      </c>
      <c r="S97" s="16" t="n">
        <f aca="false">IF(ABS(S96-$B$11/$B$9*((MAX(0,MIN(1,S96))^2/(MAX(0,MIN(1,S96))^2+(1-MAX(0,MIN(1,S96)))^2/$B$5))-(MAX(0,MIN(1,R96))^2/(MAX(0,MIN(1,R96))^2+(1-MAX(0,MIN(1,R96)))^2/$B$5))))&lt;0.000000001,0,S96-$B$11/$B$9*((MAX(0,MIN(1,S96))^2/(MAX(0,MIN(1,S96))^2+(1-MAX(0,MIN(1,S96)))^2/$B$5))-(MAX(0,MIN(1,R96))^2/(MAX(0,MIN(1,R96))^2+(1-MAX(0,MIN(1,R96)))^2/$B$5))))</f>
        <v>0.854200851710505</v>
      </c>
      <c r="T97" s="16" t="n">
        <f aca="false">IF(ABS(T96-$B$11/$B$9*((MAX(0,MIN(1,T96))^2/(MAX(0,MIN(1,T96))^2+(1-MAX(0,MIN(1,T96)))^2/$B$5))-(MAX(0,MIN(1,S96))^2/(MAX(0,MIN(1,S96))^2+(1-MAX(0,MIN(1,S96)))^2/$B$5))))&lt;0.000000001,0,T96-$B$11/$B$9*((MAX(0,MIN(1,T96))^2/(MAX(0,MIN(1,T96))^2+(1-MAX(0,MIN(1,T96)))^2/$B$5))-(MAX(0,MIN(1,S96))^2/(MAX(0,MIN(1,S96))^2+(1-MAX(0,MIN(1,S96)))^2/$B$5))))</f>
        <v>0.841717349415008</v>
      </c>
      <c r="U97" s="16" t="n">
        <f aca="false">IF(ABS(U96-$B$11/$B$9*((MAX(0,MIN(1,U96))^2/(MAX(0,MIN(1,U96))^2+(1-MAX(0,MIN(1,U96)))^2/$B$5))-(MAX(0,MIN(1,T96))^2/(MAX(0,MIN(1,T96))^2+(1-MAX(0,MIN(1,T96)))^2/$B$5))))&lt;0.000000001,0,U96-$B$11/$B$9*((MAX(0,MIN(1,U96))^2/(MAX(0,MIN(1,U96))^2+(1-MAX(0,MIN(1,U96)))^2/$B$5))-(MAX(0,MIN(1,T96))^2/(MAX(0,MIN(1,T96))^2+(1-MAX(0,MIN(1,T96)))^2/$B$5))))</f>
        <v>0.829964465430575</v>
      </c>
      <c r="V97" s="16" t="n">
        <f aca="false">IF(ABS(V96-$B$11/$B$9*((MAX(0,MIN(1,V96))^2/(MAX(0,MIN(1,V96))^2+(1-MAX(0,MIN(1,V96)))^2/$B$5))-(MAX(0,MIN(1,U96))^2/(MAX(0,MIN(1,U96))^2+(1-MAX(0,MIN(1,U96)))^2/$B$5))))&lt;0.000000001,0,V96-$B$11/$B$9*((MAX(0,MIN(1,V96))^2/(MAX(0,MIN(1,V96))^2+(1-MAX(0,MIN(1,V96)))^2/$B$5))-(MAX(0,MIN(1,U96))^2/(MAX(0,MIN(1,U96))^2+(1-MAX(0,MIN(1,U96)))^2/$B$5))))</f>
        <v>0.818844688756218</v>
      </c>
      <c r="W97" s="16" t="n">
        <f aca="false">IF(ABS(W96-$B$11/$B$9*((MAX(0,MIN(1,W96))^2/(MAX(0,MIN(1,W96))^2+(1-MAX(0,MIN(1,W96)))^2/$B$5))-(MAX(0,MIN(1,V96))^2/(MAX(0,MIN(1,V96))^2+(1-MAX(0,MIN(1,V96)))^2/$B$5))))&lt;0.000000001,0,W96-$B$11/$B$9*((MAX(0,MIN(1,W96))^2/(MAX(0,MIN(1,W96))^2+(1-MAX(0,MIN(1,W96)))^2/$B$5))-(MAX(0,MIN(1,V96))^2/(MAX(0,MIN(1,V96))^2+(1-MAX(0,MIN(1,V96)))^2/$B$5))))</f>
        <v>0.808279434243975</v>
      </c>
      <c r="X97" s="16" t="n">
        <f aca="false">IF(ABS(X96-$B$11/$B$9*((MAX(0,MIN(1,X96))^2/(MAX(0,MIN(1,X96))^2+(1-MAX(0,MIN(1,X96)))^2/$B$5))-(MAX(0,MIN(1,W96))^2/(MAX(0,MIN(1,W96))^2+(1-MAX(0,MIN(1,W96)))^2/$B$5))))&lt;0.000000001,0,X96-$B$11/$B$9*((MAX(0,MIN(1,X96))^2/(MAX(0,MIN(1,X96))^2+(1-MAX(0,MIN(1,X96)))^2/$B$5))-(MAX(0,MIN(1,W96))^2/(MAX(0,MIN(1,W96))^2+(1-MAX(0,MIN(1,W96)))^2/$B$5))))</f>
        <v>0.798204062428943</v>
      </c>
      <c r="Y97" s="16" t="n">
        <f aca="false">IF(ABS(Y96-$B$11/$B$9*((MAX(0,MIN(1,Y96))^2/(MAX(0,MIN(1,Y96))^2+(1-MAX(0,MIN(1,Y96)))^2/$B$5))-(MAX(0,MIN(1,X96))^2/(MAX(0,MIN(1,X96))^2+(1-MAX(0,MIN(1,X96)))^2/$B$5))))&lt;0.000000001,0,Y96-$B$11/$B$9*((MAX(0,MIN(1,Y96))^2/(MAX(0,MIN(1,Y96))^2+(1-MAX(0,MIN(1,Y96)))^2/$B$5))-(MAX(0,MIN(1,X96))^2/(MAX(0,MIN(1,X96))^2+(1-MAX(0,MIN(1,X96)))^2/$B$5))))</f>
        <v>0.788564522413694</v>
      </c>
      <c r="Z97" s="16" t="n">
        <f aca="false">IF(ABS(Z96-$B$11/$B$9*((MAX(0,MIN(1,Z96))^2/(MAX(0,MIN(1,Z96))^2+(1-MAX(0,MIN(1,Z96)))^2/$B$5))-(MAX(0,MIN(1,Y96))^2/(MAX(0,MIN(1,Y96))^2+(1-MAX(0,MIN(1,Y96)))^2/$B$5))))&lt;0.000000001,0,Z96-$B$11/$B$9*((MAX(0,MIN(1,Z96))^2/(MAX(0,MIN(1,Z96))^2+(1-MAX(0,MIN(1,Z96)))^2/$B$5))-(MAX(0,MIN(1,Y96))^2/(MAX(0,MIN(1,Y96))^2+(1-MAX(0,MIN(1,Y96)))^2/$B$5))))</f>
        <v>0.779314992744938</v>
      </c>
      <c r="AA97" s="16" t="n">
        <f aca="false">IF(ABS(AA96-$B$11/$B$9*((MAX(0,MIN(1,AA96))^2/(MAX(0,MIN(1,AA96))^2+(1-MAX(0,MIN(1,AA96)))^2/$B$5))-(MAX(0,MIN(1,Z96))^2/(MAX(0,MIN(1,Z96))^2+(1-MAX(0,MIN(1,Z96)))^2/$B$5))))&lt;0.000000001,0,AA96-$B$11/$B$9*((MAX(0,MIN(1,AA96))^2/(MAX(0,MIN(1,AA96))^2+(1-MAX(0,MIN(1,AA96)))^2/$B$5))-(MAX(0,MIN(1,Z96))^2/(MAX(0,MIN(1,Z96))^2+(1-MAX(0,MIN(1,Z96)))^2/$B$5))))</f>
        <v>0.770416167654084</v>
      </c>
      <c r="AB97" s="16" t="n">
        <f aca="false">IF(ABS(AB96-$B$11/$B$9*((MAX(0,MIN(1,AB96))^2/(MAX(0,MIN(1,AB96))^2+(1-MAX(0,MIN(1,AB96)))^2/$B$5))-(MAX(0,MIN(1,AA96))^2/(MAX(0,MIN(1,AA96))^2+(1-MAX(0,MIN(1,AA96)))^2/$B$5))))&lt;0.000000001,0,AB96-$B$11/$B$9*((MAX(0,MIN(1,AB96))^2/(MAX(0,MIN(1,AB96))^2+(1-MAX(0,MIN(1,AB96)))^2/$B$5))-(MAX(0,MIN(1,AA96))^2/(MAX(0,MIN(1,AA96))^2+(1-MAX(0,MIN(1,AA96)))^2/$B$5))))</f>
        <v>0.761833977698696</v>
      </c>
      <c r="AC97" s="16" t="n">
        <f aca="false">IF(ABS(AC96-$B$11/$B$9*((MAX(0,MIN(1,AC96))^2/(MAX(0,MIN(1,AC96))^2+(1-MAX(0,MIN(1,AC96)))^2/$B$5))-(MAX(0,MIN(1,AB96))^2/(MAX(0,MIN(1,AB96))^2+(1-MAX(0,MIN(1,AB96)))^2/$B$5))))&lt;0.000000001,0,AC96-$B$11/$B$9*((MAX(0,MIN(1,AC96))^2/(MAX(0,MIN(1,AC96))^2+(1-MAX(0,MIN(1,AC96)))^2/$B$5))-(MAX(0,MIN(1,AB96))^2/(MAX(0,MIN(1,AB96))^2+(1-MAX(0,MIN(1,AB96)))^2/$B$5))))</f>
        <v>0.753538612368511</v>
      </c>
      <c r="AD97" s="16" t="n">
        <f aca="false">IF(ABS(AD96-$B$11/$B$9*((MAX(0,MIN(1,AD96))^2/(MAX(0,MIN(1,AD96))^2+(1-MAX(0,MIN(1,AD96)))^2/$B$5))-(MAX(0,MIN(1,AC96))^2/(MAX(0,MIN(1,AC96))^2+(1-MAX(0,MIN(1,AC96)))^2/$B$5))))&lt;0.000000001,0,AD96-$B$11/$B$9*((MAX(0,MIN(1,AD96))^2/(MAX(0,MIN(1,AD96))^2+(1-MAX(0,MIN(1,AD96)))^2/$B$5))-(MAX(0,MIN(1,AC96))^2/(MAX(0,MIN(1,AC96))^2+(1-MAX(0,MIN(1,AC96)))^2/$B$5))))</f>
        <v>0.745503758091827</v>
      </c>
      <c r="AE97" s="16" t="n">
        <f aca="false">IF(ABS(AE96-$B$11/$B$9*((MAX(0,MIN(1,AE96))^2/(MAX(0,MIN(1,AE96))^2+(1-MAX(0,MIN(1,AE96)))^2/$B$5))-(MAX(0,MIN(1,AD96))^2/(MAX(0,MIN(1,AD96))^2+(1-MAX(0,MIN(1,AD96)))^2/$B$5))))&lt;0.000000001,0,AE96-$B$11/$B$9*((MAX(0,MIN(1,AE96))^2/(MAX(0,MIN(1,AE96))^2+(1-MAX(0,MIN(1,AE96)))^2/$B$5))-(MAX(0,MIN(1,AD96))^2/(MAX(0,MIN(1,AD96))^2+(1-MAX(0,MIN(1,AD96)))^2/$B$5))))</f>
        <v>0.737705993059381</v>
      </c>
      <c r="AF97" s="16" t="n">
        <f aca="false">IF(ABS(AF96-$B$11/$B$9*((MAX(0,MIN(1,AF96))^2/(MAX(0,MIN(1,AF96))^2+(1-MAX(0,MIN(1,AF96)))^2/$B$5))-(MAX(0,MIN(1,AE96))^2/(MAX(0,MIN(1,AE96))^2+(1-MAX(0,MIN(1,AE96)))^2/$B$5))))&lt;0.000000001,0,AF96-$B$11/$B$9*((MAX(0,MIN(1,AF96))^2/(MAX(0,MIN(1,AF96))^2+(1-MAX(0,MIN(1,AF96)))^2/$B$5))-(MAX(0,MIN(1,AE96))^2/(MAX(0,MIN(1,AE96))^2+(1-MAX(0,MIN(1,AE96)))^2/$B$5))))</f>
        <v>0.730124297966049</v>
      </c>
    </row>
    <row r="98" customFormat="false" ht="15" hidden="false" customHeight="false" outlineLevel="0" collapsed="false">
      <c r="A98" s="0" t="n">
        <v>0.93</v>
      </c>
      <c r="D98" s="0" t="n">
        <f aca="false">A98</f>
        <v>0.93</v>
      </c>
      <c r="E98" s="0" t="n">
        <f aca="false">(G98-G97)/(A98-A97)</f>
        <v>0.0941782429911608</v>
      </c>
      <c r="F98" s="0" t="n">
        <f aca="false">G98/A98</f>
        <v>1.07223150977114</v>
      </c>
      <c r="G98" s="0" t="n">
        <f aca="false">A98^2/(A98^2+(1-A98)^2/$B$5)</f>
        <v>0.997175304087162</v>
      </c>
      <c r="L98" s="0" t="n">
        <v>88</v>
      </c>
      <c r="M98" s="16" t="n">
        <f aca="false">IF(ABS(M97-$B$11/$B$9*((MAX(0,MIN(1,M97))^2/(MAX(0,MIN(1,M97))^2+(1-MAX(0,MIN(1,M97)))^2/$B$5))-(MAX(0,MIN(1,1))^2/(MAX(0,MIN(1,1))^2+(1-MAX(0,MIN(1,1)))^2/$B$5))))&lt;0.000000001,0,M97-$B$11/$B$9*((MAX(0,MIN(1,M97))^2/(MAX(0,MIN(1,M97))^2+(1-MAX(0,MIN(1,M97)))^2/$B$5))-(MAX(0,MIN(1,1))^2/(MAX(0,MIN(1,1))^2+(1-MAX(0,MIN(1,1)))^2/$B$5))))</f>
        <v>0.957457468871713</v>
      </c>
      <c r="N98" s="16" t="n">
        <f aca="false">IF(ABS(N97-$B$11/$B$9*((MAX(0,MIN(1,N97))^2/(MAX(0,MIN(1,N97))^2+(1-MAX(0,MIN(1,N97)))^2/$B$5))-(MAX(0,MIN(1,M97))^2/(MAX(0,MIN(1,M97))^2+(1-MAX(0,MIN(1,M97)))^2/$B$5))))&lt;0.000000001,0,N97-$B$11/$B$9*((MAX(0,MIN(1,N97))^2/(MAX(0,MIN(1,N97))^2+(1-MAX(0,MIN(1,N97)))^2/$B$5))-(MAX(0,MIN(1,M97))^2/(MAX(0,MIN(1,M97))^2+(1-MAX(0,MIN(1,M97)))^2/$B$5))))</f>
        <v>0.934652060672208</v>
      </c>
      <c r="O98" s="16" t="n">
        <f aca="false">IF(ABS(O97-$B$11/$B$9*((MAX(0,MIN(1,O97))^2/(MAX(0,MIN(1,O97))^2+(1-MAX(0,MIN(1,O97)))^2/$B$5))-(MAX(0,MIN(1,N97))^2/(MAX(0,MIN(1,N97))^2+(1-MAX(0,MIN(1,N97)))^2/$B$5))))&lt;0.000000001,0,O97-$B$11/$B$9*((MAX(0,MIN(1,O97))^2/(MAX(0,MIN(1,O97))^2+(1-MAX(0,MIN(1,O97)))^2/$B$5))-(MAX(0,MIN(1,N97))^2/(MAX(0,MIN(1,N97))^2+(1-MAX(0,MIN(1,N97)))^2/$B$5))))</f>
        <v>0.915406503523711</v>
      </c>
      <c r="P98" s="16" t="n">
        <f aca="false">IF(ABS(P97-$B$11/$B$9*((MAX(0,MIN(1,P97))^2/(MAX(0,MIN(1,P97))^2+(1-MAX(0,MIN(1,P97)))^2/$B$5))-(MAX(0,MIN(1,O97))^2/(MAX(0,MIN(1,O97))^2+(1-MAX(0,MIN(1,O97)))^2/$B$5))))&lt;0.000000001,0,P97-$B$11/$B$9*((MAX(0,MIN(1,P97))^2/(MAX(0,MIN(1,P97))^2+(1-MAX(0,MIN(1,P97)))^2/$B$5))-(MAX(0,MIN(1,O97))^2/(MAX(0,MIN(1,O97))^2+(1-MAX(0,MIN(1,O97)))^2/$B$5))))</f>
        <v>0.898327339507421</v>
      </c>
      <c r="Q98" s="16" t="n">
        <f aca="false">IF(ABS(Q97-$B$11/$B$9*((MAX(0,MIN(1,Q97))^2/(MAX(0,MIN(1,Q97))^2+(1-MAX(0,MIN(1,Q97)))^2/$B$5))-(MAX(0,MIN(1,P97))^2/(MAX(0,MIN(1,P97))^2+(1-MAX(0,MIN(1,P97)))^2/$B$5))))&lt;0.000000001,0,Q97-$B$11/$B$9*((MAX(0,MIN(1,Q97))^2/(MAX(0,MIN(1,Q97))^2+(1-MAX(0,MIN(1,Q97)))^2/$B$5))-(MAX(0,MIN(1,P97))^2/(MAX(0,MIN(1,P97))^2+(1-MAX(0,MIN(1,P97)))^2/$B$5))))</f>
        <v>0.88282258232098</v>
      </c>
      <c r="R98" s="16" t="n">
        <f aca="false">IF(ABS(R97-$B$11/$B$9*((MAX(0,MIN(1,R97))^2/(MAX(0,MIN(1,R97))^2+(1-MAX(0,MIN(1,R97)))^2/$B$5))-(MAX(0,MIN(1,Q97))^2/(MAX(0,MIN(1,Q97))^2+(1-MAX(0,MIN(1,Q97)))^2/$B$5))))&lt;0.000000001,0,R97-$B$11/$B$9*((MAX(0,MIN(1,R97))^2/(MAX(0,MIN(1,R97))^2+(1-MAX(0,MIN(1,R97)))^2/$B$5))-(MAX(0,MIN(1,Q97))^2/(MAX(0,MIN(1,Q97))^2+(1-MAX(0,MIN(1,Q97)))^2/$B$5))))</f>
        <v>0.868552278477595</v>
      </c>
      <c r="S98" s="16" t="n">
        <f aca="false">IF(ABS(S97-$B$11/$B$9*((MAX(0,MIN(1,S97))^2/(MAX(0,MIN(1,S97))^2+(1-MAX(0,MIN(1,S97)))^2/$B$5))-(MAX(0,MIN(1,R97))^2/(MAX(0,MIN(1,R97))^2+(1-MAX(0,MIN(1,R97)))^2/$B$5))))&lt;0.000000001,0,S97-$B$11/$B$9*((MAX(0,MIN(1,S97))^2/(MAX(0,MIN(1,S97))^2+(1-MAX(0,MIN(1,S97)))^2/$B$5))-(MAX(0,MIN(1,R97))^2/(MAX(0,MIN(1,R97))^2+(1-MAX(0,MIN(1,R97)))^2/$B$5))))</f>
        <v>0.85529114077279</v>
      </c>
      <c r="T98" s="16" t="n">
        <f aca="false">IF(ABS(T97-$B$11/$B$9*((MAX(0,MIN(1,T97))^2/(MAX(0,MIN(1,T97))^2+(1-MAX(0,MIN(1,T97)))^2/$B$5))-(MAX(0,MIN(1,S97))^2/(MAX(0,MIN(1,S97))^2+(1-MAX(0,MIN(1,S97)))^2/$B$5))))&lt;0.000000001,0,T97-$B$11/$B$9*((MAX(0,MIN(1,T97))^2/(MAX(0,MIN(1,T97))^2+(1-MAX(0,MIN(1,T97)))^2/$B$5))-(MAX(0,MIN(1,S97))^2/(MAX(0,MIN(1,S97))^2+(1-MAX(0,MIN(1,S97)))^2/$B$5))))</f>
        <v>0.842877167907523</v>
      </c>
      <c r="U98" s="16" t="n">
        <f aca="false">IF(ABS(U97-$B$11/$B$9*((MAX(0,MIN(1,U97))^2/(MAX(0,MIN(1,U97))^2+(1-MAX(0,MIN(1,U97)))^2/$B$5))-(MAX(0,MIN(1,T97))^2/(MAX(0,MIN(1,T97))^2+(1-MAX(0,MIN(1,T97)))^2/$B$5))))&lt;0.000000001,0,U97-$B$11/$B$9*((MAX(0,MIN(1,U97))^2/(MAX(0,MIN(1,U97))^2+(1-MAX(0,MIN(1,U97)))^2/$B$5))-(MAX(0,MIN(1,T97))^2/(MAX(0,MIN(1,T97))^2+(1-MAX(0,MIN(1,T97)))^2/$B$5))))</f>
        <v>0.831187647534959</v>
      </c>
      <c r="V98" s="16" t="n">
        <f aca="false">IF(ABS(V97-$B$11/$B$9*((MAX(0,MIN(1,V97))^2/(MAX(0,MIN(1,V97))^2+(1-MAX(0,MIN(1,V97)))^2/$B$5))-(MAX(0,MIN(1,U97))^2/(MAX(0,MIN(1,U97))^2+(1-MAX(0,MIN(1,U97)))^2/$B$5))))&lt;0.000000001,0,V97-$B$11/$B$9*((MAX(0,MIN(1,V97))^2/(MAX(0,MIN(1,V97))^2+(1-MAX(0,MIN(1,V97)))^2/$B$5))-(MAX(0,MIN(1,U97))^2/(MAX(0,MIN(1,U97))^2+(1-MAX(0,MIN(1,U97)))^2/$B$5))))</f>
        <v>0.820126228905044</v>
      </c>
      <c r="W98" s="16" t="n">
        <f aca="false">IF(ABS(W97-$B$11/$B$9*((MAX(0,MIN(1,W97))^2/(MAX(0,MIN(1,W97))^2+(1-MAX(0,MIN(1,W97)))^2/$B$5))-(MAX(0,MIN(1,V97))^2/(MAX(0,MIN(1,V97))^2+(1-MAX(0,MIN(1,V97)))^2/$B$5))))&lt;0.000000001,0,W97-$B$11/$B$9*((MAX(0,MIN(1,W97))^2/(MAX(0,MIN(1,W97))^2+(1-MAX(0,MIN(1,W97)))^2/$B$5))-(MAX(0,MIN(1,V97))^2/(MAX(0,MIN(1,V97))^2+(1-MAX(0,MIN(1,V97)))^2/$B$5))))</f>
        <v>0.809615235923238</v>
      </c>
      <c r="X98" s="16" t="n">
        <f aca="false">IF(ABS(X97-$B$11/$B$9*((MAX(0,MIN(1,X97))^2/(MAX(0,MIN(1,X97))^2+(1-MAX(0,MIN(1,X97)))^2/$B$5))-(MAX(0,MIN(1,W97))^2/(MAX(0,MIN(1,W97))^2+(1-MAX(0,MIN(1,W97)))^2/$B$5))))&lt;0.000000001,0,X97-$B$11/$B$9*((MAX(0,MIN(1,X97))^2/(MAX(0,MIN(1,X97))^2+(1-MAX(0,MIN(1,X97)))^2/$B$5))-(MAX(0,MIN(1,W97))^2/(MAX(0,MIN(1,W97))^2+(1-MAX(0,MIN(1,W97)))^2/$B$5))))</f>
        <v>0.799590757097486</v>
      </c>
      <c r="Y98" s="16" t="n">
        <f aca="false">IF(ABS(Y97-$B$11/$B$9*((MAX(0,MIN(1,Y97))^2/(MAX(0,MIN(1,Y97))^2+(1-MAX(0,MIN(1,Y97)))^2/$B$5))-(MAX(0,MIN(1,X97))^2/(MAX(0,MIN(1,X97))^2+(1-MAX(0,MIN(1,X97)))^2/$B$5))))&lt;0.000000001,0,Y97-$B$11/$B$9*((MAX(0,MIN(1,Y97))^2/(MAX(0,MIN(1,Y97))^2+(1-MAX(0,MIN(1,Y97)))^2/$B$5))-(MAX(0,MIN(1,X97))^2/(MAX(0,MIN(1,X97))^2+(1-MAX(0,MIN(1,X97)))^2/$B$5))))</f>
        <v>0.789999335955102</v>
      </c>
      <c r="Z98" s="16" t="n">
        <f aca="false">IF(ABS(Z97-$B$11/$B$9*((MAX(0,MIN(1,Z97))^2/(MAX(0,MIN(1,Z97))^2+(1-MAX(0,MIN(1,Z97)))^2/$B$5))-(MAX(0,MIN(1,Y97))^2/(MAX(0,MIN(1,Y97))^2+(1-MAX(0,MIN(1,Y97)))^2/$B$5))))&lt;0.000000001,0,Z97-$B$11/$B$9*((MAX(0,MIN(1,Z97))^2/(MAX(0,MIN(1,Z97))^2+(1-MAX(0,MIN(1,Z97)))^2/$B$5))-(MAX(0,MIN(1,Y97))^2/(MAX(0,MIN(1,Y97))^2+(1-MAX(0,MIN(1,Y97)))^2/$B$5))))</f>
        <v>0.780795645336854</v>
      </c>
      <c r="AA98" s="16" t="n">
        <f aca="false">IF(ABS(AA97-$B$11/$B$9*((MAX(0,MIN(1,AA97))^2/(MAX(0,MIN(1,AA97))^2+(1-MAX(0,MIN(1,AA97)))^2/$B$5))-(MAX(0,MIN(1,Z97))^2/(MAX(0,MIN(1,Z97))^2+(1-MAX(0,MIN(1,Z97)))^2/$B$5))))&lt;0.000000001,0,AA97-$B$11/$B$9*((MAX(0,MIN(1,AA97))^2/(MAX(0,MIN(1,AA97))^2+(1-MAX(0,MIN(1,AA97)))^2/$B$5))-(MAX(0,MIN(1,Z97))^2/(MAX(0,MIN(1,Z97))^2+(1-MAX(0,MIN(1,Z97)))^2/$B$5))))</f>
        <v>0.771940797875879</v>
      </c>
      <c r="AB98" s="16" t="n">
        <f aca="false">IF(ABS(AB97-$B$11/$B$9*((MAX(0,MIN(1,AB97))^2/(MAX(0,MIN(1,AB97))^2+(1-MAX(0,MIN(1,AB97)))^2/$B$5))-(MAX(0,MIN(1,AA97))^2/(MAX(0,MIN(1,AA97))^2+(1-MAX(0,MIN(1,AA97)))^2/$B$5))))&lt;0.000000001,0,AB97-$B$11/$B$9*((MAX(0,MIN(1,AB97))^2/(MAX(0,MIN(1,AB97))^2+(1-MAX(0,MIN(1,AB97)))^2/$B$5))-(MAX(0,MIN(1,AA97))^2/(MAX(0,MIN(1,AA97))^2+(1-MAX(0,MIN(1,AA97)))^2/$B$5))))</f>
        <v>0.763401084732403</v>
      </c>
      <c r="AC98" s="16" t="n">
        <f aca="false">IF(ABS(AC97-$B$11/$B$9*((MAX(0,MIN(1,AC97))^2/(MAX(0,MIN(1,AC97))^2+(1-MAX(0,MIN(1,AC97)))^2/$B$5))-(MAX(0,MIN(1,AB97))^2/(MAX(0,MIN(1,AB97))^2+(1-MAX(0,MIN(1,AB97)))^2/$B$5))))&lt;0.000000001,0,AC97-$B$11/$B$9*((MAX(0,MIN(1,AC97))^2/(MAX(0,MIN(1,AC97))^2+(1-MAX(0,MIN(1,AC97)))^2/$B$5))-(MAX(0,MIN(1,AB97))^2/(MAX(0,MIN(1,AB97))^2+(1-MAX(0,MIN(1,AB97)))^2/$B$5))))</f>
        <v>0.755147012099396</v>
      </c>
      <c r="AD98" s="16" t="n">
        <f aca="false">IF(ABS(AD97-$B$11/$B$9*((MAX(0,MIN(1,AD97))^2/(MAX(0,MIN(1,AD97))^2+(1-MAX(0,MIN(1,AD97)))^2/$B$5))-(MAX(0,MIN(1,AC97))^2/(MAX(0,MIN(1,AC97))^2+(1-MAX(0,MIN(1,AC97)))^2/$B$5))))&lt;0.000000001,0,AD97-$B$11/$B$9*((MAX(0,MIN(1,AD97))^2/(MAX(0,MIN(1,AD97))^2+(1-MAX(0,MIN(1,AD97)))^2/$B$5))-(MAX(0,MIN(1,AC97))^2/(MAX(0,MIN(1,AC97))^2+(1-MAX(0,MIN(1,AC97)))^2/$B$5))))</f>
        <v>0.747152550223848</v>
      </c>
      <c r="AE98" s="16" t="n">
        <f aca="false">IF(ABS(AE97-$B$11/$B$9*((MAX(0,MIN(1,AE97))^2/(MAX(0,MIN(1,AE97))^2+(1-MAX(0,MIN(1,AE97)))^2/$B$5))-(MAX(0,MIN(1,AD97))^2/(MAX(0,MIN(1,AD97))^2+(1-MAX(0,MIN(1,AD97)))^2/$B$5))))&lt;0.000000001,0,AE97-$B$11/$B$9*((MAX(0,MIN(1,AE97))^2/(MAX(0,MIN(1,AE97))^2+(1-MAX(0,MIN(1,AE97)))^2/$B$5))-(MAX(0,MIN(1,AD97))^2/(MAX(0,MIN(1,AD97))^2+(1-MAX(0,MIN(1,AD97)))^2/$B$5))))</f>
        <v>0.7393945372774</v>
      </c>
      <c r="AF98" s="16" t="n">
        <f aca="false">IF(ABS(AF97-$B$11/$B$9*((MAX(0,MIN(1,AF97))^2/(MAX(0,MIN(1,AF97))^2+(1-MAX(0,MIN(1,AF97)))^2/$B$5))-(MAX(0,MIN(1,AE97))^2/(MAX(0,MIN(1,AE97))^2+(1-MAX(0,MIN(1,AE97)))^2/$B$5))))&lt;0.000000001,0,AF97-$B$11/$B$9*((MAX(0,MIN(1,AF97))^2/(MAX(0,MIN(1,AF97))^2+(1-MAX(0,MIN(1,AF97)))^2/$B$5))-(MAX(0,MIN(1,AE97))^2/(MAX(0,MIN(1,AE97))^2+(1-MAX(0,MIN(1,AE97)))^2/$B$5))))</f>
        <v>0.731852197851269</v>
      </c>
    </row>
    <row r="99" customFormat="false" ht="15" hidden="false" customHeight="false" outlineLevel="0" collapsed="false">
      <c r="A99" s="0" t="n">
        <v>0.94</v>
      </c>
      <c r="D99" s="0" t="n">
        <f aca="false">A99</f>
        <v>0.94</v>
      </c>
      <c r="E99" s="0" t="n">
        <f aca="false">(G99-G98)/(A99-A98)</f>
        <v>0.0791716468518841</v>
      </c>
      <c r="F99" s="0" t="n">
        <f aca="false">G99/A99</f>
        <v>1.06166704314434</v>
      </c>
      <c r="G99" s="0" t="n">
        <f aca="false">A99^2/(A99^2+(1-A99)^2/$B$5)</f>
        <v>0.997967020555681</v>
      </c>
      <c r="L99" s="0" t="n">
        <v>89</v>
      </c>
      <c r="M99" s="16" t="n">
        <f aca="false">IF(ABS(M98-$B$11/$B$9*((MAX(0,MIN(1,M98))^2/(MAX(0,MIN(1,M98))^2+(1-MAX(0,MIN(1,M98)))^2/$B$5))-(MAX(0,MIN(1,1))^2/(MAX(0,MIN(1,1))^2+(1-MAX(0,MIN(1,1)))^2/$B$5))))&lt;0.000000001,0,M98-$B$11/$B$9*((MAX(0,MIN(1,M98))^2/(MAX(0,MIN(1,M98))^2+(1-MAX(0,MIN(1,M98)))^2/$B$5))-(MAX(0,MIN(1,1))^2/(MAX(0,MIN(1,1))^2+(1-MAX(0,MIN(1,1)))^2/$B$5))))</f>
        <v>0.957836679907541</v>
      </c>
      <c r="N99" s="16" t="n">
        <f aca="false">IF(ABS(N98-$B$11/$B$9*((MAX(0,MIN(1,N98))^2/(MAX(0,MIN(1,N98))^2+(1-MAX(0,MIN(1,N98)))^2/$B$5))-(MAX(0,MIN(1,M98))^2/(MAX(0,MIN(1,M98))^2+(1-MAX(0,MIN(1,M98)))^2/$B$5))))&lt;0.000000001,0,N98-$B$11/$B$9*((MAX(0,MIN(1,N98))^2/(MAX(0,MIN(1,N98))^2+(1-MAX(0,MIN(1,N98)))^2/$B$5))-(MAX(0,MIN(1,M98))^2/(MAX(0,MIN(1,M98))^2+(1-MAX(0,MIN(1,M98)))^2/$B$5))))</f>
        <v>0.935210423419591</v>
      </c>
      <c r="O99" s="16" t="n">
        <f aca="false">IF(ABS(O98-$B$11/$B$9*((MAX(0,MIN(1,O98))^2/(MAX(0,MIN(1,O98))^2+(1-MAX(0,MIN(1,O98)))^2/$B$5))-(MAX(0,MIN(1,N98))^2/(MAX(0,MIN(1,N98))^2+(1-MAX(0,MIN(1,N98)))^2/$B$5))))&lt;0.000000001,0,O98-$B$11/$B$9*((MAX(0,MIN(1,O98))^2/(MAX(0,MIN(1,O98))^2+(1-MAX(0,MIN(1,O98)))^2/$B$5))-(MAX(0,MIN(1,N98))^2/(MAX(0,MIN(1,N98))^2+(1-MAX(0,MIN(1,N98)))^2/$B$5))))</f>
        <v>0.916103852812072</v>
      </c>
      <c r="P99" s="16" t="n">
        <f aca="false">IF(ABS(P98-$B$11/$B$9*((MAX(0,MIN(1,P98))^2/(MAX(0,MIN(1,P98))^2+(1-MAX(0,MIN(1,P98)))^2/$B$5))-(MAX(0,MIN(1,O98))^2/(MAX(0,MIN(1,O98))^2+(1-MAX(0,MIN(1,O98)))^2/$B$5))))&lt;0.000000001,0,P98-$B$11/$B$9*((MAX(0,MIN(1,P98))^2/(MAX(0,MIN(1,P98))^2+(1-MAX(0,MIN(1,P98)))^2/$B$5))-(MAX(0,MIN(1,O98))^2/(MAX(0,MIN(1,O98))^2+(1-MAX(0,MIN(1,O98)))^2/$B$5))))</f>
        <v>0.899139609405053</v>
      </c>
      <c r="Q99" s="16" t="n">
        <f aca="false">IF(ABS(Q98-$B$11/$B$9*((MAX(0,MIN(1,Q98))^2/(MAX(0,MIN(1,Q98))^2+(1-MAX(0,MIN(1,Q98)))^2/$B$5))-(MAX(0,MIN(1,P98))^2/(MAX(0,MIN(1,P98))^2+(1-MAX(0,MIN(1,P98)))^2/$B$5))))&lt;0.000000001,0,Q98-$B$11/$B$9*((MAX(0,MIN(1,Q98))^2/(MAX(0,MIN(1,Q98))^2+(1-MAX(0,MIN(1,Q98)))^2/$B$5))-(MAX(0,MIN(1,P98))^2/(MAX(0,MIN(1,P98))^2+(1-MAX(0,MIN(1,P98)))^2/$B$5))))</f>
        <v>0.883733028063351</v>
      </c>
      <c r="R99" s="16" t="n">
        <f aca="false">IF(ABS(R98-$B$11/$B$9*((MAX(0,MIN(1,R98))^2/(MAX(0,MIN(1,R98))^2+(1-MAX(0,MIN(1,R98)))^2/$B$5))-(MAX(0,MIN(1,Q98))^2/(MAX(0,MIN(1,Q98))^2+(1-MAX(0,MIN(1,Q98)))^2/$B$5))))&lt;0.000000001,0,R98-$B$11/$B$9*((MAX(0,MIN(1,R98))^2/(MAX(0,MIN(1,R98))^2+(1-MAX(0,MIN(1,R98)))^2/$B$5))-(MAX(0,MIN(1,Q98))^2/(MAX(0,MIN(1,Q98))^2+(1-MAX(0,MIN(1,Q98)))^2/$B$5))))</f>
        <v>0.869548461911978</v>
      </c>
      <c r="S99" s="16" t="n">
        <f aca="false">IF(ABS(S98-$B$11/$B$9*((MAX(0,MIN(1,S98))^2/(MAX(0,MIN(1,S98))^2+(1-MAX(0,MIN(1,S98)))^2/$B$5))-(MAX(0,MIN(1,R98))^2/(MAX(0,MIN(1,R98))^2+(1-MAX(0,MIN(1,R98)))^2/$B$5))))&lt;0.000000001,0,S98-$B$11/$B$9*((MAX(0,MIN(1,S98))^2/(MAX(0,MIN(1,S98))^2+(1-MAX(0,MIN(1,S98)))^2/$B$5))-(MAX(0,MIN(1,R98))^2/(MAX(0,MIN(1,R98))^2+(1-MAX(0,MIN(1,R98)))^2/$B$5))))</f>
        <v>0.856363472119189</v>
      </c>
      <c r="T99" s="16" t="n">
        <f aca="false">IF(ABS(T98-$B$11/$B$9*((MAX(0,MIN(1,T98))^2/(MAX(0,MIN(1,T98))^2+(1-MAX(0,MIN(1,T98)))^2/$B$5))-(MAX(0,MIN(1,S98))^2/(MAX(0,MIN(1,S98))^2+(1-MAX(0,MIN(1,S98)))^2/$B$5))))&lt;0.000000001,0,T98-$B$11/$B$9*((MAX(0,MIN(1,T98))^2/(MAX(0,MIN(1,T98))^2+(1-MAX(0,MIN(1,T98)))^2/$B$5))-(MAX(0,MIN(1,S98))^2/(MAX(0,MIN(1,S98))^2+(1-MAX(0,MIN(1,S98)))^2/$B$5))))</f>
        <v>0.844018072153757</v>
      </c>
      <c r="U99" s="16" t="n">
        <f aca="false">IF(ABS(U98-$B$11/$B$9*((MAX(0,MIN(1,U98))^2/(MAX(0,MIN(1,U98))^2+(1-MAX(0,MIN(1,U98)))^2/$B$5))-(MAX(0,MIN(1,T98))^2/(MAX(0,MIN(1,T98))^2+(1-MAX(0,MIN(1,T98)))^2/$B$5))))&lt;0.000000001,0,U98-$B$11/$B$9*((MAX(0,MIN(1,U98))^2/(MAX(0,MIN(1,U98))^2+(1-MAX(0,MIN(1,U98)))^2/$B$5))-(MAX(0,MIN(1,T98))^2/(MAX(0,MIN(1,T98))^2+(1-MAX(0,MIN(1,T98)))^2/$B$5))))</f>
        <v>0.83239103950341</v>
      </c>
      <c r="V99" s="16" t="n">
        <f aca="false">IF(ABS(V98-$B$11/$B$9*((MAX(0,MIN(1,V98))^2/(MAX(0,MIN(1,V98))^2+(1-MAX(0,MIN(1,V98)))^2/$B$5))-(MAX(0,MIN(1,U98))^2/(MAX(0,MIN(1,U98))^2+(1-MAX(0,MIN(1,U98)))^2/$B$5))))&lt;0.000000001,0,V98-$B$11/$B$9*((MAX(0,MIN(1,V98))^2/(MAX(0,MIN(1,V98))^2+(1-MAX(0,MIN(1,V98)))^2/$B$5))-(MAX(0,MIN(1,U98))^2/(MAX(0,MIN(1,U98))^2+(1-MAX(0,MIN(1,U98)))^2/$B$5))))</f>
        <v>0.821387161480654</v>
      </c>
      <c r="W99" s="16" t="n">
        <f aca="false">IF(ABS(W98-$B$11/$B$9*((MAX(0,MIN(1,W98))^2/(MAX(0,MIN(1,W98))^2+(1-MAX(0,MIN(1,W98)))^2/$B$5))-(MAX(0,MIN(1,V98))^2/(MAX(0,MIN(1,V98))^2+(1-MAX(0,MIN(1,V98)))^2/$B$5))))&lt;0.000000001,0,W98-$B$11/$B$9*((MAX(0,MIN(1,W98))^2/(MAX(0,MIN(1,W98))^2+(1-MAX(0,MIN(1,W98)))^2/$B$5))-(MAX(0,MIN(1,V98))^2/(MAX(0,MIN(1,V98))^2+(1-MAX(0,MIN(1,V98)))^2/$B$5))))</f>
        <v>0.810929653969837</v>
      </c>
      <c r="X99" s="16" t="n">
        <f aca="false">IF(ABS(X98-$B$11/$B$9*((MAX(0,MIN(1,X98))^2/(MAX(0,MIN(1,X98))^2+(1-MAX(0,MIN(1,X98)))^2/$B$5))-(MAX(0,MIN(1,W98))^2/(MAX(0,MIN(1,W98))^2+(1-MAX(0,MIN(1,W98)))^2/$B$5))))&lt;0.000000001,0,X98-$B$11/$B$9*((MAX(0,MIN(1,X98))^2/(MAX(0,MIN(1,X98))^2+(1-MAX(0,MIN(1,X98)))^2/$B$5))-(MAX(0,MIN(1,W98))^2/(MAX(0,MIN(1,W98))^2+(1-MAX(0,MIN(1,W98)))^2/$B$5))))</f>
        <v>0.800955319867707</v>
      </c>
      <c r="Y99" s="16" t="n">
        <f aca="false">IF(ABS(Y98-$B$11/$B$9*((MAX(0,MIN(1,Y98))^2/(MAX(0,MIN(1,Y98))^2+(1-MAX(0,MIN(1,Y98)))^2/$B$5))-(MAX(0,MIN(1,X98))^2/(MAX(0,MIN(1,X98))^2+(1-MAX(0,MIN(1,X98)))^2/$B$5))))&lt;0.000000001,0,Y98-$B$11/$B$9*((MAX(0,MIN(1,Y98))^2/(MAX(0,MIN(1,Y98))^2+(1-MAX(0,MIN(1,Y98)))^2/$B$5))-(MAX(0,MIN(1,X98))^2/(MAX(0,MIN(1,X98))^2+(1-MAX(0,MIN(1,X98)))^2/$B$5))))</f>
        <v>0.791411285945317</v>
      </c>
      <c r="Z99" s="16" t="n">
        <f aca="false">IF(ABS(Z98-$B$11/$B$9*((MAX(0,MIN(1,Z98))^2/(MAX(0,MIN(1,Z98))^2+(1-MAX(0,MIN(1,Z98)))^2/$B$5))-(MAX(0,MIN(1,Y98))^2/(MAX(0,MIN(1,Y98))^2+(1-MAX(0,MIN(1,Y98)))^2/$B$5))))&lt;0.000000001,0,Z98-$B$11/$B$9*((MAX(0,MIN(1,Z98))^2/(MAX(0,MIN(1,Z98))^2+(1-MAX(0,MIN(1,Z98)))^2/$B$5))-(MAX(0,MIN(1,Y98))^2/(MAX(0,MIN(1,Y98))^2+(1-MAX(0,MIN(1,Y98)))^2/$B$5))))</f>
        <v>0.782252709798398</v>
      </c>
      <c r="AA99" s="16" t="n">
        <f aca="false">IF(ABS(AA98-$B$11/$B$9*((MAX(0,MIN(1,AA98))^2/(MAX(0,MIN(1,AA98))^2+(1-MAX(0,MIN(1,AA98)))^2/$B$5))-(MAX(0,MIN(1,Z98))^2/(MAX(0,MIN(1,Z98))^2+(1-MAX(0,MIN(1,Z98)))^2/$B$5))))&lt;0.000000001,0,AA98-$B$11/$B$9*((MAX(0,MIN(1,AA98))^2/(MAX(0,MIN(1,AA98))^2+(1-MAX(0,MIN(1,AA98)))^2/$B$5))-(MAX(0,MIN(1,Z98))^2/(MAX(0,MIN(1,Z98))^2+(1-MAX(0,MIN(1,Z98)))^2/$B$5))))</f>
        <v>0.773441114006848</v>
      </c>
      <c r="AB99" s="16" t="n">
        <f aca="false">IF(ABS(AB98-$B$11/$B$9*((MAX(0,MIN(1,AB98))^2/(MAX(0,MIN(1,AB98))^2+(1-MAX(0,MIN(1,AB98)))^2/$B$5))-(MAX(0,MIN(1,AA98))^2/(MAX(0,MIN(1,AA98))^2+(1-MAX(0,MIN(1,AA98)))^2/$B$5))))&lt;0.000000001,0,AB98-$B$11/$B$9*((MAX(0,MIN(1,AB98))^2/(MAX(0,MIN(1,AB98))^2+(1-MAX(0,MIN(1,AB98)))^2/$B$5))-(MAX(0,MIN(1,AA98))^2/(MAX(0,MIN(1,AA98))^2+(1-MAX(0,MIN(1,AA98)))^2/$B$5))))</f>
        <v>0.764943142531882</v>
      </c>
      <c r="AC99" s="16" t="n">
        <f aca="false">IF(ABS(AC98-$B$11/$B$9*((MAX(0,MIN(1,AC98))^2/(MAX(0,MIN(1,AC98))^2+(1-MAX(0,MIN(1,AC98)))^2/$B$5))-(MAX(0,MIN(1,AB98))^2/(MAX(0,MIN(1,AB98))^2+(1-MAX(0,MIN(1,AB98)))^2/$B$5))))&lt;0.000000001,0,AC98-$B$11/$B$9*((MAX(0,MIN(1,AC98))^2/(MAX(0,MIN(1,AC98))^2+(1-MAX(0,MIN(1,AC98)))^2/$B$5))-(MAX(0,MIN(1,AB98))^2/(MAX(0,MIN(1,AB98))^2+(1-MAX(0,MIN(1,AB98)))^2/$B$5))))</f>
        <v>0.756729610766748</v>
      </c>
      <c r="AD99" s="16" t="n">
        <f aca="false">IF(ABS(AD98-$B$11/$B$9*((MAX(0,MIN(1,AD98))^2/(MAX(0,MIN(1,AD98))^2+(1-MAX(0,MIN(1,AD98)))^2/$B$5))-(MAX(0,MIN(1,AC98))^2/(MAX(0,MIN(1,AC98))^2+(1-MAX(0,MIN(1,AC98)))^2/$B$5))))&lt;0.000000001,0,AD98-$B$11/$B$9*((MAX(0,MIN(1,AD98))^2/(MAX(0,MIN(1,AD98))^2+(1-MAX(0,MIN(1,AD98)))^2/$B$5))-(MAX(0,MIN(1,AC98))^2/(MAX(0,MIN(1,AC98))^2+(1-MAX(0,MIN(1,AC98)))^2/$B$5))))</f>
        <v>0.748774765258521</v>
      </c>
      <c r="AE99" s="16" t="n">
        <f aca="false">IF(ABS(AE98-$B$11/$B$9*((MAX(0,MIN(1,AE98))^2/(MAX(0,MIN(1,AE98))^2+(1-MAX(0,MIN(1,AE98)))^2/$B$5))-(MAX(0,MIN(1,AD98))^2/(MAX(0,MIN(1,AD98))^2+(1-MAX(0,MIN(1,AD98)))^2/$B$5))))&lt;0.000000001,0,AE98-$B$11/$B$9*((MAX(0,MIN(1,AE98))^2/(MAX(0,MIN(1,AE98))^2+(1-MAX(0,MIN(1,AE98)))^2/$B$5))-(MAX(0,MIN(1,AD98))^2/(MAX(0,MIN(1,AD98))^2+(1-MAX(0,MIN(1,AD98)))^2/$B$5))))</f>
        <v>0.741055696322981</v>
      </c>
      <c r="AF99" s="16" t="n">
        <f aca="false">IF(ABS(AF98-$B$11/$B$9*((MAX(0,MIN(1,AF98))^2/(MAX(0,MIN(1,AF98))^2+(1-MAX(0,MIN(1,AF98)))^2/$B$5))-(MAX(0,MIN(1,AE98))^2/(MAX(0,MIN(1,AE98))^2+(1-MAX(0,MIN(1,AE98)))^2/$B$5))))&lt;0.000000001,0,AF98-$B$11/$B$9*((MAX(0,MIN(1,AF98))^2/(MAX(0,MIN(1,AF98))^2+(1-MAX(0,MIN(1,AF98)))^2/$B$5))-(MAX(0,MIN(1,AE98))^2/(MAX(0,MIN(1,AE98))^2+(1-MAX(0,MIN(1,AE98)))^2/$B$5))))</f>
        <v>0.7335518639771</v>
      </c>
    </row>
    <row r="100" customFormat="false" ht="15" hidden="false" customHeight="false" outlineLevel="0" collapsed="false">
      <c r="A100" s="0" t="n">
        <v>0.95</v>
      </c>
      <c r="D100" s="0" t="n">
        <f aca="false">A100</f>
        <v>0.95</v>
      </c>
      <c r="E100" s="0" t="n">
        <f aca="false">(G100-G99)/(A100-A99)</f>
        <v>0.0649853579865355</v>
      </c>
      <c r="F100" s="0" t="n">
        <f aca="false">G100/A100</f>
        <v>1.05117565698479</v>
      </c>
      <c r="G100" s="0" t="n">
        <f aca="false">A100^2/(A100^2+(1-A100)^2/$B$5)</f>
        <v>0.998616874135546</v>
      </c>
      <c r="L100" s="0" t="n">
        <v>90</v>
      </c>
      <c r="M100" s="16" t="n">
        <f aca="false">IF(ABS(M99-$B$11/$B$9*((MAX(0,MIN(1,M99))^2/(MAX(0,MIN(1,M99))^2+(1-MAX(0,MIN(1,M99)))^2/$B$5))-(MAX(0,MIN(1,1))^2/(MAX(0,MIN(1,1))^2+(1-MAX(0,MIN(1,1)))^2/$B$5))))&lt;0.000000001,0,M99-$B$11/$B$9*((MAX(0,MIN(1,M99))^2/(MAX(0,MIN(1,M99))^2+(1-MAX(0,MIN(1,M99)))^2/$B$5))-(MAX(0,MIN(1,1))^2/(MAX(0,MIN(1,1))^2+(1-MAX(0,MIN(1,1)))^2/$B$5))))</f>
        <v>0.95820887265714</v>
      </c>
      <c r="N100" s="16" t="n">
        <f aca="false">IF(ABS(N99-$B$11/$B$9*((MAX(0,MIN(1,N99))^2/(MAX(0,MIN(1,N99))^2+(1-MAX(0,MIN(1,N99)))^2/$B$5))-(MAX(0,MIN(1,M99))^2/(MAX(0,MIN(1,M99))^2+(1-MAX(0,MIN(1,M99)))^2/$B$5))))&lt;0.000000001,0,N99-$B$11/$B$9*((MAX(0,MIN(1,N99))^2/(MAX(0,MIN(1,N99))^2+(1-MAX(0,MIN(1,N99)))^2/$B$5))-(MAX(0,MIN(1,M99))^2/(MAX(0,MIN(1,M99))^2+(1-MAX(0,MIN(1,M99)))^2/$B$5))))</f>
        <v>0.935758791440695</v>
      </c>
      <c r="O100" s="16" t="n">
        <f aca="false">IF(ABS(O99-$B$11/$B$9*((MAX(0,MIN(1,O99))^2/(MAX(0,MIN(1,O99))^2+(1-MAX(0,MIN(1,O99)))^2/$B$5))-(MAX(0,MIN(1,N99))^2/(MAX(0,MIN(1,N99))^2+(1-MAX(0,MIN(1,N99)))^2/$B$5))))&lt;0.000000001,0,O99-$B$11/$B$9*((MAX(0,MIN(1,O99))^2/(MAX(0,MIN(1,O99))^2+(1-MAX(0,MIN(1,O99)))^2/$B$5))-(MAX(0,MIN(1,N99))^2/(MAX(0,MIN(1,N99))^2+(1-MAX(0,MIN(1,N99)))^2/$B$5))))</f>
        <v>0.916789046200481</v>
      </c>
      <c r="P100" s="16" t="n">
        <f aca="false">IF(ABS(P99-$B$11/$B$9*((MAX(0,MIN(1,P99))^2/(MAX(0,MIN(1,P99))^2+(1-MAX(0,MIN(1,P99)))^2/$B$5))-(MAX(0,MIN(1,O99))^2/(MAX(0,MIN(1,O99))^2+(1-MAX(0,MIN(1,O99)))^2/$B$5))))&lt;0.000000001,0,P99-$B$11/$B$9*((MAX(0,MIN(1,P99))^2/(MAX(0,MIN(1,P99))^2+(1-MAX(0,MIN(1,P99)))^2/$B$5))-(MAX(0,MIN(1,O99))^2/(MAX(0,MIN(1,O99))^2+(1-MAX(0,MIN(1,O99)))^2/$B$5))))</f>
        <v>0.8999380243199</v>
      </c>
      <c r="Q100" s="16" t="n">
        <f aca="false">IF(ABS(Q99-$B$11/$B$9*((MAX(0,MIN(1,Q99))^2/(MAX(0,MIN(1,Q99))^2+(1-MAX(0,MIN(1,Q99)))^2/$B$5))-(MAX(0,MIN(1,P99))^2/(MAX(0,MIN(1,P99))^2+(1-MAX(0,MIN(1,P99)))^2/$B$5))))&lt;0.000000001,0,Q99-$B$11/$B$9*((MAX(0,MIN(1,Q99))^2/(MAX(0,MIN(1,Q99))^2+(1-MAX(0,MIN(1,Q99)))^2/$B$5))-(MAX(0,MIN(1,P99))^2/(MAX(0,MIN(1,P99))^2+(1-MAX(0,MIN(1,P99)))^2/$B$5))))</f>
        <v>0.884628220695508</v>
      </c>
      <c r="R100" s="16" t="n">
        <f aca="false">IF(ABS(R99-$B$11/$B$9*((MAX(0,MIN(1,R99))^2/(MAX(0,MIN(1,R99))^2+(1-MAX(0,MIN(1,R99)))^2/$B$5))-(MAX(0,MIN(1,Q99))^2/(MAX(0,MIN(1,Q99))^2+(1-MAX(0,MIN(1,Q99)))^2/$B$5))))&lt;0.000000001,0,R99-$B$11/$B$9*((MAX(0,MIN(1,R99))^2/(MAX(0,MIN(1,R99))^2+(1-MAX(0,MIN(1,R99)))^2/$B$5))-(MAX(0,MIN(1,Q99))^2/(MAX(0,MIN(1,Q99))^2+(1-MAX(0,MIN(1,Q99)))^2/$B$5))))</f>
        <v>0.87052820241497</v>
      </c>
      <c r="S100" s="16" t="n">
        <f aca="false">IF(ABS(S99-$B$11/$B$9*((MAX(0,MIN(1,S99))^2/(MAX(0,MIN(1,S99))^2+(1-MAX(0,MIN(1,S99)))^2/$B$5))-(MAX(0,MIN(1,R99))^2/(MAX(0,MIN(1,R99))^2+(1-MAX(0,MIN(1,R99)))^2/$B$5))))&lt;0.000000001,0,S99-$B$11/$B$9*((MAX(0,MIN(1,S99))^2/(MAX(0,MIN(1,S99))^2+(1-MAX(0,MIN(1,S99)))^2/$B$5))-(MAX(0,MIN(1,R99))^2/(MAX(0,MIN(1,R99))^2+(1-MAX(0,MIN(1,R99)))^2/$B$5))))</f>
        <v>0.857418319707362</v>
      </c>
      <c r="T100" s="16" t="n">
        <f aca="false">IF(ABS(T99-$B$11/$B$9*((MAX(0,MIN(1,T99))^2/(MAX(0,MIN(1,T99))^2+(1-MAX(0,MIN(1,T99)))^2/$B$5))-(MAX(0,MIN(1,S99))^2/(MAX(0,MIN(1,S99))^2+(1-MAX(0,MIN(1,S99)))^2/$B$5))))&lt;0.000000001,0,T99-$B$11/$B$9*((MAX(0,MIN(1,T99))^2/(MAX(0,MIN(1,T99))^2+(1-MAX(0,MIN(1,T99)))^2/$B$5))-(MAX(0,MIN(1,S99))^2/(MAX(0,MIN(1,S99))^2+(1-MAX(0,MIN(1,S99)))^2/$B$5))))</f>
        <v>0.845140560285214</v>
      </c>
      <c r="U100" s="16" t="n">
        <f aca="false">IF(ABS(U99-$B$11/$B$9*((MAX(0,MIN(1,U99))^2/(MAX(0,MIN(1,U99))^2+(1-MAX(0,MIN(1,U99)))^2/$B$5))-(MAX(0,MIN(1,T99))^2/(MAX(0,MIN(1,T99))^2+(1-MAX(0,MIN(1,T99)))^2/$B$5))))&lt;0.000000001,0,U99-$B$11/$B$9*((MAX(0,MIN(1,U99))^2/(MAX(0,MIN(1,U99))^2+(1-MAX(0,MIN(1,U99)))^2/$B$5))-(MAX(0,MIN(1,T99))^2/(MAX(0,MIN(1,T99))^2+(1-MAX(0,MIN(1,T99)))^2/$B$5))))</f>
        <v>0.833575162460687</v>
      </c>
      <c r="V100" s="16" t="n">
        <f aca="false">IF(ABS(V99-$B$11/$B$9*((MAX(0,MIN(1,V99))^2/(MAX(0,MIN(1,V99))^2+(1-MAX(0,MIN(1,V99)))^2/$B$5))-(MAX(0,MIN(1,U99))^2/(MAX(0,MIN(1,U99))^2+(1-MAX(0,MIN(1,U99)))^2/$B$5))))&lt;0.000000001,0,V99-$B$11/$B$9*((MAX(0,MIN(1,V99))^2/(MAX(0,MIN(1,V99))^2+(1-MAX(0,MIN(1,V99)))^2/$B$5))-(MAX(0,MIN(1,U99))^2/(MAX(0,MIN(1,U99))^2+(1-MAX(0,MIN(1,U99)))^2/$B$5))))</f>
        <v>0.822628030040823</v>
      </c>
      <c r="W100" s="16" t="n">
        <f aca="false">IF(ABS(W99-$B$11/$B$9*((MAX(0,MIN(1,W99))^2/(MAX(0,MIN(1,W99))^2+(1-MAX(0,MIN(1,W99)))^2/$B$5))-(MAX(0,MIN(1,V99))^2/(MAX(0,MIN(1,V99))^2+(1-MAX(0,MIN(1,V99)))^2/$B$5))))&lt;0.000000001,0,W99-$B$11/$B$9*((MAX(0,MIN(1,W99))^2/(MAX(0,MIN(1,W99))^2+(1-MAX(0,MIN(1,W99)))^2/$B$5))-(MAX(0,MIN(1,V99))^2/(MAX(0,MIN(1,V99))^2+(1-MAX(0,MIN(1,V99)))^2/$B$5))))</f>
        <v>0.812223254303509</v>
      </c>
      <c r="X100" s="16" t="n">
        <f aca="false">IF(ABS(X99-$B$11/$B$9*((MAX(0,MIN(1,X99))^2/(MAX(0,MIN(1,X99))^2+(1-MAX(0,MIN(1,X99)))^2/$B$5))-(MAX(0,MIN(1,W99))^2/(MAX(0,MIN(1,W99))^2+(1-MAX(0,MIN(1,W99)))^2/$B$5))))&lt;0.000000001,0,X99-$B$11/$B$9*((MAX(0,MIN(1,X99))^2/(MAX(0,MIN(1,X99))^2+(1-MAX(0,MIN(1,X99)))^2/$B$5))-(MAX(0,MIN(1,W99))^2/(MAX(0,MIN(1,W99))^2+(1-MAX(0,MIN(1,W99)))^2/$B$5))))</f>
        <v>0.802298339359668</v>
      </c>
      <c r="Y100" s="16" t="n">
        <f aca="false">IF(ABS(Y99-$B$11/$B$9*((MAX(0,MIN(1,Y99))^2/(MAX(0,MIN(1,Y99))^2+(1-MAX(0,MIN(1,Y99)))^2/$B$5))-(MAX(0,MIN(1,X99))^2/(MAX(0,MIN(1,X99))^2+(1-MAX(0,MIN(1,X99)))^2/$B$5))))&lt;0.000000001,0,Y99-$B$11/$B$9*((MAX(0,MIN(1,Y99))^2/(MAX(0,MIN(1,Y99))^2+(1-MAX(0,MIN(1,Y99)))^2/$B$5))-(MAX(0,MIN(1,X99))^2/(MAX(0,MIN(1,X99))^2+(1-MAX(0,MIN(1,X99)))^2/$B$5))))</f>
        <v>0.792800984407593</v>
      </c>
      <c r="Z100" s="16" t="n">
        <f aca="false">IF(ABS(Z99-$B$11/$B$9*((MAX(0,MIN(1,Z99))^2/(MAX(0,MIN(1,Z99))^2+(1-MAX(0,MIN(1,Z99)))^2/$B$5))-(MAX(0,MIN(1,Y99))^2/(MAX(0,MIN(1,Y99))^2+(1-MAX(0,MIN(1,Y99)))^2/$B$5))))&lt;0.000000001,0,Z99-$B$11/$B$9*((MAX(0,MIN(1,Z99))^2/(MAX(0,MIN(1,Z99))^2+(1-MAX(0,MIN(1,Z99)))^2/$B$5))-(MAX(0,MIN(1,Y99))^2/(MAX(0,MIN(1,Y99))^2+(1-MAX(0,MIN(1,Y99)))^2/$B$5))))</f>
        <v>0.783686822603953</v>
      </c>
      <c r="AA100" s="16" t="n">
        <f aca="false">IF(ABS(AA99-$B$11/$B$9*((MAX(0,MIN(1,AA99))^2/(MAX(0,MIN(1,AA99))^2+(1-MAX(0,MIN(1,AA99)))^2/$B$5))-(MAX(0,MIN(1,Z99))^2/(MAX(0,MIN(1,Z99))^2+(1-MAX(0,MIN(1,Z99)))^2/$B$5))))&lt;0.000000001,0,AA99-$B$11/$B$9*((MAX(0,MIN(1,AA99))^2/(MAX(0,MIN(1,AA99))^2+(1-MAX(0,MIN(1,AA99)))^2/$B$5))-(MAX(0,MIN(1,Z99))^2/(MAX(0,MIN(1,Z99))^2+(1-MAX(0,MIN(1,Z99)))^2/$B$5))))</f>
        <v>0.774917778366552</v>
      </c>
      <c r="AB100" s="16" t="n">
        <f aca="false">IF(ABS(AB99-$B$11/$B$9*((MAX(0,MIN(1,AB99))^2/(MAX(0,MIN(1,AB99))^2+(1-MAX(0,MIN(1,AB99)))^2/$B$5))-(MAX(0,MIN(1,AA99))^2/(MAX(0,MIN(1,AA99))^2+(1-MAX(0,MIN(1,AA99)))^2/$B$5))))&lt;0.000000001,0,AB99-$B$11/$B$9*((MAX(0,MIN(1,AB99))^2/(MAX(0,MIN(1,AB99))^2+(1-MAX(0,MIN(1,AB99)))^2/$B$5))-(MAX(0,MIN(1,AA99))^2/(MAX(0,MIN(1,AA99))^2+(1-MAX(0,MIN(1,AA99)))^2/$B$5))))</f>
        <v>0.766460841021253</v>
      </c>
      <c r="AC100" s="16" t="n">
        <f aca="false">IF(ABS(AC99-$B$11/$B$9*((MAX(0,MIN(1,AC99))^2/(MAX(0,MIN(1,AC99))^2+(1-MAX(0,MIN(1,AC99)))^2/$B$5))-(MAX(0,MIN(1,AB99))^2/(MAX(0,MIN(1,AB99))^2+(1-MAX(0,MIN(1,AB99)))^2/$B$5))))&lt;0.000000001,0,AC99-$B$11/$B$9*((MAX(0,MIN(1,AC99))^2/(MAX(0,MIN(1,AC99))^2+(1-MAX(0,MIN(1,AC99)))^2/$B$5))-(MAX(0,MIN(1,AB99))^2/(MAX(0,MIN(1,AB99))^2+(1-MAX(0,MIN(1,AB99)))^2/$B$5))))</f>
        <v>0.758287128061324</v>
      </c>
      <c r="AD100" s="16" t="n">
        <f aca="false">IF(ABS(AD99-$B$11/$B$9*((MAX(0,MIN(1,AD99))^2/(MAX(0,MIN(1,AD99))^2+(1-MAX(0,MIN(1,AD99)))^2/$B$5))-(MAX(0,MIN(1,AC99))^2/(MAX(0,MIN(1,AC99))^2+(1-MAX(0,MIN(1,AC99)))^2/$B$5))))&lt;0.000000001,0,AD99-$B$11/$B$9*((MAX(0,MIN(1,AD99))^2/(MAX(0,MIN(1,AD99))^2+(1-MAX(0,MIN(1,AD99)))^2/$B$5))-(MAX(0,MIN(1,AC99))^2/(MAX(0,MIN(1,AC99))^2+(1-MAX(0,MIN(1,AC99)))^2/$B$5))))</f>
        <v>0.750371155275238</v>
      </c>
      <c r="AE100" s="16" t="n">
        <f aca="false">IF(ABS(AE99-$B$11/$B$9*((MAX(0,MIN(1,AE99))^2/(MAX(0,MIN(1,AE99))^2+(1-MAX(0,MIN(1,AE99)))^2/$B$5))-(MAX(0,MIN(1,AD99))^2/(MAX(0,MIN(1,AD99))^2+(1-MAX(0,MIN(1,AD99)))^2/$B$5))))&lt;0.000000001,0,AE99-$B$11/$B$9*((MAX(0,MIN(1,AE99))^2/(MAX(0,MIN(1,AE99))^2+(1-MAX(0,MIN(1,AE99)))^2/$B$5))-(MAX(0,MIN(1,AD99))^2/(MAX(0,MIN(1,AD99))^2+(1-MAX(0,MIN(1,AD99)))^2/$B$5))))</f>
        <v>0.742690257826755</v>
      </c>
      <c r="AF100" s="16" t="n">
        <f aca="false">IF(ABS(AF99-$B$11/$B$9*((MAX(0,MIN(1,AF99))^2/(MAX(0,MIN(1,AF99))^2+(1-MAX(0,MIN(1,AF99)))^2/$B$5))-(MAX(0,MIN(1,AE99))^2/(MAX(0,MIN(1,AE99))^2+(1-MAX(0,MIN(1,AE99)))^2/$B$5))))&lt;0.000000001,0,AF99-$B$11/$B$9*((MAX(0,MIN(1,AF99))^2/(MAX(0,MIN(1,AF99))^2+(1-MAX(0,MIN(1,AF99)))^2/$B$5))-(MAX(0,MIN(1,AE99))^2/(MAX(0,MIN(1,AE99))^2+(1-MAX(0,MIN(1,AE99)))^2/$B$5))))</f>
        <v>0.735224123338534</v>
      </c>
    </row>
    <row r="101" customFormat="false" ht="15" hidden="false" customHeight="false" outlineLevel="0" collapsed="false">
      <c r="A101" s="0" t="n">
        <v>0.96</v>
      </c>
      <c r="D101" s="0" t="n">
        <f aca="false">A101</f>
        <v>0.96</v>
      </c>
      <c r="E101" s="0" t="n">
        <f aca="false">(G101-G100)/(A101-A100)</f>
        <v>0.0515823175815333</v>
      </c>
      <c r="F101" s="0" t="n">
        <f aca="false">G101/A101</f>
        <v>1.040763226366</v>
      </c>
      <c r="G101" s="0" t="n">
        <f aca="false">A101^2/(A101^2+(1-A101)^2/$B$5)</f>
        <v>0.999132697311362</v>
      </c>
      <c r="L101" s="0" t="n">
        <v>91</v>
      </c>
      <c r="M101" s="16" t="n">
        <f aca="false">IF(ABS(M100-$B$11/$B$9*((MAX(0,MIN(1,M100))^2/(MAX(0,MIN(1,M100))^2+(1-MAX(0,MIN(1,M100)))^2/$B$5))-(MAX(0,MIN(1,1))^2/(MAX(0,MIN(1,1))^2+(1-MAX(0,MIN(1,1)))^2/$B$5))))&lt;0.000000001,0,M100-$B$11/$B$9*((MAX(0,MIN(1,M100))^2/(MAX(0,MIN(1,M100))^2+(1-MAX(0,MIN(1,M100)))^2/$B$5))-(MAX(0,MIN(1,1))^2/(MAX(0,MIN(1,1))^2+(1-MAX(0,MIN(1,1)))^2/$B$5))))</f>
        <v>0.958574245900968</v>
      </c>
      <c r="N101" s="16" t="n">
        <f aca="false">IF(ABS(N100-$B$11/$B$9*((MAX(0,MIN(1,N100))^2/(MAX(0,MIN(1,N100))^2+(1-MAX(0,MIN(1,N100)))^2/$B$5))-(MAX(0,MIN(1,M100))^2/(MAX(0,MIN(1,M100))^2+(1-MAX(0,MIN(1,M100)))^2/$B$5))))&lt;0.000000001,0,N100-$B$11/$B$9*((MAX(0,MIN(1,N100))^2/(MAX(0,MIN(1,N100))^2+(1-MAX(0,MIN(1,N100)))^2/$B$5))-(MAX(0,MIN(1,M100))^2/(MAX(0,MIN(1,M100))^2+(1-MAX(0,MIN(1,M100)))^2/$B$5))))</f>
        <v>0.936297440518529</v>
      </c>
      <c r="O101" s="16" t="n">
        <f aca="false">IF(ABS(O100-$B$11/$B$9*((MAX(0,MIN(1,O100))^2/(MAX(0,MIN(1,O100))^2+(1-MAX(0,MIN(1,O100)))^2/$B$5))-(MAX(0,MIN(1,N100))^2/(MAX(0,MIN(1,N100))^2+(1-MAX(0,MIN(1,N100)))^2/$B$5))))&lt;0.000000001,0,O100-$B$11/$B$9*((MAX(0,MIN(1,O100))^2/(MAX(0,MIN(1,O100))^2+(1-MAX(0,MIN(1,O100)))^2/$B$5))-(MAX(0,MIN(1,N100))^2/(MAX(0,MIN(1,N100))^2+(1-MAX(0,MIN(1,N100)))^2/$B$5))))</f>
        <v>0.917462412773844</v>
      </c>
      <c r="P101" s="16" t="n">
        <f aca="false">IF(ABS(P100-$B$11/$B$9*((MAX(0,MIN(1,P100))^2/(MAX(0,MIN(1,P100))^2+(1-MAX(0,MIN(1,P100)))^2/$B$5))-(MAX(0,MIN(1,O100))^2/(MAX(0,MIN(1,O100))^2+(1-MAX(0,MIN(1,O100)))^2/$B$5))))&lt;0.000000001,0,P100-$B$11/$B$9*((MAX(0,MIN(1,P100))^2/(MAX(0,MIN(1,P100))^2+(1-MAX(0,MIN(1,P100)))^2/$B$5))-(MAX(0,MIN(1,O100))^2/(MAX(0,MIN(1,O100))^2+(1-MAX(0,MIN(1,O100)))^2/$B$5))))</f>
        <v>0.900722954076022</v>
      </c>
      <c r="Q101" s="16" t="n">
        <f aca="false">IF(ABS(Q100-$B$11/$B$9*((MAX(0,MIN(1,Q100))^2/(MAX(0,MIN(1,Q100))^2+(1-MAX(0,MIN(1,Q100)))^2/$B$5))-(MAX(0,MIN(1,P100))^2/(MAX(0,MIN(1,P100))^2+(1-MAX(0,MIN(1,P100)))^2/$B$5))))&lt;0.000000001,0,Q100-$B$11/$B$9*((MAX(0,MIN(1,Q100))^2/(MAX(0,MIN(1,Q100))^2+(1-MAX(0,MIN(1,Q100)))^2/$B$5))-(MAX(0,MIN(1,P100))^2/(MAX(0,MIN(1,P100))^2+(1-MAX(0,MIN(1,P100)))^2/$B$5))))</f>
        <v>0.885508563189816</v>
      </c>
      <c r="R101" s="16" t="n">
        <f aca="false">IF(ABS(R100-$B$11/$B$9*((MAX(0,MIN(1,R100))^2/(MAX(0,MIN(1,R100))^2+(1-MAX(0,MIN(1,R100)))^2/$B$5))-(MAX(0,MIN(1,Q100))^2/(MAX(0,MIN(1,Q100))^2+(1-MAX(0,MIN(1,Q100)))^2/$B$5))))&lt;0.000000001,0,R100-$B$11/$B$9*((MAX(0,MIN(1,R100))^2/(MAX(0,MIN(1,R100))^2+(1-MAX(0,MIN(1,R100)))^2/$B$5))-(MAX(0,MIN(1,Q100))^2/(MAX(0,MIN(1,Q100))^2+(1-MAX(0,MIN(1,Q100)))^2/$B$5))))</f>
        <v>0.871491931279432</v>
      </c>
      <c r="S101" s="16" t="n">
        <f aca="false">IF(ABS(S100-$B$11/$B$9*((MAX(0,MIN(1,S100))^2/(MAX(0,MIN(1,S100))^2+(1-MAX(0,MIN(1,S100)))^2/$B$5))-(MAX(0,MIN(1,R100))^2/(MAX(0,MIN(1,R100))^2+(1-MAX(0,MIN(1,R100)))^2/$B$5))))&lt;0.000000001,0,S100-$B$11/$B$9*((MAX(0,MIN(1,S100))^2/(MAX(0,MIN(1,S100))^2+(1-MAX(0,MIN(1,S100)))^2/$B$5))-(MAX(0,MIN(1,R100))^2/(MAX(0,MIN(1,R100))^2+(1-MAX(0,MIN(1,R100)))^2/$B$5))))</f>
        <v>0.858456140032609</v>
      </c>
      <c r="T101" s="16" t="n">
        <f aca="false">IF(ABS(T100-$B$11/$B$9*((MAX(0,MIN(1,T100))^2/(MAX(0,MIN(1,T100))^2+(1-MAX(0,MIN(1,T100)))^2/$B$5))-(MAX(0,MIN(1,S100))^2/(MAX(0,MIN(1,S100))^2+(1-MAX(0,MIN(1,S100)))^2/$B$5))))&lt;0.000000001,0,T100-$B$11/$B$9*((MAX(0,MIN(1,T100))^2/(MAX(0,MIN(1,T100))^2+(1-MAX(0,MIN(1,T100)))^2/$B$5))-(MAX(0,MIN(1,S100))^2/(MAX(0,MIN(1,S100))^2+(1-MAX(0,MIN(1,S100)))^2/$B$5))))</f>
        <v>0.846245112017975</v>
      </c>
      <c r="U101" s="16" t="n">
        <f aca="false">IF(ABS(U100-$B$11/$B$9*((MAX(0,MIN(1,U100))^2/(MAX(0,MIN(1,U100))^2+(1-MAX(0,MIN(1,U100)))^2/$B$5))-(MAX(0,MIN(1,T100))^2/(MAX(0,MIN(1,T100))^2+(1-MAX(0,MIN(1,T100)))^2/$B$5))))&lt;0.000000001,0,U100-$B$11/$B$9*((MAX(0,MIN(1,U100))^2/(MAX(0,MIN(1,U100))^2+(1-MAX(0,MIN(1,U100)))^2/$B$5))-(MAX(0,MIN(1,T100))^2/(MAX(0,MIN(1,T100))^2+(1-MAX(0,MIN(1,T100)))^2/$B$5))))</f>
        <v>0.834740518162456</v>
      </c>
      <c r="V101" s="16" t="n">
        <f aca="false">IF(ABS(V100-$B$11/$B$9*((MAX(0,MIN(1,V100))^2/(MAX(0,MIN(1,V100))^2+(1-MAX(0,MIN(1,V100)))^2/$B$5))-(MAX(0,MIN(1,U100))^2/(MAX(0,MIN(1,U100))^2+(1-MAX(0,MIN(1,U100)))^2/$B$5))))&lt;0.000000001,0,V100-$B$11/$B$9*((MAX(0,MIN(1,V100))^2/(MAX(0,MIN(1,V100))^2+(1-MAX(0,MIN(1,V100)))^2/$B$5))-(MAX(0,MIN(1,U100))^2/(MAX(0,MIN(1,U100))^2+(1-MAX(0,MIN(1,U100)))^2/$B$5))))</f>
        <v>0.823849357794795</v>
      </c>
      <c r="W101" s="16" t="n">
        <f aca="false">IF(ABS(W100-$B$11/$B$9*((MAX(0,MIN(1,W100))^2/(MAX(0,MIN(1,W100))^2+(1-MAX(0,MIN(1,W100)))^2/$B$5))-(MAX(0,MIN(1,V100))^2/(MAX(0,MIN(1,V100))^2+(1-MAX(0,MIN(1,V100)))^2/$B$5))))&lt;0.000000001,0,W100-$B$11/$B$9*((MAX(0,MIN(1,W100))^2/(MAX(0,MIN(1,W100))^2+(1-MAX(0,MIN(1,W100)))^2/$B$5))-(MAX(0,MIN(1,V100))^2/(MAX(0,MIN(1,V100))^2+(1-MAX(0,MIN(1,V100)))^2/$B$5))))</f>
        <v>0.81349658146864</v>
      </c>
      <c r="X101" s="16" t="n">
        <f aca="false">IF(ABS(X100-$B$11/$B$9*((MAX(0,MIN(1,X100))^2/(MAX(0,MIN(1,X100))^2+(1-MAX(0,MIN(1,X100)))^2/$B$5))-(MAX(0,MIN(1,W100))^2/(MAX(0,MIN(1,W100))^2+(1-MAX(0,MIN(1,W100)))^2/$B$5))))&lt;0.000000001,0,X100-$B$11/$B$9*((MAX(0,MIN(1,X100))^2/(MAX(0,MIN(1,X100))^2+(1-MAX(0,MIN(1,X100)))^2/$B$5))-(MAX(0,MIN(1,W100))^2/(MAX(0,MIN(1,W100))^2+(1-MAX(0,MIN(1,W100)))^2/$B$5))))</f>
        <v>0.80362038172362</v>
      </c>
      <c r="Y101" s="16" t="n">
        <f aca="false">IF(ABS(Y100-$B$11/$B$9*((MAX(0,MIN(1,Y100))^2/(MAX(0,MIN(1,Y100))^2+(1-MAX(0,MIN(1,Y100)))^2/$B$5))-(MAX(0,MIN(1,X100))^2/(MAX(0,MIN(1,X100))^2+(1-MAX(0,MIN(1,X100)))^2/$B$5))))&lt;0.000000001,0,Y100-$B$11/$B$9*((MAX(0,MIN(1,Y100))^2/(MAX(0,MIN(1,Y100))^2+(1-MAX(0,MIN(1,Y100)))^2/$B$5))-(MAX(0,MIN(1,X100))^2/(MAX(0,MIN(1,X100))^2+(1-MAX(0,MIN(1,X100)))^2/$B$5))))</f>
        <v>0.794169019712767</v>
      </c>
      <c r="Z101" s="16" t="n">
        <f aca="false">IF(ABS(Z100-$B$11/$B$9*((MAX(0,MIN(1,Z100))^2/(MAX(0,MIN(1,Z100))^2+(1-MAX(0,MIN(1,Z100)))^2/$B$5))-(MAX(0,MIN(1,Y100))^2/(MAX(0,MIN(1,Y100))^2+(1-MAX(0,MIN(1,Y100)))^2/$B$5))))&lt;0.000000001,0,Z100-$B$11/$B$9*((MAX(0,MIN(1,Z100))^2/(MAX(0,MIN(1,Z100))^2+(1-MAX(0,MIN(1,Z100)))^2/$B$5))-(MAX(0,MIN(1,Y100))^2/(MAX(0,MIN(1,Y100))^2+(1-MAX(0,MIN(1,Y100)))^2/$B$5))))</f>
        <v>0.785098595282651</v>
      </c>
      <c r="AA101" s="16" t="n">
        <f aca="false">IF(ABS(AA100-$B$11/$B$9*((MAX(0,MIN(1,AA100))^2/(MAX(0,MIN(1,AA100))^2+(1-MAX(0,MIN(1,AA100)))^2/$B$5))-(MAX(0,MIN(1,Z100))^2/(MAX(0,MIN(1,Z100))^2+(1-MAX(0,MIN(1,Z100)))^2/$B$5))))&lt;0.000000001,0,AA100-$B$11/$B$9*((MAX(0,MIN(1,AA100))^2/(MAX(0,MIN(1,AA100))^2+(1-MAX(0,MIN(1,AA100)))^2/$B$5))-(MAX(0,MIN(1,Z100))^2/(MAX(0,MIN(1,Z100))^2+(1-MAX(0,MIN(1,Z100)))^2/$B$5))))</f>
        <v>0.776371426901226</v>
      </c>
      <c r="AB101" s="16" t="n">
        <f aca="false">IF(ABS(AB100-$B$11/$B$9*((MAX(0,MIN(1,AB100))^2/(MAX(0,MIN(1,AB100))^2+(1-MAX(0,MIN(1,AB100)))^2/$B$5))-(MAX(0,MIN(1,AA100))^2/(MAX(0,MIN(1,AA100))^2+(1-MAX(0,MIN(1,AA100)))^2/$B$5))))&lt;0.000000001,0,AB100-$B$11/$B$9*((MAX(0,MIN(1,AB100))^2/(MAX(0,MIN(1,AB100))^2+(1-MAX(0,MIN(1,AB100)))^2/$B$5))-(MAX(0,MIN(1,AA100))^2/(MAX(0,MIN(1,AA100))^2+(1-MAX(0,MIN(1,AA100)))^2/$B$5))))</f>
        <v>0.767954842158689</v>
      </c>
      <c r="AC101" s="16" t="n">
        <f aca="false">IF(ABS(AC100-$B$11/$B$9*((MAX(0,MIN(1,AC100))^2/(MAX(0,MIN(1,AC100))^2+(1-MAX(0,MIN(1,AC100)))^2/$B$5))-(MAX(0,MIN(1,AB100))^2/(MAX(0,MIN(1,AB100))^2+(1-MAX(0,MIN(1,AB100)))^2/$B$5))))&lt;0.000000001,0,AC100-$B$11/$B$9*((MAX(0,MIN(1,AC100))^2/(MAX(0,MIN(1,AC100))^2+(1-MAX(0,MIN(1,AC100)))^2/$B$5))-(MAX(0,MIN(1,AB100))^2/(MAX(0,MIN(1,AB100))^2+(1-MAX(0,MIN(1,AB100)))^2/$B$5))))</f>
        <v>0.75982025391541</v>
      </c>
      <c r="AD101" s="16" t="n">
        <f aca="false">IF(ABS(AD100-$B$11/$B$9*((MAX(0,MIN(1,AD100))^2/(MAX(0,MIN(1,AD100))^2+(1-MAX(0,MIN(1,AD100)))^2/$B$5))-(MAX(0,MIN(1,AC100))^2/(MAX(0,MIN(1,AC100))^2+(1-MAX(0,MIN(1,AC100)))^2/$B$5))))&lt;0.000000001,0,AD100-$B$11/$B$9*((MAX(0,MIN(1,AD100))^2/(MAX(0,MIN(1,AD100))^2+(1-MAX(0,MIN(1,AD100)))^2/$B$5))-(MAX(0,MIN(1,AC100))^2/(MAX(0,MIN(1,AC100))^2+(1-MAX(0,MIN(1,AC100)))^2/$B$5))))</f>
        <v>0.751942440558915</v>
      </c>
      <c r="AE101" s="16" t="n">
        <f aca="false">IF(ABS(AE100-$B$11/$B$9*((MAX(0,MIN(1,AE100))^2/(MAX(0,MIN(1,AE100))^2+(1-MAX(0,MIN(1,AE100)))^2/$B$5))-(MAX(0,MIN(1,AD100))^2/(MAX(0,MIN(1,AD100))^2+(1-MAX(0,MIN(1,AD100)))^2/$B$5))))&lt;0.000000001,0,AE100-$B$11/$B$9*((MAX(0,MIN(1,AE100))^2/(MAX(0,MIN(1,AE100))^2+(1-MAX(0,MIN(1,AE100)))^2/$B$5))-(MAX(0,MIN(1,AD100))^2/(MAX(0,MIN(1,AD100))^2+(1-MAX(0,MIN(1,AD100)))^2/$B$5))))</f>
        <v>0.744298975290721</v>
      </c>
      <c r="AF101" s="16" t="n">
        <f aca="false">IF(ABS(AF100-$B$11/$B$9*((MAX(0,MIN(1,AF100))^2/(MAX(0,MIN(1,AF100))^2+(1-MAX(0,MIN(1,AF100)))^2/$B$5))-(MAX(0,MIN(1,AE100))^2/(MAX(0,MIN(1,AE100))^2+(1-MAX(0,MIN(1,AE100)))^2/$B$5))))&lt;0.000000001,0,AF100-$B$11/$B$9*((MAX(0,MIN(1,AF100))^2/(MAX(0,MIN(1,AF100))^2+(1-MAX(0,MIN(1,AF100)))^2/$B$5))-(MAX(0,MIN(1,AE100))^2/(MAX(0,MIN(1,AE100))^2+(1-MAX(0,MIN(1,AE100)))^2/$B$5))))</f>
        <v>0.736869766100016</v>
      </c>
    </row>
    <row r="102" customFormat="false" ht="15" hidden="false" customHeight="false" outlineLevel="0" collapsed="false">
      <c r="A102" s="0" t="n">
        <v>0.97</v>
      </c>
      <c r="D102" s="0" t="n">
        <f aca="false">A102</f>
        <v>0.97</v>
      </c>
      <c r="E102" s="0" t="n">
        <f aca="false">(G102-G101)/(A102-A101)</f>
        <v>0.0389265826684748</v>
      </c>
      <c r="F102" s="0" t="n">
        <f aca="false">G102/A102</f>
        <v>1.03043501354438</v>
      </c>
      <c r="G102" s="0" t="n">
        <f aca="false">A102^2/(A102^2+(1-A102)^2/$B$5)</f>
        <v>0.999521963138046</v>
      </c>
      <c r="L102" s="0" t="n">
        <v>92</v>
      </c>
      <c r="M102" s="16" t="n">
        <f aca="false">IF(ABS(M101-$B$11/$B$9*((MAX(0,MIN(1,M101))^2/(MAX(0,MIN(1,M101))^2+(1-MAX(0,MIN(1,M101)))^2/$B$5))-(MAX(0,MIN(1,1))^2/(MAX(0,MIN(1,1))^2+(1-MAX(0,MIN(1,1)))^2/$B$5))))&lt;0.000000001,0,M101-$B$11/$B$9*((MAX(0,MIN(1,M101))^2/(MAX(0,MIN(1,M101))^2+(1-MAX(0,MIN(1,M101)))^2/$B$5))-(MAX(0,MIN(1,1))^2/(MAX(0,MIN(1,1))^2+(1-MAX(0,MIN(1,1)))^2/$B$5))))</f>
        <v>0.958932990828636</v>
      </c>
      <c r="N102" s="16" t="n">
        <f aca="false">IF(ABS(N101-$B$11/$B$9*((MAX(0,MIN(1,N101))^2/(MAX(0,MIN(1,N101))^2+(1-MAX(0,MIN(1,N101)))^2/$B$5))-(MAX(0,MIN(1,M101))^2/(MAX(0,MIN(1,M101))^2+(1-MAX(0,MIN(1,M101)))^2/$B$5))))&lt;0.000000001,0,N101-$B$11/$B$9*((MAX(0,MIN(1,N101))^2/(MAX(0,MIN(1,N101))^2+(1-MAX(0,MIN(1,N101)))^2/$B$5))-(MAX(0,MIN(1,M101))^2/(MAX(0,MIN(1,M101))^2+(1-MAX(0,MIN(1,M101)))^2/$B$5))))</f>
        <v>0.936826636116721</v>
      </c>
      <c r="O102" s="16" t="n">
        <f aca="false">IF(ABS(O101-$B$11/$B$9*((MAX(0,MIN(1,O101))^2/(MAX(0,MIN(1,O101))^2+(1-MAX(0,MIN(1,O101)))^2/$B$5))-(MAX(0,MIN(1,N101))^2/(MAX(0,MIN(1,N101))^2+(1-MAX(0,MIN(1,N101)))^2/$B$5))))&lt;0.000000001,0,O101-$B$11/$B$9*((MAX(0,MIN(1,O101))^2/(MAX(0,MIN(1,O101))^2+(1-MAX(0,MIN(1,O101)))^2/$B$5))-(MAX(0,MIN(1,N101))^2/(MAX(0,MIN(1,N101))^2+(1-MAX(0,MIN(1,N101)))^2/$B$5))))</f>
        <v>0.918124269464977</v>
      </c>
      <c r="P102" s="16" t="n">
        <f aca="false">IF(ABS(P101-$B$11/$B$9*((MAX(0,MIN(1,P101))^2/(MAX(0,MIN(1,P101))^2+(1-MAX(0,MIN(1,P101)))^2/$B$5))-(MAX(0,MIN(1,O101))^2/(MAX(0,MIN(1,O101))^2+(1-MAX(0,MIN(1,O101)))^2/$B$5))))&lt;0.000000001,0,P101-$B$11/$B$9*((MAX(0,MIN(1,P101))^2/(MAX(0,MIN(1,P101))^2+(1-MAX(0,MIN(1,P101)))^2/$B$5))-(MAX(0,MIN(1,O101))^2/(MAX(0,MIN(1,O101))^2+(1-MAX(0,MIN(1,O101)))^2/$B$5))))</f>
        <v>0.901494754954059</v>
      </c>
      <c r="Q102" s="16" t="n">
        <f aca="false">IF(ABS(Q101-$B$11/$B$9*((MAX(0,MIN(1,Q101))^2/(MAX(0,MIN(1,Q101))^2+(1-MAX(0,MIN(1,Q101)))^2/$B$5))-(MAX(0,MIN(1,P101))^2/(MAX(0,MIN(1,P101))^2+(1-MAX(0,MIN(1,P101)))^2/$B$5))))&lt;0.000000001,0,Q101-$B$11/$B$9*((MAX(0,MIN(1,Q101))^2/(MAX(0,MIN(1,Q101))^2+(1-MAX(0,MIN(1,Q101)))^2/$B$5))-(MAX(0,MIN(1,P101))^2/(MAX(0,MIN(1,P101))^2+(1-MAX(0,MIN(1,P101)))^2/$B$5))))</f>
        <v>0.886374443828433</v>
      </c>
      <c r="R102" s="16" t="n">
        <f aca="false">IF(ABS(R101-$B$11/$B$9*((MAX(0,MIN(1,R101))^2/(MAX(0,MIN(1,R101))^2+(1-MAX(0,MIN(1,R101)))^2/$B$5))-(MAX(0,MIN(1,Q101))^2/(MAX(0,MIN(1,Q101))^2+(1-MAX(0,MIN(1,Q101)))^2/$B$5))))&lt;0.000000001,0,R101-$B$11/$B$9*((MAX(0,MIN(1,R101))^2/(MAX(0,MIN(1,R101))^2+(1-MAX(0,MIN(1,R101)))^2/$B$5))-(MAX(0,MIN(1,Q101))^2/(MAX(0,MIN(1,Q101))^2+(1-MAX(0,MIN(1,Q101)))^2/$B$5))))</f>
        <v>0.87244006409988</v>
      </c>
      <c r="S102" s="16" t="n">
        <f aca="false">IF(ABS(S101-$B$11/$B$9*((MAX(0,MIN(1,S101))^2/(MAX(0,MIN(1,S101))^2+(1-MAX(0,MIN(1,S101)))^2/$B$5))-(MAX(0,MIN(1,R101))^2/(MAX(0,MIN(1,R101))^2+(1-MAX(0,MIN(1,R101)))^2/$B$5))))&lt;0.000000001,0,S101-$B$11/$B$9*((MAX(0,MIN(1,S101))^2/(MAX(0,MIN(1,S101))^2+(1-MAX(0,MIN(1,S101)))^2/$B$5))-(MAX(0,MIN(1,R101))^2/(MAX(0,MIN(1,R101))^2+(1-MAX(0,MIN(1,R101)))^2/$B$5))))</f>
        <v>0.859477372958344</v>
      </c>
      <c r="T102" s="16" t="n">
        <f aca="false">IF(ABS(T101-$B$11/$B$9*((MAX(0,MIN(1,T101))^2/(MAX(0,MIN(1,T101))^2+(1-MAX(0,MIN(1,T101)))^2/$B$5))-(MAX(0,MIN(1,S101))^2/(MAX(0,MIN(1,S101))^2+(1-MAX(0,MIN(1,S101)))^2/$B$5))))&lt;0.000000001,0,T101-$B$11/$B$9*((MAX(0,MIN(1,T101))^2/(MAX(0,MIN(1,T101))^2+(1-MAX(0,MIN(1,T101)))^2/$B$5))-(MAX(0,MIN(1,S101))^2/(MAX(0,MIN(1,S101))^2+(1-MAX(0,MIN(1,S101)))^2/$B$5))))</f>
        <v>0.847332189534999</v>
      </c>
      <c r="U102" s="16" t="n">
        <f aca="false">IF(ABS(U101-$B$11/$B$9*((MAX(0,MIN(1,U101))^2/(MAX(0,MIN(1,U101))^2+(1-MAX(0,MIN(1,U101)))^2/$B$5))-(MAX(0,MIN(1,T101))^2/(MAX(0,MIN(1,T101))^2+(1-MAX(0,MIN(1,T101)))^2/$B$5))))&lt;0.000000001,0,U101-$B$11/$B$9*((MAX(0,MIN(1,U101))^2/(MAX(0,MIN(1,U101))^2+(1-MAX(0,MIN(1,U101)))^2/$B$5))-(MAX(0,MIN(1,T101))^2/(MAX(0,MIN(1,T101))^2+(1-MAX(0,MIN(1,T101)))^2/$B$5))))</f>
        <v>0.835887589932002</v>
      </c>
      <c r="V102" s="16" t="n">
        <f aca="false">IF(ABS(V101-$B$11/$B$9*((MAX(0,MIN(1,V101))^2/(MAX(0,MIN(1,V101))^2+(1-MAX(0,MIN(1,V101)))^2/$B$5))-(MAX(0,MIN(1,U101))^2/(MAX(0,MIN(1,U101))^2+(1-MAX(0,MIN(1,U101)))^2/$B$5))))&lt;0.000000001,0,V101-$B$11/$B$9*((MAX(0,MIN(1,V101))^2/(MAX(0,MIN(1,V101))^2+(1-MAX(0,MIN(1,V101)))^2/$B$5))-(MAX(0,MIN(1,U101))^2/(MAX(0,MIN(1,U101))^2+(1-MAX(0,MIN(1,U101)))^2/$B$5))))</f>
        <v>0.825051648598474</v>
      </c>
      <c r="W102" s="16" t="n">
        <f aca="false">IF(ABS(W101-$B$11/$B$9*((MAX(0,MIN(1,W101))^2/(MAX(0,MIN(1,W101))^2+(1-MAX(0,MIN(1,W101)))^2/$B$5))-(MAX(0,MIN(1,V101))^2/(MAX(0,MIN(1,V101))^2+(1-MAX(0,MIN(1,V101)))^2/$B$5))))&lt;0.000000001,0,W101-$B$11/$B$9*((MAX(0,MIN(1,W101))^2/(MAX(0,MIN(1,W101))^2+(1-MAX(0,MIN(1,W101)))^2/$B$5))-(MAX(0,MIN(1,V101))^2/(MAX(0,MIN(1,V101))^2+(1-MAX(0,MIN(1,V101)))^2/$B$5))))</f>
        <v>0.814750159693424</v>
      </c>
      <c r="X102" s="16" t="n">
        <f aca="false">IF(ABS(X101-$B$11/$B$9*((MAX(0,MIN(1,X101))^2/(MAX(0,MIN(1,X101))^2+(1-MAX(0,MIN(1,X101)))^2/$B$5))-(MAX(0,MIN(1,W101))^2/(MAX(0,MIN(1,W101))^2+(1-MAX(0,MIN(1,W101)))^2/$B$5))))&lt;0.000000001,0,X101-$B$11/$B$9*((MAX(0,MIN(1,X101))^2/(MAX(0,MIN(1,X101))^2+(1-MAX(0,MIN(1,X101)))^2/$B$5))-(MAX(0,MIN(1,W101))^2/(MAX(0,MIN(1,W101))^2+(1-MAX(0,MIN(1,W101)))^2/$B$5))))</f>
        <v>0.804921991770142</v>
      </c>
      <c r="Y102" s="16" t="n">
        <f aca="false">IF(ABS(Y101-$B$11/$B$9*((MAX(0,MIN(1,Y101))^2/(MAX(0,MIN(1,Y101))^2+(1-MAX(0,MIN(1,Y101)))^2/$B$5))-(MAX(0,MIN(1,X101))^2/(MAX(0,MIN(1,X101))^2+(1-MAX(0,MIN(1,X101)))^2/$B$5))))&lt;0.000000001,0,Y101-$B$11/$B$9*((MAX(0,MIN(1,Y101))^2/(MAX(0,MIN(1,Y101))^2+(1-MAX(0,MIN(1,Y101)))^2/$B$5))-(MAX(0,MIN(1,X101))^2/(MAX(0,MIN(1,X101))^2+(1-MAX(0,MIN(1,X101)))^2/$B$5))))</f>
        <v>0.795515957789105</v>
      </c>
      <c r="Z102" s="16" t="n">
        <f aca="false">IF(ABS(Z101-$B$11/$B$9*((MAX(0,MIN(1,Z101))^2/(MAX(0,MIN(1,Z101))^2+(1-MAX(0,MIN(1,Z101)))^2/$B$5))-(MAX(0,MIN(1,Y101))^2/(MAX(0,MIN(1,Y101))^2+(1-MAX(0,MIN(1,Y101)))^2/$B$5))))&lt;0.000000001,0,Z101-$B$11/$B$9*((MAX(0,MIN(1,Z101))^2/(MAX(0,MIN(1,Z101))^2+(1-MAX(0,MIN(1,Z101)))^2/$B$5))-(MAX(0,MIN(1,Y101))^2/(MAX(0,MIN(1,Y101))^2+(1-MAX(0,MIN(1,Y101)))^2/$B$5))))</f>
        <v>0.786488615718675</v>
      </c>
      <c r="AA102" s="16" t="n">
        <f aca="false">IF(ABS(AA101-$B$11/$B$9*((MAX(0,MIN(1,AA101))^2/(MAX(0,MIN(1,AA101))^2+(1-MAX(0,MIN(1,AA101)))^2/$B$5))-(MAX(0,MIN(1,Z101))^2/(MAX(0,MIN(1,Z101))^2+(1-MAX(0,MIN(1,Z101)))^2/$B$5))))&lt;0.000000001,0,AA101-$B$11/$B$9*((MAX(0,MIN(1,AA101))^2/(MAX(0,MIN(1,AA101))^2+(1-MAX(0,MIN(1,AA101)))^2/$B$5))-(MAX(0,MIN(1,Z101))^2/(MAX(0,MIN(1,Z101))^2+(1-MAX(0,MIN(1,Z101)))^2/$B$5))))</f>
        <v>0.777802670587795</v>
      </c>
      <c r="AB102" s="16" t="n">
        <f aca="false">IF(ABS(AB101-$B$11/$B$9*((MAX(0,MIN(1,AB101))^2/(MAX(0,MIN(1,AB101))^2+(1-MAX(0,MIN(1,AB101)))^2/$B$5))-(MAX(0,MIN(1,AA101))^2/(MAX(0,MIN(1,AA101))^2+(1-MAX(0,MIN(1,AA101)))^2/$B$5))))&lt;0.000000001,0,AB101-$B$11/$B$9*((MAX(0,MIN(1,AB101))^2/(MAX(0,MIN(1,AB101))^2+(1-MAX(0,MIN(1,AB101)))^2/$B$5))-(MAX(0,MIN(1,AA101))^2/(MAX(0,MIN(1,AA101))^2+(1-MAX(0,MIN(1,AA101)))^2/$B$5))))</f>
        <v>0.769425781460472</v>
      </c>
      <c r="AC102" s="16" t="n">
        <f aca="false">IF(ABS(AC101-$B$11/$B$9*((MAX(0,MIN(1,AC101))^2/(MAX(0,MIN(1,AC101))^2+(1-MAX(0,MIN(1,AC101)))^2/$B$5))-(MAX(0,MIN(1,AB101))^2/(MAX(0,MIN(1,AB101))^2+(1-MAX(0,MIN(1,AB101)))^2/$B$5))))&lt;0.000000001,0,AC101-$B$11/$B$9*((MAX(0,MIN(1,AC101))^2/(MAX(0,MIN(1,AC101))^2+(1-MAX(0,MIN(1,AC101)))^2/$B$5))-(MAX(0,MIN(1,AB101))^2/(MAX(0,MIN(1,AB101))^2+(1-MAX(0,MIN(1,AB101)))^2/$B$5))))</f>
        <v>0.761329650167177</v>
      </c>
      <c r="AD102" s="16" t="n">
        <f aca="false">IF(ABS(AD101-$B$11/$B$9*((MAX(0,MIN(1,AD101))^2/(MAX(0,MIN(1,AD101))^2+(1-MAX(0,MIN(1,AD101)))^2/$B$5))-(MAX(0,MIN(1,AC101))^2/(MAX(0,MIN(1,AC101))^2+(1-MAX(0,MIN(1,AC101)))^2/$B$5))))&lt;0.000000001,0,AD101-$B$11/$B$9*((MAX(0,MIN(1,AD101))^2/(MAX(0,MIN(1,AD101))^2+(1-MAX(0,MIN(1,AD101)))^2/$B$5))-(MAX(0,MIN(1,AC101))^2/(MAX(0,MIN(1,AC101))^2+(1-MAX(0,MIN(1,AC101)))^2/$B$5))))</f>
        <v>0.753489311429984</v>
      </c>
      <c r="AE102" s="16" t="n">
        <f aca="false">IF(ABS(AE101-$B$11/$B$9*((MAX(0,MIN(1,AE101))^2/(MAX(0,MIN(1,AE101))^2+(1-MAX(0,MIN(1,AE101)))^2/$B$5))-(MAX(0,MIN(1,AD101))^2/(MAX(0,MIN(1,AD101))^2+(1-MAX(0,MIN(1,AD101)))^2/$B$5))))&lt;0.000000001,0,AE101-$B$11/$B$9*((MAX(0,MIN(1,AE101))^2/(MAX(0,MIN(1,AE101))^2+(1-MAX(0,MIN(1,AE101)))^2/$B$5))-(MAX(0,MIN(1,AD101))^2/(MAX(0,MIN(1,AD101))^2+(1-MAX(0,MIN(1,AD101)))^2/$B$5))))</f>
        <v>0.745882570115861</v>
      </c>
      <c r="AF102" s="16" t="n">
        <f aca="false">IF(ABS(AF101-$B$11/$B$9*((MAX(0,MIN(1,AF101))^2/(MAX(0,MIN(1,AF101))^2+(1-MAX(0,MIN(1,AF101)))^2/$B$5))-(MAX(0,MIN(1,AE101))^2/(MAX(0,MIN(1,AE101))^2+(1-MAX(0,MIN(1,AE101)))^2/$B$5))))&lt;0.000000001,0,AF101-$B$11/$B$9*((MAX(0,MIN(1,AF101))^2/(MAX(0,MIN(1,AF101))^2+(1-MAX(0,MIN(1,AF101)))^2/$B$5))-(MAX(0,MIN(1,AE101))^2/(MAX(0,MIN(1,AE101))^2+(1-MAX(0,MIN(1,AE101)))^2/$B$5))))</f>
        <v>0.738489547861444</v>
      </c>
    </row>
    <row r="103" customFormat="false" ht="15" hidden="false" customHeight="false" outlineLevel="0" collapsed="false">
      <c r="A103" s="0" t="n">
        <v>0.98</v>
      </c>
      <c r="D103" s="0" t="n">
        <f aca="false">A103</f>
        <v>0.98</v>
      </c>
      <c r="E103" s="0" t="n">
        <f aca="false">(G103-G102)/(A103-A102)</f>
        <v>0.0269833655624274</v>
      </c>
      <c r="F103" s="0" t="n">
        <f aca="false">G103/A103</f>
        <v>1.02019571101395</v>
      </c>
      <c r="G103" s="0" t="n">
        <f aca="false">A103^2/(A103^2+(1-A103)^2/$B$5)</f>
        <v>0.999791796793671</v>
      </c>
      <c r="L103" s="0" t="n">
        <v>93</v>
      </c>
      <c r="M103" s="16" t="n">
        <f aca="false">IF(ABS(M102-$B$11/$B$9*((MAX(0,MIN(1,M102))^2/(MAX(0,MIN(1,M102))^2+(1-MAX(0,MIN(1,M102)))^2/$B$5))-(MAX(0,MIN(1,1))^2/(MAX(0,MIN(1,1))^2+(1-MAX(0,MIN(1,1)))^2/$B$5))))&lt;0.000000001,0,M102-$B$11/$B$9*((MAX(0,MIN(1,M102))^2/(MAX(0,MIN(1,M102))^2+(1-MAX(0,MIN(1,M102)))^2/$B$5))-(MAX(0,MIN(1,1))^2/(MAX(0,MIN(1,1))^2+(1-MAX(0,MIN(1,1)))^2/$B$5))))</f>
        <v>0.959285291403355</v>
      </c>
      <c r="N103" s="16" t="n">
        <f aca="false">IF(ABS(N102-$B$11/$B$9*((MAX(0,MIN(1,N102))^2/(MAX(0,MIN(1,N102))^2+(1-MAX(0,MIN(1,N102)))^2/$B$5))-(MAX(0,MIN(1,M102))^2/(MAX(0,MIN(1,M102))^2+(1-MAX(0,MIN(1,M102)))^2/$B$5))))&lt;0.000000001,0,N102-$B$11/$B$9*((MAX(0,MIN(1,N102))^2/(MAX(0,MIN(1,N102))^2+(1-MAX(0,MIN(1,N102)))^2/$B$5))-(MAX(0,MIN(1,M102))^2/(MAX(0,MIN(1,M102))^2+(1-MAX(0,MIN(1,M102)))^2/$B$5))))</f>
        <v>0.937346633867266</v>
      </c>
      <c r="O103" s="16" t="n">
        <f aca="false">IF(ABS(O102-$B$11/$B$9*((MAX(0,MIN(1,O102))^2/(MAX(0,MIN(1,O102))^2+(1-MAX(0,MIN(1,O102)))^2/$B$5))-(MAX(0,MIN(1,N102))^2/(MAX(0,MIN(1,N102))^2+(1-MAX(0,MIN(1,N102)))^2/$B$5))))&lt;0.000000001,0,O102-$B$11/$B$9*((MAX(0,MIN(1,O102))^2/(MAX(0,MIN(1,O102))^2+(1-MAX(0,MIN(1,O102)))^2/$B$5))-(MAX(0,MIN(1,N102))^2/(MAX(0,MIN(1,N102))^2+(1-MAX(0,MIN(1,N102)))^2/$B$5))))</f>
        <v>0.918774921624012</v>
      </c>
      <c r="P103" s="16" t="n">
        <f aca="false">IF(ABS(P102-$B$11/$B$9*((MAX(0,MIN(1,P102))^2/(MAX(0,MIN(1,P102))^2+(1-MAX(0,MIN(1,P102)))^2/$B$5))-(MAX(0,MIN(1,O102))^2/(MAX(0,MIN(1,O102))^2+(1-MAX(0,MIN(1,O102)))^2/$B$5))))&lt;0.000000001,0,P102-$B$11/$B$9*((MAX(0,MIN(1,P102))^2/(MAX(0,MIN(1,P102))^2+(1-MAX(0,MIN(1,P102)))^2/$B$5))-(MAX(0,MIN(1,O102))^2/(MAX(0,MIN(1,O102))^2+(1-MAX(0,MIN(1,O102)))^2/$B$5))))</f>
        <v>0.902253770323361</v>
      </c>
      <c r="Q103" s="16" t="n">
        <f aca="false">IF(ABS(Q102-$B$11/$B$9*((MAX(0,MIN(1,Q102))^2/(MAX(0,MIN(1,Q102))^2+(1-MAX(0,MIN(1,Q102)))^2/$B$5))-(MAX(0,MIN(1,P102))^2/(MAX(0,MIN(1,P102))^2+(1-MAX(0,MIN(1,P102)))^2/$B$5))))&lt;0.000000001,0,Q102-$B$11/$B$9*((MAX(0,MIN(1,Q102))^2/(MAX(0,MIN(1,Q102))^2+(1-MAX(0,MIN(1,Q102)))^2/$B$5))-(MAX(0,MIN(1,P102))^2/(MAX(0,MIN(1,P102))^2+(1-MAX(0,MIN(1,P102)))^2/$B$5))))</f>
        <v>0.887226236888787</v>
      </c>
      <c r="R103" s="16" t="n">
        <f aca="false">IF(ABS(R102-$B$11/$B$9*((MAX(0,MIN(1,R102))^2/(MAX(0,MIN(1,R102))^2+(1-MAX(0,MIN(1,R102)))^2/$B$5))-(MAX(0,MIN(1,Q102))^2/(MAX(0,MIN(1,Q102))^2+(1-MAX(0,MIN(1,Q102)))^2/$B$5))))&lt;0.000000001,0,R102-$B$11/$B$9*((MAX(0,MIN(1,R102))^2/(MAX(0,MIN(1,R102))^2+(1-MAX(0,MIN(1,R102)))^2/$B$5))-(MAX(0,MIN(1,Q102))^2/(MAX(0,MIN(1,Q102))^2+(1-MAX(0,MIN(1,Q102)))^2/$B$5))))</f>
        <v>0.873373001506896</v>
      </c>
      <c r="S103" s="16" t="n">
        <f aca="false">IF(ABS(S102-$B$11/$B$9*((MAX(0,MIN(1,S102))^2/(MAX(0,MIN(1,S102))^2+(1-MAX(0,MIN(1,S102)))^2/$B$5))-(MAX(0,MIN(1,R102))^2/(MAX(0,MIN(1,R102))^2+(1-MAX(0,MIN(1,R102)))^2/$B$5))))&lt;0.000000001,0,S102-$B$11/$B$9*((MAX(0,MIN(1,S102))^2/(MAX(0,MIN(1,S102))^2+(1-MAX(0,MIN(1,S102)))^2/$B$5))-(MAX(0,MIN(1,R102))^2/(MAX(0,MIN(1,R102))^2+(1-MAX(0,MIN(1,R102)))^2/$B$5))))</f>
        <v>0.860482442498081</v>
      </c>
      <c r="T103" s="16" t="n">
        <f aca="false">IF(ABS(T102-$B$11/$B$9*((MAX(0,MIN(1,T102))^2/(MAX(0,MIN(1,T102))^2+(1-MAX(0,MIN(1,T102)))^2/$B$5))-(MAX(0,MIN(1,S102))^2/(MAX(0,MIN(1,S102))^2+(1-MAX(0,MIN(1,S102)))^2/$B$5))))&lt;0.000000001,0,T102-$B$11/$B$9*((MAX(0,MIN(1,T102))^2/(MAX(0,MIN(1,T102))^2+(1-MAX(0,MIN(1,T102)))^2/$B$5))-(MAX(0,MIN(1,S102))^2/(MAX(0,MIN(1,S102))^2+(1-MAX(0,MIN(1,S102)))^2/$B$5))))</f>
        <v>0.84840223831638</v>
      </c>
      <c r="U103" s="16" t="n">
        <f aca="false">IF(ABS(U102-$B$11/$B$9*((MAX(0,MIN(1,U102))^2/(MAX(0,MIN(1,U102))^2+(1-MAX(0,MIN(1,U102)))^2/$B$5))-(MAX(0,MIN(1,T102))^2/(MAX(0,MIN(1,T102))^2+(1-MAX(0,MIN(1,T102)))^2/$B$5))))&lt;0.000000001,0,U102-$B$11/$B$9*((MAX(0,MIN(1,U102))^2/(MAX(0,MIN(1,U102))^2+(1-MAX(0,MIN(1,U102)))^2/$B$5))-(MAX(0,MIN(1,T102))^2/(MAX(0,MIN(1,T102))^2+(1-MAX(0,MIN(1,T102)))^2/$B$5))))</f>
        <v>0.83701684354101</v>
      </c>
      <c r="V103" s="16" t="n">
        <f aca="false">IF(ABS(V102-$B$11/$B$9*((MAX(0,MIN(1,V102))^2/(MAX(0,MIN(1,V102))^2+(1-MAX(0,MIN(1,V102)))^2/$B$5))-(MAX(0,MIN(1,U102))^2/(MAX(0,MIN(1,U102))^2+(1-MAX(0,MIN(1,U102)))^2/$B$5))))&lt;0.000000001,0,V102-$B$11/$B$9*((MAX(0,MIN(1,V102))^2/(MAX(0,MIN(1,V102))^2+(1-MAX(0,MIN(1,V102)))^2/$B$5))-(MAX(0,MIN(1,U102))^2/(MAX(0,MIN(1,U102))^2+(1-MAX(0,MIN(1,U102)))^2/$B$5))))</f>
        <v>0.826235387889323</v>
      </c>
      <c r="W103" s="16" t="n">
        <f aca="false">IF(ABS(W102-$B$11/$B$9*((MAX(0,MIN(1,W102))^2/(MAX(0,MIN(1,W102))^2+(1-MAX(0,MIN(1,W102)))^2/$B$5))-(MAX(0,MIN(1,V102))^2/(MAX(0,MIN(1,V102))^2+(1-MAX(0,MIN(1,V102)))^2/$B$5))))&lt;0.000000001,0,W102-$B$11/$B$9*((MAX(0,MIN(1,W102))^2/(MAX(0,MIN(1,W102))^2+(1-MAX(0,MIN(1,W102)))^2/$B$5))-(MAX(0,MIN(1,V102))^2/(MAX(0,MIN(1,V102))^2+(1-MAX(0,MIN(1,V102)))^2/$B$5))))</f>
        <v>0.815984493883794</v>
      </c>
      <c r="X103" s="16" t="n">
        <f aca="false">IF(ABS(X102-$B$11/$B$9*((MAX(0,MIN(1,X102))^2/(MAX(0,MIN(1,X102))^2+(1-MAX(0,MIN(1,X102)))^2/$B$5))-(MAX(0,MIN(1,W102))^2/(MAX(0,MIN(1,W102))^2+(1-MAX(0,MIN(1,W102)))^2/$B$5))))&lt;0.000000001,0,X102-$B$11/$B$9*((MAX(0,MIN(1,X102))^2/(MAX(0,MIN(1,X102))^2+(1-MAX(0,MIN(1,X102)))^2/$B$5))-(MAX(0,MIN(1,W102))^2/(MAX(0,MIN(1,W102))^2+(1-MAX(0,MIN(1,W102)))^2/$B$5))))</f>
        <v>0.806203694029374</v>
      </c>
      <c r="Y103" s="16" t="n">
        <f aca="false">IF(ABS(Y102-$B$11/$B$9*((MAX(0,MIN(1,Y102))^2/(MAX(0,MIN(1,Y102))^2+(1-MAX(0,MIN(1,Y102)))^2/$B$5))-(MAX(0,MIN(1,X102))^2/(MAX(0,MIN(1,X102))^2+(1-MAX(0,MIN(1,X102)))^2/$B$5))))&lt;0.000000001,0,Y102-$B$11/$B$9*((MAX(0,MIN(1,Y102))^2/(MAX(0,MIN(1,Y102))^2+(1-MAX(0,MIN(1,Y102)))^2/$B$5))-(MAX(0,MIN(1,X102))^2/(MAX(0,MIN(1,X102))^2+(1-MAX(0,MIN(1,X102)))^2/$B$5))))</f>
        <v>0.796842343254662</v>
      </c>
      <c r="Z103" s="16" t="n">
        <f aca="false">IF(ABS(Z102-$B$11/$B$9*((MAX(0,MIN(1,Z102))^2/(MAX(0,MIN(1,Z102))^2+(1-MAX(0,MIN(1,Z102)))^2/$B$5))-(MAX(0,MIN(1,Y102))^2/(MAX(0,MIN(1,Y102))^2+(1-MAX(0,MIN(1,Y102)))^2/$B$5))))&lt;0.000000001,0,Z102-$B$11/$B$9*((MAX(0,MIN(1,Z102))^2/(MAX(0,MIN(1,Z102))^2+(1-MAX(0,MIN(1,Z102)))^2/$B$5))-(MAX(0,MIN(1,Y102))^2/(MAX(0,MIN(1,Y102))^2+(1-MAX(0,MIN(1,Y102)))^2/$B$5))))</f>
        <v>0.787857449366358</v>
      </c>
      <c r="AA103" s="16" t="n">
        <f aca="false">IF(ABS(AA102-$B$11/$B$9*((MAX(0,MIN(1,AA102))^2/(MAX(0,MIN(1,AA102))^2+(1-MAX(0,MIN(1,AA102)))^2/$B$5))-(MAX(0,MIN(1,Z102))^2/(MAX(0,MIN(1,Z102))^2+(1-MAX(0,MIN(1,Z102)))^2/$B$5))))&lt;0.000000001,0,AA102-$B$11/$B$9*((MAX(0,MIN(1,AA102))^2/(MAX(0,MIN(1,AA102))^2+(1-MAX(0,MIN(1,AA102)))^2/$B$5))-(MAX(0,MIN(1,Z102))^2/(MAX(0,MIN(1,Z102))^2+(1-MAX(0,MIN(1,Z102)))^2/$B$5))))</f>
        <v>0.779212096743499</v>
      </c>
      <c r="AB103" s="16" t="n">
        <f aca="false">IF(ABS(AB102-$B$11/$B$9*((MAX(0,MIN(1,AB102))^2/(MAX(0,MIN(1,AB102))^2+(1-MAX(0,MIN(1,AB102)))^2/$B$5))-(MAX(0,MIN(1,AA102))^2/(MAX(0,MIN(1,AA102))^2+(1-MAX(0,MIN(1,AA102)))^2/$B$5))))&lt;0.000000001,0,AB102-$B$11/$B$9*((MAX(0,MIN(1,AB102))^2/(MAX(0,MIN(1,AB102))^2+(1-MAX(0,MIN(1,AB102)))^2/$B$5))-(MAX(0,MIN(1,AA102))^2/(MAX(0,MIN(1,AA102))^2+(1-MAX(0,MIN(1,AA102)))^2/$B$5))))</f>
        <v>0.770874269419665</v>
      </c>
      <c r="AC103" s="16" t="n">
        <f aca="false">IF(ABS(AC102-$B$11/$B$9*((MAX(0,MIN(1,AC102))^2/(MAX(0,MIN(1,AC102))^2+(1-MAX(0,MIN(1,AC102)))^2/$B$5))-(MAX(0,MIN(1,AB102))^2/(MAX(0,MIN(1,AB102))^2+(1-MAX(0,MIN(1,AB102)))^2/$B$5))))&lt;0.000000001,0,AC102-$B$11/$B$9*((MAX(0,MIN(1,AC102))^2/(MAX(0,MIN(1,AC102))^2+(1-MAX(0,MIN(1,AC102)))^2/$B$5))-(MAX(0,MIN(1,AB102))^2/(MAX(0,MIN(1,AB102))^2+(1-MAX(0,MIN(1,AB102)))^2/$B$5))))</f>
        <v>0.762815952106346</v>
      </c>
      <c r="AD103" s="16" t="n">
        <f aca="false">IF(ABS(AD102-$B$11/$B$9*((MAX(0,MIN(1,AD102))^2/(MAX(0,MIN(1,AD102))^2+(1-MAX(0,MIN(1,AD102)))^2/$B$5))-(MAX(0,MIN(1,AC102))^2/(MAX(0,MIN(1,AC102))^2+(1-MAX(0,MIN(1,AC102)))^2/$B$5))))&lt;0.000000001,0,AD102-$B$11/$B$9*((MAX(0,MIN(1,AD102))^2/(MAX(0,MIN(1,AD102))^2+(1-MAX(0,MIN(1,AD102)))^2/$B$5))-(MAX(0,MIN(1,AC102))^2/(MAX(0,MIN(1,AC102))^2+(1-MAX(0,MIN(1,AC102)))^2/$B$5))))</f>
        <v>0.755012429939398</v>
      </c>
      <c r="AE103" s="16" t="n">
        <f aca="false">IF(ABS(AE102-$B$11/$B$9*((MAX(0,MIN(1,AE102))^2/(MAX(0,MIN(1,AE102))^2+(1-MAX(0,MIN(1,AE102)))^2/$B$5))-(MAX(0,MIN(1,AD102))^2/(MAX(0,MIN(1,AD102))^2+(1-MAX(0,MIN(1,AD102)))^2/$B$5))))&lt;0.000000001,0,AE102-$B$11/$B$9*((MAX(0,MIN(1,AE102))^2/(MAX(0,MIN(1,AE102))^2+(1-MAX(0,MIN(1,AE102)))^2/$B$5))-(MAX(0,MIN(1,AD102))^2/(MAX(0,MIN(1,AD102))^2+(1-MAX(0,MIN(1,AD102)))^2/$B$5))))</f>
        <v>0.747441733474547</v>
      </c>
      <c r="AF103" s="16" t="n">
        <f aca="false">IF(ABS(AF102-$B$11/$B$9*((MAX(0,MIN(1,AF102))^2/(MAX(0,MIN(1,AF102))^2+(1-MAX(0,MIN(1,AF102)))^2/$B$5))-(MAX(0,MIN(1,AE102))^2/(MAX(0,MIN(1,AE102))^2+(1-MAX(0,MIN(1,AE102)))^2/$B$5))))&lt;0.000000001,0,AF102-$B$11/$B$9*((MAX(0,MIN(1,AF102))^2/(MAX(0,MIN(1,AF102))^2+(1-MAX(0,MIN(1,AF102)))^2/$B$5))-(MAX(0,MIN(1,AE102))^2/(MAX(0,MIN(1,AE102))^2+(1-MAX(0,MIN(1,AE102)))^2/$B$5))))</f>
        <v>0.740084191743604</v>
      </c>
    </row>
    <row r="104" customFormat="false" ht="15" hidden="false" customHeight="false" outlineLevel="0" collapsed="false">
      <c r="A104" s="0" t="n">
        <v>0.99</v>
      </c>
      <c r="D104" s="0" t="n">
        <f aca="false">A104</f>
        <v>0.99</v>
      </c>
      <c r="E104" s="0" t="n">
        <f aca="false">(G104-G103)/(A104-A103)</f>
        <v>0.0157190606217106</v>
      </c>
      <c r="F104" s="0" t="n">
        <f aca="false">G104/A104</f>
        <v>1.01004948222211</v>
      </c>
      <c r="G104" s="0" t="n">
        <f aca="false">A104^2/(A104^2+(1-A104)^2/$B$5)</f>
        <v>0.999948987399888</v>
      </c>
      <c r="L104" s="0" t="n">
        <v>94</v>
      </c>
      <c r="M104" s="16" t="n">
        <f aca="false">IF(ABS(M103-$B$11/$B$9*((MAX(0,MIN(1,M103))^2/(MAX(0,MIN(1,M103))^2+(1-MAX(0,MIN(1,M103)))^2/$B$5))-(MAX(0,MIN(1,1))^2/(MAX(0,MIN(1,1))^2+(1-MAX(0,MIN(1,1)))^2/$B$5))))&lt;0.000000001,0,M103-$B$11/$B$9*((MAX(0,MIN(1,M103))^2/(MAX(0,MIN(1,M103))^2+(1-MAX(0,MIN(1,M103)))^2/$B$5))-(MAX(0,MIN(1,1))^2/(MAX(0,MIN(1,1))^2+(1-MAX(0,MIN(1,1)))^2/$B$5))))</f>
        <v>0.959631324705349</v>
      </c>
      <c r="N104" s="16" t="n">
        <f aca="false">IF(ABS(N103-$B$11/$B$9*((MAX(0,MIN(1,N103))^2/(MAX(0,MIN(1,N103))^2+(1-MAX(0,MIN(1,N103)))^2/$B$5))-(MAX(0,MIN(1,M103))^2/(MAX(0,MIN(1,M103))^2+(1-MAX(0,MIN(1,M103)))^2/$B$5))))&lt;0.000000001,0,N103-$B$11/$B$9*((MAX(0,MIN(1,N103))^2/(MAX(0,MIN(1,N103))^2+(1-MAX(0,MIN(1,N103)))^2/$B$5))-(MAX(0,MIN(1,M103))^2/(MAX(0,MIN(1,M103))^2+(1-MAX(0,MIN(1,M103)))^2/$B$5))))</f>
        <v>0.937857680030429</v>
      </c>
      <c r="O104" s="16" t="n">
        <f aca="false">IF(ABS(O103-$B$11/$B$9*((MAX(0,MIN(1,O103))^2/(MAX(0,MIN(1,O103))^2+(1-MAX(0,MIN(1,O103)))^2/$B$5))-(MAX(0,MIN(1,N103))^2/(MAX(0,MIN(1,N103))^2+(1-MAX(0,MIN(1,N103)))^2/$B$5))))&lt;0.000000001,0,O103-$B$11/$B$9*((MAX(0,MIN(1,O103))^2/(MAX(0,MIN(1,O103))^2+(1-MAX(0,MIN(1,O103)))^2/$B$5))-(MAX(0,MIN(1,N103))^2/(MAX(0,MIN(1,N103))^2+(1-MAX(0,MIN(1,N103)))^2/$B$5))))</f>
        <v>0.919414663555472</v>
      </c>
      <c r="P104" s="16" t="n">
        <f aca="false">IF(ABS(P103-$B$11/$B$9*((MAX(0,MIN(1,P103))^2/(MAX(0,MIN(1,P103))^2+(1-MAX(0,MIN(1,P103)))^2/$B$5))-(MAX(0,MIN(1,O103))^2/(MAX(0,MIN(1,O103))^2+(1-MAX(0,MIN(1,O103)))^2/$B$5))))&lt;0.000000001,0,P103-$B$11/$B$9*((MAX(0,MIN(1,P103))^2/(MAX(0,MIN(1,P103))^2+(1-MAX(0,MIN(1,P103)))^2/$B$5))-(MAX(0,MIN(1,O103))^2/(MAX(0,MIN(1,O103))^2+(1-MAX(0,MIN(1,O103)))^2/$B$5))))</f>
        <v>0.90300033123826</v>
      </c>
      <c r="Q104" s="16" t="n">
        <f aca="false">IF(ABS(Q103-$B$11/$B$9*((MAX(0,MIN(1,Q103))^2/(MAX(0,MIN(1,Q103))^2+(1-MAX(0,MIN(1,Q103)))^2/$B$5))-(MAX(0,MIN(1,P103))^2/(MAX(0,MIN(1,P103))^2+(1-MAX(0,MIN(1,P103)))^2/$B$5))))&lt;0.000000001,0,Q103-$B$11/$B$9*((MAX(0,MIN(1,Q103))^2/(MAX(0,MIN(1,Q103))^2+(1-MAX(0,MIN(1,Q103)))^2/$B$5))-(MAX(0,MIN(1,P103))^2/(MAX(0,MIN(1,P103))^2+(1-MAX(0,MIN(1,P103)))^2/$B$5))))</f>
        <v>0.888064303290025</v>
      </c>
      <c r="R104" s="16" t="n">
        <f aca="false">IF(ABS(R103-$B$11/$B$9*((MAX(0,MIN(1,R103))^2/(MAX(0,MIN(1,R103))^2+(1-MAX(0,MIN(1,R103)))^2/$B$5))-(MAX(0,MIN(1,Q103))^2/(MAX(0,MIN(1,Q103))^2+(1-MAX(0,MIN(1,Q103)))^2/$B$5))))&lt;0.000000001,0,R103-$B$11/$B$9*((MAX(0,MIN(1,R103))^2/(MAX(0,MIN(1,R103))^2+(1-MAX(0,MIN(1,R103)))^2/$B$5))-(MAX(0,MIN(1,Q103))^2/(MAX(0,MIN(1,Q103))^2+(1-MAX(0,MIN(1,Q103)))^2/$B$5))))</f>
        <v>0.874291129859506</v>
      </c>
      <c r="S104" s="16" t="n">
        <f aca="false">IF(ABS(S103-$B$11/$B$9*((MAX(0,MIN(1,S103))^2/(MAX(0,MIN(1,S103))^2+(1-MAX(0,MIN(1,S103)))^2/$B$5))-(MAX(0,MIN(1,R103))^2/(MAX(0,MIN(1,R103))^2+(1-MAX(0,MIN(1,R103)))^2/$B$5))))&lt;0.000000001,0,S103-$B$11/$B$9*((MAX(0,MIN(1,S103))^2/(MAX(0,MIN(1,S103))^2+(1-MAX(0,MIN(1,S103)))^2/$B$5))-(MAX(0,MIN(1,R103))^2/(MAX(0,MIN(1,R103))^2+(1-MAX(0,MIN(1,R103)))^2/$B$5))))</f>
        <v>0.861471757552311</v>
      </c>
      <c r="T104" s="16" t="n">
        <f aca="false">IF(ABS(T103-$B$11/$B$9*((MAX(0,MIN(1,T103))^2/(MAX(0,MIN(1,T103))^2+(1-MAX(0,MIN(1,T103)))^2/$B$5))-(MAX(0,MIN(1,S103))^2/(MAX(0,MIN(1,S103))^2+(1-MAX(0,MIN(1,S103)))^2/$B$5))))&lt;0.000000001,0,T103-$B$11/$B$9*((MAX(0,MIN(1,T103))^2/(MAX(0,MIN(1,T103))^2+(1-MAX(0,MIN(1,T103)))^2/$B$5))-(MAX(0,MIN(1,S103))^2/(MAX(0,MIN(1,S103))^2+(1-MAX(0,MIN(1,S103)))^2/$B$5))))</f>
        <v>0.84945568792121</v>
      </c>
      <c r="U104" s="16" t="n">
        <f aca="false">IF(ABS(U103-$B$11/$B$9*((MAX(0,MIN(1,U103))^2/(MAX(0,MIN(1,U103))^2+(1-MAX(0,MIN(1,U103)))^2/$B$5))-(MAX(0,MIN(1,T103))^2/(MAX(0,MIN(1,T103))^2+(1-MAX(0,MIN(1,T103)))^2/$B$5))))&lt;0.000000001,0,U103-$B$11/$B$9*((MAX(0,MIN(1,U103))^2/(MAX(0,MIN(1,U103))^2+(1-MAX(0,MIN(1,U103)))^2/$B$5))-(MAX(0,MIN(1,T103))^2/(MAX(0,MIN(1,T103))^2+(1-MAX(0,MIN(1,T103)))^2/$B$5))))</f>
        <v>0.838128728038373</v>
      </c>
      <c r="V104" s="16" t="n">
        <f aca="false">IF(ABS(V103-$B$11/$B$9*((MAX(0,MIN(1,V103))^2/(MAX(0,MIN(1,V103))^2+(1-MAX(0,MIN(1,V103)))^2/$B$5))-(MAX(0,MIN(1,U103))^2/(MAX(0,MIN(1,U103))^2+(1-MAX(0,MIN(1,U103)))^2/$B$5))))&lt;0.000000001,0,V103-$B$11/$B$9*((MAX(0,MIN(1,V103))^2/(MAX(0,MIN(1,V103))^2+(1-MAX(0,MIN(1,V103)))^2/$B$5))-(MAX(0,MIN(1,U103))^2/(MAX(0,MIN(1,U103))^2+(1-MAX(0,MIN(1,U103)))^2/$B$5))))</f>
        <v>0.82740104356533</v>
      </c>
      <c r="W104" s="16" t="n">
        <f aca="false">IF(ABS(W103-$B$11/$B$9*((MAX(0,MIN(1,W103))^2/(MAX(0,MIN(1,W103))^2+(1-MAX(0,MIN(1,W103)))^2/$B$5))-(MAX(0,MIN(1,V103))^2/(MAX(0,MIN(1,V103))^2+(1-MAX(0,MIN(1,V103)))^2/$B$5))))&lt;0.000000001,0,W103-$B$11/$B$9*((MAX(0,MIN(1,W103))^2/(MAX(0,MIN(1,W103))^2+(1-MAX(0,MIN(1,W103)))^2/$B$5))-(MAX(0,MIN(1,V103))^2/(MAX(0,MIN(1,V103))^2+(1-MAX(0,MIN(1,V103)))^2/$B$5))))</f>
        <v>0.81720007055693</v>
      </c>
      <c r="X104" s="16" t="n">
        <f aca="false">IF(ABS(X103-$B$11/$B$9*((MAX(0,MIN(1,X103))^2/(MAX(0,MIN(1,X103))^2+(1-MAX(0,MIN(1,X103)))^2/$B$5))-(MAX(0,MIN(1,W103))^2/(MAX(0,MIN(1,W103))^2+(1-MAX(0,MIN(1,W103)))^2/$B$5))))&lt;0.000000001,0,X103-$B$11/$B$9*((MAX(0,MIN(1,X103))^2/(MAX(0,MIN(1,X103))^2+(1-MAX(0,MIN(1,X103)))^2/$B$5))-(MAX(0,MIN(1,W103))^2/(MAX(0,MIN(1,W103))^2+(1-MAX(0,MIN(1,W103)))^2/$B$5))))</f>
        <v>0.807465993744701</v>
      </c>
      <c r="Y104" s="16" t="n">
        <f aca="false">IF(ABS(Y103-$B$11/$B$9*((MAX(0,MIN(1,Y103))^2/(MAX(0,MIN(1,Y103))^2+(1-MAX(0,MIN(1,Y103)))^2/$B$5))-(MAX(0,MIN(1,X103))^2/(MAX(0,MIN(1,X103))^2+(1-MAX(0,MIN(1,X103)))^2/$B$5))))&lt;0.000000001,0,Y103-$B$11/$B$9*((MAX(0,MIN(1,Y103))^2/(MAX(0,MIN(1,Y103))^2+(1-MAX(0,MIN(1,Y103)))^2/$B$5))-(MAX(0,MIN(1,X103))^2/(MAX(0,MIN(1,X103))^2+(1-MAX(0,MIN(1,X103)))^2/$B$5))))</f>
        <v>0.798148700478128</v>
      </c>
      <c r="Z104" s="16" t="n">
        <f aca="false">IF(ABS(Z103-$B$11/$B$9*((MAX(0,MIN(1,Z103))^2/(MAX(0,MIN(1,Z103))^2+(1-MAX(0,MIN(1,Z103)))^2/$B$5))-(MAX(0,MIN(1,Y103))^2/(MAX(0,MIN(1,Y103))^2+(1-MAX(0,MIN(1,Y103)))^2/$B$5))))&lt;0.000000001,0,Z103-$B$11/$B$9*((MAX(0,MIN(1,Z103))^2/(MAX(0,MIN(1,Z103))^2+(1-MAX(0,MIN(1,Z103)))^2/$B$5))-(MAX(0,MIN(1,Y103))^2/(MAX(0,MIN(1,Y103))^2+(1-MAX(0,MIN(1,Y103)))^2/$B$5))))</f>
        <v>0.789205640386804</v>
      </c>
      <c r="AA104" s="16" t="n">
        <f aca="false">IF(ABS(AA103-$B$11/$B$9*((MAX(0,MIN(1,AA103))^2/(MAX(0,MIN(1,AA103))^2+(1-MAX(0,MIN(1,AA103)))^2/$B$5))-(MAX(0,MIN(1,Z103))^2/(MAX(0,MIN(1,Z103))^2+(1-MAX(0,MIN(1,Z103)))^2/$B$5))))&lt;0.000000001,0,AA103-$B$11/$B$9*((MAX(0,MIN(1,AA103))^2/(MAX(0,MIN(1,AA103))^2+(1-MAX(0,MIN(1,AA103)))^2/$B$5))-(MAX(0,MIN(1,Z103))^2/(MAX(0,MIN(1,Z103))^2+(1-MAX(0,MIN(1,Z103)))^2/$B$5))))</f>
        <v>0.780600270248837</v>
      </c>
      <c r="AB104" s="16" t="n">
        <f aca="false">IF(ABS(AB103-$B$11/$B$9*((MAX(0,MIN(1,AB103))^2/(MAX(0,MIN(1,AB103))^2+(1-MAX(0,MIN(1,AB103)))^2/$B$5))-(MAX(0,MIN(1,AA103))^2/(MAX(0,MIN(1,AA103))^2+(1-MAX(0,MIN(1,AA103)))^2/$B$5))))&lt;0.000000001,0,AB103-$B$11/$B$9*((MAX(0,MIN(1,AB103))^2/(MAX(0,MIN(1,AB103))^2+(1-MAX(0,MIN(1,AB103)))^2/$B$5))-(MAX(0,MIN(1,AA103))^2/(MAX(0,MIN(1,AA103))^2+(1-MAX(0,MIN(1,AA103)))^2/$B$5))))</f>
        <v>0.7723008928283</v>
      </c>
      <c r="AC104" s="16" t="n">
        <f aca="false">IF(ABS(AC103-$B$11/$B$9*((MAX(0,MIN(1,AC103))^2/(MAX(0,MIN(1,AC103))^2+(1-MAX(0,MIN(1,AC103)))^2/$B$5))-(MAX(0,MIN(1,AB103))^2/(MAX(0,MIN(1,AB103))^2+(1-MAX(0,MIN(1,AB103)))^2/$B$5))))&lt;0.000000001,0,AC103-$B$11/$B$9*((MAX(0,MIN(1,AC103))^2/(MAX(0,MIN(1,AC103))^2+(1-MAX(0,MIN(1,AC103)))^2/$B$5))-(MAX(0,MIN(1,AB103))^2/(MAX(0,MIN(1,AB103))^2+(1-MAX(0,MIN(1,AB103)))^2/$B$5))))</f>
        <v>0.76427976991153</v>
      </c>
      <c r="AD104" s="16" t="n">
        <f aca="false">IF(ABS(AD103-$B$11/$B$9*((MAX(0,MIN(1,AD103))^2/(MAX(0,MIN(1,AD103))^2+(1-MAX(0,MIN(1,AD103)))^2/$B$5))-(MAX(0,MIN(1,AC103))^2/(MAX(0,MIN(1,AC103))^2+(1-MAX(0,MIN(1,AC103)))^2/$B$5))))&lt;0.000000001,0,AD103-$B$11/$B$9*((MAX(0,MIN(1,AD103))^2/(MAX(0,MIN(1,AD103))^2+(1-MAX(0,MIN(1,AD103)))^2/$B$5))-(MAX(0,MIN(1,AC103))^2/(MAX(0,MIN(1,AC103))^2+(1-MAX(0,MIN(1,AC103)))^2/$B$5))))</f>
        <v>0.756512431440868</v>
      </c>
      <c r="AE104" s="16" t="n">
        <f aca="false">IF(ABS(AE103-$B$11/$B$9*((MAX(0,MIN(1,AE103))^2/(MAX(0,MIN(1,AE103))^2+(1-MAX(0,MIN(1,AE103)))^2/$B$5))-(MAX(0,MIN(1,AD103))^2/(MAX(0,MIN(1,AD103))^2+(1-MAX(0,MIN(1,AD103)))^2/$B$5))))&lt;0.000000001,0,AE103-$B$11/$B$9*((MAX(0,MIN(1,AE103))^2/(MAX(0,MIN(1,AE103))^2+(1-MAX(0,MIN(1,AE103)))^2/$B$5))-(MAX(0,MIN(1,AD103))^2/(MAX(0,MIN(1,AD103))^2+(1-MAX(0,MIN(1,AD103)))^2/$B$5))))</f>
        <v>0.748977128042382</v>
      </c>
      <c r="AF104" s="16" t="n">
        <f aca="false">IF(ABS(AF103-$B$11/$B$9*((MAX(0,MIN(1,AF103))^2/(MAX(0,MIN(1,AF103))^2+(1-MAX(0,MIN(1,AF103)))^2/$B$5))-(MAX(0,MIN(1,AE103))^2/(MAX(0,MIN(1,AE103))^2+(1-MAX(0,MIN(1,AE103)))^2/$B$5))))&lt;0.000000001,0,AF103-$B$11/$B$9*((MAX(0,MIN(1,AF103))^2/(MAX(0,MIN(1,AF103))^2+(1-MAX(0,MIN(1,AF103)))^2/$B$5))-(MAX(0,MIN(1,AE103))^2/(MAX(0,MIN(1,AE103))^2+(1-MAX(0,MIN(1,AE103)))^2/$B$5))))</f>
        <v>0.741654390310792</v>
      </c>
    </row>
    <row r="105" customFormat="false" ht="15" hidden="false" customHeight="false" outlineLevel="0" collapsed="false">
      <c r="A105" s="0" t="n">
        <v>1</v>
      </c>
      <c r="D105" s="0" t="n">
        <f aca="false">A105</f>
        <v>1</v>
      </c>
      <c r="E105" s="0" t="n">
        <f aca="false">(G105-G104)/(A105-A104)</f>
        <v>0.00510126001121991</v>
      </c>
      <c r="F105" s="0" t="n">
        <f aca="false">G105/A105</f>
        <v>1</v>
      </c>
      <c r="G105" s="0" t="n">
        <f aca="false">A105^2/(A105^2+(1-A105)^2/$B$5)</f>
        <v>1</v>
      </c>
      <c r="L105" s="0" t="n">
        <v>95</v>
      </c>
      <c r="M105" s="16" t="n">
        <f aca="false">IF(ABS(M104-$B$11/$B$9*((MAX(0,MIN(1,M104))^2/(MAX(0,MIN(1,M104))^2+(1-MAX(0,MIN(1,M104)))^2/$B$5))-(MAX(0,MIN(1,1))^2/(MAX(0,MIN(1,1))^2+(1-MAX(0,MIN(1,1)))^2/$B$5))))&lt;0.000000001,0,M104-$B$11/$B$9*((MAX(0,MIN(1,M104))^2/(MAX(0,MIN(1,M104))^2+(1-MAX(0,MIN(1,M104)))^2/$B$5))-(MAX(0,MIN(1,1))^2/(MAX(0,MIN(1,1))^2+(1-MAX(0,MIN(1,1)))^2/$B$5))))</f>
        <v>0.959971261255627</v>
      </c>
      <c r="N105" s="16" t="n">
        <f aca="false">IF(ABS(N104-$B$11/$B$9*((MAX(0,MIN(1,N104))^2/(MAX(0,MIN(1,N104))^2+(1-MAX(0,MIN(1,N104)))^2/$B$5))-(MAX(0,MIN(1,M104))^2/(MAX(0,MIN(1,M104))^2+(1-MAX(0,MIN(1,M104)))^2/$B$5))))&lt;0.000000001,0,N104-$B$11/$B$9*((MAX(0,MIN(1,N104))^2/(MAX(0,MIN(1,N104))^2+(1-MAX(0,MIN(1,N104)))^2/$B$5))-(MAX(0,MIN(1,M104))^2/(MAX(0,MIN(1,M104))^2+(1-MAX(0,MIN(1,M104)))^2/$B$5))))</f>
        <v>0.938360011928681</v>
      </c>
      <c r="O105" s="16" t="n">
        <f aca="false">IF(ABS(O104-$B$11/$B$9*((MAX(0,MIN(1,O104))^2/(MAX(0,MIN(1,O104))^2+(1-MAX(0,MIN(1,O104)))^2/$B$5))-(MAX(0,MIN(1,N104))^2/(MAX(0,MIN(1,N104))^2+(1-MAX(0,MIN(1,N104)))^2/$B$5))))&lt;0.000000001,0,O104-$B$11/$B$9*((MAX(0,MIN(1,O104))^2/(MAX(0,MIN(1,O104))^2+(1-MAX(0,MIN(1,O104)))^2/$B$5))-(MAX(0,MIN(1,N104))^2/(MAX(0,MIN(1,N104))^2+(1-MAX(0,MIN(1,N104)))^2/$B$5))))</f>
        <v>0.920043779025177</v>
      </c>
      <c r="P105" s="16" t="n">
        <f aca="false">IF(ABS(P104-$B$11/$B$9*((MAX(0,MIN(1,P104))^2/(MAX(0,MIN(1,P104))^2+(1-MAX(0,MIN(1,P104)))^2/$B$5))-(MAX(0,MIN(1,O104))^2/(MAX(0,MIN(1,O104))^2+(1-MAX(0,MIN(1,O104)))^2/$B$5))))&lt;0.000000001,0,P104-$B$11/$B$9*((MAX(0,MIN(1,P104))^2/(MAX(0,MIN(1,P104))^2+(1-MAX(0,MIN(1,P104)))^2/$B$5))-(MAX(0,MIN(1,O104))^2/(MAX(0,MIN(1,O104))^2+(1-MAX(0,MIN(1,O104)))^2/$B$5))))</f>
        <v>0.903734757000849</v>
      </c>
      <c r="Q105" s="16" t="n">
        <f aca="false">IF(ABS(Q104-$B$11/$B$9*((MAX(0,MIN(1,Q104))^2/(MAX(0,MIN(1,Q104))^2+(1-MAX(0,MIN(1,Q104)))^2/$B$5))-(MAX(0,MIN(1,P104))^2/(MAX(0,MIN(1,P104))^2+(1-MAX(0,MIN(1,P104)))^2/$B$5))))&lt;0.000000001,0,Q104-$B$11/$B$9*((MAX(0,MIN(1,Q104))^2/(MAX(0,MIN(1,Q104))^2+(1-MAX(0,MIN(1,Q104)))^2/$B$5))-(MAX(0,MIN(1,P104))^2/(MAX(0,MIN(1,P104))^2+(1-MAX(0,MIN(1,P104)))^2/$B$5))))</f>
        <v>0.888888991203071</v>
      </c>
      <c r="R105" s="16" t="n">
        <f aca="false">IF(ABS(R104-$B$11/$B$9*((MAX(0,MIN(1,R104))^2/(MAX(0,MIN(1,R104))^2+(1-MAX(0,MIN(1,R104)))^2/$B$5))-(MAX(0,MIN(1,Q104))^2/(MAX(0,MIN(1,Q104))^2+(1-MAX(0,MIN(1,Q104)))^2/$B$5))))&lt;0.000000001,0,R104-$B$11/$B$9*((MAX(0,MIN(1,R104))^2/(MAX(0,MIN(1,R104))^2+(1-MAX(0,MIN(1,R104)))^2/$B$5))-(MAX(0,MIN(1,Q104))^2/(MAX(0,MIN(1,Q104))^2+(1-MAX(0,MIN(1,Q104)))^2/$B$5))))</f>
        <v>0.875194821898357</v>
      </c>
      <c r="S105" s="16" t="n">
        <f aca="false">IF(ABS(S104-$B$11/$B$9*((MAX(0,MIN(1,S104))^2/(MAX(0,MIN(1,S104))^2+(1-MAX(0,MIN(1,S104)))^2/$B$5))-(MAX(0,MIN(1,R104))^2/(MAX(0,MIN(1,R104))^2+(1-MAX(0,MIN(1,R104)))^2/$B$5))))&lt;0.000000001,0,S104-$B$11/$B$9*((MAX(0,MIN(1,S104))^2/(MAX(0,MIN(1,S104))^2+(1-MAX(0,MIN(1,S104)))^2/$B$5))-(MAX(0,MIN(1,R104))^2/(MAX(0,MIN(1,R104))^2+(1-MAX(0,MIN(1,R104)))^2/$B$5))))</f>
        <v>0.862445712603331</v>
      </c>
      <c r="T105" s="16" t="n">
        <f aca="false">IF(ABS(T104-$B$11/$B$9*((MAX(0,MIN(1,T104))^2/(MAX(0,MIN(1,T104))^2+(1-MAX(0,MIN(1,T104)))^2/$B$5))-(MAX(0,MIN(1,S104))^2/(MAX(0,MIN(1,S104))^2+(1-MAX(0,MIN(1,S104)))^2/$B$5))))&lt;0.000000001,0,T104-$B$11/$B$9*((MAX(0,MIN(1,T104))^2/(MAX(0,MIN(1,T104))^2+(1-MAX(0,MIN(1,T104)))^2/$B$5))-(MAX(0,MIN(1,S104))^2/(MAX(0,MIN(1,S104))^2+(1-MAX(0,MIN(1,S104)))^2/$B$5))))</f>
        <v>0.850492952724402</v>
      </c>
      <c r="U105" s="16" t="n">
        <f aca="false">IF(ABS(U104-$B$11/$B$9*((MAX(0,MIN(1,U104))^2/(MAX(0,MIN(1,U104))^2+(1-MAX(0,MIN(1,U104)))^2/$B$5))-(MAX(0,MIN(1,T104))^2/(MAX(0,MIN(1,T104))^2+(1-MAX(0,MIN(1,T104)))^2/$B$5))))&lt;0.000000001,0,U104-$B$11/$B$9*((MAX(0,MIN(1,U104))^2/(MAX(0,MIN(1,U104))^2+(1-MAX(0,MIN(1,U104)))^2/$B$5))-(MAX(0,MIN(1,T104))^2/(MAX(0,MIN(1,T104))^2+(1-MAX(0,MIN(1,T104)))^2/$B$5))))</f>
        <v>0.839223676530695</v>
      </c>
      <c r="V105" s="16" t="n">
        <f aca="false">IF(ABS(V104-$B$11/$B$9*((MAX(0,MIN(1,V104))^2/(MAX(0,MIN(1,V104))^2+(1-MAX(0,MIN(1,V104)))^2/$B$5))-(MAX(0,MIN(1,U104))^2/(MAX(0,MIN(1,U104))^2+(1-MAX(0,MIN(1,U104)))^2/$B$5))))&lt;0.000000001,0,V104-$B$11/$B$9*((MAX(0,MIN(1,V104))^2/(MAX(0,MIN(1,V104))^2+(1-MAX(0,MIN(1,V104)))^2/$B$5))-(MAX(0,MIN(1,U104))^2/(MAX(0,MIN(1,U104))^2+(1-MAX(0,MIN(1,U104)))^2/$B$5))))</f>
        <v>0.828549066812033</v>
      </c>
      <c r="W105" s="16" t="n">
        <f aca="false">IF(ABS(W104-$B$11/$B$9*((MAX(0,MIN(1,W104))^2/(MAX(0,MIN(1,W104))^2+(1-MAX(0,MIN(1,W104)))^2/$B$5))-(MAX(0,MIN(1,V104))^2/(MAX(0,MIN(1,V104))^2+(1-MAX(0,MIN(1,V104)))^2/$B$5))))&lt;0.000000001,0,W104-$B$11/$B$9*((MAX(0,MIN(1,W104))^2/(MAX(0,MIN(1,W104))^2+(1-MAX(0,MIN(1,W104)))^2/$B$5))-(MAX(0,MIN(1,V104))^2/(MAX(0,MIN(1,V104))^2+(1-MAX(0,MIN(1,V104)))^2/$B$5))))</f>
        <v>0.81839735871874</v>
      </c>
      <c r="X105" s="16" t="n">
        <f aca="false">IF(ABS(X104-$B$11/$B$9*((MAX(0,MIN(1,X104))^2/(MAX(0,MIN(1,X104))^2+(1-MAX(0,MIN(1,X104)))^2/$B$5))-(MAX(0,MIN(1,W104))^2/(MAX(0,MIN(1,W104))^2+(1-MAX(0,MIN(1,W104)))^2/$B$5))))&lt;0.000000001,0,X104-$B$11/$B$9*((MAX(0,MIN(1,X104))^2/(MAX(0,MIN(1,X104))^2+(1-MAX(0,MIN(1,X104)))^2/$B$5))-(MAX(0,MIN(1,W104))^2/(MAX(0,MIN(1,W104))^2+(1-MAX(0,MIN(1,W104)))^2/$B$5))))</f>
        <v>0.808709377805735</v>
      </c>
      <c r="Y105" s="16" t="n">
        <f aca="false">IF(ABS(Y104-$B$11/$B$9*((MAX(0,MIN(1,Y104))^2/(MAX(0,MIN(1,Y104))^2+(1-MAX(0,MIN(1,Y104)))^2/$B$5))-(MAX(0,MIN(1,X104))^2/(MAX(0,MIN(1,X104))^2+(1-MAX(0,MIN(1,X104)))^2/$B$5))))&lt;0.000000001,0,Y104-$B$11/$B$9*((MAX(0,MIN(1,Y104))^2/(MAX(0,MIN(1,Y104))^2+(1-MAX(0,MIN(1,Y104)))^2/$B$5))-(MAX(0,MIN(1,X104))^2/(MAX(0,MIN(1,X104))^2+(1-MAX(0,MIN(1,X104)))^2/$B$5))))</f>
        <v>0.799435534573608</v>
      </c>
      <c r="Z105" s="16" t="n">
        <f aca="false">IF(ABS(Z104-$B$11/$B$9*((MAX(0,MIN(1,Z104))^2/(MAX(0,MIN(1,Z104))^2+(1-MAX(0,MIN(1,Z104)))^2/$B$5))-(MAX(0,MIN(1,Y104))^2/(MAX(0,MIN(1,Y104))^2+(1-MAX(0,MIN(1,Y104)))^2/$B$5))))&lt;0.000000001,0,Z104-$B$11/$B$9*((MAX(0,MIN(1,Z104))^2/(MAX(0,MIN(1,Z104))^2+(1-MAX(0,MIN(1,Z104)))^2/$B$5))-(MAX(0,MIN(1,Y104))^2/(MAX(0,MIN(1,Y104))^2+(1-MAX(0,MIN(1,Y104)))^2/$B$5))))</f>
        <v>0.790533712712179</v>
      </c>
      <c r="AA105" s="16" t="n">
        <f aca="false">IF(ABS(AA104-$B$11/$B$9*((MAX(0,MIN(1,AA104))^2/(MAX(0,MIN(1,AA104))^2+(1-MAX(0,MIN(1,AA104)))^2/$B$5))-(MAX(0,MIN(1,Z104))^2/(MAX(0,MIN(1,Z104))^2+(1-MAX(0,MIN(1,Z104)))^2/$B$5))))&lt;0.000000001,0,AA104-$B$11/$B$9*((MAX(0,MIN(1,AA104))^2/(MAX(0,MIN(1,AA104))^2+(1-MAX(0,MIN(1,AA104)))^2/$B$5))-(MAX(0,MIN(1,Z104))^2/(MAX(0,MIN(1,Z104))^2+(1-MAX(0,MIN(1,Z104)))^2/$B$5))))</f>
        <v>0.781967734690785</v>
      </c>
      <c r="AB105" s="16" t="n">
        <f aca="false">IF(ABS(AB104-$B$11/$B$9*((MAX(0,MIN(1,AB104))^2/(MAX(0,MIN(1,AB104))^2+(1-MAX(0,MIN(1,AB104)))^2/$B$5))-(MAX(0,MIN(1,AA104))^2/(MAX(0,MIN(1,AA104))^2+(1-MAX(0,MIN(1,AA104)))^2/$B$5))))&lt;0.000000001,0,AB104-$B$11/$B$9*((MAX(0,MIN(1,AB104))^2/(MAX(0,MIN(1,AB104))^2+(1-MAX(0,MIN(1,AB104)))^2/$B$5))-(MAX(0,MIN(1,AA104))^2/(MAX(0,MIN(1,AA104))^2+(1-MAX(0,MIN(1,AA104)))^2/$B$5))))</f>
        <v>0.773706216011042</v>
      </c>
      <c r="AC105" s="16" t="n">
        <f aca="false">IF(ABS(AC104-$B$11/$B$9*((MAX(0,MIN(1,AC104))^2/(MAX(0,MIN(1,AC104))^2+(1-MAX(0,MIN(1,AC104)))^2/$B$5))-(MAX(0,MIN(1,AB104))^2/(MAX(0,MIN(1,AB104))^2+(1-MAX(0,MIN(1,AB104)))^2/$B$5))))&lt;0.000000001,0,AC104-$B$11/$B$9*((MAX(0,MIN(1,AC104))^2/(MAX(0,MIN(1,AC104))^2+(1-MAX(0,MIN(1,AC104)))^2/$B$5))-(MAX(0,MIN(1,AB104))^2/(MAX(0,MIN(1,AB104))^2+(1-MAX(0,MIN(1,AB104)))^2/$B$5))))</f>
        <v>0.765721689988508</v>
      </c>
      <c r="AD105" s="16" t="n">
        <f aca="false">IF(ABS(AD104-$B$11/$B$9*((MAX(0,MIN(1,AD104))^2/(MAX(0,MIN(1,AD104))^2+(1-MAX(0,MIN(1,AD104)))^2/$B$5))-(MAX(0,MIN(1,AC104))^2/(MAX(0,MIN(1,AC104))^2+(1-MAX(0,MIN(1,AC104)))^2/$B$5))))&lt;0.000000001,0,AD104-$B$11/$B$9*((MAX(0,MIN(1,AD104))^2/(MAX(0,MIN(1,AD104))^2+(1-MAX(0,MIN(1,AD104)))^2/$B$5))-(MAX(0,MIN(1,AC104))^2/(MAX(0,MIN(1,AC104))^2+(1-MAX(0,MIN(1,AC104)))^2/$B$5))))</f>
        <v>0.757989926051234</v>
      </c>
      <c r="AE105" s="16" t="n">
        <f aca="false">IF(ABS(AE104-$B$11/$B$9*((MAX(0,MIN(1,AE104))^2/(MAX(0,MIN(1,AE104))^2+(1-MAX(0,MIN(1,AE104)))^2/$B$5))-(MAX(0,MIN(1,AD104))^2/(MAX(0,MIN(1,AD104))^2+(1-MAX(0,MIN(1,AD104)))^2/$B$5))))&lt;0.000000001,0,AE104-$B$11/$B$9*((MAX(0,MIN(1,AE104))^2/(MAX(0,MIN(1,AE104))^2+(1-MAX(0,MIN(1,AE104)))^2/$B$5))-(MAX(0,MIN(1,AD104))^2/(MAX(0,MIN(1,AD104))^2+(1-MAX(0,MIN(1,AD104)))^2/$B$5))))</f>
        <v>0.750489389602435</v>
      </c>
      <c r="AF105" s="16" t="n">
        <f aca="false">IF(ABS(AF104-$B$11/$B$9*((MAX(0,MIN(1,AF104))^2/(MAX(0,MIN(1,AF104))^2+(1-MAX(0,MIN(1,AF104)))^2/$B$5))-(MAX(0,MIN(1,AE104))^2/(MAX(0,MIN(1,AE104))^2+(1-MAX(0,MIN(1,AE104)))^2/$B$5))))&lt;0.000000001,0,AF104-$B$11/$B$9*((MAX(0,MIN(1,AF104))^2/(MAX(0,MIN(1,AF104))^2+(1-MAX(0,MIN(1,AF104)))^2/$B$5))-(MAX(0,MIN(1,AE104))^2/(MAX(0,MIN(1,AE104))^2+(1-MAX(0,MIN(1,AE104)))^2/$B$5))))</f>
        <v>0.743200807346311</v>
      </c>
    </row>
    <row r="106" customFormat="false" ht="15" hidden="false" customHeight="false" outlineLevel="0" collapsed="false">
      <c r="L106" s="0" t="n">
        <v>96</v>
      </c>
      <c r="M106" s="16" t="n">
        <f aca="false">IF(ABS(M105-$B$11/$B$9*((MAX(0,MIN(1,M105))^2/(MAX(0,MIN(1,M105))^2+(1-MAX(0,MIN(1,M105)))^2/$B$5))-(MAX(0,MIN(1,1))^2/(MAX(0,MIN(1,1))^2+(1-MAX(0,MIN(1,1)))^2/$B$5))))&lt;0.000000001,0,M105-$B$11/$B$9*((MAX(0,MIN(1,M105))^2/(MAX(0,MIN(1,M105))^2+(1-MAX(0,MIN(1,M105)))^2/$B$5))-(MAX(0,MIN(1,1))^2/(MAX(0,MIN(1,1))^2+(1-MAX(0,MIN(1,1)))^2/$B$5))))</f>
        <v>0.960305265321443</v>
      </c>
      <c r="N106" s="16" t="n">
        <f aca="false">IF(ABS(N105-$B$11/$B$9*((MAX(0,MIN(1,N105))^2/(MAX(0,MIN(1,N105))^2+(1-MAX(0,MIN(1,N105)))^2/$B$5))-(MAX(0,MIN(1,M105))^2/(MAX(0,MIN(1,M105))^2+(1-MAX(0,MIN(1,M105)))^2/$B$5))))&lt;0.000000001,0,N105-$B$11/$B$9*((MAX(0,MIN(1,N105))^2/(MAX(0,MIN(1,N105))^2+(1-MAX(0,MIN(1,N105)))^2/$B$5))-(MAX(0,MIN(1,M105))^2/(MAX(0,MIN(1,M105))^2+(1-MAX(0,MIN(1,M105)))^2/$B$5))))</f>
        <v>0.938853858356378</v>
      </c>
      <c r="O106" s="16" t="n">
        <f aca="false">IF(ABS(O105-$B$11/$B$9*((MAX(0,MIN(1,O105))^2/(MAX(0,MIN(1,O105))^2+(1-MAX(0,MIN(1,O105)))^2/$B$5))-(MAX(0,MIN(1,N105))^2/(MAX(0,MIN(1,N105))^2+(1-MAX(0,MIN(1,N105)))^2/$B$5))))&lt;0.000000001,0,O105-$B$11/$B$9*((MAX(0,MIN(1,O105))^2/(MAX(0,MIN(1,O105))^2+(1-MAX(0,MIN(1,O105)))^2/$B$5))-(MAX(0,MIN(1,N105))^2/(MAX(0,MIN(1,N105))^2+(1-MAX(0,MIN(1,N105)))^2/$B$5))))</f>
        <v>0.92066254173896</v>
      </c>
      <c r="P106" s="16" t="n">
        <f aca="false">IF(ABS(P105-$B$11/$B$9*((MAX(0,MIN(1,P105))^2/(MAX(0,MIN(1,P105))^2+(1-MAX(0,MIN(1,P105)))^2/$B$5))-(MAX(0,MIN(1,O105))^2/(MAX(0,MIN(1,O105))^2+(1-MAX(0,MIN(1,O105)))^2/$B$5))))&lt;0.000000001,0,P105-$B$11/$B$9*((MAX(0,MIN(1,P105))^2/(MAX(0,MIN(1,P105))^2+(1-MAX(0,MIN(1,P105)))^2/$B$5))-(MAX(0,MIN(1,O105))^2/(MAX(0,MIN(1,O105))^2+(1-MAX(0,MIN(1,O105)))^2/$B$5))))</f>
        <v>0.904457355692509</v>
      </c>
      <c r="Q106" s="16" t="n">
        <f aca="false">IF(ABS(Q105-$B$11/$B$9*((MAX(0,MIN(1,Q105))^2/(MAX(0,MIN(1,Q105))^2+(1-MAX(0,MIN(1,Q105)))^2/$B$5))-(MAX(0,MIN(1,P105))^2/(MAX(0,MIN(1,P105))^2+(1-MAX(0,MIN(1,P105)))^2/$B$5))))&lt;0.000000001,0,Q105-$B$11/$B$9*((MAX(0,MIN(1,Q105))^2/(MAX(0,MIN(1,Q105))^2+(1-MAX(0,MIN(1,Q105)))^2/$B$5))-(MAX(0,MIN(1,P105))^2/(MAX(0,MIN(1,P105))^2+(1-MAX(0,MIN(1,P105)))^2/$B$5))))</f>
        <v>0.889700636626716</v>
      </c>
      <c r="R106" s="16" t="n">
        <f aca="false">IF(ABS(R105-$B$11/$B$9*((MAX(0,MIN(1,R105))^2/(MAX(0,MIN(1,R105))^2+(1-MAX(0,MIN(1,R105)))^2/$B$5))-(MAX(0,MIN(1,Q105))^2/(MAX(0,MIN(1,Q105))^2+(1-MAX(0,MIN(1,Q105)))^2/$B$5))))&lt;0.000000001,0,R105-$B$11/$B$9*((MAX(0,MIN(1,R105))^2/(MAX(0,MIN(1,R105))^2+(1-MAX(0,MIN(1,R105)))^2/$B$5))-(MAX(0,MIN(1,Q105))^2/(MAX(0,MIN(1,Q105))^2+(1-MAX(0,MIN(1,Q105)))^2/$B$5))))</f>
        <v>0.876084437362334</v>
      </c>
      <c r="S106" s="16" t="n">
        <f aca="false">IF(ABS(S105-$B$11/$B$9*((MAX(0,MIN(1,S105))^2/(MAX(0,MIN(1,S105))^2+(1-MAX(0,MIN(1,S105)))^2/$B$5))-(MAX(0,MIN(1,R105))^2/(MAX(0,MIN(1,R105))^2+(1-MAX(0,MIN(1,R105)))^2/$B$5))))&lt;0.000000001,0,S105-$B$11/$B$9*((MAX(0,MIN(1,S105))^2/(MAX(0,MIN(1,S105))^2+(1-MAX(0,MIN(1,S105)))^2/$B$5))-(MAX(0,MIN(1,R105))^2/(MAX(0,MIN(1,R105))^2+(1-MAX(0,MIN(1,R105)))^2/$B$5))))</f>
        <v>0.86340468837089</v>
      </c>
      <c r="T106" s="16" t="n">
        <f aca="false">IF(ABS(T105-$B$11/$B$9*((MAX(0,MIN(1,T105))^2/(MAX(0,MIN(1,T105))^2+(1-MAX(0,MIN(1,T105)))^2/$B$5))-(MAX(0,MIN(1,S105))^2/(MAX(0,MIN(1,S105))^2+(1-MAX(0,MIN(1,S105)))^2/$B$5))))&lt;0.000000001,0,T105-$B$11/$B$9*((MAX(0,MIN(1,T105))^2/(MAX(0,MIN(1,T105))^2+(1-MAX(0,MIN(1,T105)))^2/$B$5))-(MAX(0,MIN(1,S105))^2/(MAX(0,MIN(1,S105))^2+(1-MAX(0,MIN(1,S105)))^2/$B$5))))</f>
        <v>0.851514432611547</v>
      </c>
      <c r="U106" s="16" t="n">
        <f aca="false">IF(ABS(U105-$B$11/$B$9*((MAX(0,MIN(1,U105))^2/(MAX(0,MIN(1,U105))^2+(1-MAX(0,MIN(1,U105)))^2/$B$5))-(MAX(0,MIN(1,T105))^2/(MAX(0,MIN(1,T105))^2+(1-MAX(0,MIN(1,T105)))^2/$B$5))))&lt;0.000000001,0,U105-$B$11/$B$9*((MAX(0,MIN(1,U105))^2/(MAX(0,MIN(1,U105))^2+(1-MAX(0,MIN(1,U105)))^2/$B$5))-(MAX(0,MIN(1,T105))^2/(MAX(0,MIN(1,T105))^2+(1-MAX(0,MIN(1,T105)))^2/$B$5))))</f>
        <v>0.840302106917834</v>
      </c>
      <c r="V106" s="16" t="n">
        <f aca="false">IF(ABS(V105-$B$11/$B$9*((MAX(0,MIN(1,V105))^2/(MAX(0,MIN(1,V105))^2+(1-MAX(0,MIN(1,V105)))^2/$B$5))-(MAX(0,MIN(1,U105))^2/(MAX(0,MIN(1,U105))^2+(1-MAX(0,MIN(1,U105)))^2/$B$5))))&lt;0.000000001,0,V105-$B$11/$B$9*((MAX(0,MIN(1,V105))^2/(MAX(0,MIN(1,V105))^2+(1-MAX(0,MIN(1,V105)))^2/$B$5))-(MAX(0,MIN(1,U105))^2/(MAX(0,MIN(1,U105))^2+(1-MAX(0,MIN(1,U105)))^2/$B$5))))</f>
        <v>0.829679892881273</v>
      </c>
      <c r="W106" s="16" t="n">
        <f aca="false">IF(ABS(W105-$B$11/$B$9*((MAX(0,MIN(1,W105))^2/(MAX(0,MIN(1,W105))^2+(1-MAX(0,MIN(1,W105)))^2/$B$5))-(MAX(0,MIN(1,V105))^2/(MAX(0,MIN(1,V105))^2+(1-MAX(0,MIN(1,V105)))^2/$B$5))))&lt;0.000000001,0,W105-$B$11/$B$9*((MAX(0,MIN(1,W105))^2/(MAX(0,MIN(1,W105))^2+(1-MAX(0,MIN(1,W105)))^2/$B$5))-(MAX(0,MIN(1,V105))^2/(MAX(0,MIN(1,V105))^2+(1-MAX(0,MIN(1,V105)))^2/$B$5))))</f>
        <v>0.819576810689346</v>
      </c>
      <c r="X106" s="16" t="n">
        <f aca="false">IF(ABS(X105-$B$11/$B$9*((MAX(0,MIN(1,X105))^2/(MAX(0,MIN(1,X105))^2+(1-MAX(0,MIN(1,X105)))^2/$B$5))-(MAX(0,MIN(1,W105))^2/(MAX(0,MIN(1,W105))^2+(1-MAX(0,MIN(1,W105)))^2/$B$5))))&lt;0.000000001,0,X105-$B$11/$B$9*((MAX(0,MIN(1,X105))^2/(MAX(0,MIN(1,X105))^2+(1-MAX(0,MIN(1,X105)))^2/$B$5))-(MAX(0,MIN(1,W105))^2/(MAX(0,MIN(1,W105))^2+(1-MAX(0,MIN(1,W105)))^2/$B$5))))</f>
        <v>0.809934315625074</v>
      </c>
      <c r="Y106" s="16" t="n">
        <f aca="false">IF(ABS(Y105-$B$11/$B$9*((MAX(0,MIN(1,Y105))^2/(MAX(0,MIN(1,Y105))^2+(1-MAX(0,MIN(1,Y105)))^2/$B$5))-(MAX(0,MIN(1,X105))^2/(MAX(0,MIN(1,X105))^2+(1-MAX(0,MIN(1,X105)))^2/$B$5))))&lt;0.000000001,0,Y105-$B$11/$B$9*((MAX(0,MIN(1,Y105))^2/(MAX(0,MIN(1,Y105))^2+(1-MAX(0,MIN(1,Y105)))^2/$B$5))-(MAX(0,MIN(1,X105))^2/(MAX(0,MIN(1,X105))^2+(1-MAX(0,MIN(1,X105)))^2/$B$5))))</f>
        <v>0.800703332334297</v>
      </c>
      <c r="Z106" s="16" t="n">
        <f aca="false">IF(ABS(Z105-$B$11/$B$9*((MAX(0,MIN(1,Z105))^2/(MAX(0,MIN(1,Z105))^2+(1-MAX(0,MIN(1,Z105)))^2/$B$5))-(MAX(0,MIN(1,Y105))^2/(MAX(0,MIN(1,Y105))^2+(1-MAX(0,MIN(1,Y105)))^2/$B$5))))&lt;0.000000001,0,Z105-$B$11/$B$9*((MAX(0,MIN(1,Z105))^2/(MAX(0,MIN(1,Z105))^2+(1-MAX(0,MIN(1,Z105)))^2/$B$5))-(MAX(0,MIN(1,Y105))^2/(MAX(0,MIN(1,Y105))^2+(1-MAX(0,MIN(1,Y105)))^2/$B$5))))</f>
        <v>0.791842171043219</v>
      </c>
      <c r="AA106" s="16" t="n">
        <f aca="false">IF(ABS(AA105-$B$11/$B$9*((MAX(0,MIN(1,AA105))^2/(MAX(0,MIN(1,AA105))^2+(1-MAX(0,MIN(1,AA105)))^2/$B$5))-(MAX(0,MIN(1,Z105))^2/(MAX(0,MIN(1,Z105))^2+(1-MAX(0,MIN(1,Z105)))^2/$B$5))))&lt;0.000000001,0,AA105-$B$11/$B$9*((MAX(0,MIN(1,AA105))^2/(MAX(0,MIN(1,AA105))^2+(1-MAX(0,MIN(1,AA105)))^2/$B$5))-(MAX(0,MIN(1,Z105))^2/(MAX(0,MIN(1,Z105))^2+(1-MAX(0,MIN(1,Z105)))^2/$B$5))))</f>
        <v>0.783315013432593</v>
      </c>
      <c r="AB106" s="16" t="n">
        <f aca="false">IF(ABS(AB105-$B$11/$B$9*((MAX(0,MIN(1,AB105))^2/(MAX(0,MIN(1,AB105))^2+(1-MAX(0,MIN(1,AB105)))^2/$B$5))-(MAX(0,MIN(1,AA105))^2/(MAX(0,MIN(1,AA105))^2+(1-MAX(0,MIN(1,AA105)))^2/$B$5))))&lt;0.000000001,0,AB105-$B$11/$B$9*((MAX(0,MIN(1,AB105))^2/(MAX(0,MIN(1,AB105))^2+(1-MAX(0,MIN(1,AB105)))^2/$B$5))-(MAX(0,MIN(1,AA105))^2/(MAX(0,MIN(1,AA105))^2+(1-MAX(0,MIN(1,AA105)))^2/$B$5))))</f>
        <v>0.775090781977572</v>
      </c>
      <c r="AC106" s="16" t="n">
        <f aca="false">IF(ABS(AC105-$B$11/$B$9*((MAX(0,MIN(1,AC105))^2/(MAX(0,MIN(1,AC105))^2+(1-MAX(0,MIN(1,AC105)))^2/$B$5))-(MAX(0,MIN(1,AB105))^2/(MAX(0,MIN(1,AB105))^2+(1-MAX(0,MIN(1,AB105)))^2/$B$5))))&lt;0.000000001,0,AC105-$B$11/$B$9*((MAX(0,MIN(1,AC105))^2/(MAX(0,MIN(1,AC105))^2+(1-MAX(0,MIN(1,AC105)))^2/$B$5))-(MAX(0,MIN(1,AB105))^2/(MAX(0,MIN(1,AB105))^2+(1-MAX(0,MIN(1,AB105)))^2/$B$5))))</f>
        <v>0.76714227621778</v>
      </c>
      <c r="AD106" s="16" t="n">
        <f aca="false">IF(ABS(AD105-$B$11/$B$9*((MAX(0,MIN(1,AD105))^2/(MAX(0,MIN(1,AD105))^2+(1-MAX(0,MIN(1,AD105)))^2/$B$5))-(MAX(0,MIN(1,AC105))^2/(MAX(0,MIN(1,AC105))^2+(1-MAX(0,MIN(1,AC105)))^2/$B$5))))&lt;0.000000001,0,AD105-$B$11/$B$9*((MAX(0,MIN(1,AD105))^2/(MAX(0,MIN(1,AD105))^2+(1-MAX(0,MIN(1,AD105)))^2/$B$5))-(MAX(0,MIN(1,AC105))^2/(MAX(0,MIN(1,AC105))^2+(1-MAX(0,MIN(1,AC105)))^2/$B$5))))</f>
        <v>0.759445500008714</v>
      </c>
      <c r="AE106" s="16" t="n">
        <f aca="false">IF(ABS(AE105-$B$11/$B$9*((MAX(0,MIN(1,AE105))^2/(MAX(0,MIN(1,AE105))^2+(1-MAX(0,MIN(1,AE105)))^2/$B$5))-(MAX(0,MIN(1,AD105))^2/(MAX(0,MIN(1,AD105))^2+(1-MAX(0,MIN(1,AD105)))^2/$B$5))))&lt;0.000000001,0,AE105-$B$11/$B$9*((MAX(0,MIN(1,AE105))^2/(MAX(0,MIN(1,AE105))^2+(1-MAX(0,MIN(1,AE105)))^2/$B$5))-(MAX(0,MIN(1,AD105))^2/(MAX(0,MIN(1,AD105))^2+(1-MAX(0,MIN(1,AD105)))^2/$B$5))))</f>
        <v>0.751979128533447</v>
      </c>
      <c r="AF106" s="16" t="n">
        <f aca="false">IF(ABS(AF105-$B$11/$B$9*((MAX(0,MIN(1,AF105))^2/(MAX(0,MIN(1,AF105))^2+(1-MAX(0,MIN(1,AF105)))^2/$B$5))-(MAX(0,MIN(1,AE105))^2/(MAX(0,MIN(1,AE105))^2+(1-MAX(0,MIN(1,AE105)))^2/$B$5))))&lt;0.000000001,0,AF105-$B$11/$B$9*((MAX(0,MIN(1,AF105))^2/(MAX(0,MIN(1,AF105))^2+(1-MAX(0,MIN(1,AF105)))^2/$B$5))-(MAX(0,MIN(1,AE105))^2/(MAX(0,MIN(1,AE105))^2+(1-MAX(0,MIN(1,AE105)))^2/$B$5))))</f>
        <v>0.744724079494712</v>
      </c>
    </row>
    <row r="107" customFormat="false" ht="15" hidden="false" customHeight="false" outlineLevel="0" collapsed="false">
      <c r="L107" s="0" t="n">
        <v>97</v>
      </c>
      <c r="M107" s="16" t="n">
        <f aca="false">IF(ABS(M106-$B$11/$B$9*((MAX(0,MIN(1,M106))^2/(MAX(0,MIN(1,M106))^2+(1-MAX(0,MIN(1,M106)))^2/$B$5))-(MAX(0,MIN(1,1))^2/(MAX(0,MIN(1,1))^2+(1-MAX(0,MIN(1,1)))^2/$B$5))))&lt;0.000000001,0,M106-$B$11/$B$9*((MAX(0,MIN(1,M106))^2/(MAX(0,MIN(1,M106))^2+(1-MAX(0,MIN(1,M106)))^2/$B$5))-(MAX(0,MIN(1,1))^2/(MAX(0,MIN(1,1))^2+(1-MAX(0,MIN(1,1)))^2/$B$5))))</f>
        <v>0.960633495204642</v>
      </c>
      <c r="N107" s="16" t="n">
        <f aca="false">IF(ABS(N106-$B$11/$B$9*((MAX(0,MIN(1,N106))^2/(MAX(0,MIN(1,N106))^2+(1-MAX(0,MIN(1,N106)))^2/$B$5))-(MAX(0,MIN(1,M106))^2/(MAX(0,MIN(1,M106))^2+(1-MAX(0,MIN(1,M106)))^2/$B$5))))&lt;0.000000001,0,N106-$B$11/$B$9*((MAX(0,MIN(1,N106))^2/(MAX(0,MIN(1,N106))^2+(1-MAX(0,MIN(1,N106)))^2/$B$5))-(MAX(0,MIN(1,M106))^2/(MAX(0,MIN(1,M106))^2+(1-MAX(0,MIN(1,M106)))^2/$B$5))))</f>
        <v>0.939339439966765</v>
      </c>
      <c r="O107" s="16" t="n">
        <f aca="false">IF(ABS(O106-$B$11/$B$9*((MAX(0,MIN(1,O106))^2/(MAX(0,MIN(1,O106))^2+(1-MAX(0,MIN(1,O106)))^2/$B$5))-(MAX(0,MIN(1,N106))^2/(MAX(0,MIN(1,N106))^2+(1-MAX(0,MIN(1,N106)))^2/$B$5))))&lt;0.000000001,0,O106-$B$11/$B$9*((MAX(0,MIN(1,O106))^2/(MAX(0,MIN(1,O106))^2+(1-MAX(0,MIN(1,O106)))^2/$B$5))-(MAX(0,MIN(1,N106))^2/(MAX(0,MIN(1,N106))^2+(1-MAX(0,MIN(1,N106)))^2/$B$5))))</f>
        <v>0.921271215795045</v>
      </c>
      <c r="P107" s="16" t="n">
        <f aca="false">IF(ABS(P106-$B$11/$B$9*((MAX(0,MIN(1,P106))^2/(MAX(0,MIN(1,P106))^2+(1-MAX(0,MIN(1,P106)))^2/$B$5))-(MAX(0,MIN(1,O106))^2/(MAX(0,MIN(1,O106))^2+(1-MAX(0,MIN(1,O106)))^2/$B$5))))&lt;0.000000001,0,P106-$B$11/$B$9*((MAX(0,MIN(1,P106))^2/(MAX(0,MIN(1,P106))^2+(1-MAX(0,MIN(1,P106)))^2/$B$5))-(MAX(0,MIN(1,O106))^2/(MAX(0,MIN(1,O106))^2+(1-MAX(0,MIN(1,O106)))^2/$B$5))))</f>
        <v>0.905168424676209</v>
      </c>
      <c r="Q107" s="16" t="n">
        <f aca="false">IF(ABS(Q106-$B$11/$B$9*((MAX(0,MIN(1,Q106))^2/(MAX(0,MIN(1,Q106))^2+(1-MAX(0,MIN(1,Q106)))^2/$B$5))-(MAX(0,MIN(1,P106))^2/(MAX(0,MIN(1,P106))^2+(1-MAX(0,MIN(1,P106)))^2/$B$5))))&lt;0.000000001,0,Q106-$B$11/$B$9*((MAX(0,MIN(1,Q106))^2/(MAX(0,MIN(1,Q106))^2+(1-MAX(0,MIN(1,Q106)))^2/$B$5))-(MAX(0,MIN(1,P106))^2/(MAX(0,MIN(1,P106))^2+(1-MAX(0,MIN(1,P106)))^2/$B$5))))</f>
        <v>0.890499563931946</v>
      </c>
      <c r="R107" s="16" t="n">
        <f aca="false">IF(ABS(R106-$B$11/$B$9*((MAX(0,MIN(1,R106))^2/(MAX(0,MIN(1,R106))^2+(1-MAX(0,MIN(1,R106)))^2/$B$5))-(MAX(0,MIN(1,Q106))^2/(MAX(0,MIN(1,Q106))^2+(1-MAX(0,MIN(1,Q106)))^2/$B$5))))&lt;0.000000001,0,R106-$B$11/$B$9*((MAX(0,MIN(1,R106))^2/(MAX(0,MIN(1,R106))^2+(1-MAX(0,MIN(1,R106)))^2/$B$5))-(MAX(0,MIN(1,Q106))^2/(MAX(0,MIN(1,Q106))^2+(1-MAX(0,MIN(1,Q106)))^2/$B$5))))</f>
        <v>0.876960323571025</v>
      </c>
      <c r="S107" s="16" t="n">
        <f aca="false">IF(ABS(S106-$B$11/$B$9*((MAX(0,MIN(1,S106))^2/(MAX(0,MIN(1,S106))^2+(1-MAX(0,MIN(1,S106)))^2/$B$5))-(MAX(0,MIN(1,R106))^2/(MAX(0,MIN(1,R106))^2+(1-MAX(0,MIN(1,R106)))^2/$B$5))))&lt;0.000000001,0,S106-$B$11/$B$9*((MAX(0,MIN(1,S106))^2/(MAX(0,MIN(1,S106))^2+(1-MAX(0,MIN(1,S106)))^2/$B$5))-(MAX(0,MIN(1,R106))^2/(MAX(0,MIN(1,R106))^2+(1-MAX(0,MIN(1,R106)))^2/$B$5))))</f>
        <v>0.864349052431253</v>
      </c>
      <c r="T107" s="16" t="n">
        <f aca="false">IF(ABS(T106-$B$11/$B$9*((MAX(0,MIN(1,T106))^2/(MAX(0,MIN(1,T106))^2+(1-MAX(0,MIN(1,T106)))^2/$B$5))-(MAX(0,MIN(1,S106))^2/(MAX(0,MIN(1,S106))^2+(1-MAX(0,MIN(1,S106)))^2/$B$5))))&lt;0.000000001,0,T106-$B$11/$B$9*((MAX(0,MIN(1,T106))^2/(MAX(0,MIN(1,T106))^2+(1-MAX(0,MIN(1,T106)))^2/$B$5))-(MAX(0,MIN(1,S106))^2/(MAX(0,MIN(1,S106))^2+(1-MAX(0,MIN(1,S106)))^2/$B$5))))</f>
        <v>0.852520513634659</v>
      </c>
      <c r="U107" s="16" t="n">
        <f aca="false">IF(ABS(U106-$B$11/$B$9*((MAX(0,MIN(1,U106))^2/(MAX(0,MIN(1,U106))^2+(1-MAX(0,MIN(1,U106)))^2/$B$5))-(MAX(0,MIN(1,T106))^2/(MAX(0,MIN(1,T106))^2+(1-MAX(0,MIN(1,T106)))^2/$B$5))))&lt;0.000000001,0,U106-$B$11/$B$9*((MAX(0,MIN(1,U106))^2/(MAX(0,MIN(1,U106))^2+(1-MAX(0,MIN(1,U106)))^2/$B$5))-(MAX(0,MIN(1,T106))^2/(MAX(0,MIN(1,T106))^2+(1-MAX(0,MIN(1,T106)))^2/$B$5))))</f>
        <v>0.841364422586572</v>
      </c>
      <c r="V107" s="16" t="n">
        <f aca="false">IF(ABS(V106-$B$11/$B$9*((MAX(0,MIN(1,V106))^2/(MAX(0,MIN(1,V106))^2+(1-MAX(0,MIN(1,V106)))^2/$B$5))-(MAX(0,MIN(1,U106))^2/(MAX(0,MIN(1,U106))^2+(1-MAX(0,MIN(1,U106)))^2/$B$5))))&lt;0.000000001,0,V106-$B$11/$B$9*((MAX(0,MIN(1,V106))^2/(MAX(0,MIN(1,V106))^2+(1-MAX(0,MIN(1,V106)))^2/$B$5))-(MAX(0,MIN(1,U106))^2/(MAX(0,MIN(1,U106))^2+(1-MAX(0,MIN(1,U106)))^2/$B$5))))</f>
        <v>0.830793941825039</v>
      </c>
      <c r="W107" s="16" t="n">
        <f aca="false">IF(ABS(W106-$B$11/$B$9*((MAX(0,MIN(1,W106))^2/(MAX(0,MIN(1,W106))^2+(1-MAX(0,MIN(1,W106)))^2/$B$5))-(MAX(0,MIN(1,V106))^2/(MAX(0,MIN(1,V106))^2+(1-MAX(0,MIN(1,V106)))^2/$B$5))))&lt;0.000000001,0,W106-$B$11/$B$9*((MAX(0,MIN(1,W106))^2/(MAX(0,MIN(1,W106))^2+(1-MAX(0,MIN(1,W106)))^2/$B$5))-(MAX(0,MIN(1,V106))^2/(MAX(0,MIN(1,V106))^2+(1-MAX(0,MIN(1,V106)))^2/$B$5))))</f>
        <v>0.820738862880255</v>
      </c>
      <c r="X107" s="16" t="n">
        <f aca="false">IF(ABS(X106-$B$11/$B$9*((MAX(0,MIN(1,X106))^2/(MAX(0,MIN(1,X106))^2+(1-MAX(0,MIN(1,X106)))^2/$B$5))-(MAX(0,MIN(1,W106))^2/(MAX(0,MIN(1,W106))^2+(1-MAX(0,MIN(1,W106)))^2/$B$5))))&lt;0.000000001,0,X106-$B$11/$B$9*((MAX(0,MIN(1,X106))^2/(MAX(0,MIN(1,X106))^2+(1-MAX(0,MIN(1,X106)))^2/$B$5))-(MAX(0,MIN(1,W106))^2/(MAX(0,MIN(1,W106))^2+(1-MAX(0,MIN(1,W106)))^2/$B$5))))</f>
        <v>0.811141259962884</v>
      </c>
      <c r="Y107" s="16" t="n">
        <f aca="false">IF(ABS(Y106-$B$11/$B$9*((MAX(0,MIN(1,Y106))^2/(MAX(0,MIN(1,Y106))^2+(1-MAX(0,MIN(1,Y106)))^2/$B$5))-(MAX(0,MIN(1,X106))^2/(MAX(0,MIN(1,X106))^2+(1-MAX(0,MIN(1,X106)))^2/$B$5))))&lt;0.000000001,0,Y106-$B$11/$B$9*((MAX(0,MIN(1,Y106))^2/(MAX(0,MIN(1,Y106))^2+(1-MAX(0,MIN(1,Y106)))^2/$B$5))-(MAX(0,MIN(1,X106))^2/(MAX(0,MIN(1,X106))^2+(1-MAX(0,MIN(1,X106)))^2/$B$5))))</f>
        <v>0.801952563109553</v>
      </c>
      <c r="Z107" s="16" t="n">
        <f aca="false">IF(ABS(Z106-$B$11/$B$9*((MAX(0,MIN(1,Z106))^2/(MAX(0,MIN(1,Z106))^2+(1-MAX(0,MIN(1,Z106)))^2/$B$5))-(MAX(0,MIN(1,Y106))^2/(MAX(0,MIN(1,Y106))^2+(1-MAX(0,MIN(1,Y106)))^2/$B$5))))&lt;0.000000001,0,Z106-$B$11/$B$9*((MAX(0,MIN(1,Z106))^2/(MAX(0,MIN(1,Z106))^2+(1-MAX(0,MIN(1,Z106)))^2/$B$5))-(MAX(0,MIN(1,Y106))^2/(MAX(0,MIN(1,Y106))^2+(1-MAX(0,MIN(1,Y106)))^2/$B$5))))</f>
        <v>0.793131501785029</v>
      </c>
      <c r="AA107" s="16" t="n">
        <f aca="false">IF(ABS(AA106-$B$11/$B$9*((MAX(0,MIN(1,AA106))^2/(MAX(0,MIN(1,AA106))^2+(1-MAX(0,MIN(1,AA106)))^2/$B$5))-(MAX(0,MIN(1,Z106))^2/(MAX(0,MIN(1,Z106))^2+(1-MAX(0,MIN(1,Z106)))^2/$B$5))))&lt;0.000000001,0,AA106-$B$11/$B$9*((MAX(0,MIN(1,AA106))^2/(MAX(0,MIN(1,AA106))^2+(1-MAX(0,MIN(1,AA106)))^2/$B$5))-(MAX(0,MIN(1,Z106))^2/(MAX(0,MIN(1,Z106))^2+(1-MAX(0,MIN(1,Z106)))^2/$B$5))))</f>
        <v>0.784642610615868</v>
      </c>
      <c r="AB107" s="16" t="n">
        <f aca="false">IF(ABS(AB106-$B$11/$B$9*((MAX(0,MIN(1,AB106))^2/(MAX(0,MIN(1,AB106))^2+(1-MAX(0,MIN(1,AB106)))^2/$B$5))-(MAX(0,MIN(1,AA106))^2/(MAX(0,MIN(1,AA106))^2+(1-MAX(0,MIN(1,AA106)))^2/$B$5))))&lt;0.000000001,0,AB106-$B$11/$B$9*((MAX(0,MIN(1,AB106))^2/(MAX(0,MIN(1,AB106))^2+(1-MAX(0,MIN(1,AB106)))^2/$B$5))-(MAX(0,MIN(1,AA106))^2/(MAX(0,MIN(1,AA106))^2+(1-MAX(0,MIN(1,AA106)))^2/$B$5))))</f>
        <v>0.776455113500174</v>
      </c>
      <c r="AC107" s="16" t="n">
        <f aca="false">IF(ABS(AC106-$B$11/$B$9*((MAX(0,MIN(1,AC106))^2/(MAX(0,MIN(1,AC106))^2+(1-MAX(0,MIN(1,AC106)))^2/$B$5))-(MAX(0,MIN(1,AB106))^2/(MAX(0,MIN(1,AB106))^2+(1-MAX(0,MIN(1,AB106)))^2/$B$5))))&lt;0.000000001,0,AC106-$B$11/$B$9*((MAX(0,MIN(1,AC106))^2/(MAX(0,MIN(1,AC106))^2+(1-MAX(0,MIN(1,AC106)))^2/$B$5))-(MAX(0,MIN(1,AB106))^2/(MAX(0,MIN(1,AB106))^2+(1-MAX(0,MIN(1,AB106)))^2/$B$5))))</f>
        <v>0.768542071118915</v>
      </c>
      <c r="AD107" s="16" t="n">
        <f aca="false">IF(ABS(AD106-$B$11/$B$9*((MAX(0,MIN(1,AD106))^2/(MAX(0,MIN(1,AD106))^2+(1-MAX(0,MIN(1,AD106)))^2/$B$5))-(MAX(0,MIN(1,AC106))^2/(MAX(0,MIN(1,AC106))^2+(1-MAX(0,MIN(1,AC106)))^2/$B$5))))&lt;0.000000001,0,AD106-$B$11/$B$9*((MAX(0,MIN(1,AD106))^2/(MAX(0,MIN(1,AD106))^2+(1-MAX(0,MIN(1,AD106)))^2/$B$5))-(MAX(0,MIN(1,AC106))^2/(MAX(0,MIN(1,AC106))^2+(1-MAX(0,MIN(1,AC106)))^2/$B$5))))</f>
        <v>0.760879716937797</v>
      </c>
      <c r="AE107" s="16" t="n">
        <f aca="false">IF(ABS(AE106-$B$11/$B$9*((MAX(0,MIN(1,AE106))^2/(MAX(0,MIN(1,AE106))^2+(1-MAX(0,MIN(1,AE106)))^2/$B$5))-(MAX(0,MIN(1,AD106))^2/(MAX(0,MIN(1,AD106))^2+(1-MAX(0,MIN(1,AD106)))^2/$B$5))))&lt;0.000000001,0,AE106-$B$11/$B$9*((MAX(0,MIN(1,AE106))^2/(MAX(0,MIN(1,AE106))^2+(1-MAX(0,MIN(1,AE106)))^2/$B$5))-(MAX(0,MIN(1,AD106))^2/(MAX(0,MIN(1,AD106))^2+(1-MAX(0,MIN(1,AD106)))^2/$B$5))))</f>
        <v>0.753446931192313</v>
      </c>
      <c r="AF107" s="16" t="n">
        <f aca="false">IF(ABS(AF106-$B$11/$B$9*((MAX(0,MIN(1,AF106))^2/(MAX(0,MIN(1,AF106))^2+(1-MAX(0,MIN(1,AF106)))^2/$B$5))-(MAX(0,MIN(1,AE106))^2/(MAX(0,MIN(1,AE106))^2+(1-MAX(0,MIN(1,AE106)))^2/$B$5))))&lt;0.000000001,0,AF106-$B$11/$B$9*((MAX(0,MIN(1,AF106))^2/(MAX(0,MIN(1,AF106))^2+(1-MAX(0,MIN(1,AF106)))^2/$B$5))-(MAX(0,MIN(1,AE106))^2/(MAX(0,MIN(1,AE106))^2+(1-MAX(0,MIN(1,AE106)))^2/$B$5))))</f>
        <v>0.746224817783123</v>
      </c>
    </row>
    <row r="108" customFormat="false" ht="15" hidden="false" customHeight="false" outlineLevel="0" collapsed="false">
      <c r="L108" s="0" t="n">
        <v>98</v>
      </c>
      <c r="M108" s="16" t="n">
        <f aca="false">IF(ABS(M107-$B$11/$B$9*((MAX(0,MIN(1,M107))^2/(MAX(0,MIN(1,M107))^2+(1-MAX(0,MIN(1,M107)))^2/$B$5))-(MAX(0,MIN(1,1))^2/(MAX(0,MIN(1,1))^2+(1-MAX(0,MIN(1,1)))^2/$B$5))))&lt;0.000000001,0,M107-$B$11/$B$9*((MAX(0,MIN(1,M107))^2/(MAX(0,MIN(1,M107))^2+(1-MAX(0,MIN(1,M107)))^2/$B$5))-(MAX(0,MIN(1,1))^2/(MAX(0,MIN(1,1))^2+(1-MAX(0,MIN(1,1)))^2/$B$5))))</f>
        <v>0.96095610351401</v>
      </c>
      <c r="N108" s="16" t="n">
        <f aca="false">IF(ABS(N107-$B$11/$B$9*((MAX(0,MIN(1,N107))^2/(MAX(0,MIN(1,N107))^2+(1-MAX(0,MIN(1,N107)))^2/$B$5))-(MAX(0,MIN(1,M107))^2/(MAX(0,MIN(1,M107))^2+(1-MAX(0,MIN(1,M107)))^2/$B$5))))&lt;0.000000001,0,N107-$B$11/$B$9*((MAX(0,MIN(1,N107))^2/(MAX(0,MIN(1,N107))^2+(1-MAX(0,MIN(1,N107)))^2/$B$5))-(MAX(0,MIN(1,M107))^2/(MAX(0,MIN(1,M107))^2+(1-MAX(0,MIN(1,M107)))^2/$B$5))))</f>
        <v>0.939816969637786</v>
      </c>
      <c r="O108" s="16" t="n">
        <f aca="false">IF(ABS(O107-$B$11/$B$9*((MAX(0,MIN(1,O107))^2/(MAX(0,MIN(1,O107))^2+(1-MAX(0,MIN(1,O107)))^2/$B$5))-(MAX(0,MIN(1,N107))^2/(MAX(0,MIN(1,N107))^2+(1-MAX(0,MIN(1,N107)))^2/$B$5))))&lt;0.000000001,0,O107-$B$11/$B$9*((MAX(0,MIN(1,O107))^2/(MAX(0,MIN(1,O107))^2+(1-MAX(0,MIN(1,O107)))^2/$B$5))-(MAX(0,MIN(1,N107))^2/(MAX(0,MIN(1,N107))^2+(1-MAX(0,MIN(1,N107)))^2/$B$5))))</f>
        <v>0.921870056111772</v>
      </c>
      <c r="P108" s="16" t="n">
        <f aca="false">IF(ABS(P107-$B$11/$B$9*((MAX(0,MIN(1,P107))^2/(MAX(0,MIN(1,P107))^2+(1-MAX(0,MIN(1,P107)))^2/$B$5))-(MAX(0,MIN(1,O107))^2/(MAX(0,MIN(1,O107))^2+(1-MAX(0,MIN(1,O107)))^2/$B$5))))&lt;0.000000001,0,P107-$B$11/$B$9*((MAX(0,MIN(1,P107))^2/(MAX(0,MIN(1,P107))^2+(1-MAX(0,MIN(1,P107)))^2/$B$5))-(MAX(0,MIN(1,O107))^2/(MAX(0,MIN(1,O107))^2+(1-MAX(0,MIN(1,O107)))^2/$B$5))))</f>
        <v>0.905868251071474</v>
      </c>
      <c r="Q108" s="16" t="n">
        <f aca="false">IF(ABS(Q107-$B$11/$B$9*((MAX(0,MIN(1,Q107))^2/(MAX(0,MIN(1,Q107))^2+(1-MAX(0,MIN(1,Q107)))^2/$B$5))-(MAX(0,MIN(1,P107))^2/(MAX(0,MIN(1,P107))^2+(1-MAX(0,MIN(1,P107)))^2/$B$5))))&lt;0.000000001,0,Q107-$B$11/$B$9*((MAX(0,MIN(1,Q107))^2/(MAX(0,MIN(1,Q107))^2+(1-MAX(0,MIN(1,Q107)))^2/$B$5))-(MAX(0,MIN(1,P107))^2/(MAX(0,MIN(1,P107))^2+(1-MAX(0,MIN(1,P107)))^2/$B$5))))</f>
        <v>0.891286086376606</v>
      </c>
      <c r="R108" s="16" t="n">
        <f aca="false">IF(ABS(R107-$B$11/$B$9*((MAX(0,MIN(1,R107))^2/(MAX(0,MIN(1,R107))^2+(1-MAX(0,MIN(1,R107)))^2/$B$5))-(MAX(0,MIN(1,Q107))^2/(MAX(0,MIN(1,Q107))^2+(1-MAX(0,MIN(1,Q107)))^2/$B$5))))&lt;0.000000001,0,R107-$B$11/$B$9*((MAX(0,MIN(1,R107))^2/(MAX(0,MIN(1,R107))^2+(1-MAX(0,MIN(1,R107)))^2/$B$5))-(MAX(0,MIN(1,Q107))^2/(MAX(0,MIN(1,Q107))^2+(1-MAX(0,MIN(1,Q107)))^2/$B$5))))</f>
        <v>0.877822815975269</v>
      </c>
      <c r="S108" s="16" t="n">
        <f aca="false">IF(ABS(S107-$B$11/$B$9*((MAX(0,MIN(1,S107))^2/(MAX(0,MIN(1,S107))^2+(1-MAX(0,MIN(1,S107)))^2/$B$5))-(MAX(0,MIN(1,R107))^2/(MAX(0,MIN(1,R107))^2+(1-MAX(0,MIN(1,R107)))^2/$B$5))))&lt;0.000000001,0,S107-$B$11/$B$9*((MAX(0,MIN(1,S107))^2/(MAX(0,MIN(1,S107))^2+(1-MAX(0,MIN(1,S107)))^2/$B$5))-(MAX(0,MIN(1,R107))^2/(MAX(0,MIN(1,R107))^2+(1-MAX(0,MIN(1,R107)))^2/$B$5))))</f>
        <v>0.865279159802112</v>
      </c>
      <c r="T108" s="16" t="n">
        <f aca="false">IF(ABS(T107-$B$11/$B$9*((MAX(0,MIN(1,T107))^2/(MAX(0,MIN(1,T107))^2+(1-MAX(0,MIN(1,T107)))^2/$B$5))-(MAX(0,MIN(1,S107))^2/(MAX(0,MIN(1,S107))^2+(1-MAX(0,MIN(1,S107)))^2/$B$5))))&lt;0.000000001,0,T107-$B$11/$B$9*((MAX(0,MIN(1,T107))^2/(MAX(0,MIN(1,T107))^2+(1-MAX(0,MIN(1,T107)))^2/$B$5))-(MAX(0,MIN(1,S107))^2/(MAX(0,MIN(1,S107))^2+(1-MAX(0,MIN(1,S107)))^2/$B$5))))</f>
        <v>0.853511568631402</v>
      </c>
      <c r="U108" s="16" t="n">
        <f aca="false">IF(ABS(U107-$B$11/$B$9*((MAX(0,MIN(1,U107))^2/(MAX(0,MIN(1,U107))^2+(1-MAX(0,MIN(1,U107)))^2/$B$5))-(MAX(0,MIN(1,T107))^2/(MAX(0,MIN(1,T107))^2+(1-MAX(0,MIN(1,T107)))^2/$B$5))))&lt;0.000000001,0,U107-$B$11/$B$9*((MAX(0,MIN(1,U107))^2/(MAX(0,MIN(1,U107))^2+(1-MAX(0,MIN(1,U107)))^2/$B$5))-(MAX(0,MIN(1,T107))^2/(MAX(0,MIN(1,T107))^2+(1-MAX(0,MIN(1,T107)))^2/$B$5))))</f>
        <v>0.842411013065243</v>
      </c>
      <c r="V108" s="16" t="n">
        <f aca="false">IF(ABS(V107-$B$11/$B$9*((MAX(0,MIN(1,V107))^2/(MAX(0,MIN(1,V107))^2+(1-MAX(0,MIN(1,V107)))^2/$B$5))-(MAX(0,MIN(1,U107))^2/(MAX(0,MIN(1,U107))^2+(1-MAX(0,MIN(1,U107)))^2/$B$5))))&lt;0.000000001,0,V107-$B$11/$B$9*((MAX(0,MIN(1,V107))^2/(MAX(0,MIN(1,V107))^2+(1-MAX(0,MIN(1,V107)))^2/$B$5))-(MAX(0,MIN(1,U107))^2/(MAX(0,MIN(1,U107))^2+(1-MAX(0,MIN(1,U107)))^2/$B$5))))</f>
        <v>0.831891619187488</v>
      </c>
      <c r="W108" s="16" t="n">
        <f aca="false">IF(ABS(W107-$B$11/$B$9*((MAX(0,MIN(1,W107))^2/(MAX(0,MIN(1,W107))^2+(1-MAX(0,MIN(1,W107)))^2/$B$5))-(MAX(0,MIN(1,V107))^2/(MAX(0,MIN(1,V107))^2+(1-MAX(0,MIN(1,V107)))^2/$B$5))))&lt;0.000000001,0,W107-$B$11/$B$9*((MAX(0,MIN(1,W107))^2/(MAX(0,MIN(1,W107))^2+(1-MAX(0,MIN(1,W107)))^2/$B$5))-(MAX(0,MIN(1,V107))^2/(MAX(0,MIN(1,V107))^2+(1-MAX(0,MIN(1,V107)))^2/$B$5))))</f>
        <v>0.821883936526613</v>
      </c>
      <c r="X108" s="16" t="n">
        <f aca="false">IF(ABS(X107-$B$11/$B$9*((MAX(0,MIN(1,X107))^2/(MAX(0,MIN(1,X107))^2+(1-MAX(0,MIN(1,X107)))^2/$B$5))-(MAX(0,MIN(1,W107))^2/(MAX(0,MIN(1,W107))^2+(1-MAX(0,MIN(1,W107)))^2/$B$5))))&lt;0.000000001,0,X107-$B$11/$B$9*((MAX(0,MIN(1,X107))^2/(MAX(0,MIN(1,X107))^2+(1-MAX(0,MIN(1,X107)))^2/$B$5))-(MAX(0,MIN(1,W107))^2/(MAX(0,MIN(1,W107))^2+(1-MAX(0,MIN(1,W107)))^2/$B$5))))</f>
        <v>0.812330647703046</v>
      </c>
      <c r="Y108" s="16" t="n">
        <f aca="false">IF(ABS(Y107-$B$11/$B$9*((MAX(0,MIN(1,Y107))^2/(MAX(0,MIN(1,Y107))^2+(1-MAX(0,MIN(1,Y107)))^2/$B$5))-(MAX(0,MIN(1,X107))^2/(MAX(0,MIN(1,X107))^2+(1-MAX(0,MIN(1,X107)))^2/$B$5))))&lt;0.000000001,0,Y107-$B$11/$B$9*((MAX(0,MIN(1,Y107))^2/(MAX(0,MIN(1,Y107))^2+(1-MAX(0,MIN(1,Y107)))^2/$B$5))-(MAX(0,MIN(1,X107))^2/(MAX(0,MIN(1,X107))^2+(1-MAX(0,MIN(1,X107)))^2/$B$5))))</f>
        <v>0.803183679629518</v>
      </c>
      <c r="Z108" s="16" t="n">
        <f aca="false">IF(ABS(Z107-$B$11/$B$9*((MAX(0,MIN(1,Z107))^2/(MAX(0,MIN(1,Z107))^2+(1-MAX(0,MIN(1,Z107)))^2/$B$5))-(MAX(0,MIN(1,Y107))^2/(MAX(0,MIN(1,Y107))^2+(1-MAX(0,MIN(1,Y107)))^2/$B$5))))&lt;0.000000001,0,Z107-$B$11/$B$9*((MAX(0,MIN(1,Z107))^2/(MAX(0,MIN(1,Z107))^2+(1-MAX(0,MIN(1,Z107)))^2/$B$5))-(MAX(0,MIN(1,Y107))^2/(MAX(0,MIN(1,Y107))^2+(1-MAX(0,MIN(1,Y107)))^2/$B$5))))</f>
        <v>0.794402173925773</v>
      </c>
      <c r="AA108" s="16" t="n">
        <f aca="false">IF(ABS(AA107-$B$11/$B$9*((MAX(0,MIN(1,AA107))^2/(MAX(0,MIN(1,AA107))^2+(1-MAX(0,MIN(1,AA107)))^2/$B$5))-(MAX(0,MIN(1,Z107))^2/(MAX(0,MIN(1,Z107))^2+(1-MAX(0,MIN(1,Z107)))^2/$B$5))))&lt;0.000000001,0,AA107-$B$11/$B$9*((MAX(0,MIN(1,AA107))^2/(MAX(0,MIN(1,AA107))^2+(1-MAX(0,MIN(1,AA107)))^2/$B$5))-(MAX(0,MIN(1,Z107))^2/(MAX(0,MIN(1,Z107))^2+(1-MAX(0,MIN(1,Z107)))^2/$B$5))))</f>
        <v>0.785951012100149</v>
      </c>
      <c r="AB108" s="16" t="n">
        <f aca="false">IF(ABS(AB107-$B$11/$B$9*((MAX(0,MIN(1,AB107))^2/(MAX(0,MIN(1,AB107))^2+(1-MAX(0,MIN(1,AB107)))^2/$B$5))-(MAX(0,MIN(1,AA107))^2/(MAX(0,MIN(1,AA107))^2+(1-MAX(0,MIN(1,AA107)))^2/$B$5))))&lt;0.000000001,0,AB107-$B$11/$B$9*((MAX(0,MIN(1,AB107))^2/(MAX(0,MIN(1,AB107))^2+(1-MAX(0,MIN(1,AB107)))^2/$B$5))-(MAX(0,MIN(1,AA107))^2/(MAX(0,MIN(1,AA107))^2+(1-MAX(0,MIN(1,AA107)))^2/$B$5))))</f>
        <v>0.77779971412245</v>
      </c>
      <c r="AC108" s="16" t="n">
        <f aca="false">IF(ABS(AC107-$B$11/$B$9*((MAX(0,MIN(1,AC107))^2/(MAX(0,MIN(1,AC107))^2+(1-MAX(0,MIN(1,AC107)))^2/$B$5))-(MAX(0,MIN(1,AB107))^2/(MAX(0,MIN(1,AB107))^2+(1-MAX(0,MIN(1,AB107)))^2/$B$5))))&lt;0.000000001,0,AC107-$B$11/$B$9*((MAX(0,MIN(1,AC107))^2/(MAX(0,MIN(1,AC107))^2+(1-MAX(0,MIN(1,AC107)))^2/$B$5))-(MAX(0,MIN(1,AB107))^2/(MAX(0,MIN(1,AB107))^2+(1-MAX(0,MIN(1,AB107)))^2/$B$5))))</f>
        <v>0.769921596938448</v>
      </c>
      <c r="AD108" s="16" t="n">
        <f aca="false">IF(ABS(AD107-$B$11/$B$9*((MAX(0,MIN(1,AD107))^2/(MAX(0,MIN(1,AD107))^2+(1-MAX(0,MIN(1,AD107)))^2/$B$5))-(MAX(0,MIN(1,AC107))^2/(MAX(0,MIN(1,AC107))^2+(1-MAX(0,MIN(1,AC107)))^2/$B$5))))&lt;0.000000001,0,AD107-$B$11/$B$9*((MAX(0,MIN(1,AD107))^2/(MAX(0,MIN(1,AD107))^2+(1-MAX(0,MIN(1,AD107)))^2/$B$5))-(MAX(0,MIN(1,AC107))^2/(MAX(0,MIN(1,AC107))^2+(1-MAX(0,MIN(1,AC107)))^2/$B$5))))</f>
        <v>0.762293119028623</v>
      </c>
      <c r="AE108" s="16" t="n">
        <f aca="false">IF(ABS(AE107-$B$11/$B$9*((MAX(0,MIN(1,AE107))^2/(MAX(0,MIN(1,AE107))^2+(1-MAX(0,MIN(1,AE107)))^2/$B$5))-(MAX(0,MIN(1,AD107))^2/(MAX(0,MIN(1,AD107))^2+(1-MAX(0,MIN(1,AD107)))^2/$B$5))))&lt;0.000000001,0,AE107-$B$11/$B$9*((MAX(0,MIN(1,AE107))^2/(MAX(0,MIN(1,AE107))^2+(1-MAX(0,MIN(1,AE107)))^2/$B$5))-(MAX(0,MIN(1,AD107))^2/(MAX(0,MIN(1,AD107))^2+(1-MAX(0,MIN(1,AD107)))^2/$B$5))))</f>
        <v>0.754893361200074</v>
      </c>
      <c r="AF108" s="16" t="n">
        <f aca="false">IF(ABS(AF107-$B$11/$B$9*((MAX(0,MIN(1,AF107))^2/(MAX(0,MIN(1,AF107))^2+(1-MAX(0,MIN(1,AF107)))^2/$B$5))-(MAX(0,MIN(1,AE107))^2/(MAX(0,MIN(1,AE107))^2+(1-MAX(0,MIN(1,AE107)))^2/$B$5))))&lt;0.000000001,0,AF107-$B$11/$B$9*((MAX(0,MIN(1,AF107))^2/(MAX(0,MIN(1,AF107))^2+(1-MAX(0,MIN(1,AF107)))^2/$B$5))-(MAX(0,MIN(1,AE107))^2/(MAX(0,MIN(1,AE107))^2+(1-MAX(0,MIN(1,AE107)))^2/$B$5))))</f>
        <v>0.747703609032632</v>
      </c>
    </row>
    <row r="109" customFormat="false" ht="15" hidden="false" customHeight="false" outlineLevel="0" collapsed="false">
      <c r="L109" s="0" t="n">
        <v>99</v>
      </c>
      <c r="M109" s="16" t="n">
        <f aca="false">IF(ABS(M108-$B$11/$B$9*((MAX(0,MIN(1,M108))^2/(MAX(0,MIN(1,M108))^2+(1-MAX(0,MIN(1,M108)))^2/$B$5))-(MAX(0,MIN(1,1))^2/(MAX(0,MIN(1,1))^2+(1-MAX(0,MIN(1,1)))^2/$B$5))))&lt;0.000000001,0,M108-$B$11/$B$9*((MAX(0,MIN(1,M108))^2/(MAX(0,MIN(1,M108))^2+(1-MAX(0,MIN(1,M108)))^2/$B$5))-(MAX(0,MIN(1,1))^2/(MAX(0,MIN(1,1))^2+(1-MAX(0,MIN(1,1)))^2/$B$5))))</f>
        <v>0.961273237422679</v>
      </c>
      <c r="N109" s="16" t="n">
        <f aca="false">IF(ABS(N108-$B$11/$B$9*((MAX(0,MIN(1,N108))^2/(MAX(0,MIN(1,N108))^2+(1-MAX(0,MIN(1,N108)))^2/$B$5))-(MAX(0,MIN(1,M108))^2/(MAX(0,MIN(1,M108))^2+(1-MAX(0,MIN(1,M108)))^2/$B$5))))&lt;0.000000001,0,N108-$B$11/$B$9*((MAX(0,MIN(1,N108))^2/(MAX(0,MIN(1,N108))^2+(1-MAX(0,MIN(1,N108)))^2/$B$5))-(MAX(0,MIN(1,M108))^2/(MAX(0,MIN(1,M108))^2+(1-MAX(0,MIN(1,M108)))^2/$B$5))))</f>
        <v>0.940286652818036</v>
      </c>
      <c r="O109" s="16" t="n">
        <f aca="false">IF(ABS(O108-$B$11/$B$9*((MAX(0,MIN(1,O108))^2/(MAX(0,MIN(1,O108))^2+(1-MAX(0,MIN(1,O108)))^2/$B$5))-(MAX(0,MIN(1,N108))^2/(MAX(0,MIN(1,N108))^2+(1-MAX(0,MIN(1,N108)))^2/$B$5))))&lt;0.000000001,0,O108-$B$11/$B$9*((MAX(0,MIN(1,O108))^2/(MAX(0,MIN(1,O108))^2+(1-MAX(0,MIN(1,O108)))^2/$B$5))-(MAX(0,MIN(1,N108))^2/(MAX(0,MIN(1,N108))^2+(1-MAX(0,MIN(1,N108)))^2/$B$5))))</f>
        <v>0.922459308832261</v>
      </c>
      <c r="P109" s="16" t="n">
        <f aca="false">IF(ABS(P108-$B$11/$B$9*((MAX(0,MIN(1,P108))^2/(MAX(0,MIN(1,P108))^2+(1-MAX(0,MIN(1,P108)))^2/$B$5))-(MAX(0,MIN(1,O108))^2/(MAX(0,MIN(1,O108))^2+(1-MAX(0,MIN(1,O108)))^2/$B$5))))&lt;0.000000001,0,P108-$B$11/$B$9*((MAX(0,MIN(1,P108))^2/(MAX(0,MIN(1,P108))^2+(1-MAX(0,MIN(1,P108)))^2/$B$5))-(MAX(0,MIN(1,O108))^2/(MAX(0,MIN(1,O108))^2+(1-MAX(0,MIN(1,O108)))^2/$B$5))))</f>
        <v>0.906557112203775</v>
      </c>
      <c r="Q109" s="16" t="n">
        <f aca="false">IF(ABS(Q108-$B$11/$B$9*((MAX(0,MIN(1,Q108))^2/(MAX(0,MIN(1,Q108))^2+(1-MAX(0,MIN(1,Q108)))^2/$B$5))-(MAX(0,MIN(1,P108))^2/(MAX(0,MIN(1,P108))^2+(1-MAX(0,MIN(1,P108)))^2/$B$5))))&lt;0.000000001,0,Q108-$B$11/$B$9*((MAX(0,MIN(1,Q108))^2/(MAX(0,MIN(1,Q108))^2+(1-MAX(0,MIN(1,Q108)))^2/$B$5))-(MAX(0,MIN(1,P108))^2/(MAX(0,MIN(1,P108))^2+(1-MAX(0,MIN(1,P108)))^2/$B$5))))</f>
        <v>0.892060506592279</v>
      </c>
      <c r="R109" s="16" t="n">
        <f aca="false">IF(ABS(R108-$B$11/$B$9*((MAX(0,MIN(1,R108))^2/(MAX(0,MIN(1,R108))^2+(1-MAX(0,MIN(1,R108)))^2/$B$5))-(MAX(0,MIN(1,Q108))^2/(MAX(0,MIN(1,Q108))^2+(1-MAX(0,MIN(1,Q108)))^2/$B$5))))&lt;0.000000001,0,R108-$B$11/$B$9*((MAX(0,MIN(1,R108))^2/(MAX(0,MIN(1,R108))^2+(1-MAX(0,MIN(1,R108)))^2/$B$5))-(MAX(0,MIN(1,Q108))^2/(MAX(0,MIN(1,Q108))^2+(1-MAX(0,MIN(1,Q108)))^2/$B$5))))</f>
        <v>0.878672238677864</v>
      </c>
      <c r="S109" s="16" t="n">
        <f aca="false">IF(ABS(S108-$B$11/$B$9*((MAX(0,MIN(1,S108))^2/(MAX(0,MIN(1,S108))^2+(1-MAX(0,MIN(1,S108)))^2/$B$5))-(MAX(0,MIN(1,R108))^2/(MAX(0,MIN(1,R108))^2+(1-MAX(0,MIN(1,R108)))^2/$B$5))))&lt;0.000000001,0,S108-$B$11/$B$9*((MAX(0,MIN(1,S108))^2/(MAX(0,MIN(1,S108))^2+(1-MAX(0,MIN(1,S108)))^2/$B$5))-(MAX(0,MIN(1,R108))^2/(MAX(0,MIN(1,R108))^2+(1-MAX(0,MIN(1,R108)))^2/$B$5))))</f>
        <v>0.866195353495571</v>
      </c>
      <c r="T109" s="16" t="n">
        <f aca="false">IF(ABS(T108-$B$11/$B$9*((MAX(0,MIN(1,T108))^2/(MAX(0,MIN(1,T108))^2+(1-MAX(0,MIN(1,T108)))^2/$B$5))-(MAX(0,MIN(1,S108))^2/(MAX(0,MIN(1,S108))^2+(1-MAX(0,MIN(1,S108)))^2/$B$5))))&lt;0.000000001,0,T108-$B$11/$B$9*((MAX(0,MIN(1,T108))^2/(MAX(0,MIN(1,T108))^2+(1-MAX(0,MIN(1,T108)))^2/$B$5))-(MAX(0,MIN(1,S108))^2/(MAX(0,MIN(1,S108))^2+(1-MAX(0,MIN(1,S108)))^2/$B$5))))</f>
        <v>0.854487957810234</v>
      </c>
      <c r="U109" s="16" t="n">
        <f aca="false">IF(ABS(U108-$B$11/$B$9*((MAX(0,MIN(1,U108))^2/(MAX(0,MIN(1,U108))^2+(1-MAX(0,MIN(1,U108)))^2/$B$5))-(MAX(0,MIN(1,T108))^2/(MAX(0,MIN(1,T108))^2+(1-MAX(0,MIN(1,T108)))^2/$B$5))))&lt;0.000000001,0,U108-$B$11/$B$9*((MAX(0,MIN(1,U108))^2/(MAX(0,MIN(1,U108))^2+(1-MAX(0,MIN(1,U108)))^2/$B$5))-(MAX(0,MIN(1,T108))^2/(MAX(0,MIN(1,T108))^2+(1-MAX(0,MIN(1,T108)))^2/$B$5))))</f>
        <v>0.843442254641948</v>
      </c>
      <c r="V109" s="16" t="n">
        <f aca="false">IF(ABS(V108-$B$11/$B$9*((MAX(0,MIN(1,V108))^2/(MAX(0,MIN(1,V108))^2+(1-MAX(0,MIN(1,V108)))^2/$B$5))-(MAX(0,MIN(1,U108))^2/(MAX(0,MIN(1,U108))^2+(1-MAX(0,MIN(1,U108)))^2/$B$5))))&lt;0.000000001,0,V108-$B$11/$B$9*((MAX(0,MIN(1,V108))^2/(MAX(0,MIN(1,V108))^2+(1-MAX(0,MIN(1,V108)))^2/$B$5))-(MAX(0,MIN(1,U108))^2/(MAX(0,MIN(1,U108))^2+(1-MAX(0,MIN(1,U108)))^2/$B$5))))</f>
        <v>0.832973316657997</v>
      </c>
      <c r="W109" s="16" t="n">
        <f aca="false">IF(ABS(W108-$B$11/$B$9*((MAX(0,MIN(1,W108))^2/(MAX(0,MIN(1,W108))^2+(1-MAX(0,MIN(1,W108)))^2/$B$5))-(MAX(0,MIN(1,V108))^2/(MAX(0,MIN(1,V108))^2+(1-MAX(0,MIN(1,V108)))^2/$B$5))))&lt;0.000000001,0,W108-$B$11/$B$9*((MAX(0,MIN(1,W108))^2/(MAX(0,MIN(1,W108))^2+(1-MAX(0,MIN(1,W108)))^2/$B$5))-(MAX(0,MIN(1,V108))^2/(MAX(0,MIN(1,V108))^2+(1-MAX(0,MIN(1,V108)))^2/$B$5))))</f>
        <v>0.823012438377623</v>
      </c>
      <c r="X109" s="16" t="n">
        <f aca="false">IF(ABS(X108-$B$11/$B$9*((MAX(0,MIN(1,X108))^2/(MAX(0,MIN(1,X108))^2+(1-MAX(0,MIN(1,X108)))^2/$B$5))-(MAX(0,MIN(1,W108))^2/(MAX(0,MIN(1,W108))^2+(1-MAX(0,MIN(1,W108)))^2/$B$5))))&lt;0.000000001,0,X108-$B$11/$B$9*((MAX(0,MIN(1,X108))^2/(MAX(0,MIN(1,X108))^2+(1-MAX(0,MIN(1,X108)))^2/$B$5))-(MAX(0,MIN(1,W108))^2/(MAX(0,MIN(1,W108))^2+(1-MAX(0,MIN(1,W108)))^2/$B$5))))</f>
        <v>0.813502900584268</v>
      </c>
      <c r="Y109" s="16" t="n">
        <f aca="false">IF(ABS(Y108-$B$11/$B$9*((MAX(0,MIN(1,Y108))^2/(MAX(0,MIN(1,Y108))^2+(1-MAX(0,MIN(1,Y108)))^2/$B$5))-(MAX(0,MIN(1,X108))^2/(MAX(0,MIN(1,X108))^2+(1-MAX(0,MIN(1,X108)))^2/$B$5))))&lt;0.000000001,0,Y108-$B$11/$B$9*((MAX(0,MIN(1,Y108))^2/(MAX(0,MIN(1,Y108))^2+(1-MAX(0,MIN(1,Y108)))^2/$B$5))-(MAX(0,MIN(1,X108))^2/(MAX(0,MIN(1,X108))^2+(1-MAX(0,MIN(1,X108)))^2/$B$5))))</f>
        <v>0.804397118781046</v>
      </c>
      <c r="Z109" s="16" t="n">
        <f aca="false">IF(ABS(Z108-$B$11/$B$9*((MAX(0,MIN(1,Z108))^2/(MAX(0,MIN(1,Z108))^2+(1-MAX(0,MIN(1,Z108)))^2/$B$5))-(MAX(0,MIN(1,Y108))^2/(MAX(0,MIN(1,Y108))^2+(1-MAX(0,MIN(1,Y108)))^2/$B$5))))&lt;0.000000001,0,Z108-$B$11/$B$9*((MAX(0,MIN(1,Z108))^2/(MAX(0,MIN(1,Z108))^2+(1-MAX(0,MIN(1,Z108)))^2/$B$5))-(MAX(0,MIN(1,Y108))^2/(MAX(0,MIN(1,Y108))^2+(1-MAX(0,MIN(1,Y108)))^2/$B$5))))</f>
        <v>0.795654639862465</v>
      </c>
      <c r="AA109" s="16" t="n">
        <f aca="false">IF(ABS(AA108-$B$11/$B$9*((MAX(0,MIN(1,AA108))^2/(MAX(0,MIN(1,AA108))^2+(1-MAX(0,MIN(1,AA108)))^2/$B$5))-(MAX(0,MIN(1,Z108))^2/(MAX(0,MIN(1,Z108))^2+(1-MAX(0,MIN(1,Z108)))^2/$B$5))))&lt;0.000000001,0,AA108-$B$11/$B$9*((MAX(0,MIN(1,AA108))^2/(MAX(0,MIN(1,AA108))^2+(1-MAX(0,MIN(1,AA108)))^2/$B$5))-(MAX(0,MIN(1,Z108))^2/(MAX(0,MIN(1,Z108))^2+(1-MAX(0,MIN(1,Z108)))^2/$B$5))))</f>
        <v>0.787240686344687</v>
      </c>
      <c r="AB109" s="16" t="n">
        <f aca="false">IF(ABS(AB108-$B$11/$B$9*((MAX(0,MIN(1,AB108))^2/(MAX(0,MIN(1,AB108))^2+(1-MAX(0,MIN(1,AB108)))^2/$B$5))-(MAX(0,MIN(1,AA108))^2/(MAX(0,MIN(1,AA108))^2+(1-MAX(0,MIN(1,AA108)))^2/$B$5))))&lt;0.000000001,0,AB108-$B$11/$B$9*((MAX(0,MIN(1,AB108))^2/(MAX(0,MIN(1,AB108))^2+(1-MAX(0,MIN(1,AB108)))^2/$B$5))-(MAX(0,MIN(1,AA108))^2/(MAX(0,MIN(1,AA108))^2+(1-MAX(0,MIN(1,AA108)))^2/$B$5))))</f>
        <v>0.779125069104504</v>
      </c>
      <c r="AC109" s="16" t="n">
        <f aca="false">IF(ABS(AC108-$B$11/$B$9*((MAX(0,MIN(1,AC108))^2/(MAX(0,MIN(1,AC108))^2+(1-MAX(0,MIN(1,AC108)))^2/$B$5))-(MAX(0,MIN(1,AB108))^2/(MAX(0,MIN(1,AB108))^2+(1-MAX(0,MIN(1,AB108)))^2/$B$5))))&lt;0.000000001,0,AC108-$B$11/$B$9*((MAX(0,MIN(1,AC108))^2/(MAX(0,MIN(1,AC108))^2+(1-MAX(0,MIN(1,AC108)))^2/$B$5))-(MAX(0,MIN(1,AB108))^2/(MAX(0,MIN(1,AB108))^2+(1-MAX(0,MIN(1,AB108)))^2/$B$5))))</f>
        <v>0.771281356667465</v>
      </c>
      <c r="AD109" s="16" t="n">
        <f aca="false">IF(ABS(AD108-$B$11/$B$9*((MAX(0,MIN(1,AD108))^2/(MAX(0,MIN(1,AD108))^2+(1-MAX(0,MIN(1,AD108)))^2/$B$5))-(MAX(0,MIN(1,AC108))^2/(MAX(0,MIN(1,AC108))^2+(1-MAX(0,MIN(1,AC108)))^2/$B$5))))&lt;0.000000001,0,AD108-$B$11/$B$9*((MAX(0,MIN(1,AD108))^2/(MAX(0,MIN(1,AD108))^2+(1-MAX(0,MIN(1,AD108)))^2/$B$5))-(MAX(0,MIN(1,AC108))^2/(MAX(0,MIN(1,AC108))^2+(1-MAX(0,MIN(1,AC108)))^2/$B$5))))</f>
        <v>0.76368622813793</v>
      </c>
      <c r="AE109" s="16" t="n">
        <f aca="false">IF(ABS(AE108-$B$11/$B$9*((MAX(0,MIN(1,AE108))^2/(MAX(0,MIN(1,AE108))^2+(1-MAX(0,MIN(1,AE108)))^2/$B$5))-(MAX(0,MIN(1,AD108))^2/(MAX(0,MIN(1,AD108))^2+(1-MAX(0,MIN(1,AD108)))^2/$B$5))))&lt;0.000000001,0,AE108-$B$11/$B$9*((MAX(0,MIN(1,AE108))^2/(MAX(0,MIN(1,AE108))^2+(1-MAX(0,MIN(1,AE108)))^2/$B$5))-(MAX(0,MIN(1,AD108))^2/(MAX(0,MIN(1,AD108))^2+(1-MAX(0,MIN(1,AD108)))^2/$B$5))))</f>
        <v>0.756318960639687</v>
      </c>
      <c r="AF109" s="16" t="n">
        <f aca="false">IF(ABS(AF108-$B$11/$B$9*((MAX(0,MIN(1,AF108))^2/(MAX(0,MIN(1,AF108))^2+(1-MAX(0,MIN(1,AF108)))^2/$B$5))-(MAX(0,MIN(1,AE108))^2/(MAX(0,MIN(1,AE108))^2+(1-MAX(0,MIN(1,AE108)))^2/$B$5))))&lt;0.000000001,0,AF108-$B$11/$B$9*((MAX(0,MIN(1,AF108))^2/(MAX(0,MIN(1,AF108))^2+(1-MAX(0,MIN(1,AF108)))^2/$B$5))-(MAX(0,MIN(1,AE108))^2/(MAX(0,MIN(1,AE108))^2+(1-MAX(0,MIN(1,AE108)))^2/$B$5))))</f>
        <v>0.749161017169508</v>
      </c>
    </row>
    <row r="110" customFormat="false" ht="15" hidden="false" customHeight="false" outlineLevel="0" collapsed="false">
      <c r="L110" s="0" t="n">
        <v>100</v>
      </c>
      <c r="M110" s="16" t="n">
        <f aca="false">IF(ABS(M109-$B$11/$B$9*((MAX(0,MIN(1,M109))^2/(MAX(0,MIN(1,M109))^2+(1-MAX(0,MIN(1,M109)))^2/$B$5))-(MAX(0,MIN(1,1))^2/(MAX(0,MIN(1,1))^2+(1-MAX(0,MIN(1,1)))^2/$B$5))))&lt;0.000000001,0,M109-$B$11/$B$9*((MAX(0,MIN(1,M109))^2/(MAX(0,MIN(1,M109))^2+(1-MAX(0,MIN(1,M109)))^2/$B$5))-(MAX(0,MIN(1,1))^2/(MAX(0,MIN(1,1))^2+(1-MAX(0,MIN(1,1)))^2/$B$5))))</f>
        <v>0.961585038911516</v>
      </c>
      <c r="N110" s="16" t="n">
        <f aca="false">IF(ABS(N109-$B$11/$B$9*((MAX(0,MIN(1,N109))^2/(MAX(0,MIN(1,N109))^2+(1-MAX(0,MIN(1,N109)))^2/$B$5))-(MAX(0,MIN(1,M109))^2/(MAX(0,MIN(1,M109))^2+(1-MAX(0,MIN(1,M109)))^2/$B$5))))&lt;0.000000001,0,N109-$B$11/$B$9*((MAX(0,MIN(1,N109))^2/(MAX(0,MIN(1,N109))^2+(1-MAX(0,MIN(1,N109)))^2/$B$5))-(MAX(0,MIN(1,M109))^2/(MAX(0,MIN(1,M109))^2+(1-MAX(0,MIN(1,M109)))^2/$B$5))))</f>
        <v>0.940748687854147</v>
      </c>
      <c r="O110" s="16" t="n">
        <f aca="false">IF(ABS(O109-$B$11/$B$9*((MAX(0,MIN(1,O109))^2/(MAX(0,MIN(1,O109))^2+(1-MAX(0,MIN(1,O109)))^2/$B$5))-(MAX(0,MIN(1,N109))^2/(MAX(0,MIN(1,N109))^2+(1-MAX(0,MIN(1,N109)))^2/$B$5))))&lt;0.000000001,0,O109-$B$11/$B$9*((MAX(0,MIN(1,O109))^2/(MAX(0,MIN(1,O109))^2+(1-MAX(0,MIN(1,O109)))^2/$B$5))-(MAX(0,MIN(1,N109))^2/(MAX(0,MIN(1,N109))^2+(1-MAX(0,MIN(1,N109)))^2/$B$5))))</f>
        <v>0.923039211707463</v>
      </c>
      <c r="P110" s="16" t="n">
        <f aca="false">IF(ABS(P109-$B$11/$B$9*((MAX(0,MIN(1,P109))^2/(MAX(0,MIN(1,P109))^2+(1-MAX(0,MIN(1,P109)))^2/$B$5))-(MAX(0,MIN(1,O109))^2/(MAX(0,MIN(1,O109))^2+(1-MAX(0,MIN(1,O109)))^2/$B$5))))&lt;0.000000001,0,P109-$B$11/$B$9*((MAX(0,MIN(1,P109))^2/(MAX(0,MIN(1,P109))^2+(1-MAX(0,MIN(1,P109)))^2/$B$5))-(MAX(0,MIN(1,O109))^2/(MAX(0,MIN(1,O109))^2+(1-MAX(0,MIN(1,O109)))^2/$B$5))))</f>
        <v>0.907235276029954</v>
      </c>
      <c r="Q110" s="16" t="n">
        <f aca="false">IF(ABS(Q109-$B$11/$B$9*((MAX(0,MIN(1,Q109))^2/(MAX(0,MIN(1,Q109))^2+(1-MAX(0,MIN(1,Q109)))^2/$B$5))-(MAX(0,MIN(1,P109))^2/(MAX(0,MIN(1,P109))^2+(1-MAX(0,MIN(1,P109)))^2/$B$5))))&lt;0.000000001,0,Q109-$B$11/$B$9*((MAX(0,MIN(1,Q109))^2/(MAX(0,MIN(1,Q109))^2+(1-MAX(0,MIN(1,Q109)))^2/$B$5))-(MAX(0,MIN(1,P109))^2/(MAX(0,MIN(1,P109))^2+(1-MAX(0,MIN(1,P109)))^2/$B$5))))</f>
        <v>0.892823117045167</v>
      </c>
      <c r="R110" s="16" t="n">
        <f aca="false">IF(ABS(R109-$B$11/$B$9*((MAX(0,MIN(1,R109))^2/(MAX(0,MIN(1,R109))^2+(1-MAX(0,MIN(1,R109)))^2/$B$5))-(MAX(0,MIN(1,Q109))^2/(MAX(0,MIN(1,Q109))^2+(1-MAX(0,MIN(1,Q109)))^2/$B$5))))&lt;0.000000001,0,R109-$B$11/$B$9*((MAX(0,MIN(1,R109))^2/(MAX(0,MIN(1,R109))^2+(1-MAX(0,MIN(1,R109)))^2/$B$5))-(MAX(0,MIN(1,Q109))^2/(MAX(0,MIN(1,Q109))^2+(1-MAX(0,MIN(1,Q109)))^2/$B$5))))</f>
        <v>0.87950890492634</v>
      </c>
      <c r="S110" s="16" t="n">
        <f aca="false">IF(ABS(S109-$B$11/$B$9*((MAX(0,MIN(1,S109))^2/(MAX(0,MIN(1,S109))^2+(1-MAX(0,MIN(1,S109)))^2/$B$5))-(MAX(0,MIN(1,R109))^2/(MAX(0,MIN(1,R109))^2+(1-MAX(0,MIN(1,R109)))^2/$B$5))))&lt;0.000000001,0,S109-$B$11/$B$9*((MAX(0,MIN(1,S109))^2/(MAX(0,MIN(1,S109))^2+(1-MAX(0,MIN(1,S109)))^2/$B$5))-(MAX(0,MIN(1,R109))^2/(MAX(0,MIN(1,R109))^2+(1-MAX(0,MIN(1,R109)))^2/$B$5))))</f>
        <v>0.867097965041278</v>
      </c>
      <c r="T110" s="16" t="n">
        <f aca="false">IF(ABS(T109-$B$11/$B$9*((MAX(0,MIN(1,T109))^2/(MAX(0,MIN(1,T109))^2+(1-MAX(0,MIN(1,T109)))^2/$B$5))-(MAX(0,MIN(1,S109))^2/(MAX(0,MIN(1,S109))^2+(1-MAX(0,MIN(1,S109)))^2/$B$5))))&lt;0.000000001,0,T109-$B$11/$B$9*((MAX(0,MIN(1,T109))^2/(MAX(0,MIN(1,T109))^2+(1-MAX(0,MIN(1,T109)))^2/$B$5))-(MAX(0,MIN(1,S109))^2/(MAX(0,MIN(1,S109))^2+(1-MAX(0,MIN(1,S109)))^2/$B$5))))</f>
        <v>0.855450029303687</v>
      </c>
      <c r="U110" s="16" t="n">
        <f aca="false">IF(ABS(U109-$B$11/$B$9*((MAX(0,MIN(1,U109))^2/(MAX(0,MIN(1,U109))^2+(1-MAX(0,MIN(1,U109)))^2/$B$5))-(MAX(0,MIN(1,T109))^2/(MAX(0,MIN(1,T109))^2+(1-MAX(0,MIN(1,T109)))^2/$B$5))))&lt;0.000000001,0,U109-$B$11/$B$9*((MAX(0,MIN(1,U109))^2/(MAX(0,MIN(1,U109))^2+(1-MAX(0,MIN(1,U109)))^2/$B$5))-(MAX(0,MIN(1,T109))^2/(MAX(0,MIN(1,T109))^2+(1-MAX(0,MIN(1,T109)))^2/$B$5))))</f>
        <v>0.844458510948756</v>
      </c>
      <c r="V110" s="16" t="n">
        <f aca="false">IF(ABS(V109-$B$11/$B$9*((MAX(0,MIN(1,V109))^2/(MAX(0,MIN(1,V109))^2+(1-MAX(0,MIN(1,V109)))^2/$B$5))-(MAX(0,MIN(1,U109))^2/(MAX(0,MIN(1,U109))^2+(1-MAX(0,MIN(1,U109)))^2/$B$5))))&lt;0.000000001,0,V109-$B$11/$B$9*((MAX(0,MIN(1,V109))^2/(MAX(0,MIN(1,V109))^2+(1-MAX(0,MIN(1,V109)))^2/$B$5))-(MAX(0,MIN(1,U109))^2/(MAX(0,MIN(1,U109))^2+(1-MAX(0,MIN(1,U109)))^2/$B$5))))</f>
        <v>0.834039412687853</v>
      </c>
      <c r="W110" s="16" t="n">
        <f aca="false">IF(ABS(W109-$B$11/$B$9*((MAX(0,MIN(1,W109))^2/(MAX(0,MIN(1,W109))^2+(1-MAX(0,MIN(1,W109)))^2/$B$5))-(MAX(0,MIN(1,V109))^2/(MAX(0,MIN(1,V109))^2+(1-MAX(0,MIN(1,V109)))^2/$B$5))))&lt;0.000000001,0,W109-$B$11/$B$9*((MAX(0,MIN(1,W109))^2/(MAX(0,MIN(1,W109))^2+(1-MAX(0,MIN(1,W109)))^2/$B$5))-(MAX(0,MIN(1,V109))^2/(MAX(0,MIN(1,V109))^2+(1-MAX(0,MIN(1,V109)))^2/$B$5))))</f>
        <v>0.824124761348018</v>
      </c>
      <c r="X110" s="16" t="n">
        <f aca="false">IF(ABS(X109-$B$11/$B$9*((MAX(0,MIN(1,X109))^2/(MAX(0,MIN(1,X109))^2+(1-MAX(0,MIN(1,X109)))^2/$B$5))-(MAX(0,MIN(1,W109))^2/(MAX(0,MIN(1,W109))^2+(1-MAX(0,MIN(1,W109)))^2/$B$5))))&lt;0.000000001,0,X109-$B$11/$B$9*((MAX(0,MIN(1,X109))^2/(MAX(0,MIN(1,X109))^2+(1-MAX(0,MIN(1,X109)))^2/$B$5))-(MAX(0,MIN(1,W109))^2/(MAX(0,MIN(1,W109))^2+(1-MAX(0,MIN(1,W109)))^2/$B$5))))</f>
        <v>0.814658425889301</v>
      </c>
      <c r="Y110" s="16" t="n">
        <f aca="false">IF(ABS(Y109-$B$11/$B$9*((MAX(0,MIN(1,Y109))^2/(MAX(0,MIN(1,Y109))^2+(1-MAX(0,MIN(1,Y109)))^2/$B$5))-(MAX(0,MIN(1,X109))^2/(MAX(0,MIN(1,X109))^2+(1-MAX(0,MIN(1,X109)))^2/$B$5))))&lt;0.000000001,0,Y109-$B$11/$B$9*((MAX(0,MIN(1,Y109))^2/(MAX(0,MIN(1,Y109))^2+(1-MAX(0,MIN(1,Y109)))^2/$B$5))-(MAX(0,MIN(1,X109))^2/(MAX(0,MIN(1,X109))^2+(1-MAX(0,MIN(1,X109)))^2/$B$5))))</f>
        <v>0.8055933023384</v>
      </c>
      <c r="Z110" s="16" t="n">
        <f aca="false">IF(ABS(Z109-$B$11/$B$9*((MAX(0,MIN(1,Z109))^2/(MAX(0,MIN(1,Z109))^2+(1-MAX(0,MIN(1,Z109)))^2/$B$5))-(MAX(0,MIN(1,Y109))^2/(MAX(0,MIN(1,Y109))^2+(1-MAX(0,MIN(1,Y109)))^2/$B$5))))&lt;0.000000001,0,Z109-$B$11/$B$9*((MAX(0,MIN(1,Z109))^2/(MAX(0,MIN(1,Z109))^2+(1-MAX(0,MIN(1,Z109)))^2/$B$5))-(MAX(0,MIN(1,Y109))^2/(MAX(0,MIN(1,Y109))^2+(1-MAX(0,MIN(1,Y109)))^2/$B$5))))</f>
        <v>0.796889336177709</v>
      </c>
      <c r="AA110" s="16" t="n">
        <f aca="false">IF(ABS(AA109-$B$11/$B$9*((MAX(0,MIN(1,AA109))^2/(MAX(0,MIN(1,AA109))^2+(1-MAX(0,MIN(1,AA109)))^2/$B$5))-(MAX(0,MIN(1,Z109))^2/(MAX(0,MIN(1,Z109))^2+(1-MAX(0,MIN(1,Z109)))^2/$B$5))))&lt;0.000000001,0,AA109-$B$11/$B$9*((MAX(0,MIN(1,AA109))^2/(MAX(0,MIN(1,AA109))^2+(1-MAX(0,MIN(1,AA109)))^2/$B$5))-(MAX(0,MIN(1,Z109))^2/(MAX(0,MIN(1,Z109))^2+(1-MAX(0,MIN(1,Z109)))^2/$B$5))))</f>
        <v>0.788512085236736</v>
      </c>
      <c r="AB110" s="16" t="n">
        <f aca="false">IF(ABS(AB109-$B$11/$B$9*((MAX(0,MIN(1,AB109))^2/(MAX(0,MIN(1,AB109))^2+(1-MAX(0,MIN(1,AB109)))^2/$B$5))-(MAX(0,MIN(1,AA109))^2/(MAX(0,MIN(1,AA109))^2+(1-MAX(0,MIN(1,AA109)))^2/$B$5))))&lt;0.000000001,0,AB109-$B$11/$B$9*((MAX(0,MIN(1,AB109))^2/(MAX(0,MIN(1,AB109))^2+(1-MAX(0,MIN(1,AB109)))^2/$B$5))-(MAX(0,MIN(1,AA109))^2/(MAX(0,MIN(1,AA109))^2+(1-MAX(0,MIN(1,AA109)))^2/$B$5))))</f>
        <v>0.78043164630945</v>
      </c>
      <c r="AC110" s="16" t="n">
        <f aca="false">IF(ABS(AC109-$B$11/$B$9*((MAX(0,MIN(1,AC109))^2/(MAX(0,MIN(1,AC109))^2+(1-MAX(0,MIN(1,AC109)))^2/$B$5))-(MAX(0,MIN(1,AB109))^2/(MAX(0,MIN(1,AB109))^2+(1-MAX(0,MIN(1,AB109)))^2/$B$5))))&lt;0.000000001,0,AC109-$B$11/$B$9*((MAX(0,MIN(1,AC109))^2/(MAX(0,MIN(1,AC109))^2+(1-MAX(0,MIN(1,AC109)))^2/$B$5))-(MAX(0,MIN(1,AB109))^2/(MAX(0,MIN(1,AB109))^2+(1-MAX(0,MIN(1,AB109)))^2/$B$5))))</f>
        <v>0.772621834994402</v>
      </c>
      <c r="AD110" s="16" t="n">
        <f aca="false">IF(ABS(AD109-$B$11/$B$9*((MAX(0,MIN(1,AD109))^2/(MAX(0,MIN(1,AD109))^2+(1-MAX(0,MIN(1,AD109)))^2/$B$5))-(MAX(0,MIN(1,AC109))^2/(MAX(0,MIN(1,AC109))^2+(1-MAX(0,MIN(1,AC109)))^2/$B$5))))&lt;0.000000001,0,AD109-$B$11/$B$9*((MAX(0,MIN(1,AD109))^2/(MAX(0,MIN(1,AD109))^2+(1-MAX(0,MIN(1,AD109)))^2/$B$5))-(MAX(0,MIN(1,AC109))^2/(MAX(0,MIN(1,AC109))^2+(1-MAX(0,MIN(1,AC109)))^2/$B$5))))</f>
        <v>0.76505954681795</v>
      </c>
      <c r="AE110" s="16" t="n">
        <f aca="false">IF(ABS(AE109-$B$11/$B$9*((MAX(0,MIN(1,AE109))^2/(MAX(0,MIN(1,AE109))^2+(1-MAX(0,MIN(1,AE109)))^2/$B$5))-(MAX(0,MIN(1,AD109))^2/(MAX(0,MIN(1,AD109))^2+(1-MAX(0,MIN(1,AD109)))^2/$B$5))))&lt;0.000000001,0,AE109-$B$11/$B$9*((MAX(0,MIN(1,AE109))^2/(MAX(0,MIN(1,AE109))^2+(1-MAX(0,MIN(1,AE109)))^2/$B$5))-(MAX(0,MIN(1,AD109))^2/(MAX(0,MIN(1,AD109))^2+(1-MAX(0,MIN(1,AD109)))^2/$B$5))))</f>
        <v>0.757724251173</v>
      </c>
      <c r="AF110" s="16" t="n">
        <f aca="false">IF(ABS(AF109-$B$11/$B$9*((MAX(0,MIN(1,AF109))^2/(MAX(0,MIN(1,AF109))^2+(1-MAX(0,MIN(1,AF109)))^2/$B$5))-(MAX(0,MIN(1,AE109))^2/(MAX(0,MIN(1,AE109))^2+(1-MAX(0,MIN(1,AE109)))^2/$B$5))))&lt;0.000000001,0,AF109-$B$11/$B$9*((MAX(0,MIN(1,AF109))^2/(MAX(0,MIN(1,AF109))^2+(1-MAX(0,MIN(1,AF109)))^2/$B$5))-(MAX(0,MIN(1,AE109))^2/(MAX(0,MIN(1,AE109))^2+(1-MAX(0,MIN(1,AE109)))^2/$B$5))))</f>
        <v>0.75059758444503</v>
      </c>
    </row>
    <row r="111" customFormat="false" ht="15" hidden="false" customHeight="false" outlineLevel="0" collapsed="false">
      <c r="L111" s="0" t="n">
        <v>101</v>
      </c>
      <c r="M111" s="16" t="n">
        <f aca="false">IF(ABS(M110-$B$11/$B$9*((MAX(0,MIN(1,M110))^2/(MAX(0,MIN(1,M110))^2+(1-MAX(0,MIN(1,M110)))^2/$B$5))-(MAX(0,MIN(1,1))^2/(MAX(0,MIN(1,1))^2+(1-MAX(0,MIN(1,1)))^2/$B$5))))&lt;0.000000001,0,M110-$B$11/$B$9*((MAX(0,MIN(1,M110))^2/(MAX(0,MIN(1,M110))^2+(1-MAX(0,MIN(1,M110)))^2/$B$5))-(MAX(0,MIN(1,1))^2/(MAX(0,MIN(1,1))^2+(1-MAX(0,MIN(1,1)))^2/$B$5))))</f>
        <v>0.961891644999413</v>
      </c>
      <c r="N111" s="16" t="n">
        <f aca="false">IF(ABS(N110-$B$11/$B$9*((MAX(0,MIN(1,N110))^2/(MAX(0,MIN(1,N110))^2+(1-MAX(0,MIN(1,N110)))^2/$B$5))-(MAX(0,MIN(1,M110))^2/(MAX(0,MIN(1,M110))^2+(1-MAX(0,MIN(1,M110)))^2/$B$5))))&lt;0.000000001,0,N110-$B$11/$B$9*((MAX(0,MIN(1,N110))^2/(MAX(0,MIN(1,N110))^2+(1-MAX(0,MIN(1,N110)))^2/$B$5))-(MAX(0,MIN(1,M110))^2/(MAX(0,MIN(1,M110))^2+(1-MAX(0,MIN(1,M110)))^2/$B$5))))</f>
        <v>0.941203266300749</v>
      </c>
      <c r="O111" s="16" t="n">
        <f aca="false">IF(ABS(O110-$B$11/$B$9*((MAX(0,MIN(1,O110))^2/(MAX(0,MIN(1,O110))^2+(1-MAX(0,MIN(1,O110)))^2/$B$5))-(MAX(0,MIN(1,N110))^2/(MAX(0,MIN(1,N110))^2+(1-MAX(0,MIN(1,N110)))^2/$B$5))))&lt;0.000000001,0,O110-$B$11/$B$9*((MAX(0,MIN(1,O110))^2/(MAX(0,MIN(1,O110))^2+(1-MAX(0,MIN(1,O110)))^2/$B$5))-(MAX(0,MIN(1,N110))^2/(MAX(0,MIN(1,N110))^2+(1-MAX(0,MIN(1,N110)))^2/$B$5))))</f>
        <v>0.923609994458962</v>
      </c>
      <c r="P111" s="16" t="n">
        <f aca="false">IF(ABS(P110-$B$11/$B$9*((MAX(0,MIN(1,P110))^2/(MAX(0,MIN(1,P110))^2+(1-MAX(0,MIN(1,P110)))^2/$B$5))-(MAX(0,MIN(1,O110))^2/(MAX(0,MIN(1,O110))^2+(1-MAX(0,MIN(1,O110)))^2/$B$5))))&lt;0.000000001,0,P110-$B$11/$B$9*((MAX(0,MIN(1,P110))^2/(MAX(0,MIN(1,P110))^2+(1-MAX(0,MIN(1,P110)))^2/$B$5))-(MAX(0,MIN(1,O110))^2/(MAX(0,MIN(1,O110))^2+(1-MAX(0,MIN(1,O110)))^2/$B$5))))</f>
        <v>0.907903001541197</v>
      </c>
      <c r="Q111" s="16" t="n">
        <f aca="false">IF(ABS(Q110-$B$11/$B$9*((MAX(0,MIN(1,Q110))^2/(MAX(0,MIN(1,Q110))^2+(1-MAX(0,MIN(1,Q110)))^2/$B$5))-(MAX(0,MIN(1,P110))^2/(MAX(0,MIN(1,P110))^2+(1-MAX(0,MIN(1,P110)))^2/$B$5))))&lt;0.000000001,0,Q110-$B$11/$B$9*((MAX(0,MIN(1,Q110))^2/(MAX(0,MIN(1,Q110))^2+(1-MAX(0,MIN(1,Q110)))^2/$B$5))-(MAX(0,MIN(1,P110))^2/(MAX(0,MIN(1,P110))^2+(1-MAX(0,MIN(1,P110)))^2/$B$5))))</f>
        <v>0.893574200472596</v>
      </c>
      <c r="R111" s="16" t="n">
        <f aca="false">IF(ABS(R110-$B$11/$B$9*((MAX(0,MIN(1,R110))^2/(MAX(0,MIN(1,R110))^2+(1-MAX(0,MIN(1,R110)))^2/$B$5))-(MAX(0,MIN(1,Q110))^2/(MAX(0,MIN(1,Q110))^2+(1-MAX(0,MIN(1,Q110)))^2/$B$5))))&lt;0.000000001,0,R110-$B$11/$B$9*((MAX(0,MIN(1,R110))^2/(MAX(0,MIN(1,R110))^2+(1-MAX(0,MIN(1,R110)))^2/$B$5))-(MAX(0,MIN(1,Q110))^2/(MAX(0,MIN(1,Q110))^2+(1-MAX(0,MIN(1,Q110)))^2/$B$5))))</f>
        <v>0.880333117579569</v>
      </c>
      <c r="S111" s="16" t="n">
        <f aca="false">IF(ABS(S110-$B$11/$B$9*((MAX(0,MIN(1,S110))^2/(MAX(0,MIN(1,S110))^2+(1-MAX(0,MIN(1,S110)))^2/$B$5))-(MAX(0,MIN(1,R110))^2/(MAX(0,MIN(1,R110))^2+(1-MAX(0,MIN(1,R110)))^2/$B$5))))&lt;0.000000001,0,S110-$B$11/$B$9*((MAX(0,MIN(1,S110))^2/(MAX(0,MIN(1,S110))^2+(1-MAX(0,MIN(1,S110)))^2/$B$5))-(MAX(0,MIN(1,R110))^2/(MAX(0,MIN(1,R110))^2+(1-MAX(0,MIN(1,R110)))^2/$B$5))))</f>
        <v>0.867987314981596</v>
      </c>
      <c r="T111" s="16" t="n">
        <f aca="false">IF(ABS(T110-$B$11/$B$9*((MAX(0,MIN(1,T110))^2/(MAX(0,MIN(1,T110))^2+(1-MAX(0,MIN(1,T110)))^2/$B$5))-(MAX(0,MIN(1,S110))^2/(MAX(0,MIN(1,S110))^2+(1-MAX(0,MIN(1,S110)))^2/$B$5))))&lt;0.000000001,0,T110-$B$11/$B$9*((MAX(0,MIN(1,T110))^2/(MAX(0,MIN(1,T110))^2+(1-MAX(0,MIN(1,T110)))^2/$B$5))-(MAX(0,MIN(1,S110))^2/(MAX(0,MIN(1,S110))^2+(1-MAX(0,MIN(1,S110)))^2/$B$5))))</f>
        <v>0.856398119691837</v>
      </c>
      <c r="U111" s="16" t="n">
        <f aca="false">IF(ABS(U110-$B$11/$B$9*((MAX(0,MIN(1,U110))^2/(MAX(0,MIN(1,U110))^2+(1-MAX(0,MIN(1,U110)))^2/$B$5))-(MAX(0,MIN(1,T110))^2/(MAX(0,MIN(1,T110))^2+(1-MAX(0,MIN(1,T110)))^2/$B$5))))&lt;0.000000001,0,U110-$B$11/$B$9*((MAX(0,MIN(1,U110))^2/(MAX(0,MIN(1,U110))^2+(1-MAX(0,MIN(1,U110)))^2/$B$5))-(MAX(0,MIN(1,T110))^2/(MAX(0,MIN(1,T110))^2+(1-MAX(0,MIN(1,T110)))^2/$B$5))))</f>
        <v>0.845460133514119</v>
      </c>
      <c r="V111" s="16" t="n">
        <f aca="false">IF(ABS(V110-$B$11/$B$9*((MAX(0,MIN(1,V110))^2/(MAX(0,MIN(1,V110))^2+(1-MAX(0,MIN(1,V110)))^2/$B$5))-(MAX(0,MIN(1,U110))^2/(MAX(0,MIN(1,U110))^2+(1-MAX(0,MIN(1,U110)))^2/$B$5))))&lt;0.000000001,0,V110-$B$11/$B$9*((MAX(0,MIN(1,V110))^2/(MAX(0,MIN(1,V110))^2+(1-MAX(0,MIN(1,V110)))^2/$B$5))-(MAX(0,MIN(1,U110))^2/(MAX(0,MIN(1,U110))^2+(1-MAX(0,MIN(1,U110)))^2/$B$5))))</f>
        <v>0.835090273073002</v>
      </c>
      <c r="W111" s="16" t="n">
        <f aca="false">IF(ABS(W110-$B$11/$B$9*((MAX(0,MIN(1,W110))^2/(MAX(0,MIN(1,W110))^2+(1-MAX(0,MIN(1,W110)))^2/$B$5))-(MAX(0,MIN(1,V110))^2/(MAX(0,MIN(1,V110))^2+(1-MAX(0,MIN(1,V110)))^2/$B$5))))&lt;0.000000001,0,W110-$B$11/$B$9*((MAX(0,MIN(1,W110))^2/(MAX(0,MIN(1,W110))^2+(1-MAX(0,MIN(1,W110)))^2/$B$5))-(MAX(0,MIN(1,V110))^2/(MAX(0,MIN(1,V110))^2+(1-MAX(0,MIN(1,V110)))^2/$B$5))))</f>
        <v>0.825221285133183</v>
      </c>
      <c r="X111" s="16" t="n">
        <f aca="false">IF(ABS(X110-$B$11/$B$9*((MAX(0,MIN(1,X110))^2/(MAX(0,MIN(1,X110))^2+(1-MAX(0,MIN(1,X110)))^2/$B$5))-(MAX(0,MIN(1,W110))^2/(MAX(0,MIN(1,W110))^2+(1-MAX(0,MIN(1,W110)))^2/$B$5))))&lt;0.000000001,0,X110-$B$11/$B$9*((MAX(0,MIN(1,X110))^2/(MAX(0,MIN(1,X110))^2+(1-MAX(0,MIN(1,X110)))^2/$B$5))-(MAX(0,MIN(1,W110))^2/(MAX(0,MIN(1,W110))^2+(1-MAX(0,MIN(1,W110)))^2/$B$5))))</f>
        <v>0.815797617095148</v>
      </c>
      <c r="Y111" s="16" t="n">
        <f aca="false">IF(ABS(Y110-$B$11/$B$9*((MAX(0,MIN(1,Y110))^2/(MAX(0,MIN(1,Y110))^2+(1-MAX(0,MIN(1,Y110)))^2/$B$5))-(MAX(0,MIN(1,X110))^2/(MAX(0,MIN(1,X110))^2+(1-MAX(0,MIN(1,X110)))^2/$B$5))))&lt;0.000000001,0,Y110-$B$11/$B$9*((MAX(0,MIN(1,Y110))^2/(MAX(0,MIN(1,Y110))^2+(1-MAX(0,MIN(1,Y110)))^2/$B$5))-(MAX(0,MIN(1,X110))^2/(MAX(0,MIN(1,X110))^2+(1-MAX(0,MIN(1,X110)))^2/$B$5))))</f>
        <v>0.8067726376519</v>
      </c>
      <c r="Z111" s="16" t="n">
        <f aca="false">IF(ABS(Z110-$B$11/$B$9*((MAX(0,MIN(1,Z110))^2/(MAX(0,MIN(1,Z110))^2+(1-MAX(0,MIN(1,Z110)))^2/$B$5))-(MAX(0,MIN(1,Y110))^2/(MAX(0,MIN(1,Y110))^2+(1-MAX(0,MIN(1,Y110)))^2/$B$5))))&lt;0.000000001,0,Z110-$B$11/$B$9*((MAX(0,MIN(1,Z110))^2/(MAX(0,MIN(1,Z110))^2+(1-MAX(0,MIN(1,Z110)))^2/$B$5))-(MAX(0,MIN(1,Y110))^2/(MAX(0,MIN(1,Y110))^2+(1-MAX(0,MIN(1,Y110)))^2/$B$5))))</f>
        <v>0.79810668437089</v>
      </c>
      <c r="AA111" s="16" t="n">
        <f aca="false">IF(ABS(AA110-$B$11/$B$9*((MAX(0,MIN(1,AA110))^2/(MAX(0,MIN(1,AA110))^2+(1-MAX(0,MIN(1,AA110)))^2/$B$5))-(MAX(0,MIN(1,Z110))^2/(MAX(0,MIN(1,Z110))^2+(1-MAX(0,MIN(1,Z110)))^2/$B$5))))&lt;0.000000001,0,AA110-$B$11/$B$9*((MAX(0,MIN(1,AA110))^2/(MAX(0,MIN(1,AA110))^2+(1-MAX(0,MIN(1,AA110)))^2/$B$5))-(MAX(0,MIN(1,Z110))^2/(MAX(0,MIN(1,Z110))^2+(1-MAX(0,MIN(1,Z110)))^2/$B$5))))</f>
        <v>0.789765644870279</v>
      </c>
      <c r="AB111" s="16" t="n">
        <f aca="false">IF(ABS(AB110-$B$11/$B$9*((MAX(0,MIN(1,AB110))^2/(MAX(0,MIN(1,AB110))^2+(1-MAX(0,MIN(1,AB110)))^2/$B$5))-(MAX(0,MIN(1,AA110))^2/(MAX(0,MIN(1,AA110))^2+(1-MAX(0,MIN(1,AA110)))^2/$B$5))))&lt;0.000000001,0,AB110-$B$11/$B$9*((MAX(0,MIN(1,AB110))^2/(MAX(0,MIN(1,AB110))^2+(1-MAX(0,MIN(1,AB110)))^2/$B$5))-(MAX(0,MIN(1,AA110))^2/(MAX(0,MIN(1,AA110))^2+(1-MAX(0,MIN(1,AA110)))^2/$B$5))))</f>
        <v>0.781719897035682</v>
      </c>
      <c r="AC111" s="16" t="n">
        <f aca="false">IF(ABS(AC110-$B$11/$B$9*((MAX(0,MIN(1,AC110))^2/(MAX(0,MIN(1,AC110))^2+(1-MAX(0,MIN(1,AC110)))^2/$B$5))-(MAX(0,MIN(1,AB110))^2/(MAX(0,MIN(1,AB110))^2+(1-MAX(0,MIN(1,AB110)))^2/$B$5))))&lt;0.000000001,0,AC110-$B$11/$B$9*((MAX(0,MIN(1,AC110))^2/(MAX(0,MIN(1,AC110))^2+(1-MAX(0,MIN(1,AC110)))^2/$B$5))-(MAX(0,MIN(1,AB110))^2/(MAX(0,MIN(1,AB110))^2+(1-MAX(0,MIN(1,AB110)))^2/$B$5))))</f>
        <v>0.773943499198094</v>
      </c>
      <c r="AD111" s="16" t="n">
        <f aca="false">IF(ABS(AD110-$B$11/$B$9*((MAX(0,MIN(1,AD110))^2/(MAX(0,MIN(1,AD110))^2+(1-MAX(0,MIN(1,AD110)))^2/$B$5))-(MAX(0,MIN(1,AC110))^2/(MAX(0,MIN(1,AC110))^2+(1-MAX(0,MIN(1,AC110)))^2/$B$5))))&lt;0.000000001,0,AD110-$B$11/$B$9*((MAX(0,MIN(1,AD110))^2/(MAX(0,MIN(1,AD110))^2+(1-MAX(0,MIN(1,AD110)))^2/$B$5))-(MAX(0,MIN(1,AC110))^2/(MAX(0,MIN(1,AC110))^2+(1-MAX(0,MIN(1,AC110)))^2/$B$5))))</f>
        <v>0.766413559279017</v>
      </c>
      <c r="AE111" s="16" t="n">
        <f aca="false">IF(ABS(AE110-$B$11/$B$9*((MAX(0,MIN(1,AE110))^2/(MAX(0,MIN(1,AE110))^2+(1-MAX(0,MIN(1,AE110)))^2/$B$5))-(MAX(0,MIN(1,AD110))^2/(MAX(0,MIN(1,AD110))^2+(1-MAX(0,MIN(1,AD110)))^2/$B$5))))&lt;0.000000001,0,AE110-$B$11/$B$9*((MAX(0,MIN(1,AE110))^2/(MAX(0,MIN(1,AE110))^2+(1-MAX(0,MIN(1,AE110)))^2/$B$5))-(MAX(0,MIN(1,AD110))^2/(MAX(0,MIN(1,AD110))^2+(1-MAX(0,MIN(1,AD110)))^2/$B$5))))</f>
        <v>0.759109735083623</v>
      </c>
      <c r="AF111" s="16" t="n">
        <f aca="false">IF(ABS(AF110-$B$11/$B$9*((MAX(0,MIN(1,AF110))^2/(MAX(0,MIN(1,AF110))^2+(1-MAX(0,MIN(1,AF110)))^2/$B$5))-(MAX(0,MIN(1,AE110))^2/(MAX(0,MIN(1,AE110))^2+(1-MAX(0,MIN(1,AE110)))^2/$B$5))))&lt;0.000000001,0,AF110-$B$11/$B$9*((MAX(0,MIN(1,AF110))^2/(MAX(0,MIN(1,AF110))^2+(1-MAX(0,MIN(1,AF110)))^2/$B$5))-(MAX(0,MIN(1,AE110))^2/(MAX(0,MIN(1,AE110))^2+(1-MAX(0,MIN(1,AE110)))^2/$B$5))))</f>
        <v>0.752013832571748</v>
      </c>
    </row>
    <row r="112" customFormat="false" ht="15" hidden="false" customHeight="false" outlineLevel="0" collapsed="false">
      <c r="L112" s="0" t="n">
        <v>102</v>
      </c>
      <c r="M112" s="16" t="n">
        <f aca="false">IF(ABS(M111-$B$11/$B$9*((MAX(0,MIN(1,M111))^2/(MAX(0,MIN(1,M111))^2+(1-MAX(0,MIN(1,M111)))^2/$B$5))-(MAX(0,MIN(1,1))^2/(MAX(0,MIN(1,1))^2+(1-MAX(0,MIN(1,1)))^2/$B$5))))&lt;0.000000001,0,M111-$B$11/$B$9*((MAX(0,MIN(1,M111))^2/(MAX(0,MIN(1,M111))^2+(1-MAX(0,MIN(1,M111)))^2/$B$5))-(MAX(0,MIN(1,1))^2/(MAX(0,MIN(1,1))^2+(1-MAX(0,MIN(1,1)))^2/$B$5))))</f>
        <v>0.962193187961288</v>
      </c>
      <c r="N112" s="16" t="n">
        <f aca="false">IF(ABS(N111-$B$11/$B$9*((MAX(0,MIN(1,N111))^2/(MAX(0,MIN(1,N111))^2+(1-MAX(0,MIN(1,N111)))^2/$B$5))-(MAX(0,MIN(1,M111))^2/(MAX(0,MIN(1,M111))^2+(1-MAX(0,MIN(1,M111)))^2/$B$5))))&lt;0.000000001,0,N111-$B$11/$B$9*((MAX(0,MIN(1,N111))^2/(MAX(0,MIN(1,N111))^2+(1-MAX(0,MIN(1,N111)))^2/$B$5))-(MAX(0,MIN(1,M111))^2/(MAX(0,MIN(1,M111))^2+(1-MAX(0,MIN(1,M111)))^2/$B$5))))</f>
        <v>0.941650573214097</v>
      </c>
      <c r="O112" s="16" t="n">
        <f aca="false">IF(ABS(O111-$B$11/$B$9*((MAX(0,MIN(1,O111))^2/(MAX(0,MIN(1,O111))^2+(1-MAX(0,MIN(1,O111)))^2/$B$5))-(MAX(0,MIN(1,N111))^2/(MAX(0,MIN(1,N111))^2+(1-MAX(0,MIN(1,N111)))^2/$B$5))))&lt;0.000000001,0,O111-$B$11/$B$9*((MAX(0,MIN(1,O111))^2/(MAX(0,MIN(1,O111))^2+(1-MAX(0,MIN(1,O111)))^2/$B$5))-(MAX(0,MIN(1,N111))^2/(MAX(0,MIN(1,N111))^2+(1-MAX(0,MIN(1,N111)))^2/$B$5))))</f>
        <v>0.924171879122769</v>
      </c>
      <c r="P112" s="16" t="n">
        <f aca="false">IF(ABS(P111-$B$11/$B$9*((MAX(0,MIN(1,P111))^2/(MAX(0,MIN(1,P111))^2+(1-MAX(0,MIN(1,P111)))^2/$B$5))-(MAX(0,MIN(1,O111))^2/(MAX(0,MIN(1,O111))^2+(1-MAX(0,MIN(1,O111)))^2/$B$5))))&lt;0.000000001,0,P111-$B$11/$B$9*((MAX(0,MIN(1,P111))^2/(MAX(0,MIN(1,P111))^2+(1-MAX(0,MIN(1,P111)))^2/$B$5))-(MAX(0,MIN(1,O111))^2/(MAX(0,MIN(1,O111))^2+(1-MAX(0,MIN(1,O111)))^2/$B$5))))</f>
        <v>0.908560539144938</v>
      </c>
      <c r="Q112" s="16" t="n">
        <f aca="false">IF(ABS(Q111-$B$11/$B$9*((MAX(0,MIN(1,Q111))^2/(MAX(0,MIN(1,Q111))^2+(1-MAX(0,MIN(1,Q111)))^2/$B$5))-(MAX(0,MIN(1,P111))^2/(MAX(0,MIN(1,P111))^2+(1-MAX(0,MIN(1,P111)))^2/$B$5))))&lt;0.000000001,0,Q111-$B$11/$B$9*((MAX(0,MIN(1,Q111))^2/(MAX(0,MIN(1,Q111))^2+(1-MAX(0,MIN(1,Q111)))^2/$B$5))-(MAX(0,MIN(1,P111))^2/(MAX(0,MIN(1,P111))^2+(1-MAX(0,MIN(1,P111)))^2/$B$5))))</f>
        <v>0.894314030296685</v>
      </c>
      <c r="R112" s="16" t="n">
        <f aca="false">IF(ABS(R111-$B$11/$B$9*((MAX(0,MIN(1,R111))^2/(MAX(0,MIN(1,R111))^2+(1-MAX(0,MIN(1,R111)))^2/$B$5))-(MAX(0,MIN(1,Q111))^2/(MAX(0,MIN(1,Q111))^2+(1-MAX(0,MIN(1,Q111)))^2/$B$5))))&lt;0.000000001,0,R111-$B$11/$B$9*((MAX(0,MIN(1,R111))^2/(MAX(0,MIN(1,R111))^2+(1-MAX(0,MIN(1,R111)))^2/$B$5))-(MAX(0,MIN(1,Q111))^2/(MAX(0,MIN(1,Q111))^2+(1-MAX(0,MIN(1,Q111)))^2/$B$5))))</f>
        <v>0.881145169549855</v>
      </c>
      <c r="S112" s="16" t="n">
        <f aca="false">IF(ABS(S111-$B$11/$B$9*((MAX(0,MIN(1,S111))^2/(MAX(0,MIN(1,S111))^2+(1-MAX(0,MIN(1,S111)))^2/$B$5))-(MAX(0,MIN(1,R111))^2/(MAX(0,MIN(1,R111))^2+(1-MAX(0,MIN(1,R111)))^2/$B$5))))&lt;0.000000001,0,S111-$B$11/$B$9*((MAX(0,MIN(1,S111))^2/(MAX(0,MIN(1,S111))^2+(1-MAX(0,MIN(1,S111)))^2/$B$5))-(MAX(0,MIN(1,R111))^2/(MAX(0,MIN(1,R111))^2+(1-MAX(0,MIN(1,R111)))^2/$B$5))))</f>
        <v>0.868863713340609</v>
      </c>
      <c r="T112" s="16" t="n">
        <f aca="false">IF(ABS(T111-$B$11/$B$9*((MAX(0,MIN(1,T111))^2/(MAX(0,MIN(1,T111))^2+(1-MAX(0,MIN(1,T111)))^2/$B$5))-(MAX(0,MIN(1,S111))^2/(MAX(0,MIN(1,S111))^2+(1-MAX(0,MIN(1,S111)))^2/$B$5))))&lt;0.000000001,0,T111-$B$11/$B$9*((MAX(0,MIN(1,T111))^2/(MAX(0,MIN(1,T111))^2+(1-MAX(0,MIN(1,T111)))^2/$B$5))-(MAX(0,MIN(1,S111))^2/(MAX(0,MIN(1,S111))^2+(1-MAX(0,MIN(1,S111)))^2/$B$5))))</f>
        <v>0.857332554497886</v>
      </c>
      <c r="U112" s="16" t="n">
        <f aca="false">IF(ABS(U111-$B$11/$B$9*((MAX(0,MIN(1,U111))^2/(MAX(0,MIN(1,U111))^2+(1-MAX(0,MIN(1,U111)))^2/$B$5))-(MAX(0,MIN(1,T111))^2/(MAX(0,MIN(1,T111))^2+(1-MAX(0,MIN(1,T111)))^2/$B$5))))&lt;0.000000001,0,U111-$B$11/$B$9*((MAX(0,MIN(1,U111))^2/(MAX(0,MIN(1,U111))^2+(1-MAX(0,MIN(1,U111)))^2/$B$5))-(MAX(0,MIN(1,T111))^2/(MAX(0,MIN(1,T111))^2+(1-MAX(0,MIN(1,T111)))^2/$B$5))))</f>
        <v>0.846447462285569</v>
      </c>
      <c r="V112" s="16" t="n">
        <f aca="false">IF(ABS(V111-$B$11/$B$9*((MAX(0,MIN(1,V111))^2/(MAX(0,MIN(1,V111))^2+(1-MAX(0,MIN(1,V111)))^2/$B$5))-(MAX(0,MIN(1,U111))^2/(MAX(0,MIN(1,U111))^2+(1-MAX(0,MIN(1,U111)))^2/$B$5))))&lt;0.000000001,0,V111-$B$11/$B$9*((MAX(0,MIN(1,V111))^2/(MAX(0,MIN(1,V111))^2+(1-MAX(0,MIN(1,V111)))^2/$B$5))-(MAX(0,MIN(1,U111))^2/(MAX(0,MIN(1,U111))^2+(1-MAX(0,MIN(1,U111)))^2/$B$5))))</f>
        <v>0.836126251505089</v>
      </c>
      <c r="W112" s="16" t="n">
        <f aca="false">IF(ABS(W111-$B$11/$B$9*((MAX(0,MIN(1,W111))^2/(MAX(0,MIN(1,W111))^2+(1-MAX(0,MIN(1,W111)))^2/$B$5))-(MAX(0,MIN(1,V111))^2/(MAX(0,MIN(1,V111))^2+(1-MAX(0,MIN(1,V111)))^2/$B$5))))&lt;0.000000001,0,W111-$B$11/$B$9*((MAX(0,MIN(1,W111))^2/(MAX(0,MIN(1,W111))^2+(1-MAX(0,MIN(1,W111)))^2/$B$5))-(MAX(0,MIN(1,V111))^2/(MAX(0,MIN(1,V111))^2+(1-MAX(0,MIN(1,V111)))^2/$B$5))))</f>
        <v>0.826302376790381</v>
      </c>
      <c r="X112" s="16" t="n">
        <f aca="false">IF(ABS(X111-$B$11/$B$9*((MAX(0,MIN(1,X111))^2/(MAX(0,MIN(1,X111))^2+(1-MAX(0,MIN(1,X111)))^2/$B$5))-(MAX(0,MIN(1,W111))^2/(MAX(0,MIN(1,W111))^2+(1-MAX(0,MIN(1,W111)))^2/$B$5))))&lt;0.000000001,0,X111-$B$11/$B$9*((MAX(0,MIN(1,X111))^2/(MAX(0,MIN(1,X111))^2+(1-MAX(0,MIN(1,X111)))^2/$B$5))-(MAX(0,MIN(1,W111))^2/(MAX(0,MIN(1,W111))^2+(1-MAX(0,MIN(1,W111)))^2/$B$5))))</f>
        <v>0.816920854486894</v>
      </c>
      <c r="Y112" s="16" t="n">
        <f aca="false">IF(ABS(Y111-$B$11/$B$9*((MAX(0,MIN(1,Y111))^2/(MAX(0,MIN(1,Y111))^2+(1-MAX(0,MIN(1,Y111)))^2/$B$5))-(MAX(0,MIN(1,X111))^2/(MAX(0,MIN(1,X111))^2+(1-MAX(0,MIN(1,X111)))^2/$B$5))))&lt;0.000000001,0,Y111-$B$11/$B$9*((MAX(0,MIN(1,Y111))^2/(MAX(0,MIN(1,Y111))^2+(1-MAX(0,MIN(1,Y111)))^2/$B$5))-(MAX(0,MIN(1,X111))^2/(MAX(0,MIN(1,X111))^2+(1-MAX(0,MIN(1,X111)))^2/$B$5))))</f>
        <v>0.80793551829741</v>
      </c>
      <c r="Z112" s="16" t="n">
        <f aca="false">IF(ABS(Z111-$B$11/$B$9*((MAX(0,MIN(1,Z111))^2/(MAX(0,MIN(1,Z111))^2+(1-MAX(0,MIN(1,Z111)))^2/$B$5))-(MAX(0,MIN(1,Y111))^2/(MAX(0,MIN(1,Y111))^2+(1-MAX(0,MIN(1,Y111)))^2/$B$5))))&lt;0.000000001,0,Z111-$B$11/$B$9*((MAX(0,MIN(1,Z111))^2/(MAX(0,MIN(1,Z111))^2+(1-MAX(0,MIN(1,Z111)))^2/$B$5))-(MAX(0,MIN(1,Y111))^2/(MAX(0,MIN(1,Y111))^2+(1-MAX(0,MIN(1,Y111)))^2/$B$5))))</f>
        <v>0.799307091547055</v>
      </c>
      <c r="AA112" s="16" t="n">
        <f aca="false">IF(ABS(AA111-$B$11/$B$9*((MAX(0,MIN(1,AA111))^2/(MAX(0,MIN(1,AA111))^2+(1-MAX(0,MIN(1,AA111)))^2/$B$5))-(MAX(0,MIN(1,Z111))^2/(MAX(0,MIN(1,Z111))^2+(1-MAX(0,MIN(1,Z111)))^2/$B$5))))&lt;0.000000001,0,AA111-$B$11/$B$9*((MAX(0,MIN(1,AA111))^2/(MAX(0,MIN(1,AA111))^2+(1-MAX(0,MIN(1,AA111)))^2/$B$5))-(MAX(0,MIN(1,Z111))^2/(MAX(0,MIN(1,Z111))^2+(1-MAX(0,MIN(1,Z111)))^2/$B$5))))</f>
        <v>0.791001786278784</v>
      </c>
      <c r="AB112" s="16" t="n">
        <f aca="false">IF(ABS(AB111-$B$11/$B$9*((MAX(0,MIN(1,AB111))^2/(MAX(0,MIN(1,AB111))^2+(1-MAX(0,MIN(1,AB111)))^2/$B$5))-(MAX(0,MIN(1,AA111))^2/(MAX(0,MIN(1,AA111))^2+(1-MAX(0,MIN(1,AA111)))^2/$B$5))))&lt;0.000000001,0,AB111-$B$11/$B$9*((MAX(0,MIN(1,AB111))^2/(MAX(0,MIN(1,AB111))^2+(1-MAX(0,MIN(1,AB111)))^2/$B$5))-(MAX(0,MIN(1,AA111))^2/(MAX(0,MIN(1,AA111))^2+(1-MAX(0,MIN(1,AA111)))^2/$B$5))))</f>
        <v>0.782990256798911</v>
      </c>
      <c r="AC112" s="16" t="n">
        <f aca="false">IF(ABS(AC111-$B$11/$B$9*((MAX(0,MIN(1,AC111))^2/(MAX(0,MIN(1,AC111))^2+(1-MAX(0,MIN(1,AC111)))^2/$B$5))-(MAX(0,MIN(1,AB111))^2/(MAX(0,MIN(1,AB111))^2+(1-MAX(0,MIN(1,AB111)))^2/$B$5))))&lt;0.000000001,0,AC111-$B$11/$B$9*((MAX(0,MIN(1,AC111))^2/(MAX(0,MIN(1,AC111))^2+(1-MAX(0,MIN(1,AC111)))^2/$B$5))-(MAX(0,MIN(1,AB111))^2/(MAX(0,MIN(1,AB111))^2+(1-MAX(0,MIN(1,AB111)))^2/$B$5))))</f>
        <v>0.775246799985627</v>
      </c>
      <c r="AD112" s="16" t="n">
        <f aca="false">IF(ABS(AD111-$B$11/$B$9*((MAX(0,MIN(1,AD111))^2/(MAX(0,MIN(1,AD111))^2+(1-MAX(0,MIN(1,AD111)))^2/$B$5))-(MAX(0,MIN(1,AC111))^2/(MAX(0,MIN(1,AC111))^2+(1-MAX(0,MIN(1,AC111)))^2/$B$5))))&lt;0.000000001,0,AD111-$B$11/$B$9*((MAX(0,MIN(1,AD111))^2/(MAX(0,MIN(1,AD111))^2+(1-MAX(0,MIN(1,AD111)))^2/$B$5))-(MAX(0,MIN(1,AC111))^2/(MAX(0,MIN(1,AC111))^2+(1-MAX(0,MIN(1,AC111)))^2/$B$5))))</f>
        <v>0.767748732291112</v>
      </c>
      <c r="AE112" s="16" t="n">
        <f aca="false">IF(ABS(AE111-$B$11/$B$9*((MAX(0,MIN(1,AE111))^2/(MAX(0,MIN(1,AE111))^2+(1-MAX(0,MIN(1,AE111)))^2/$B$5))-(MAX(0,MIN(1,AD111))^2/(MAX(0,MIN(1,AD111))^2+(1-MAX(0,MIN(1,AD111)))^2/$B$5))))&lt;0.000000001,0,AE111-$B$11/$B$9*((MAX(0,MIN(1,AE111))^2/(MAX(0,MIN(1,AE111))^2+(1-MAX(0,MIN(1,AE111)))^2/$B$5))-(MAX(0,MIN(1,AD111))^2/(MAX(0,MIN(1,AD111))^2+(1-MAX(0,MIN(1,AD111)))^2/$B$5))))</f>
        <v>0.760475896251729</v>
      </c>
      <c r="AF112" s="16" t="n">
        <f aca="false">IF(ABS(AF111-$B$11/$B$9*((MAX(0,MIN(1,AF111))^2/(MAX(0,MIN(1,AF111))^2+(1-MAX(0,MIN(1,AF111)))^2/$B$5))-(MAX(0,MIN(1,AE111))^2/(MAX(0,MIN(1,AE111))^2+(1-MAX(0,MIN(1,AE111)))^2/$B$5))))&lt;0.000000001,0,AF111-$B$11/$B$9*((MAX(0,MIN(1,AF111))^2/(MAX(0,MIN(1,AF111))^2+(1-MAX(0,MIN(1,AF111)))^2/$B$5))-(MAX(0,MIN(1,AE111))^2/(MAX(0,MIN(1,AE111))^2+(1-MAX(0,MIN(1,AE111)))^2/$B$5))))</f>
        <v>0.753410263783232</v>
      </c>
    </row>
    <row r="113" customFormat="false" ht="15" hidden="false" customHeight="false" outlineLevel="0" collapsed="false">
      <c r="L113" s="0" t="n">
        <v>103</v>
      </c>
      <c r="M113" s="16" t="n">
        <f aca="false">IF(ABS(M112-$B$11/$B$9*((MAX(0,MIN(1,M112))^2/(MAX(0,MIN(1,M112))^2+(1-MAX(0,MIN(1,M112)))^2/$B$5))-(MAX(0,MIN(1,1))^2/(MAX(0,MIN(1,1))^2+(1-MAX(0,MIN(1,1)))^2/$B$5))))&lt;0.000000001,0,M112-$B$11/$B$9*((MAX(0,MIN(1,M112))^2/(MAX(0,MIN(1,M112))^2+(1-MAX(0,MIN(1,M112)))^2/$B$5))-(MAX(0,MIN(1,1))^2/(MAX(0,MIN(1,1))^2+(1-MAX(0,MIN(1,1)))^2/$B$5))))</f>
        <v>0.962489795534563</v>
      </c>
      <c r="N113" s="16" t="n">
        <f aca="false">IF(ABS(N112-$B$11/$B$9*((MAX(0,MIN(1,N112))^2/(MAX(0,MIN(1,N112))^2+(1-MAX(0,MIN(1,N112)))^2/$B$5))-(MAX(0,MIN(1,M112))^2/(MAX(0,MIN(1,M112))^2+(1-MAX(0,MIN(1,M112)))^2/$B$5))))&lt;0.000000001,0,N112-$B$11/$B$9*((MAX(0,MIN(1,N112))^2/(MAX(0,MIN(1,N112))^2+(1-MAX(0,MIN(1,N112)))^2/$B$5))-(MAX(0,MIN(1,M112))^2/(MAX(0,MIN(1,M112))^2+(1-MAX(0,MIN(1,M112)))^2/$B$5))))</f>
        <v>0.942090787430385</v>
      </c>
      <c r="O113" s="16" t="n">
        <f aca="false">IF(ABS(O112-$B$11/$B$9*((MAX(0,MIN(1,O112))^2/(MAX(0,MIN(1,O112))^2+(1-MAX(0,MIN(1,O112)))^2/$B$5))-(MAX(0,MIN(1,N112))^2/(MAX(0,MIN(1,N112))^2+(1-MAX(0,MIN(1,N112)))^2/$B$5))))&lt;0.000000001,0,O112-$B$11/$B$9*((MAX(0,MIN(1,O112))^2/(MAX(0,MIN(1,O112))^2+(1-MAX(0,MIN(1,O112)))^2/$B$5))-(MAX(0,MIN(1,N112))^2/(MAX(0,MIN(1,N112))^2+(1-MAX(0,MIN(1,N112)))^2/$B$5))))</f>
        <v>0.924725080375298</v>
      </c>
      <c r="P113" s="16" t="n">
        <f aca="false">IF(ABS(P112-$B$11/$B$9*((MAX(0,MIN(1,P112))^2/(MAX(0,MIN(1,P112))^2+(1-MAX(0,MIN(1,P112)))^2/$B$5))-(MAX(0,MIN(1,O112))^2/(MAX(0,MIN(1,O112))^2+(1-MAX(0,MIN(1,O112)))^2/$B$5))))&lt;0.000000001,0,P112-$B$11/$B$9*((MAX(0,MIN(1,P112))^2/(MAX(0,MIN(1,P112))^2+(1-MAX(0,MIN(1,P112)))^2/$B$5))-(MAX(0,MIN(1,O112))^2/(MAX(0,MIN(1,O112))^2+(1-MAX(0,MIN(1,O112)))^2/$B$5))))</f>
        <v>0.909208131027001</v>
      </c>
      <c r="Q113" s="16" t="n">
        <f aca="false">IF(ABS(Q112-$B$11/$B$9*((MAX(0,MIN(1,Q112))^2/(MAX(0,MIN(1,Q112))^2+(1-MAX(0,MIN(1,Q112)))^2/$B$5))-(MAX(0,MIN(1,P112))^2/(MAX(0,MIN(1,P112))^2+(1-MAX(0,MIN(1,P112)))^2/$B$5))))&lt;0.000000001,0,Q112-$B$11/$B$9*((MAX(0,MIN(1,Q112))^2/(MAX(0,MIN(1,Q112))^2+(1-MAX(0,MIN(1,Q112)))^2/$B$5))-(MAX(0,MIN(1,P112))^2/(MAX(0,MIN(1,P112))^2+(1-MAX(0,MIN(1,P112)))^2/$B$5))))</f>
        <v>0.895042871016567</v>
      </c>
      <c r="R113" s="16" t="n">
        <f aca="false">IF(ABS(R112-$B$11/$B$9*((MAX(0,MIN(1,R112))^2/(MAX(0,MIN(1,R112))^2+(1-MAX(0,MIN(1,R112)))^2/$B$5))-(MAX(0,MIN(1,Q112))^2/(MAX(0,MIN(1,Q112))^2+(1-MAX(0,MIN(1,Q112)))^2/$B$5))))&lt;0.000000001,0,R112-$B$11/$B$9*((MAX(0,MIN(1,R112))^2/(MAX(0,MIN(1,R112))^2+(1-MAX(0,MIN(1,R112)))^2/$B$5))-(MAX(0,MIN(1,Q112))^2/(MAX(0,MIN(1,Q112))^2+(1-MAX(0,MIN(1,Q112)))^2/$B$5))))</f>
        <v>0.881945344222028</v>
      </c>
      <c r="S113" s="16" t="n">
        <f aca="false">IF(ABS(S112-$B$11/$B$9*((MAX(0,MIN(1,S112))^2/(MAX(0,MIN(1,S112))^2+(1-MAX(0,MIN(1,S112)))^2/$B$5))-(MAX(0,MIN(1,R112))^2/(MAX(0,MIN(1,R112))^2+(1-MAX(0,MIN(1,R112)))^2/$B$5))))&lt;0.000000001,0,S112-$B$11/$B$9*((MAX(0,MIN(1,S112))^2/(MAX(0,MIN(1,S112))^2+(1-MAX(0,MIN(1,S112)))^2/$B$5))-(MAX(0,MIN(1,R112))^2/(MAX(0,MIN(1,R112))^2+(1-MAX(0,MIN(1,R112)))^2/$B$5))))</f>
        <v>0.869727460068576</v>
      </c>
      <c r="T113" s="16" t="n">
        <f aca="false">IF(ABS(T112-$B$11/$B$9*((MAX(0,MIN(1,T112))^2/(MAX(0,MIN(1,T112))^2+(1-MAX(0,MIN(1,T112)))^2/$B$5))-(MAX(0,MIN(1,S112))^2/(MAX(0,MIN(1,S112))^2+(1-MAX(0,MIN(1,S112)))^2/$B$5))))&lt;0.000000001,0,T112-$B$11/$B$9*((MAX(0,MIN(1,T112))^2/(MAX(0,MIN(1,T112))^2+(1-MAX(0,MIN(1,T112)))^2/$B$5))-(MAX(0,MIN(1,S112))^2/(MAX(0,MIN(1,S112))^2+(1-MAX(0,MIN(1,S112)))^2/$B$5))))</f>
        <v>0.858253648657603</v>
      </c>
      <c r="U113" s="16" t="n">
        <f aca="false">IF(ABS(U112-$B$11/$B$9*((MAX(0,MIN(1,U112))^2/(MAX(0,MIN(1,U112))^2+(1-MAX(0,MIN(1,U112)))^2/$B$5))-(MAX(0,MIN(1,T112))^2/(MAX(0,MIN(1,T112))^2+(1-MAX(0,MIN(1,T112)))^2/$B$5))))&lt;0.000000001,0,U112-$B$11/$B$9*((MAX(0,MIN(1,U112))^2/(MAX(0,MIN(1,U112))^2+(1-MAX(0,MIN(1,U112)))^2/$B$5))-(MAX(0,MIN(1,T112))^2/(MAX(0,MIN(1,T112))^2+(1-MAX(0,MIN(1,T112)))^2/$B$5))))</f>
        <v>0.847420826124585</v>
      </c>
      <c r="V113" s="16" t="n">
        <f aca="false">IF(ABS(V112-$B$11/$B$9*((MAX(0,MIN(1,V112))^2/(MAX(0,MIN(1,V112))^2+(1-MAX(0,MIN(1,V112)))^2/$B$5))-(MAX(0,MIN(1,U112))^2/(MAX(0,MIN(1,U112))^2+(1-MAX(0,MIN(1,U112)))^2/$B$5))))&lt;0.000000001,0,V112-$B$11/$B$9*((MAX(0,MIN(1,V112))^2/(MAX(0,MIN(1,V112))^2+(1-MAX(0,MIN(1,V112)))^2/$B$5))-(MAX(0,MIN(1,U112))^2/(MAX(0,MIN(1,U112))^2+(1-MAX(0,MIN(1,U112)))^2/$B$5))))</f>
        <v>0.837147690092836</v>
      </c>
      <c r="W113" s="16" t="n">
        <f aca="false">IF(ABS(W112-$B$11/$B$9*((MAX(0,MIN(1,W112))^2/(MAX(0,MIN(1,W112))^2+(1-MAX(0,MIN(1,W112)))^2/$B$5))-(MAX(0,MIN(1,V112))^2/(MAX(0,MIN(1,V112))^2+(1-MAX(0,MIN(1,V112)))^2/$B$5))))&lt;0.000000001,0,W112-$B$11/$B$9*((MAX(0,MIN(1,W112))^2/(MAX(0,MIN(1,W112))^2+(1-MAX(0,MIN(1,W112)))^2/$B$5))-(MAX(0,MIN(1,V112))^2/(MAX(0,MIN(1,V112))^2+(1-MAX(0,MIN(1,V112)))^2/$B$5))))</f>
        <v>0.827368391288292</v>
      </c>
      <c r="X113" s="16" t="n">
        <f aca="false">IF(ABS(X112-$B$11/$B$9*((MAX(0,MIN(1,X112))^2/(MAX(0,MIN(1,X112))^2+(1-MAX(0,MIN(1,X112)))^2/$B$5))-(MAX(0,MIN(1,W112))^2/(MAX(0,MIN(1,W112))^2+(1-MAX(0,MIN(1,W112)))^2/$B$5))))&lt;0.000000001,0,X112-$B$11/$B$9*((MAX(0,MIN(1,X112))^2/(MAX(0,MIN(1,X112))^2+(1-MAX(0,MIN(1,X112)))^2/$B$5))-(MAX(0,MIN(1,W112))^2/(MAX(0,MIN(1,W112))^2+(1-MAX(0,MIN(1,W112)))^2/$B$5))))</f>
        <v>0.81802850573761</v>
      </c>
      <c r="Y113" s="16" t="n">
        <f aca="false">IF(ABS(Y112-$B$11/$B$9*((MAX(0,MIN(1,Y112))^2/(MAX(0,MIN(1,Y112))^2+(1-MAX(0,MIN(1,Y112)))^2/$B$5))-(MAX(0,MIN(1,X112))^2/(MAX(0,MIN(1,X112))^2+(1-MAX(0,MIN(1,X112)))^2/$B$5))))&lt;0.000000001,0,Y112-$B$11/$B$9*((MAX(0,MIN(1,Y112))^2/(MAX(0,MIN(1,Y112))^2+(1-MAX(0,MIN(1,Y112)))^2/$B$5))-(MAX(0,MIN(1,X112))^2/(MAX(0,MIN(1,X112))^2+(1-MAX(0,MIN(1,X112)))^2/$B$5))))</f>
        <v>0.809082324689361</v>
      </c>
      <c r="Z113" s="16" t="n">
        <f aca="false">IF(ABS(Z112-$B$11/$B$9*((MAX(0,MIN(1,Z112))^2/(MAX(0,MIN(1,Z112))^2+(1-MAX(0,MIN(1,Z112)))^2/$B$5))-(MAX(0,MIN(1,Y112))^2/(MAX(0,MIN(1,Y112))^2+(1-MAX(0,MIN(1,Y112)))^2/$B$5))))&lt;0.000000001,0,Z112-$B$11/$B$9*((MAX(0,MIN(1,Z112))^2/(MAX(0,MIN(1,Z112))^2+(1-MAX(0,MIN(1,Z112)))^2/$B$5))-(MAX(0,MIN(1,Y112))^2/(MAX(0,MIN(1,Y112))^2+(1-MAX(0,MIN(1,Y112)))^2/$B$5))))</f>
        <v>0.800490951066412</v>
      </c>
      <c r="AA113" s="16" t="n">
        <f aca="false">IF(ABS(AA112-$B$11/$B$9*((MAX(0,MIN(1,AA112))^2/(MAX(0,MIN(1,AA112))^2+(1-MAX(0,MIN(1,AA112)))^2/$B$5))-(MAX(0,MIN(1,Z112))^2/(MAX(0,MIN(1,Z112))^2+(1-MAX(0,MIN(1,Z112)))^2/$B$5))))&lt;0.000000001,0,AA112-$B$11/$B$9*((MAX(0,MIN(1,AA112))^2/(MAX(0,MIN(1,AA112))^2+(1-MAX(0,MIN(1,AA112)))^2/$B$5))-(MAX(0,MIN(1,Z112))^2/(MAX(0,MIN(1,Z112))^2+(1-MAX(0,MIN(1,Z112)))^2/$B$5))))</f>
        <v>0.792220916125264</v>
      </c>
      <c r="AB113" s="16" t="n">
        <f aca="false">IF(ABS(AB112-$B$11/$B$9*((MAX(0,MIN(1,AB112))^2/(MAX(0,MIN(1,AB112))^2+(1-MAX(0,MIN(1,AB112)))^2/$B$5))-(MAX(0,MIN(1,AA112))^2/(MAX(0,MIN(1,AA112))^2+(1-MAX(0,MIN(1,AA112)))^2/$B$5))))&lt;0.000000001,0,AB112-$B$11/$B$9*((MAX(0,MIN(1,AB112))^2/(MAX(0,MIN(1,AB112))^2+(1-MAX(0,MIN(1,AB112)))^2/$B$5))-(MAX(0,MIN(1,AA112))^2/(MAX(0,MIN(1,AA112))^2+(1-MAX(0,MIN(1,AA112)))^2/$B$5))))</f>
        <v>0.784243146067676</v>
      </c>
      <c r="AC113" s="16" t="n">
        <f aca="false">IF(ABS(AC112-$B$11/$B$9*((MAX(0,MIN(1,AC112))^2/(MAX(0,MIN(1,AC112))^2+(1-MAX(0,MIN(1,AC112)))^2/$B$5))-(MAX(0,MIN(1,AB112))^2/(MAX(0,MIN(1,AB112))^2+(1-MAX(0,MIN(1,AB112)))^2/$B$5))))&lt;0.000000001,0,AC112-$B$11/$B$9*((MAX(0,MIN(1,AC112))^2/(MAX(0,MIN(1,AC112))^2+(1-MAX(0,MIN(1,AC112)))^2/$B$5))-(MAX(0,MIN(1,AB112))^2/(MAX(0,MIN(1,AB112))^2+(1-MAX(0,MIN(1,AB112)))^2/$B$5))))</f>
        <v>0.776532172279158</v>
      </c>
      <c r="AD113" s="16" t="n">
        <f aca="false">IF(ABS(AD112-$B$11/$B$9*((MAX(0,MIN(1,AD112))^2/(MAX(0,MIN(1,AD112))^2+(1-MAX(0,MIN(1,AD112)))^2/$B$5))-(MAX(0,MIN(1,AC112))^2/(MAX(0,MIN(1,AC112))^2+(1-MAX(0,MIN(1,AC112)))^2/$B$5))))&lt;0.000000001,0,AD112-$B$11/$B$9*((MAX(0,MIN(1,AD112))^2/(MAX(0,MIN(1,AD112))^2+(1-MAX(0,MIN(1,AD112)))^2/$B$5))-(MAX(0,MIN(1,AC112))^2/(MAX(0,MIN(1,AC112))^2+(1-MAX(0,MIN(1,AC112)))^2/$B$5))))</f>
        <v>0.769065516029065</v>
      </c>
      <c r="AE113" s="16" t="n">
        <f aca="false">IF(ABS(AE112-$B$11/$B$9*((MAX(0,MIN(1,AE112))^2/(MAX(0,MIN(1,AE112))^2+(1-MAX(0,MIN(1,AE112)))^2/$B$5))-(MAX(0,MIN(1,AD112))^2/(MAX(0,MIN(1,AD112))^2+(1-MAX(0,MIN(1,AD112)))^2/$B$5))))&lt;0.000000001,0,AE112-$B$11/$B$9*((MAX(0,MIN(1,AE112))^2/(MAX(0,MIN(1,AE112))^2+(1-MAX(0,MIN(1,AE112)))^2/$B$5))-(MAX(0,MIN(1,AD112))^2/(MAX(0,MIN(1,AD112))^2+(1-MAX(0,MIN(1,AD112)))^2/$B$5))))</f>
        <v>0.761823201066215</v>
      </c>
      <c r="AF113" s="16" t="n">
        <f aca="false">IF(ABS(AF112-$B$11/$B$9*((MAX(0,MIN(1,AF112))^2/(MAX(0,MIN(1,AF112))^2+(1-MAX(0,MIN(1,AF112)))^2/$B$5))-(MAX(0,MIN(1,AE112))^2/(MAX(0,MIN(1,AE112))^2+(1-MAX(0,MIN(1,AE112)))^2/$B$5))))&lt;0.000000001,0,AF112-$B$11/$B$9*((MAX(0,MIN(1,AF112))^2/(MAX(0,MIN(1,AF112))^2+(1-MAX(0,MIN(1,AF112)))^2/$B$5))-(MAX(0,MIN(1,AE112))^2/(MAX(0,MIN(1,AE112))^2+(1-MAX(0,MIN(1,AE112)))^2/$B$5))))</f>
        <v>0.754787361823641</v>
      </c>
    </row>
    <row r="114" customFormat="false" ht="15" hidden="false" customHeight="false" outlineLevel="0" collapsed="false">
      <c r="L114" s="0" t="n">
        <v>104</v>
      </c>
      <c r="M114" s="16" t="n">
        <f aca="false">IF(ABS(M113-$B$11/$B$9*((MAX(0,MIN(1,M113))^2/(MAX(0,MIN(1,M113))^2+(1-MAX(0,MIN(1,M113)))^2/$B$5))-(MAX(0,MIN(1,1))^2/(MAX(0,MIN(1,1))^2+(1-MAX(0,MIN(1,1)))^2/$B$5))))&lt;0.000000001,0,M113-$B$11/$B$9*((MAX(0,MIN(1,M113))^2/(MAX(0,MIN(1,M113))^2+(1-MAX(0,MIN(1,M113)))^2/$B$5))-(MAX(0,MIN(1,1))^2/(MAX(0,MIN(1,1))^2+(1-MAX(0,MIN(1,1)))^2/$B$5))))</f>
        <v>0.962781591114829</v>
      </c>
      <c r="N114" s="16" t="n">
        <f aca="false">IF(ABS(N113-$B$11/$B$9*((MAX(0,MIN(1,N113))^2/(MAX(0,MIN(1,N113))^2+(1-MAX(0,MIN(1,N113)))^2/$B$5))-(MAX(0,MIN(1,M113))^2/(MAX(0,MIN(1,M113))^2+(1-MAX(0,MIN(1,M113)))^2/$B$5))))&lt;0.000000001,0,N113-$B$11/$B$9*((MAX(0,MIN(1,N113))^2/(MAX(0,MIN(1,N113))^2+(1-MAX(0,MIN(1,N113)))^2/$B$5))-(MAX(0,MIN(1,M113))^2/(MAX(0,MIN(1,M113))^2+(1-MAX(0,MIN(1,M113)))^2/$B$5))))</f>
        <v>0.942524081829659</v>
      </c>
      <c r="O114" s="16" t="n">
        <f aca="false">IF(ABS(O113-$B$11/$B$9*((MAX(0,MIN(1,O113))^2/(MAX(0,MIN(1,O113))^2+(1-MAX(0,MIN(1,O113)))^2/$B$5))-(MAX(0,MIN(1,N113))^2/(MAX(0,MIN(1,N113))^2+(1-MAX(0,MIN(1,N113)))^2/$B$5))))&lt;0.000000001,0,O113-$B$11/$B$9*((MAX(0,MIN(1,O113))^2/(MAX(0,MIN(1,O113))^2+(1-MAX(0,MIN(1,O113)))^2/$B$5))-(MAX(0,MIN(1,N113))^2/(MAX(0,MIN(1,N113))^2+(1-MAX(0,MIN(1,N113)))^2/$B$5))))</f>
        <v>0.925269805842589</v>
      </c>
      <c r="P114" s="16" t="n">
        <f aca="false">IF(ABS(P113-$B$11/$B$9*((MAX(0,MIN(1,P113))^2/(MAX(0,MIN(1,P113))^2+(1-MAX(0,MIN(1,P113)))^2/$B$5))-(MAX(0,MIN(1,O113))^2/(MAX(0,MIN(1,O113))^2+(1-MAX(0,MIN(1,O113)))^2/$B$5))))&lt;0.000000001,0,P113-$B$11/$B$9*((MAX(0,MIN(1,P113))^2/(MAX(0,MIN(1,P113))^2+(1-MAX(0,MIN(1,P113)))^2/$B$5))-(MAX(0,MIN(1,O113))^2/(MAX(0,MIN(1,O113))^2+(1-MAX(0,MIN(1,O113)))^2/$B$5))))</f>
        <v>0.909846011495176</v>
      </c>
      <c r="Q114" s="16" t="n">
        <f aca="false">IF(ABS(Q113-$B$11/$B$9*((MAX(0,MIN(1,Q113))^2/(MAX(0,MIN(1,Q113))^2+(1-MAX(0,MIN(1,Q113)))^2/$B$5))-(MAX(0,MIN(1,P113))^2/(MAX(0,MIN(1,P113))^2+(1-MAX(0,MIN(1,P113)))^2/$B$5))))&lt;0.000000001,0,Q113-$B$11/$B$9*((MAX(0,MIN(1,Q113))^2/(MAX(0,MIN(1,Q113))^2+(1-MAX(0,MIN(1,Q113)))^2/$B$5))-(MAX(0,MIN(1,P113))^2/(MAX(0,MIN(1,P113))^2+(1-MAX(0,MIN(1,P113)))^2/$B$5))))</f>
        <v>0.89576097858049</v>
      </c>
      <c r="R114" s="16" t="n">
        <f aca="false">IF(ABS(R113-$B$11/$B$9*((MAX(0,MIN(1,R113))^2/(MAX(0,MIN(1,R113))^2+(1-MAX(0,MIN(1,R113)))^2/$B$5))-(MAX(0,MIN(1,Q113))^2/(MAX(0,MIN(1,Q113))^2+(1-MAX(0,MIN(1,Q113)))^2/$B$5))))&lt;0.000000001,0,R113-$B$11/$B$9*((MAX(0,MIN(1,R113))^2/(MAX(0,MIN(1,R113))^2+(1-MAX(0,MIN(1,R113)))^2/$B$5))-(MAX(0,MIN(1,Q113))^2/(MAX(0,MIN(1,Q113))^2+(1-MAX(0,MIN(1,Q113)))^2/$B$5))))</f>
        <v>0.882733915850955</v>
      </c>
      <c r="S114" s="16" t="n">
        <f aca="false">IF(ABS(S113-$B$11/$B$9*((MAX(0,MIN(1,S113))^2/(MAX(0,MIN(1,S113))^2+(1-MAX(0,MIN(1,S113)))^2/$B$5))-(MAX(0,MIN(1,R113))^2/(MAX(0,MIN(1,R113))^2+(1-MAX(0,MIN(1,R113)))^2/$B$5))))&lt;0.000000001,0,S113-$B$11/$B$9*((MAX(0,MIN(1,S113))^2/(MAX(0,MIN(1,S113))^2+(1-MAX(0,MIN(1,S113)))^2/$B$5))-(MAX(0,MIN(1,R113))^2/(MAX(0,MIN(1,R113))^2+(1-MAX(0,MIN(1,R113)))^2/$B$5))))</f>
        <v>0.870578845463368</v>
      </c>
      <c r="T114" s="16" t="n">
        <f aca="false">IF(ABS(T113-$B$11/$B$9*((MAX(0,MIN(1,T113))^2/(MAX(0,MIN(1,T113))^2+(1-MAX(0,MIN(1,T113)))^2/$B$5))-(MAX(0,MIN(1,S113))^2/(MAX(0,MIN(1,S113))^2+(1-MAX(0,MIN(1,S113)))^2/$B$5))))&lt;0.000000001,0,T113-$B$11/$B$9*((MAX(0,MIN(1,T113))^2/(MAX(0,MIN(1,T113))^2+(1-MAX(0,MIN(1,T113)))^2/$B$5))-(MAX(0,MIN(1,S113))^2/(MAX(0,MIN(1,S113))^2+(1-MAX(0,MIN(1,S113)))^2/$B$5))))</f>
        <v>0.859161706964276</v>
      </c>
      <c r="U114" s="16" t="n">
        <f aca="false">IF(ABS(U113-$B$11/$B$9*((MAX(0,MIN(1,U113))^2/(MAX(0,MIN(1,U113))^2+(1-MAX(0,MIN(1,U113)))^2/$B$5))-(MAX(0,MIN(1,T113))^2/(MAX(0,MIN(1,T113))^2+(1-MAX(0,MIN(1,T113)))^2/$B$5))))&lt;0.000000001,0,U113-$B$11/$B$9*((MAX(0,MIN(1,U113))^2/(MAX(0,MIN(1,U113))^2+(1-MAX(0,MIN(1,U113)))^2/$B$5))-(MAX(0,MIN(1,T113))^2/(MAX(0,MIN(1,T113))^2+(1-MAX(0,MIN(1,T113)))^2/$B$5))))</f>
        <v>0.848380543275404</v>
      </c>
      <c r="V114" s="16" t="n">
        <f aca="false">IF(ABS(V113-$B$11/$B$9*((MAX(0,MIN(1,V113))^2/(MAX(0,MIN(1,V113))^2+(1-MAX(0,MIN(1,V113)))^2/$B$5))-(MAX(0,MIN(1,U113))^2/(MAX(0,MIN(1,U113))^2+(1-MAX(0,MIN(1,U113)))^2/$B$5))))&lt;0.000000001,0,V113-$B$11/$B$9*((MAX(0,MIN(1,V113))^2/(MAX(0,MIN(1,V113))^2+(1-MAX(0,MIN(1,V113)))^2/$B$5))-(MAX(0,MIN(1,U113))^2/(MAX(0,MIN(1,U113))^2+(1-MAX(0,MIN(1,U113)))^2/$B$5))))</f>
        <v>0.838154919855671</v>
      </c>
      <c r="W114" s="16" t="n">
        <f aca="false">IF(ABS(W113-$B$11/$B$9*((MAX(0,MIN(1,W113))^2/(MAX(0,MIN(1,W113))^2+(1-MAX(0,MIN(1,W113)))^2/$B$5))-(MAX(0,MIN(1,V113))^2/(MAX(0,MIN(1,V113))^2+(1-MAX(0,MIN(1,V113)))^2/$B$5))))&lt;0.000000001,0,W113-$B$11/$B$9*((MAX(0,MIN(1,W113))^2/(MAX(0,MIN(1,W113))^2+(1-MAX(0,MIN(1,W113)))^2/$B$5))-(MAX(0,MIN(1,V113))^2/(MAX(0,MIN(1,V113))^2+(1-MAX(0,MIN(1,V113)))^2/$B$5))))</f>
        <v>0.82841967202695</v>
      </c>
      <c r="X114" s="16" t="n">
        <f aca="false">IF(ABS(X113-$B$11/$B$9*((MAX(0,MIN(1,X113))^2/(MAX(0,MIN(1,X113))^2+(1-MAX(0,MIN(1,X113)))^2/$B$5))-(MAX(0,MIN(1,W113))^2/(MAX(0,MIN(1,W113))^2+(1-MAX(0,MIN(1,W113)))^2/$B$5))))&lt;0.000000001,0,X113-$B$11/$B$9*((MAX(0,MIN(1,X113))^2/(MAX(0,MIN(1,X113))^2+(1-MAX(0,MIN(1,X113)))^2/$B$5))-(MAX(0,MIN(1,W113))^2/(MAX(0,MIN(1,W113))^2+(1-MAX(0,MIN(1,W113)))^2/$B$5))))</f>
        <v>0.819120926456569</v>
      </c>
      <c r="Y114" s="16" t="n">
        <f aca="false">IF(ABS(Y113-$B$11/$B$9*((MAX(0,MIN(1,Y113))^2/(MAX(0,MIN(1,Y113))^2+(1-MAX(0,MIN(1,Y113)))^2/$B$5))-(MAX(0,MIN(1,X113))^2/(MAX(0,MIN(1,X113))^2+(1-MAX(0,MIN(1,X113)))^2/$B$5))))&lt;0.000000001,0,Y113-$B$11/$B$9*((MAX(0,MIN(1,Y113))^2/(MAX(0,MIN(1,Y113))^2+(1-MAX(0,MIN(1,Y113)))^2/$B$5))-(MAX(0,MIN(1,X113))^2/(MAX(0,MIN(1,X113))^2+(1-MAX(0,MIN(1,X113)))^2/$B$5))))</f>
        <v>0.810213424659757</v>
      </c>
      <c r="Z114" s="16" t="n">
        <f aca="false">IF(ABS(Z113-$B$11/$B$9*((MAX(0,MIN(1,Z113))^2/(MAX(0,MIN(1,Z113))^2+(1-MAX(0,MIN(1,Z113)))^2/$B$5))-(MAX(0,MIN(1,Y113))^2/(MAX(0,MIN(1,Y113))^2+(1-MAX(0,MIN(1,Y113)))^2/$B$5))))&lt;0.000000001,0,Z113-$B$11/$B$9*((MAX(0,MIN(1,Z113))^2/(MAX(0,MIN(1,Z113))^2+(1-MAX(0,MIN(1,Z113)))^2/$B$5))-(MAX(0,MIN(1,Y113))^2/(MAX(0,MIN(1,Y113))^2+(1-MAX(0,MIN(1,Y113)))^2/$B$5))))</f>
        <v>0.801658643157183</v>
      </c>
      <c r="AA114" s="16" t="n">
        <f aca="false">IF(ABS(AA113-$B$11/$B$9*((MAX(0,MIN(1,AA113))^2/(MAX(0,MIN(1,AA113))^2+(1-MAX(0,MIN(1,AA113)))^2/$B$5))-(MAX(0,MIN(1,Z113))^2/(MAX(0,MIN(1,Z113))^2+(1-MAX(0,MIN(1,Z113)))^2/$B$5))))&lt;0.000000001,0,AA113-$B$11/$B$9*((MAX(0,MIN(1,AA113))^2/(MAX(0,MIN(1,AA113))^2+(1-MAX(0,MIN(1,AA113)))^2/$B$5))-(MAX(0,MIN(1,Z113))^2/(MAX(0,MIN(1,Z113))^2+(1-MAX(0,MIN(1,Z113)))^2/$B$5))))</f>
        <v>0.793423427352646</v>
      </c>
      <c r="AB114" s="16" t="n">
        <f aca="false">IF(ABS(AB113-$B$11/$B$9*((MAX(0,MIN(1,AB113))^2/(MAX(0,MIN(1,AB113))^2+(1-MAX(0,MIN(1,AB113)))^2/$B$5))-(MAX(0,MIN(1,AA113))^2/(MAX(0,MIN(1,AA113))^2+(1-MAX(0,MIN(1,AA113)))^2/$B$5))))&lt;0.000000001,0,AB113-$B$11/$B$9*((MAX(0,MIN(1,AB113))^2/(MAX(0,MIN(1,AB113))^2+(1-MAX(0,MIN(1,AB113)))^2/$B$5))-(MAX(0,MIN(1,AA113))^2/(MAX(0,MIN(1,AA113))^2+(1-MAX(0,MIN(1,AA113)))^2/$B$5))))</f>
        <v>0.785478970955653</v>
      </c>
      <c r="AC114" s="16" t="n">
        <f aca="false">IF(ABS(AC113-$B$11/$B$9*((MAX(0,MIN(1,AC113))^2/(MAX(0,MIN(1,AC113))^2+(1-MAX(0,MIN(1,AC113)))^2/$B$5))-(MAX(0,MIN(1,AB113))^2/(MAX(0,MIN(1,AB113))^2+(1-MAX(0,MIN(1,AB113)))^2/$B$5))))&lt;0.000000001,0,AC113-$B$11/$B$9*((MAX(0,MIN(1,AC113))^2/(MAX(0,MIN(1,AC113))^2+(1-MAX(0,MIN(1,AC113)))^2/$B$5))-(MAX(0,MIN(1,AB113))^2/(MAX(0,MIN(1,AB113))^2+(1-MAX(0,MIN(1,AB113)))^2/$B$5))))</f>
        <v>0.777800035955471</v>
      </c>
      <c r="AD114" s="16" t="n">
        <f aca="false">IF(ABS(AD113-$B$11/$B$9*((MAX(0,MIN(1,AD113))^2/(MAX(0,MIN(1,AD113))^2+(1-MAX(0,MIN(1,AD113)))^2/$B$5))-(MAX(0,MIN(1,AC113))^2/(MAX(0,MIN(1,AC113))^2+(1-MAX(0,MIN(1,AC113)))^2/$B$5))))&lt;0.000000001,0,AD113-$B$11/$B$9*((MAX(0,MIN(1,AD113))^2/(MAX(0,MIN(1,AD113))^2+(1-MAX(0,MIN(1,AD113)))^2/$B$5))-(MAX(0,MIN(1,AC113))^2/(MAX(0,MIN(1,AC113))^2+(1-MAX(0,MIN(1,AC113)))^2/$B$5))))</f>
        <v>0.770364344865732</v>
      </c>
      <c r="AE114" s="16" t="n">
        <f aca="false">IF(ABS(AE113-$B$11/$B$9*((MAX(0,MIN(1,AE113))^2/(MAX(0,MIN(1,AE113))^2+(1-MAX(0,MIN(1,AE113)))^2/$B$5))-(MAX(0,MIN(1,AD113))^2/(MAX(0,MIN(1,AD113))^2+(1-MAX(0,MIN(1,AD113)))^2/$B$5))))&lt;0.000000001,0,AE113-$B$11/$B$9*((MAX(0,MIN(1,AE113))^2/(MAX(0,MIN(1,AE113))^2+(1-MAX(0,MIN(1,AE113)))^2/$B$5))-(MAX(0,MIN(1,AD113))^2/(MAX(0,MIN(1,AD113))^2+(1-MAX(0,MIN(1,AD113)))^2/$B$5))))</f>
        <v>0.763152099279173</v>
      </c>
      <c r="AF114" s="16" t="n">
        <f aca="false">IF(ABS(AF113-$B$11/$B$9*((MAX(0,MIN(1,AF113))^2/(MAX(0,MIN(1,AF113))^2+(1-MAX(0,MIN(1,AF113)))^2/$B$5))-(MAX(0,MIN(1,AE113))^2/(MAX(0,MIN(1,AE113))^2+(1-MAX(0,MIN(1,AE113)))^2/$B$5))))&lt;0.000000001,0,AF113-$B$11/$B$9*((MAX(0,MIN(1,AF113))^2/(MAX(0,MIN(1,AF113))^2+(1-MAX(0,MIN(1,AF113)))^2/$B$5))-(MAX(0,MIN(1,AE113))^2/(MAX(0,MIN(1,AE113))^2+(1-MAX(0,MIN(1,AE113)))^2/$B$5))))</f>
        <v>0.756145592872833</v>
      </c>
    </row>
    <row r="115" customFormat="false" ht="15" hidden="false" customHeight="false" outlineLevel="0" collapsed="false">
      <c r="L115" s="0" t="n">
        <v>105</v>
      </c>
      <c r="M115" s="16" t="n">
        <f aca="false">IF(ABS(M114-$B$11/$B$9*((MAX(0,MIN(1,M114))^2/(MAX(0,MIN(1,M114))^2+(1-MAX(0,MIN(1,M114)))^2/$B$5))-(MAX(0,MIN(1,1))^2/(MAX(0,MIN(1,1))^2+(1-MAX(0,MIN(1,1)))^2/$B$5))))&lt;0.000000001,0,M114-$B$11/$B$9*((MAX(0,MIN(1,M114))^2/(MAX(0,MIN(1,M114))^2+(1-MAX(0,MIN(1,M114)))^2/$B$5))-(MAX(0,MIN(1,1))^2/(MAX(0,MIN(1,1))^2+(1-MAX(0,MIN(1,1)))^2/$B$5))))</f>
        <v>0.963068693941367</v>
      </c>
      <c r="N115" s="16" t="n">
        <f aca="false">IF(ABS(N114-$B$11/$B$9*((MAX(0,MIN(1,N114))^2/(MAX(0,MIN(1,N114))^2+(1-MAX(0,MIN(1,N114)))^2/$B$5))-(MAX(0,MIN(1,M114))^2/(MAX(0,MIN(1,M114))^2+(1-MAX(0,MIN(1,M114)))^2/$B$5))))&lt;0.000000001,0,N114-$B$11/$B$9*((MAX(0,MIN(1,N114))^2/(MAX(0,MIN(1,N114))^2+(1-MAX(0,MIN(1,N114)))^2/$B$5))-(MAX(0,MIN(1,M114))^2/(MAX(0,MIN(1,M114))^2+(1-MAX(0,MIN(1,M114)))^2/$B$5))))</f>
        <v>0.942950623586222</v>
      </c>
      <c r="O115" s="16" t="n">
        <f aca="false">IF(ABS(O114-$B$11/$B$9*((MAX(0,MIN(1,O114))^2/(MAX(0,MIN(1,O114))^2+(1-MAX(0,MIN(1,O114)))^2/$B$5))-(MAX(0,MIN(1,N114))^2/(MAX(0,MIN(1,N114))^2+(1-MAX(0,MIN(1,N114)))^2/$B$5))))&lt;0.000000001,0,O114-$B$11/$B$9*((MAX(0,MIN(1,O114))^2/(MAX(0,MIN(1,O114))^2+(1-MAX(0,MIN(1,O114)))^2/$B$5))-(MAX(0,MIN(1,N114))^2/(MAX(0,MIN(1,N114))^2+(1-MAX(0,MIN(1,N114)))^2/$B$5))))</f>
        <v>0.925806256393796</v>
      </c>
      <c r="P115" s="16" t="n">
        <f aca="false">IF(ABS(P114-$B$11/$B$9*((MAX(0,MIN(1,P114))^2/(MAX(0,MIN(1,P114))^2+(1-MAX(0,MIN(1,P114)))^2/$B$5))-(MAX(0,MIN(1,O114))^2/(MAX(0,MIN(1,O114))^2+(1-MAX(0,MIN(1,O114)))^2/$B$5))))&lt;0.000000001,0,P114-$B$11/$B$9*((MAX(0,MIN(1,P114))^2/(MAX(0,MIN(1,P114))^2+(1-MAX(0,MIN(1,P114)))^2/$B$5))-(MAX(0,MIN(1,O114))^2/(MAX(0,MIN(1,O114))^2+(1-MAX(0,MIN(1,O114)))^2/$B$5))))</f>
        <v>0.910474407305348</v>
      </c>
      <c r="Q115" s="16" t="n">
        <f aca="false">IF(ABS(Q114-$B$11/$B$9*((MAX(0,MIN(1,Q114))^2/(MAX(0,MIN(1,Q114))^2+(1-MAX(0,MIN(1,Q114)))^2/$B$5))-(MAX(0,MIN(1,P114))^2/(MAX(0,MIN(1,P114))^2+(1-MAX(0,MIN(1,P114)))^2/$B$5))))&lt;0.000000001,0,Q114-$B$11/$B$9*((MAX(0,MIN(1,Q114))^2/(MAX(0,MIN(1,Q114))^2+(1-MAX(0,MIN(1,Q114)))^2/$B$5))-(MAX(0,MIN(1,P114))^2/(MAX(0,MIN(1,P114))^2+(1-MAX(0,MIN(1,P114)))^2/$B$5))))</f>
        <v>0.896468600739003</v>
      </c>
      <c r="R115" s="16" t="n">
        <f aca="false">IF(ABS(R114-$B$11/$B$9*((MAX(0,MIN(1,R114))^2/(MAX(0,MIN(1,R114))^2+(1-MAX(0,MIN(1,R114)))^2/$B$5))-(MAX(0,MIN(1,Q114))^2/(MAX(0,MIN(1,Q114))^2+(1-MAX(0,MIN(1,Q114)))^2/$B$5))))&lt;0.000000001,0,R114-$B$11/$B$9*((MAX(0,MIN(1,R114))^2/(MAX(0,MIN(1,R114))^2+(1-MAX(0,MIN(1,R114)))^2/$B$5))-(MAX(0,MIN(1,Q114))^2/(MAX(0,MIN(1,Q114))^2+(1-MAX(0,MIN(1,Q114)))^2/$B$5))))</f>
        <v>0.88351114993878</v>
      </c>
      <c r="S115" s="16" t="n">
        <f aca="false">IF(ABS(S114-$B$11/$B$9*((MAX(0,MIN(1,S114))^2/(MAX(0,MIN(1,S114))^2+(1-MAX(0,MIN(1,S114)))^2/$B$5))-(MAX(0,MIN(1,R114))^2/(MAX(0,MIN(1,R114))^2+(1-MAX(0,MIN(1,R114)))^2/$B$5))))&lt;0.000000001,0,S114-$B$11/$B$9*((MAX(0,MIN(1,S114))^2/(MAX(0,MIN(1,S114))^2+(1-MAX(0,MIN(1,S114)))^2/$B$5))-(MAX(0,MIN(1,R114))^2/(MAX(0,MIN(1,R114))^2+(1-MAX(0,MIN(1,R114)))^2/$B$5))))</f>
        <v>0.871418150570302</v>
      </c>
      <c r="T115" s="16" t="n">
        <f aca="false">IF(ABS(T114-$B$11/$B$9*((MAX(0,MIN(1,T114))^2/(MAX(0,MIN(1,T114))^2+(1-MAX(0,MIN(1,T114)))^2/$B$5))-(MAX(0,MIN(1,S114))^2/(MAX(0,MIN(1,S114))^2+(1-MAX(0,MIN(1,S114)))^2/$B$5))))&lt;0.000000001,0,T114-$B$11/$B$9*((MAX(0,MIN(1,T114))^2/(MAX(0,MIN(1,T114))^2+(1-MAX(0,MIN(1,T114)))^2/$B$5))-(MAX(0,MIN(1,S114))^2/(MAX(0,MIN(1,S114))^2+(1-MAX(0,MIN(1,S114)))^2/$B$5))))</f>
        <v>0.860057024490683</v>
      </c>
      <c r="U115" s="16" t="n">
        <f aca="false">IF(ABS(U114-$B$11/$B$9*((MAX(0,MIN(1,U114))^2/(MAX(0,MIN(1,U114))^2+(1-MAX(0,MIN(1,U114)))^2/$B$5))-(MAX(0,MIN(1,T114))^2/(MAX(0,MIN(1,T114))^2+(1-MAX(0,MIN(1,T114)))^2/$B$5))))&lt;0.000000001,0,U114-$B$11/$B$9*((MAX(0,MIN(1,U114))^2/(MAX(0,MIN(1,U114))^2+(1-MAX(0,MIN(1,U114)))^2/$B$5))-(MAX(0,MIN(1,T114))^2/(MAX(0,MIN(1,T114))^2+(1-MAX(0,MIN(1,T114)))^2/$B$5))))</f>
        <v>0.849326921809404</v>
      </c>
      <c r="V115" s="16" t="n">
        <f aca="false">IF(ABS(V114-$B$11/$B$9*((MAX(0,MIN(1,V114))^2/(MAX(0,MIN(1,V114))^2+(1-MAX(0,MIN(1,V114)))^2/$B$5))-(MAX(0,MIN(1,U114))^2/(MAX(0,MIN(1,U114))^2+(1-MAX(0,MIN(1,U114)))^2/$B$5))))&lt;0.000000001,0,V114-$B$11/$B$9*((MAX(0,MIN(1,V114))^2/(MAX(0,MIN(1,V114))^2+(1-MAX(0,MIN(1,V114)))^2/$B$5))-(MAX(0,MIN(1,U114))^2/(MAX(0,MIN(1,U114))^2+(1-MAX(0,MIN(1,U114)))^2/$B$5))))</f>
        <v>0.839148261191362</v>
      </c>
      <c r="W115" s="16" t="n">
        <f aca="false">IF(ABS(W114-$B$11/$B$9*((MAX(0,MIN(1,W114))^2/(MAX(0,MIN(1,W114))^2+(1-MAX(0,MIN(1,W114)))^2/$B$5))-(MAX(0,MIN(1,V114))^2/(MAX(0,MIN(1,V114))^2+(1-MAX(0,MIN(1,V114)))^2/$B$5))))&lt;0.000000001,0,W114-$B$11/$B$9*((MAX(0,MIN(1,W114))^2/(MAX(0,MIN(1,W114))^2+(1-MAX(0,MIN(1,W114)))^2/$B$5))-(MAX(0,MIN(1,V114))^2/(MAX(0,MIN(1,V114))^2+(1-MAX(0,MIN(1,V114)))^2/$B$5))))</f>
        <v>0.829456551329962</v>
      </c>
      <c r="X115" s="16" t="n">
        <f aca="false">IF(ABS(X114-$B$11/$B$9*((MAX(0,MIN(1,X114))^2/(MAX(0,MIN(1,X114))^2+(1-MAX(0,MIN(1,X114)))^2/$B$5))-(MAX(0,MIN(1,W114))^2/(MAX(0,MIN(1,W114))^2+(1-MAX(0,MIN(1,W114)))^2/$B$5))))&lt;0.000000001,0,X114-$B$11/$B$9*((MAX(0,MIN(1,X114))^2/(MAX(0,MIN(1,X114))^2+(1-MAX(0,MIN(1,X114)))^2/$B$5))-(MAX(0,MIN(1,W114))^2/(MAX(0,MIN(1,W114))^2+(1-MAX(0,MIN(1,W114)))^2/$B$5))))</f>
        <v>0.820198460707865</v>
      </c>
      <c r="Y115" s="16" t="n">
        <f aca="false">IF(ABS(Y114-$B$11/$B$9*((MAX(0,MIN(1,Y114))^2/(MAX(0,MIN(1,Y114))^2+(1-MAX(0,MIN(1,Y114)))^2/$B$5))-(MAX(0,MIN(1,X114))^2/(MAX(0,MIN(1,X114))^2+(1-MAX(0,MIN(1,X114)))^2/$B$5))))&lt;0.000000001,0,Y114-$B$11/$B$9*((MAX(0,MIN(1,Y114))^2/(MAX(0,MIN(1,Y114))^2+(1-MAX(0,MIN(1,Y114)))^2/$B$5))-(MAX(0,MIN(1,X114))^2/(MAX(0,MIN(1,X114))^2+(1-MAX(0,MIN(1,X114)))^2/$B$5))))</f>
        <v>0.811329174005435</v>
      </c>
      <c r="Z115" s="16" t="n">
        <f aca="false">IF(ABS(Z114-$B$11/$B$9*((MAX(0,MIN(1,Z114))^2/(MAX(0,MIN(1,Z114))^2+(1-MAX(0,MIN(1,Z114)))^2/$B$5))-(MAX(0,MIN(1,Y114))^2/(MAX(0,MIN(1,Y114))^2+(1-MAX(0,MIN(1,Y114)))^2/$B$5))))&lt;0.000000001,0,Z114-$B$11/$B$9*((MAX(0,MIN(1,Z114))^2/(MAX(0,MIN(1,Z114))^2+(1-MAX(0,MIN(1,Z114)))^2/$B$5))-(MAX(0,MIN(1,Y114))^2/(MAX(0,MIN(1,Y114))^2+(1-MAX(0,MIN(1,Y114)))^2/$B$5))))</f>
        <v>0.802810535494283</v>
      </c>
      <c r="AA115" s="16" t="n">
        <f aca="false">IF(ABS(AA114-$B$11/$B$9*((MAX(0,MIN(1,AA114))^2/(MAX(0,MIN(1,AA114))^2+(1-MAX(0,MIN(1,AA114)))^2/$B$5))-(MAX(0,MIN(1,Z114))^2/(MAX(0,MIN(1,Z114))^2+(1-MAX(0,MIN(1,Z114)))^2/$B$5))))&lt;0.000000001,0,AA114-$B$11/$B$9*((MAX(0,MIN(1,AA114))^2/(MAX(0,MIN(1,AA114))^2+(1-MAX(0,MIN(1,AA114)))^2/$B$5))-(MAX(0,MIN(1,Z114))^2/(MAX(0,MIN(1,Z114))^2+(1-MAX(0,MIN(1,Z114)))^2/$B$5))))</f>
        <v>0.79460969979722</v>
      </c>
      <c r="AB115" s="16" t="n">
        <f aca="false">IF(ABS(AB114-$B$11/$B$9*((MAX(0,MIN(1,AB114))^2/(MAX(0,MIN(1,AB114))^2+(1-MAX(0,MIN(1,AB114)))^2/$B$5))-(MAX(0,MIN(1,AA114))^2/(MAX(0,MIN(1,AA114))^2+(1-MAX(0,MIN(1,AA114)))^2/$B$5))))&lt;0.000000001,0,AB114-$B$11/$B$9*((MAX(0,MIN(1,AB114))^2/(MAX(0,MIN(1,AB114))^2+(1-MAX(0,MIN(1,AB114)))^2/$B$5))-(MAX(0,MIN(1,AA114))^2/(MAX(0,MIN(1,AA114))^2+(1-MAX(0,MIN(1,AA114)))^2/$B$5))))</f>
        <v>0.786698123873865</v>
      </c>
      <c r="AC115" s="16" t="n">
        <f aca="false">IF(ABS(AC114-$B$11/$B$9*((MAX(0,MIN(1,AC114))^2/(MAX(0,MIN(1,AC114))^2+(1-MAX(0,MIN(1,AC114)))^2/$B$5))-(MAX(0,MIN(1,AB114))^2/(MAX(0,MIN(1,AB114))^2+(1-MAX(0,MIN(1,AB114)))^2/$B$5))))&lt;0.000000001,0,AC114-$B$11/$B$9*((MAX(0,MIN(1,AC114))^2/(MAX(0,MIN(1,AC114))^2+(1-MAX(0,MIN(1,AC114)))^2/$B$5))-(MAX(0,MIN(1,AB114))^2/(MAX(0,MIN(1,AB114))^2+(1-MAX(0,MIN(1,AB114)))^2/$B$5))))</f>
        <v>0.779050796541733</v>
      </c>
      <c r="AD115" s="16" t="n">
        <f aca="false">IF(ABS(AD114-$B$11/$B$9*((MAX(0,MIN(1,AD114))^2/(MAX(0,MIN(1,AD114))^2+(1-MAX(0,MIN(1,AD114)))^2/$B$5))-(MAX(0,MIN(1,AC114))^2/(MAX(0,MIN(1,AC114))^2+(1-MAX(0,MIN(1,AC114)))^2/$B$5))))&lt;0.000000001,0,AD114-$B$11/$B$9*((MAX(0,MIN(1,AD114))^2/(MAX(0,MIN(1,AD114))^2+(1-MAX(0,MIN(1,AD114)))^2/$B$5))-(MAX(0,MIN(1,AC114))^2/(MAX(0,MIN(1,AC114))^2+(1-MAX(0,MIN(1,AC114)))^2/$B$5))))</f>
        <v>0.77164563811703</v>
      </c>
      <c r="AE115" s="16" t="n">
        <f aca="false">IF(ABS(AE114-$B$11/$B$9*((MAX(0,MIN(1,AE114))^2/(MAX(0,MIN(1,AE114))^2+(1-MAX(0,MIN(1,AE114)))^2/$B$5))-(MAX(0,MIN(1,AD114))^2/(MAX(0,MIN(1,AD114))^2+(1-MAX(0,MIN(1,AD114)))^2/$B$5))))&lt;0.000000001,0,AE114-$B$11/$B$9*((MAX(0,MIN(1,AE114))^2/(MAX(0,MIN(1,AE114))^2+(1-MAX(0,MIN(1,AE114)))^2/$B$5))-(MAX(0,MIN(1,AD114))^2/(MAX(0,MIN(1,AD114))^2+(1-MAX(0,MIN(1,AD114)))^2/$B$5))))</f>
        <v>0.764463024807131</v>
      </c>
      <c r="AF115" s="16" t="n">
        <f aca="false">IF(ABS(AF114-$B$11/$B$9*((MAX(0,MIN(1,AF114))^2/(MAX(0,MIN(1,AF114))^2+(1-MAX(0,MIN(1,AF114)))^2/$B$5))-(MAX(0,MIN(1,AE114))^2/(MAX(0,MIN(1,AE114))^2+(1-MAX(0,MIN(1,AE114)))^2/$B$5))))&lt;0.000000001,0,AF114-$B$11/$B$9*((MAX(0,MIN(1,AF114))^2/(MAX(0,MIN(1,AF114))^2+(1-MAX(0,MIN(1,AF114)))^2/$B$5))-(MAX(0,MIN(1,AE114))^2/(MAX(0,MIN(1,AE114))^2+(1-MAX(0,MIN(1,AE114)))^2/$B$5))))</f>
        <v>0.757485406412165</v>
      </c>
    </row>
    <row r="116" customFormat="false" ht="15" hidden="false" customHeight="false" outlineLevel="0" collapsed="false">
      <c r="L116" s="0" t="n">
        <v>106</v>
      </c>
      <c r="M116" s="16" t="n">
        <f aca="false">IF(ABS(M115-$B$11/$B$9*((MAX(0,MIN(1,M115))^2/(MAX(0,MIN(1,M115))^2+(1-MAX(0,MIN(1,M115)))^2/$B$5))-(MAX(0,MIN(1,1))^2/(MAX(0,MIN(1,1))^2+(1-MAX(0,MIN(1,1)))^2/$B$5))))&lt;0.000000001,0,M115-$B$11/$B$9*((MAX(0,MIN(1,M115))^2/(MAX(0,MIN(1,M115))^2+(1-MAX(0,MIN(1,M115)))^2/$B$5))-(MAX(0,MIN(1,1))^2/(MAX(0,MIN(1,1))^2+(1-MAX(0,MIN(1,1)))^2/$B$5))))</f>
        <v>0.963351219273127</v>
      </c>
      <c r="N116" s="16" t="n">
        <f aca="false">IF(ABS(N115-$B$11/$B$9*((MAX(0,MIN(1,N115))^2/(MAX(0,MIN(1,N115))^2+(1-MAX(0,MIN(1,N115)))^2/$B$5))-(MAX(0,MIN(1,M115))^2/(MAX(0,MIN(1,M115))^2+(1-MAX(0,MIN(1,M115)))^2/$B$5))))&lt;0.000000001,0,N115-$B$11/$B$9*((MAX(0,MIN(1,N115))^2/(MAX(0,MIN(1,N115))^2+(1-MAX(0,MIN(1,N115)))^2/$B$5))-(MAX(0,MIN(1,M115))^2/(MAX(0,MIN(1,M115))^2+(1-MAX(0,MIN(1,M115)))^2/$B$5))))</f>
        <v>0.943370574406329</v>
      </c>
      <c r="O116" s="16" t="n">
        <f aca="false">IF(ABS(O115-$B$11/$B$9*((MAX(0,MIN(1,O115))^2/(MAX(0,MIN(1,O115))^2+(1-MAX(0,MIN(1,O115)))^2/$B$5))-(MAX(0,MIN(1,N115))^2/(MAX(0,MIN(1,N115))^2+(1-MAX(0,MIN(1,N115)))^2/$B$5))))&lt;0.000000001,0,O115-$B$11/$B$9*((MAX(0,MIN(1,O115))^2/(MAX(0,MIN(1,O115))^2+(1-MAX(0,MIN(1,O115)))^2/$B$5))-(MAX(0,MIN(1,N115))^2/(MAX(0,MIN(1,N115))^2+(1-MAX(0,MIN(1,N115)))^2/$B$5))))</f>
        <v>0.926334626419883</v>
      </c>
      <c r="P116" s="16" t="n">
        <f aca="false">IF(ABS(P115-$B$11/$B$9*((MAX(0,MIN(1,P115))^2/(MAX(0,MIN(1,P115))^2+(1-MAX(0,MIN(1,P115)))^2/$B$5))-(MAX(0,MIN(1,O115))^2/(MAX(0,MIN(1,O115))^2+(1-MAX(0,MIN(1,O115)))^2/$B$5))))&lt;0.000000001,0,P115-$B$11/$B$9*((MAX(0,MIN(1,P115))^2/(MAX(0,MIN(1,P115))^2+(1-MAX(0,MIN(1,P115)))^2/$B$5))-(MAX(0,MIN(1,O115))^2/(MAX(0,MIN(1,O115))^2+(1-MAX(0,MIN(1,O115)))^2/$B$5))))</f>
        <v>0.911093537971229</v>
      </c>
      <c r="Q116" s="16" t="n">
        <f aca="false">IF(ABS(Q115-$B$11/$B$9*((MAX(0,MIN(1,Q115))^2/(MAX(0,MIN(1,Q115))^2+(1-MAX(0,MIN(1,Q115)))^2/$B$5))-(MAX(0,MIN(1,P115))^2/(MAX(0,MIN(1,P115))^2+(1-MAX(0,MIN(1,P115)))^2/$B$5))))&lt;0.000000001,0,Q115-$B$11/$B$9*((MAX(0,MIN(1,Q115))^2/(MAX(0,MIN(1,Q115))^2+(1-MAX(0,MIN(1,Q115)))^2/$B$5))-(MAX(0,MIN(1,P115))^2/(MAX(0,MIN(1,P115))^2+(1-MAX(0,MIN(1,P115)))^2/$B$5))))</f>
        <v>0.897165977380367</v>
      </c>
      <c r="R116" s="16" t="n">
        <f aca="false">IF(ABS(R115-$B$11/$B$9*((MAX(0,MIN(1,R115))^2/(MAX(0,MIN(1,R115))^2+(1-MAX(0,MIN(1,R115)))^2/$B$5))-(MAX(0,MIN(1,Q115))^2/(MAX(0,MIN(1,Q115))^2+(1-MAX(0,MIN(1,Q115)))^2/$B$5))))&lt;0.000000001,0,R115-$B$11/$B$9*((MAX(0,MIN(1,R115))^2/(MAX(0,MIN(1,R115))^2+(1-MAX(0,MIN(1,R115)))^2/$B$5))-(MAX(0,MIN(1,Q115))^2/(MAX(0,MIN(1,Q115))^2+(1-MAX(0,MIN(1,Q115)))^2/$B$5))))</f>
        <v>0.884277303593118</v>
      </c>
      <c r="S116" s="16" t="n">
        <f aca="false">IF(ABS(S115-$B$11/$B$9*((MAX(0,MIN(1,S115))^2/(MAX(0,MIN(1,S115))^2+(1-MAX(0,MIN(1,S115)))^2/$B$5))-(MAX(0,MIN(1,R115))^2/(MAX(0,MIN(1,R115))^2+(1-MAX(0,MIN(1,R115)))^2/$B$5))))&lt;0.000000001,0,S115-$B$11/$B$9*((MAX(0,MIN(1,S115))^2/(MAX(0,MIN(1,S115))^2+(1-MAX(0,MIN(1,S115)))^2/$B$5))-(MAX(0,MIN(1,R115))^2/(MAX(0,MIN(1,R115))^2+(1-MAX(0,MIN(1,R115)))^2/$B$5))))</f>
        <v>0.872245647561673</v>
      </c>
      <c r="T116" s="16" t="n">
        <f aca="false">IF(ABS(T115-$B$11/$B$9*((MAX(0,MIN(1,T115))^2/(MAX(0,MIN(1,T115))^2+(1-MAX(0,MIN(1,T115)))^2/$B$5))-(MAX(0,MIN(1,S115))^2/(MAX(0,MIN(1,S115))^2+(1-MAX(0,MIN(1,S115)))^2/$B$5))))&lt;0.000000001,0,T115-$B$11/$B$9*((MAX(0,MIN(1,T115))^2/(MAX(0,MIN(1,T115))^2+(1-MAX(0,MIN(1,T115)))^2/$B$5))-(MAX(0,MIN(1,S115))^2/(MAX(0,MIN(1,S115))^2+(1-MAX(0,MIN(1,S115)))^2/$B$5))))</f>
        <v>0.860939886989485</v>
      </c>
      <c r="U116" s="16" t="n">
        <f aca="false">IF(ABS(U115-$B$11/$B$9*((MAX(0,MIN(1,U115))^2/(MAX(0,MIN(1,U115))^2+(1-MAX(0,MIN(1,U115)))^2/$B$5))-(MAX(0,MIN(1,T115))^2/(MAX(0,MIN(1,T115))^2+(1-MAX(0,MIN(1,T115)))^2/$B$5))))&lt;0.000000001,0,U115-$B$11/$B$9*((MAX(0,MIN(1,U115))^2/(MAX(0,MIN(1,U115))^2+(1-MAX(0,MIN(1,U115)))^2/$B$5))-(MAX(0,MIN(1,T115))^2/(MAX(0,MIN(1,T115))^2+(1-MAX(0,MIN(1,T115)))^2/$B$5))))</f>
        <v>0.85026026004657</v>
      </c>
      <c r="V116" s="16" t="n">
        <f aca="false">IF(ABS(V115-$B$11/$B$9*((MAX(0,MIN(1,V115))^2/(MAX(0,MIN(1,V115))^2+(1-MAX(0,MIN(1,V115)))^2/$B$5))-(MAX(0,MIN(1,U115))^2/(MAX(0,MIN(1,U115))^2+(1-MAX(0,MIN(1,U115)))^2/$B$5))))&lt;0.000000001,0,V115-$B$11/$B$9*((MAX(0,MIN(1,V115))^2/(MAX(0,MIN(1,V115))^2+(1-MAX(0,MIN(1,V115)))^2/$B$5))-(MAX(0,MIN(1,U115))^2/(MAX(0,MIN(1,U115))^2+(1-MAX(0,MIN(1,U115)))^2/$B$5))))</f>
        <v>0.840128024319301</v>
      </c>
      <c r="W116" s="16" t="n">
        <f aca="false">IF(ABS(W115-$B$11/$B$9*((MAX(0,MIN(1,W115))^2/(MAX(0,MIN(1,W115))^2+(1-MAX(0,MIN(1,W115)))^2/$B$5))-(MAX(0,MIN(1,V115))^2/(MAX(0,MIN(1,V115))^2+(1-MAX(0,MIN(1,V115)))^2/$B$5))))&lt;0.000000001,0,W115-$B$11/$B$9*((MAX(0,MIN(1,W115))^2/(MAX(0,MIN(1,W115))^2+(1-MAX(0,MIN(1,W115)))^2/$B$5))-(MAX(0,MIN(1,V115))^2/(MAX(0,MIN(1,V115))^2+(1-MAX(0,MIN(1,V115)))^2/$B$5))))</f>
        <v>0.830479350910795</v>
      </c>
      <c r="X116" s="16" t="n">
        <f aca="false">IF(ABS(X115-$B$11/$B$9*((MAX(0,MIN(1,X115))^2/(MAX(0,MIN(1,X115))^2+(1-MAX(0,MIN(1,X115)))^2/$B$5))-(MAX(0,MIN(1,W115))^2/(MAX(0,MIN(1,W115))^2+(1-MAX(0,MIN(1,W115)))^2/$B$5))))&lt;0.000000001,0,X115-$B$11/$B$9*((MAX(0,MIN(1,X115))^2/(MAX(0,MIN(1,X115))^2+(1-MAX(0,MIN(1,X115)))^2/$B$5))-(MAX(0,MIN(1,W115))^2/(MAX(0,MIN(1,W115))^2+(1-MAX(0,MIN(1,W115)))^2/$B$5))))</f>
        <v>0.821261441501321</v>
      </c>
      <c r="Y116" s="16" t="n">
        <f aca="false">IF(ABS(Y115-$B$11/$B$9*((MAX(0,MIN(1,Y115))^2/(MAX(0,MIN(1,Y115))^2+(1-MAX(0,MIN(1,Y115)))^2/$B$5))-(MAX(0,MIN(1,X115))^2/(MAX(0,MIN(1,X115))^2+(1-MAX(0,MIN(1,X115)))^2/$B$5))))&lt;0.000000001,0,Y115-$B$11/$B$9*((MAX(0,MIN(1,Y115))^2/(MAX(0,MIN(1,Y115))^2+(1-MAX(0,MIN(1,Y115)))^2/$B$5))-(MAX(0,MIN(1,X115))^2/(MAX(0,MIN(1,X115))^2+(1-MAX(0,MIN(1,X115)))^2/$B$5))))</f>
        <v>0.812429917005673</v>
      </c>
      <c r="Z116" s="16" t="n">
        <f aca="false">IF(ABS(Z115-$B$11/$B$9*((MAX(0,MIN(1,Z115))^2/(MAX(0,MIN(1,Z115))^2+(1-MAX(0,MIN(1,Z115)))^2/$B$5))-(MAX(0,MIN(1,Y115))^2/(MAX(0,MIN(1,Y115))^2+(1-MAX(0,MIN(1,Y115)))^2/$B$5))))&lt;0.000000001,0,Z115-$B$11/$B$9*((MAX(0,MIN(1,Z115))^2/(MAX(0,MIN(1,Z115))^2+(1-MAX(0,MIN(1,Z115)))^2/$B$5))-(MAX(0,MIN(1,Y115))^2/(MAX(0,MIN(1,Y115))^2+(1-MAX(0,MIN(1,Y115)))^2/$B$5))))</f>
        <v>0.803946983746137</v>
      </c>
      <c r="AA116" s="16" t="n">
        <f aca="false">IF(ABS(AA115-$B$11/$B$9*((MAX(0,MIN(1,AA115))^2/(MAX(0,MIN(1,AA115))^2+(1-MAX(0,MIN(1,AA115)))^2/$B$5))-(MAX(0,MIN(1,Z115))^2/(MAX(0,MIN(1,Z115))^2+(1-MAX(0,MIN(1,Z115)))^2/$B$5))))&lt;0.000000001,0,AA115-$B$11/$B$9*((MAX(0,MIN(1,AA115))^2/(MAX(0,MIN(1,AA115))^2+(1-MAX(0,MIN(1,AA115)))^2/$B$5))-(MAX(0,MIN(1,Z115))^2/(MAX(0,MIN(1,Z115))^2+(1-MAX(0,MIN(1,Z115)))^2/$B$5))))</f>
        <v>0.795780100767684</v>
      </c>
      <c r="AB116" s="16" t="n">
        <f aca="false">IF(ABS(AB115-$B$11/$B$9*((MAX(0,MIN(1,AB115))^2/(MAX(0,MIN(1,AB115))^2+(1-MAX(0,MIN(1,AB115)))^2/$B$5))-(MAX(0,MIN(1,AA115))^2/(MAX(0,MIN(1,AA115))^2+(1-MAX(0,MIN(1,AA115)))^2/$B$5))))&lt;0.000000001,0,AB115-$B$11/$B$9*((MAX(0,MIN(1,AB115))^2/(MAX(0,MIN(1,AB115))^2+(1-MAX(0,MIN(1,AB115)))^2/$B$5))-(MAX(0,MIN(1,AA115))^2/(MAX(0,MIN(1,AA115))^2+(1-MAX(0,MIN(1,AA115)))^2/$B$5))))</f>
        <v>0.787900984145594</v>
      </c>
      <c r="AC116" s="16" t="n">
        <f aca="false">IF(ABS(AC115-$B$11/$B$9*((MAX(0,MIN(1,AC115))^2/(MAX(0,MIN(1,AC115))^2+(1-MAX(0,MIN(1,AC115)))^2/$B$5))-(MAX(0,MIN(1,AB115))^2/(MAX(0,MIN(1,AB115))^2+(1-MAX(0,MIN(1,AB115)))^2/$B$5))))&lt;0.000000001,0,AC115-$B$11/$B$9*((MAX(0,MIN(1,AC115))^2/(MAX(0,MIN(1,AC115))^2+(1-MAX(0,MIN(1,AC115)))^2/$B$5))-(MAX(0,MIN(1,AB115))^2/(MAX(0,MIN(1,AB115))^2+(1-MAX(0,MIN(1,AB115)))^2/$B$5))))</f>
        <v>0.780284845870602</v>
      </c>
      <c r="AD116" s="16" t="n">
        <f aca="false">IF(ABS(AD115-$B$11/$B$9*((MAX(0,MIN(1,AD115))^2/(MAX(0,MIN(1,AD115))^2+(1-MAX(0,MIN(1,AD115)))^2/$B$5))-(MAX(0,MIN(1,AC115))^2/(MAX(0,MIN(1,AC115))^2+(1-MAX(0,MIN(1,AC115)))^2/$B$5))))&lt;0.000000001,0,AD115-$B$11/$B$9*((MAX(0,MIN(1,AD115))^2/(MAX(0,MIN(1,AD115))^2+(1-MAX(0,MIN(1,AD115)))^2/$B$5))-(MAX(0,MIN(1,AC115))^2/(MAX(0,MIN(1,AC115))^2+(1-MAX(0,MIN(1,AC115)))^2/$B$5))))</f>
        <v>0.772909800742418</v>
      </c>
      <c r="AE116" s="16" t="n">
        <f aca="false">IF(ABS(AE115-$B$11/$B$9*((MAX(0,MIN(1,AE115))^2/(MAX(0,MIN(1,AE115))^2+(1-MAX(0,MIN(1,AE115)))^2/$B$5))-(MAX(0,MIN(1,AD115))^2/(MAX(0,MIN(1,AD115))^2+(1-MAX(0,MIN(1,AD115)))^2/$B$5))))&lt;0.000000001,0,AE115-$B$11/$B$9*((MAX(0,MIN(1,AE115))^2/(MAX(0,MIN(1,AE115))^2+(1-MAX(0,MIN(1,AE115)))^2/$B$5))-(MAX(0,MIN(1,AD115))^2/(MAX(0,MIN(1,AD115))^2+(1-MAX(0,MIN(1,AD115)))^2/$B$5))))</f>
        <v>0.765756396483121</v>
      </c>
      <c r="AF116" s="16" t="n">
        <f aca="false">IF(ABS(AF115-$B$11/$B$9*((MAX(0,MIN(1,AF115))^2/(MAX(0,MIN(1,AF115))^2+(1-MAX(0,MIN(1,AF115)))^2/$B$5))-(MAX(0,MIN(1,AE115))^2/(MAX(0,MIN(1,AE115))^2+(1-MAX(0,MIN(1,AE115)))^2/$B$5))))&lt;0.000000001,0,AF115-$B$11/$B$9*((MAX(0,MIN(1,AF115))^2/(MAX(0,MIN(1,AF115))^2+(1-MAX(0,MIN(1,AF115)))^2/$B$5))-(MAX(0,MIN(1,AE115))^2/(MAX(0,MIN(1,AE115))^2+(1-MAX(0,MIN(1,AE115)))^2/$B$5))))</f>
        <v>0.758807236035658</v>
      </c>
    </row>
    <row r="117" customFormat="false" ht="15" hidden="false" customHeight="false" outlineLevel="0" collapsed="false">
      <c r="L117" s="0" t="n">
        <v>107</v>
      </c>
      <c r="M117" s="16" t="n">
        <f aca="false">IF(ABS(M116-$B$11/$B$9*((MAX(0,MIN(1,M116))^2/(MAX(0,MIN(1,M116))^2+(1-MAX(0,MIN(1,M116)))^2/$B$5))-(MAX(0,MIN(1,1))^2/(MAX(0,MIN(1,1))^2+(1-MAX(0,MIN(1,1)))^2/$B$5))))&lt;0.000000001,0,M116-$B$11/$B$9*((MAX(0,MIN(1,M116))^2/(MAX(0,MIN(1,M116))^2+(1-MAX(0,MIN(1,M116)))^2/$B$5))-(MAX(0,MIN(1,1))^2/(MAX(0,MIN(1,1))^2+(1-MAX(0,MIN(1,1)))^2/$B$5))))</f>
        <v>0.963629278555743</v>
      </c>
      <c r="N117" s="16" t="n">
        <f aca="false">IF(ABS(N116-$B$11/$B$9*((MAX(0,MIN(1,N116))^2/(MAX(0,MIN(1,N116))^2+(1-MAX(0,MIN(1,N116)))^2/$B$5))-(MAX(0,MIN(1,M116))^2/(MAX(0,MIN(1,M116))^2+(1-MAX(0,MIN(1,M116)))^2/$B$5))))&lt;0.000000001,0,N116-$B$11/$B$9*((MAX(0,MIN(1,N116))^2/(MAX(0,MIN(1,N116))^2+(1-MAX(0,MIN(1,N116)))^2/$B$5))-(MAX(0,MIN(1,M116))^2/(MAX(0,MIN(1,M116))^2+(1-MAX(0,MIN(1,M116)))^2/$B$5))))</f>
        <v>0.943784090753925</v>
      </c>
      <c r="O117" s="16" t="n">
        <f aca="false">IF(ABS(O116-$B$11/$B$9*((MAX(0,MIN(1,O116))^2/(MAX(0,MIN(1,O116))^2+(1-MAX(0,MIN(1,O116)))^2/$B$5))-(MAX(0,MIN(1,N116))^2/(MAX(0,MIN(1,N116))^2+(1-MAX(0,MIN(1,N116)))^2/$B$5))))&lt;0.000000001,0,O116-$B$11/$B$9*((MAX(0,MIN(1,O116))^2/(MAX(0,MIN(1,O116))^2+(1-MAX(0,MIN(1,O116)))^2/$B$5))-(MAX(0,MIN(1,N116))^2/(MAX(0,MIN(1,N116))^2+(1-MAX(0,MIN(1,N116)))^2/$B$5))))</f>
        <v>0.926855104098394</v>
      </c>
      <c r="P117" s="16" t="n">
        <f aca="false">IF(ABS(P116-$B$11/$B$9*((MAX(0,MIN(1,P116))^2/(MAX(0,MIN(1,P116))^2+(1-MAX(0,MIN(1,P116)))^2/$B$5))-(MAX(0,MIN(1,O116))^2/(MAX(0,MIN(1,O116))^2+(1-MAX(0,MIN(1,O116)))^2/$B$5))))&lt;0.000000001,0,P116-$B$11/$B$9*((MAX(0,MIN(1,P116))^2/(MAX(0,MIN(1,P116))^2+(1-MAX(0,MIN(1,P116)))^2/$B$5))-(MAX(0,MIN(1,O116))^2/(MAX(0,MIN(1,O116))^2+(1-MAX(0,MIN(1,O116)))^2/$B$5))))</f>
        <v>0.911703616058652</v>
      </c>
      <c r="Q117" s="16" t="n">
        <f aca="false">IF(ABS(Q116-$B$11/$B$9*((MAX(0,MIN(1,Q116))^2/(MAX(0,MIN(1,Q116))^2+(1-MAX(0,MIN(1,Q116)))^2/$B$5))-(MAX(0,MIN(1,P116))^2/(MAX(0,MIN(1,P116))^2+(1-MAX(0,MIN(1,P116)))^2/$B$5))))&lt;0.000000001,0,Q116-$B$11/$B$9*((MAX(0,MIN(1,Q116))^2/(MAX(0,MIN(1,Q116))^2+(1-MAX(0,MIN(1,Q116)))^2/$B$5))-(MAX(0,MIN(1,P116))^2/(MAX(0,MIN(1,P116))^2+(1-MAX(0,MIN(1,P116)))^2/$B$5))))</f>
        <v>0.897853340849249</v>
      </c>
      <c r="R117" s="16" t="n">
        <f aca="false">IF(ABS(R116-$B$11/$B$9*((MAX(0,MIN(1,R116))^2/(MAX(0,MIN(1,R116))^2+(1-MAX(0,MIN(1,R116)))^2/$B$5))-(MAX(0,MIN(1,Q116))^2/(MAX(0,MIN(1,Q116))^2+(1-MAX(0,MIN(1,Q116)))^2/$B$5))))&lt;0.000000001,0,R116-$B$11/$B$9*((MAX(0,MIN(1,R116))^2/(MAX(0,MIN(1,R116))^2+(1-MAX(0,MIN(1,R116)))^2/$B$5))-(MAX(0,MIN(1,Q116))^2/(MAX(0,MIN(1,Q116))^2+(1-MAX(0,MIN(1,Q116)))^2/$B$5))))</f>
        <v>0.885032625867331</v>
      </c>
      <c r="S117" s="16" t="n">
        <f aca="false">IF(ABS(S116-$B$11/$B$9*((MAX(0,MIN(1,S116))^2/(MAX(0,MIN(1,S116))^2+(1-MAX(0,MIN(1,S116)))^2/$B$5))-(MAX(0,MIN(1,R116))^2/(MAX(0,MIN(1,R116))^2+(1-MAX(0,MIN(1,R116)))^2/$B$5))))&lt;0.000000001,0,S116-$B$11/$B$9*((MAX(0,MIN(1,S116))^2/(MAX(0,MIN(1,S116))^2+(1-MAX(0,MIN(1,S116)))^2/$B$5))-(MAX(0,MIN(1,R116))^2/(MAX(0,MIN(1,R116))^2+(1-MAX(0,MIN(1,R116)))^2/$B$5))))</f>
        <v>0.873061600097219</v>
      </c>
      <c r="T117" s="16" t="n">
        <f aca="false">IF(ABS(T116-$B$11/$B$9*((MAX(0,MIN(1,T116))^2/(MAX(0,MIN(1,T116))^2+(1-MAX(0,MIN(1,T116)))^2/$B$5))-(MAX(0,MIN(1,S116))^2/(MAX(0,MIN(1,S116))^2+(1-MAX(0,MIN(1,S116)))^2/$B$5))))&lt;0.000000001,0,T116-$B$11/$B$9*((MAX(0,MIN(1,T116))^2/(MAX(0,MIN(1,T116))^2+(1-MAX(0,MIN(1,T116)))^2/$B$5))-(MAX(0,MIN(1,S116))^2/(MAX(0,MIN(1,S116))^2+(1-MAX(0,MIN(1,S116)))^2/$B$5))))</f>
        <v>0.861810571273369</v>
      </c>
      <c r="U117" s="16" t="n">
        <f aca="false">IF(ABS(U116-$B$11/$B$9*((MAX(0,MIN(1,U116))^2/(MAX(0,MIN(1,U116))^2+(1-MAX(0,MIN(1,U116)))^2/$B$5))-(MAX(0,MIN(1,T116))^2/(MAX(0,MIN(1,T116))^2+(1-MAX(0,MIN(1,T116)))^2/$B$5))))&lt;0.000000001,0,U116-$B$11/$B$9*((MAX(0,MIN(1,U116))^2/(MAX(0,MIN(1,U116))^2+(1-MAX(0,MIN(1,U116)))^2/$B$5))-(MAX(0,MIN(1,T116))^2/(MAX(0,MIN(1,T116))^2+(1-MAX(0,MIN(1,T116)))^2/$B$5))))</f>
        <v>0.851180846955455</v>
      </c>
      <c r="V117" s="16" t="n">
        <f aca="false">IF(ABS(V116-$B$11/$B$9*((MAX(0,MIN(1,V116))^2/(MAX(0,MIN(1,V116))^2+(1-MAX(0,MIN(1,V116)))^2/$B$5))-(MAX(0,MIN(1,U116))^2/(MAX(0,MIN(1,U116))^2+(1-MAX(0,MIN(1,U116)))^2/$B$5))))&lt;0.000000001,0,V116-$B$11/$B$9*((MAX(0,MIN(1,V116))^2/(MAX(0,MIN(1,V116))^2+(1-MAX(0,MIN(1,V116)))^2/$B$5))-(MAX(0,MIN(1,U116))^2/(MAX(0,MIN(1,U116))^2+(1-MAX(0,MIN(1,U116)))^2/$B$5))))</f>
        <v>0.841094509700926</v>
      </c>
      <c r="W117" s="16" t="n">
        <f aca="false">IF(ABS(W116-$B$11/$B$9*((MAX(0,MIN(1,W116))^2/(MAX(0,MIN(1,W116))^2+(1-MAX(0,MIN(1,W116)))^2/$B$5))-(MAX(0,MIN(1,V116))^2/(MAX(0,MIN(1,V116))^2+(1-MAX(0,MIN(1,V116)))^2/$B$5))))&lt;0.000000001,0,W116-$B$11/$B$9*((MAX(0,MIN(1,W116))^2/(MAX(0,MIN(1,W116))^2+(1-MAX(0,MIN(1,W116)))^2/$B$5))-(MAX(0,MIN(1,V116))^2/(MAX(0,MIN(1,V116))^2+(1-MAX(0,MIN(1,V116)))^2/$B$5))))</f>
        <v>0.831488382314754</v>
      </c>
      <c r="X117" s="16" t="n">
        <f aca="false">IF(ABS(X116-$B$11/$B$9*((MAX(0,MIN(1,X116))^2/(MAX(0,MIN(1,X116))^2+(1-MAX(0,MIN(1,X116)))^2/$B$5))-(MAX(0,MIN(1,W116))^2/(MAX(0,MIN(1,W116))^2+(1-MAX(0,MIN(1,W116)))^2/$B$5))))&lt;0.000000001,0,X116-$B$11/$B$9*((MAX(0,MIN(1,X116))^2/(MAX(0,MIN(1,X116))^2+(1-MAX(0,MIN(1,X116)))^2/$B$5))-(MAX(0,MIN(1,W116))^2/(MAX(0,MIN(1,W116))^2+(1-MAX(0,MIN(1,W116)))^2/$B$5))))</f>
        <v>0.822310191257488</v>
      </c>
      <c r="Y117" s="16" t="n">
        <f aca="false">IF(ABS(Y116-$B$11/$B$9*((MAX(0,MIN(1,Y116))^2/(MAX(0,MIN(1,Y116))^2+(1-MAX(0,MIN(1,Y116)))^2/$B$5))-(MAX(0,MIN(1,X116))^2/(MAX(0,MIN(1,X116))^2+(1-MAX(0,MIN(1,X116)))^2/$B$5))))&lt;0.000000001,0,Y116-$B$11/$B$9*((MAX(0,MIN(1,Y116))^2/(MAX(0,MIN(1,Y116))^2+(1-MAX(0,MIN(1,Y116)))^2/$B$5))-(MAX(0,MIN(1,X116))^2/(MAX(0,MIN(1,X116))^2+(1-MAX(0,MIN(1,X116)))^2/$B$5))))</f>
        <v>0.813515986912066</v>
      </c>
      <c r="Z117" s="16" t="n">
        <f aca="false">IF(ABS(Z116-$B$11/$B$9*((MAX(0,MIN(1,Z116))^2/(MAX(0,MIN(1,Z116))^2+(1-MAX(0,MIN(1,Z116)))^2/$B$5))-(MAX(0,MIN(1,Y116))^2/(MAX(0,MIN(1,Y116))^2+(1-MAX(0,MIN(1,Y116)))^2/$B$5))))&lt;0.000000001,0,Z116-$B$11/$B$9*((MAX(0,MIN(1,Z116))^2/(MAX(0,MIN(1,Z116))^2+(1-MAX(0,MIN(1,Z116)))^2/$B$5))-(MAX(0,MIN(1,Y116))^2/(MAX(0,MIN(1,Y116))^2+(1-MAX(0,MIN(1,Y116)))^2/$B$5))))</f>
        <v>0.805068332091724</v>
      </c>
      <c r="AA117" s="16" t="n">
        <f aca="false">IF(ABS(AA116-$B$11/$B$9*((MAX(0,MIN(1,AA116))^2/(MAX(0,MIN(1,AA116))^2+(1-MAX(0,MIN(1,AA116)))^2/$B$5))-(MAX(0,MIN(1,Z116))^2/(MAX(0,MIN(1,Z116))^2+(1-MAX(0,MIN(1,Z116)))^2/$B$5))))&lt;0.000000001,0,AA116-$B$11/$B$9*((MAX(0,MIN(1,AA116))^2/(MAX(0,MIN(1,AA116))^2+(1-MAX(0,MIN(1,AA116)))^2/$B$5))-(MAX(0,MIN(1,Z116))^2/(MAX(0,MIN(1,Z116))^2+(1-MAX(0,MIN(1,Z116)))^2/$B$5))))</f>
        <v>0.796934985592127</v>
      </c>
      <c r="AB117" s="16" t="n">
        <f aca="false">IF(ABS(AB116-$B$11/$B$9*((MAX(0,MIN(1,AB116))^2/(MAX(0,MIN(1,AB116))^2+(1-MAX(0,MIN(1,AB116)))^2/$B$5))-(MAX(0,MIN(1,AA116))^2/(MAX(0,MIN(1,AA116))^2+(1-MAX(0,MIN(1,AA116)))^2/$B$5))))&lt;0.000000001,0,AB116-$B$11/$B$9*((MAX(0,MIN(1,AB116))^2/(MAX(0,MIN(1,AB116))^2+(1-MAX(0,MIN(1,AB116)))^2/$B$5))-(MAX(0,MIN(1,AA116))^2/(MAX(0,MIN(1,AA116))^2+(1-MAX(0,MIN(1,AA116)))^2/$B$5))))</f>
        <v>0.789087918586578</v>
      </c>
      <c r="AC117" s="16" t="n">
        <f aca="false">IF(ABS(AC116-$B$11/$B$9*((MAX(0,MIN(1,AC116))^2/(MAX(0,MIN(1,AC116))^2+(1-MAX(0,MIN(1,AC116)))^2/$B$5))-(MAX(0,MIN(1,AB116))^2/(MAX(0,MIN(1,AB116))^2+(1-MAX(0,MIN(1,AB116)))^2/$B$5))))&lt;0.000000001,0,AC116-$B$11/$B$9*((MAX(0,MIN(1,AC116))^2/(MAX(0,MIN(1,AC116))^2+(1-MAX(0,MIN(1,AC116)))^2/$B$5))-(MAX(0,MIN(1,AB116))^2/(MAX(0,MIN(1,AB116))^2+(1-MAX(0,MIN(1,AB116)))^2/$B$5))))</f>
        <v>0.78150256269756</v>
      </c>
      <c r="AD117" s="16" t="n">
        <f aca="false">IF(ABS(AD116-$B$11/$B$9*((MAX(0,MIN(1,AD116))^2/(MAX(0,MIN(1,AD116))^2+(1-MAX(0,MIN(1,AD116)))^2/$B$5))-(MAX(0,MIN(1,AC116))^2/(MAX(0,MIN(1,AC116))^2+(1-MAX(0,MIN(1,AC116)))^2/$B$5))))&lt;0.000000001,0,AD116-$B$11/$B$9*((MAX(0,MIN(1,AD116))^2/(MAX(0,MIN(1,AD116))^2+(1-MAX(0,MIN(1,AD116)))^2/$B$5))-(MAX(0,MIN(1,AC116))^2/(MAX(0,MIN(1,AC116))^2+(1-MAX(0,MIN(1,AC116)))^2/$B$5))))</f>
        <v>0.774157224004061</v>
      </c>
      <c r="AE117" s="16" t="n">
        <f aca="false">IF(ABS(AE116-$B$11/$B$9*((MAX(0,MIN(1,AE116))^2/(MAX(0,MIN(1,AE116))^2+(1-MAX(0,MIN(1,AE116)))^2/$B$5))-(MAX(0,MIN(1,AD116))^2/(MAX(0,MIN(1,AD116))^2+(1-MAX(0,MIN(1,AD116)))^2/$B$5))))&lt;0.000000001,0,AE116-$B$11/$B$9*((MAX(0,MIN(1,AE116))^2/(MAX(0,MIN(1,AE116))^2+(1-MAX(0,MIN(1,AE116)))^2/$B$5))-(MAX(0,MIN(1,AD116))^2/(MAX(0,MIN(1,AD116))^2+(1-MAX(0,MIN(1,AD116)))^2/$B$5))))</f>
        <v>0.767032618763267</v>
      </c>
      <c r="AF117" s="16" t="n">
        <f aca="false">IF(ABS(AF116-$B$11/$B$9*((MAX(0,MIN(1,AF116))^2/(MAX(0,MIN(1,AF116))^2+(1-MAX(0,MIN(1,AF116)))^2/$B$5))-(MAX(0,MIN(1,AE116))^2/(MAX(0,MIN(1,AE116))^2+(1-MAX(0,MIN(1,AE116)))^2/$B$5))))&lt;0.000000001,0,AF116-$B$11/$B$9*((MAX(0,MIN(1,AF116))^2/(MAX(0,MIN(1,AF116))^2+(1-MAX(0,MIN(1,AF116)))^2/$B$5))-(MAX(0,MIN(1,AE116))^2/(MAX(0,MIN(1,AE116))^2+(1-MAX(0,MIN(1,AE116)))^2/$B$5))))</f>
        <v>0.760111500210767</v>
      </c>
    </row>
    <row r="118" customFormat="false" ht="15" hidden="false" customHeight="false" outlineLevel="0" collapsed="false">
      <c r="L118" s="0" t="n">
        <v>108</v>
      </c>
      <c r="M118" s="16" t="n">
        <f aca="false">IF(ABS(M117-$B$11/$B$9*((MAX(0,MIN(1,M117))^2/(MAX(0,MIN(1,M117))^2+(1-MAX(0,MIN(1,M117)))^2/$B$5))-(MAX(0,MIN(1,1))^2/(MAX(0,MIN(1,1))^2+(1-MAX(0,MIN(1,1)))^2/$B$5))))&lt;0.000000001,0,M117-$B$11/$B$9*((MAX(0,MIN(1,M117))^2/(MAX(0,MIN(1,M117))^2+(1-MAX(0,MIN(1,M117)))^2/$B$5))-(MAX(0,MIN(1,1))^2/(MAX(0,MIN(1,1))^2+(1-MAX(0,MIN(1,1)))^2/$B$5))))</f>
        <v>0.963902979580125</v>
      </c>
      <c r="N118" s="16" t="n">
        <f aca="false">IF(ABS(N117-$B$11/$B$9*((MAX(0,MIN(1,N117))^2/(MAX(0,MIN(1,N117))^2+(1-MAX(0,MIN(1,N117)))^2/$B$5))-(MAX(0,MIN(1,M117))^2/(MAX(0,MIN(1,M117))^2+(1-MAX(0,MIN(1,M117)))^2/$B$5))))&lt;0.000000001,0,N117-$B$11/$B$9*((MAX(0,MIN(1,N117))^2/(MAX(0,MIN(1,N117))^2+(1-MAX(0,MIN(1,N117)))^2/$B$5))-(MAX(0,MIN(1,M117))^2/(MAX(0,MIN(1,M117))^2+(1-MAX(0,MIN(1,M117)))^2/$B$5))))</f>
        <v>0.944191324065141</v>
      </c>
      <c r="O118" s="16" t="n">
        <f aca="false">IF(ABS(O117-$B$11/$B$9*((MAX(0,MIN(1,O117))^2/(MAX(0,MIN(1,O117))^2+(1-MAX(0,MIN(1,O117)))^2/$B$5))-(MAX(0,MIN(1,N117))^2/(MAX(0,MIN(1,N117))^2+(1-MAX(0,MIN(1,N117)))^2/$B$5))))&lt;0.000000001,0,O117-$B$11/$B$9*((MAX(0,MIN(1,O117))^2/(MAX(0,MIN(1,O117))^2+(1-MAX(0,MIN(1,O117)))^2/$B$5))-(MAX(0,MIN(1,N117))^2/(MAX(0,MIN(1,N117))^2+(1-MAX(0,MIN(1,N117)))^2/$B$5))))</f>
        <v>0.927367871645123</v>
      </c>
      <c r="P118" s="16" t="n">
        <f aca="false">IF(ABS(P117-$B$11/$B$9*((MAX(0,MIN(1,P117))^2/(MAX(0,MIN(1,P117))^2+(1-MAX(0,MIN(1,P117)))^2/$B$5))-(MAX(0,MIN(1,O117))^2/(MAX(0,MIN(1,O117))^2+(1-MAX(0,MIN(1,O117)))^2/$B$5))))&lt;0.000000001,0,P117-$B$11/$B$9*((MAX(0,MIN(1,P117))^2/(MAX(0,MIN(1,P117))^2+(1-MAX(0,MIN(1,P117)))^2/$B$5))-(MAX(0,MIN(1,O117))^2/(MAX(0,MIN(1,O117))^2+(1-MAX(0,MIN(1,O117)))^2/$B$5))))</f>
        <v>0.912304847465345</v>
      </c>
      <c r="Q118" s="16" t="n">
        <f aca="false">IF(ABS(Q117-$B$11/$B$9*((MAX(0,MIN(1,Q117))^2/(MAX(0,MIN(1,Q117))^2+(1-MAX(0,MIN(1,Q117)))^2/$B$5))-(MAX(0,MIN(1,P117))^2/(MAX(0,MIN(1,P117))^2+(1-MAX(0,MIN(1,P117)))^2/$B$5))))&lt;0.000000001,0,Q117-$B$11/$B$9*((MAX(0,MIN(1,Q117))^2/(MAX(0,MIN(1,Q117))^2+(1-MAX(0,MIN(1,Q117)))^2/$B$5))-(MAX(0,MIN(1,P117))^2/(MAX(0,MIN(1,P117))^2+(1-MAX(0,MIN(1,P117)))^2/$B$5))))</f>
        <v>0.898530916249673</v>
      </c>
      <c r="R118" s="16" t="n">
        <f aca="false">IF(ABS(R117-$B$11/$B$9*((MAX(0,MIN(1,R117))^2/(MAX(0,MIN(1,R117))^2+(1-MAX(0,MIN(1,R117)))^2/$B$5))-(MAX(0,MIN(1,Q117))^2/(MAX(0,MIN(1,Q117))^2+(1-MAX(0,MIN(1,Q117)))^2/$B$5))))&lt;0.000000001,0,R117-$B$11/$B$9*((MAX(0,MIN(1,R117))^2/(MAX(0,MIN(1,R117))^2+(1-MAX(0,MIN(1,R117)))^2/$B$5))-(MAX(0,MIN(1,Q117))^2/(MAX(0,MIN(1,Q117))^2+(1-MAX(0,MIN(1,Q117)))^2/$B$5))))</f>
        <v>0.885777358083963</v>
      </c>
      <c r="S118" s="16" t="n">
        <f aca="false">IF(ABS(S117-$B$11/$B$9*((MAX(0,MIN(1,S117))^2/(MAX(0,MIN(1,S117))^2+(1-MAX(0,MIN(1,S117)))^2/$B$5))-(MAX(0,MIN(1,R117))^2/(MAX(0,MIN(1,R117))^2+(1-MAX(0,MIN(1,R117)))^2/$B$5))))&lt;0.000000001,0,S117-$B$11/$B$9*((MAX(0,MIN(1,S117))^2/(MAX(0,MIN(1,S117))^2+(1-MAX(0,MIN(1,S117)))^2/$B$5))-(MAX(0,MIN(1,R117))^2/(MAX(0,MIN(1,R117))^2+(1-MAX(0,MIN(1,R117)))^2/$B$5))))</f>
        <v>0.873866263666632</v>
      </c>
      <c r="T118" s="16" t="n">
        <f aca="false">IF(ABS(T117-$B$11/$B$9*((MAX(0,MIN(1,T117))^2/(MAX(0,MIN(1,T117))^2+(1-MAX(0,MIN(1,T117)))^2/$B$5))-(MAX(0,MIN(1,S117))^2/(MAX(0,MIN(1,S117))^2+(1-MAX(0,MIN(1,S117)))^2/$B$5))))&lt;0.000000001,0,T117-$B$11/$B$9*((MAX(0,MIN(1,T117))^2/(MAX(0,MIN(1,T117))^2+(1-MAX(0,MIN(1,T117)))^2/$B$5))-(MAX(0,MIN(1,S117))^2/(MAX(0,MIN(1,S117))^2+(1-MAX(0,MIN(1,S117)))^2/$B$5))))</f>
        <v>0.862669345576134</v>
      </c>
      <c r="U118" s="16" t="n">
        <f aca="false">IF(ABS(U117-$B$11/$B$9*((MAX(0,MIN(1,U117))^2/(MAX(0,MIN(1,U117))^2+(1-MAX(0,MIN(1,U117)))^2/$B$5))-(MAX(0,MIN(1,T117))^2/(MAX(0,MIN(1,T117))^2+(1-MAX(0,MIN(1,T117)))^2/$B$5))))&lt;0.000000001,0,U117-$B$11/$B$9*((MAX(0,MIN(1,U117))^2/(MAX(0,MIN(1,U117))^2+(1-MAX(0,MIN(1,U117)))^2/$B$5))-(MAX(0,MIN(1,T117))^2/(MAX(0,MIN(1,T117))^2+(1-MAX(0,MIN(1,T117)))^2/$B$5))))</f>
        <v>0.852088962532932</v>
      </c>
      <c r="V118" s="16" t="n">
        <f aca="false">IF(ABS(V117-$B$11/$B$9*((MAX(0,MIN(1,V117))^2/(MAX(0,MIN(1,V117))^2+(1-MAX(0,MIN(1,V117)))^2/$B$5))-(MAX(0,MIN(1,U117))^2/(MAX(0,MIN(1,U117))^2+(1-MAX(0,MIN(1,U117)))^2/$B$5))))&lt;0.000000001,0,V117-$B$11/$B$9*((MAX(0,MIN(1,V117))^2/(MAX(0,MIN(1,V117))^2+(1-MAX(0,MIN(1,V117)))^2/$B$5))-(MAX(0,MIN(1,U117))^2/(MAX(0,MIN(1,U117))^2+(1-MAX(0,MIN(1,U117)))^2/$B$5))))</f>
        <v>0.842048008438706</v>
      </c>
      <c r="W118" s="16" t="n">
        <f aca="false">IF(ABS(W117-$B$11/$B$9*((MAX(0,MIN(1,W117))^2/(MAX(0,MIN(1,W117))^2+(1-MAX(0,MIN(1,W117)))^2/$B$5))-(MAX(0,MIN(1,V117))^2/(MAX(0,MIN(1,V117))^2+(1-MAX(0,MIN(1,V117)))^2/$B$5))))&lt;0.000000001,0,W117-$B$11/$B$9*((MAX(0,MIN(1,W117))^2/(MAX(0,MIN(1,W117))^2+(1-MAX(0,MIN(1,W117)))^2/$B$5))-(MAX(0,MIN(1,V117))^2/(MAX(0,MIN(1,V117))^2+(1-MAX(0,MIN(1,V117)))^2/$B$5))))</f>
        <v>0.832483947338156</v>
      </c>
      <c r="X118" s="16" t="n">
        <f aca="false">IF(ABS(X117-$B$11/$B$9*((MAX(0,MIN(1,X117))^2/(MAX(0,MIN(1,X117))^2+(1-MAX(0,MIN(1,X117)))^2/$B$5))-(MAX(0,MIN(1,W117))^2/(MAX(0,MIN(1,W117))^2+(1-MAX(0,MIN(1,W117)))^2/$B$5))))&lt;0.000000001,0,X117-$B$11/$B$9*((MAX(0,MIN(1,X117))^2/(MAX(0,MIN(1,X117))^2+(1-MAX(0,MIN(1,X117)))^2/$B$5))-(MAX(0,MIN(1,W117))^2/(MAX(0,MIN(1,W117))^2+(1-MAX(0,MIN(1,W117)))^2/$B$5))))</f>
        <v>0.823345022248351</v>
      </c>
      <c r="Y118" s="16" t="n">
        <f aca="false">IF(ABS(Y117-$B$11/$B$9*((MAX(0,MIN(1,Y117))^2/(MAX(0,MIN(1,Y117))^2+(1-MAX(0,MIN(1,Y117)))^2/$B$5))-(MAX(0,MIN(1,X117))^2/(MAX(0,MIN(1,X117))^2+(1-MAX(0,MIN(1,X117)))^2/$B$5))))&lt;0.000000001,0,Y117-$B$11/$B$9*((MAX(0,MIN(1,Y117))^2/(MAX(0,MIN(1,Y117))^2+(1-MAX(0,MIN(1,Y117)))^2/$B$5))-(MAX(0,MIN(1,X117))^2/(MAX(0,MIN(1,X117))^2+(1-MAX(0,MIN(1,X117)))^2/$B$5))))</f>
        <v>0.814587706412464</v>
      </c>
      <c r="Z118" s="16" t="n">
        <f aca="false">IF(ABS(Z117-$B$11/$B$9*((MAX(0,MIN(1,Z117))^2/(MAX(0,MIN(1,Z117))^2+(1-MAX(0,MIN(1,Z117)))^2/$B$5))-(MAX(0,MIN(1,Y117))^2/(MAX(0,MIN(1,Y117))^2+(1-MAX(0,MIN(1,Y117)))^2/$B$5))))&lt;0.000000001,0,Z117-$B$11/$B$9*((MAX(0,MIN(1,Z117))^2/(MAX(0,MIN(1,Z117))^2+(1-MAX(0,MIN(1,Z117)))^2/$B$5))-(MAX(0,MIN(1,Y117))^2/(MAX(0,MIN(1,Y117))^2+(1-MAX(0,MIN(1,Y117)))^2/$B$5))))</f>
        <v>0.806174913709827</v>
      </c>
      <c r="AA118" s="16" t="n">
        <f aca="false">IF(ABS(AA117-$B$11/$B$9*((MAX(0,MIN(1,AA117))^2/(MAX(0,MIN(1,AA117))^2+(1-MAX(0,MIN(1,AA117)))^2/$B$5))-(MAX(0,MIN(1,Z117))^2/(MAX(0,MIN(1,Z117))^2+(1-MAX(0,MIN(1,Z117)))^2/$B$5))))&lt;0.000000001,0,AA117-$B$11/$B$9*((MAX(0,MIN(1,AA117))^2/(MAX(0,MIN(1,AA117))^2+(1-MAX(0,MIN(1,AA117)))^2/$B$5))-(MAX(0,MIN(1,Z117))^2/(MAX(0,MIN(1,Z117))^2+(1-MAX(0,MIN(1,Z117)))^2/$B$5))))</f>
        <v>0.798074698135082</v>
      </c>
      <c r="AB118" s="16" t="n">
        <f aca="false">IF(ABS(AB117-$B$11/$B$9*((MAX(0,MIN(1,AB117))^2/(MAX(0,MIN(1,AB117))^2+(1-MAX(0,MIN(1,AB117)))^2/$B$5))-(MAX(0,MIN(1,AA117))^2/(MAX(0,MIN(1,AA117))^2+(1-MAX(0,MIN(1,AA117)))^2/$B$5))))&lt;0.000000001,0,AB117-$B$11/$B$9*((MAX(0,MIN(1,AB117))^2/(MAX(0,MIN(1,AB117))^2+(1-MAX(0,MIN(1,AB117)))^2/$B$5))-(MAX(0,MIN(1,AA117))^2/(MAX(0,MIN(1,AA117))^2+(1-MAX(0,MIN(1,AA117)))^2/$B$5))))</f>
        <v>0.790259282052869</v>
      </c>
      <c r="AC118" s="16" t="n">
        <f aca="false">IF(ABS(AC117-$B$11/$B$9*((MAX(0,MIN(1,AC117))^2/(MAX(0,MIN(1,AC117))^2+(1-MAX(0,MIN(1,AC117)))^2/$B$5))-(MAX(0,MIN(1,AB117))^2/(MAX(0,MIN(1,AB117))^2+(1-MAX(0,MIN(1,AB117)))^2/$B$5))))&lt;0.000000001,0,AC117-$B$11/$B$9*((MAX(0,MIN(1,AC117))^2/(MAX(0,MIN(1,AC117))^2+(1-MAX(0,MIN(1,AC117)))^2/$B$5))-(MAX(0,MIN(1,AB117))^2/(MAX(0,MIN(1,AB117))^2+(1-MAX(0,MIN(1,AB117)))^2/$B$5))))</f>
        <v>0.782704313283138</v>
      </c>
      <c r="AD118" s="16" t="n">
        <f aca="false">IF(ABS(AD117-$B$11/$B$9*((MAX(0,MIN(1,AD117))^2/(MAX(0,MIN(1,AD117))^2+(1-MAX(0,MIN(1,AD117)))^2/$B$5))-(MAX(0,MIN(1,AC117))^2/(MAX(0,MIN(1,AC117))^2+(1-MAX(0,MIN(1,AC117)))^2/$B$5))))&lt;0.000000001,0,AD117-$B$11/$B$9*((MAX(0,MIN(1,AD117))^2/(MAX(0,MIN(1,AD117))^2+(1-MAX(0,MIN(1,AD117)))^2/$B$5))-(MAX(0,MIN(1,AC117))^2/(MAX(0,MIN(1,AC117))^2+(1-MAX(0,MIN(1,AC117)))^2/$B$5))))</f>
        <v>0.775388286087642</v>
      </c>
      <c r="AE118" s="16" t="n">
        <f aca="false">IF(ABS(AE117-$B$11/$B$9*((MAX(0,MIN(1,AE117))^2/(MAX(0,MIN(1,AE117))^2+(1-MAX(0,MIN(1,AE117)))^2/$B$5))-(MAX(0,MIN(1,AD117))^2/(MAX(0,MIN(1,AD117))^2+(1-MAX(0,MIN(1,AD117)))^2/$B$5))))&lt;0.000000001,0,AE117-$B$11/$B$9*((MAX(0,MIN(1,AE117))^2/(MAX(0,MIN(1,AE117))^2+(1-MAX(0,MIN(1,AE117)))^2/$B$5))-(MAX(0,MIN(1,AD117))^2/(MAX(0,MIN(1,AD117))^2+(1-MAX(0,MIN(1,AD117)))^2/$B$5))))</f>
        <v>0.768292082391261</v>
      </c>
      <c r="AF118" s="16" t="n">
        <f aca="false">IF(ABS(AF117-$B$11/$B$9*((MAX(0,MIN(1,AF117))^2/(MAX(0,MIN(1,AF117))^2+(1-MAX(0,MIN(1,AF117)))^2/$B$5))-(MAX(0,MIN(1,AE117))^2/(MAX(0,MIN(1,AE117))^2+(1-MAX(0,MIN(1,AE117)))^2/$B$5))))&lt;0.000000001,0,AF117-$B$11/$B$9*((MAX(0,MIN(1,AF117))^2/(MAX(0,MIN(1,AF117))^2+(1-MAX(0,MIN(1,AF117)))^2/$B$5))-(MAX(0,MIN(1,AE117))^2/(MAX(0,MIN(1,AE117))^2+(1-MAX(0,MIN(1,AE117)))^2/$B$5))))</f>
        <v>0.761398602992582</v>
      </c>
    </row>
    <row r="119" customFormat="false" ht="15" hidden="false" customHeight="false" outlineLevel="0" collapsed="false">
      <c r="L119" s="0" t="n">
        <v>109</v>
      </c>
      <c r="M119" s="16" t="n">
        <f aca="false">IF(ABS(M118-$B$11/$B$9*((MAX(0,MIN(1,M118))^2/(MAX(0,MIN(1,M118))^2+(1-MAX(0,MIN(1,M118)))^2/$B$5))-(MAX(0,MIN(1,1))^2/(MAX(0,MIN(1,1))^2+(1-MAX(0,MIN(1,1)))^2/$B$5))))&lt;0.000000001,0,M118-$B$11/$B$9*((MAX(0,MIN(1,M118))^2/(MAX(0,MIN(1,M118))^2+(1-MAX(0,MIN(1,M118)))^2/$B$5))-(MAX(0,MIN(1,1))^2/(MAX(0,MIN(1,1))^2+(1-MAX(0,MIN(1,1)))^2/$B$5))))</f>
        <v>0.964172426633104</v>
      </c>
      <c r="N119" s="16" t="n">
        <f aca="false">IF(ABS(N118-$B$11/$B$9*((MAX(0,MIN(1,N118))^2/(MAX(0,MIN(1,N118))^2+(1-MAX(0,MIN(1,N118)))^2/$B$5))-(MAX(0,MIN(1,M118))^2/(MAX(0,MIN(1,M118))^2+(1-MAX(0,MIN(1,M118)))^2/$B$5))))&lt;0.000000001,0,N118-$B$11/$B$9*((MAX(0,MIN(1,N118))^2/(MAX(0,MIN(1,N118))^2+(1-MAX(0,MIN(1,N118)))^2/$B$5))-(MAX(0,MIN(1,M118))^2/(MAX(0,MIN(1,M118))^2+(1-MAX(0,MIN(1,M118)))^2/$B$5))))</f>
        <v>0.944592420952192</v>
      </c>
      <c r="O119" s="16" t="n">
        <f aca="false">IF(ABS(O118-$B$11/$B$9*((MAX(0,MIN(1,O118))^2/(MAX(0,MIN(1,O118))^2+(1-MAX(0,MIN(1,O118)))^2/$B$5))-(MAX(0,MIN(1,N118))^2/(MAX(0,MIN(1,N118))^2+(1-MAX(0,MIN(1,N118)))^2/$B$5))))&lt;0.000000001,0,O118-$B$11/$B$9*((MAX(0,MIN(1,O118))^2/(MAX(0,MIN(1,O118))^2+(1-MAX(0,MIN(1,O118)))^2/$B$5))-(MAX(0,MIN(1,N118))^2/(MAX(0,MIN(1,N118))^2+(1-MAX(0,MIN(1,N118)))^2/$B$5))))</f>
        <v>0.927873105553433</v>
      </c>
      <c r="P119" s="16" t="n">
        <f aca="false">IF(ABS(P118-$B$11/$B$9*((MAX(0,MIN(1,P118))^2/(MAX(0,MIN(1,P118))^2+(1-MAX(0,MIN(1,P118)))^2/$B$5))-(MAX(0,MIN(1,O118))^2/(MAX(0,MIN(1,O118))^2+(1-MAX(0,MIN(1,O118)))^2/$B$5))))&lt;0.000000001,0,P118-$B$11/$B$9*((MAX(0,MIN(1,P118))^2/(MAX(0,MIN(1,P118))^2+(1-MAX(0,MIN(1,P118)))^2/$B$5))-(MAX(0,MIN(1,O118))^2/(MAX(0,MIN(1,O118))^2+(1-MAX(0,MIN(1,O118)))^2/$B$5))))</f>
        <v>0.912897431687009</v>
      </c>
      <c r="Q119" s="16" t="n">
        <f aca="false">IF(ABS(Q118-$B$11/$B$9*((MAX(0,MIN(1,Q118))^2/(MAX(0,MIN(1,Q118))^2+(1-MAX(0,MIN(1,Q118)))^2/$B$5))-(MAX(0,MIN(1,P118))^2/(MAX(0,MIN(1,P118))^2+(1-MAX(0,MIN(1,P118)))^2/$B$5))))&lt;0.000000001,0,Q118-$B$11/$B$9*((MAX(0,MIN(1,Q118))^2/(MAX(0,MIN(1,Q118))^2+(1-MAX(0,MIN(1,Q118)))^2/$B$5))-(MAX(0,MIN(1,P118))^2/(MAX(0,MIN(1,P118))^2+(1-MAX(0,MIN(1,P118)))^2/$B$5))))</f>
        <v>0.899198921733145</v>
      </c>
      <c r="R119" s="16" t="n">
        <f aca="false">IF(ABS(R118-$B$11/$B$9*((MAX(0,MIN(1,R118))^2/(MAX(0,MIN(1,R118))^2+(1-MAX(0,MIN(1,R118)))^2/$B$5))-(MAX(0,MIN(1,Q118))^2/(MAX(0,MIN(1,Q118))^2+(1-MAX(0,MIN(1,Q118)))^2/$B$5))))&lt;0.000000001,0,R118-$B$11/$B$9*((MAX(0,MIN(1,R118))^2/(MAX(0,MIN(1,R118))^2+(1-MAX(0,MIN(1,R118)))^2/$B$5))-(MAX(0,MIN(1,Q118))^2/(MAX(0,MIN(1,Q118))^2+(1-MAX(0,MIN(1,Q118)))^2/$B$5))))</f>
        <v>0.886511734142295</v>
      </c>
      <c r="S119" s="16" t="n">
        <f aca="false">IF(ABS(S118-$B$11/$B$9*((MAX(0,MIN(1,S118))^2/(MAX(0,MIN(1,S118))^2+(1-MAX(0,MIN(1,S118)))^2/$B$5))-(MAX(0,MIN(1,R118))^2/(MAX(0,MIN(1,R118))^2+(1-MAX(0,MIN(1,R118)))^2/$B$5))))&lt;0.000000001,0,S118-$B$11/$B$9*((MAX(0,MIN(1,S118))^2/(MAX(0,MIN(1,S118))^2+(1-MAX(0,MIN(1,S118)))^2/$B$5))-(MAX(0,MIN(1,R118))^2/(MAX(0,MIN(1,R118))^2+(1-MAX(0,MIN(1,R118)))^2/$B$5))))</f>
        <v>0.874659885915205</v>
      </c>
      <c r="T119" s="16" t="n">
        <f aca="false">IF(ABS(T118-$B$11/$B$9*((MAX(0,MIN(1,T118))^2/(MAX(0,MIN(1,T118))^2+(1-MAX(0,MIN(1,T118)))^2/$B$5))-(MAX(0,MIN(1,S118))^2/(MAX(0,MIN(1,S118))^2+(1-MAX(0,MIN(1,S118)))^2/$B$5))))&lt;0.000000001,0,T118-$B$11/$B$9*((MAX(0,MIN(1,T118))^2/(MAX(0,MIN(1,T118))^2+(1-MAX(0,MIN(1,T118)))^2/$B$5))-(MAX(0,MIN(1,S118))^2/(MAX(0,MIN(1,S118))^2+(1-MAX(0,MIN(1,S118)))^2/$B$5))))</f>
        <v>0.863516469895873</v>
      </c>
      <c r="U119" s="16" t="n">
        <f aca="false">IF(ABS(U118-$B$11/$B$9*((MAX(0,MIN(1,U118))^2/(MAX(0,MIN(1,U118))^2+(1-MAX(0,MIN(1,U118)))^2/$B$5))-(MAX(0,MIN(1,T118))^2/(MAX(0,MIN(1,T118))^2+(1-MAX(0,MIN(1,T118)))^2/$B$5))))&lt;0.000000001,0,U118-$B$11/$B$9*((MAX(0,MIN(1,U118))^2/(MAX(0,MIN(1,U118))^2+(1-MAX(0,MIN(1,U118)))^2/$B$5))-(MAX(0,MIN(1,T118))^2/(MAX(0,MIN(1,T118))^2+(1-MAX(0,MIN(1,T118)))^2/$B$5))))</f>
        <v>0.852984878164961</v>
      </c>
      <c r="V119" s="16" t="n">
        <f aca="false">IF(ABS(V118-$B$11/$B$9*((MAX(0,MIN(1,V118))^2/(MAX(0,MIN(1,V118))^2+(1-MAX(0,MIN(1,V118)))^2/$B$5))-(MAX(0,MIN(1,U118))^2/(MAX(0,MIN(1,U118))^2+(1-MAX(0,MIN(1,U118)))^2/$B$5))))&lt;0.000000001,0,V118-$B$11/$B$9*((MAX(0,MIN(1,V118))^2/(MAX(0,MIN(1,V118))^2+(1-MAX(0,MIN(1,V118)))^2/$B$5))-(MAX(0,MIN(1,U118))^2/(MAX(0,MIN(1,U118))^2+(1-MAX(0,MIN(1,U118)))^2/$B$5))))</f>
        <v>0.842988802654991</v>
      </c>
      <c r="W119" s="16" t="n">
        <f aca="false">IF(ABS(W118-$B$11/$B$9*((MAX(0,MIN(1,W118))^2/(MAX(0,MIN(1,W118))^2+(1-MAX(0,MIN(1,W118)))^2/$B$5))-(MAX(0,MIN(1,V118))^2/(MAX(0,MIN(1,V118))^2+(1-MAX(0,MIN(1,V118)))^2/$B$5))))&lt;0.000000001,0,W118-$B$11/$B$9*((MAX(0,MIN(1,W118))^2/(MAX(0,MIN(1,W118))^2+(1-MAX(0,MIN(1,W118)))^2/$B$5))-(MAX(0,MIN(1,V118))^2/(MAX(0,MIN(1,V118))^2+(1-MAX(0,MIN(1,V118)))^2/$B$5))))</f>
        <v>0.833466338426126</v>
      </c>
      <c r="X119" s="16" t="n">
        <f aca="false">IF(ABS(X118-$B$11/$B$9*((MAX(0,MIN(1,X118))^2/(MAX(0,MIN(1,X118))^2+(1-MAX(0,MIN(1,X118)))^2/$B$5))-(MAX(0,MIN(1,W118))^2/(MAX(0,MIN(1,W118))^2+(1-MAX(0,MIN(1,W118)))^2/$B$5))))&lt;0.000000001,0,X118-$B$11/$B$9*((MAX(0,MIN(1,X118))^2/(MAX(0,MIN(1,X118))^2+(1-MAX(0,MIN(1,X118)))^2/$B$5))-(MAX(0,MIN(1,W118))^2/(MAX(0,MIN(1,W118))^2+(1-MAX(0,MIN(1,W118)))^2/$B$5))))</f>
        <v>0.824366237015272</v>
      </c>
      <c r="Y119" s="16" t="n">
        <f aca="false">IF(ABS(Y118-$B$11/$B$9*((MAX(0,MIN(1,Y118))^2/(MAX(0,MIN(1,Y118))^2+(1-MAX(0,MIN(1,Y118)))^2/$B$5))-(MAX(0,MIN(1,X118))^2/(MAX(0,MIN(1,X118))^2+(1-MAX(0,MIN(1,X118)))^2/$B$5))))&lt;0.000000001,0,Y118-$B$11/$B$9*((MAX(0,MIN(1,Y118))^2/(MAX(0,MIN(1,Y118))^2+(1-MAX(0,MIN(1,Y118)))^2/$B$5))-(MAX(0,MIN(1,X118))^2/(MAX(0,MIN(1,X118))^2+(1-MAX(0,MIN(1,X118)))^2/$B$5))))</f>
        <v>0.815645388070612</v>
      </c>
      <c r="Z119" s="16" t="n">
        <f aca="false">IF(ABS(Z118-$B$11/$B$9*((MAX(0,MIN(1,Z118))^2/(MAX(0,MIN(1,Z118))^2+(1-MAX(0,MIN(1,Z118)))^2/$B$5))-(MAX(0,MIN(1,Y118))^2/(MAX(0,MIN(1,Y118))^2+(1-MAX(0,MIN(1,Y118)))^2/$B$5))))&lt;0.000000001,0,Z118-$B$11/$B$9*((MAX(0,MIN(1,Z118))^2/(MAX(0,MIN(1,Z118))^2+(1-MAX(0,MIN(1,Z118)))^2/$B$5))-(MAX(0,MIN(1,Y118))^2/(MAX(0,MIN(1,Y118))^2+(1-MAX(0,MIN(1,Y118)))^2/$B$5))))</f>
        <v>0.807267051242265</v>
      </c>
      <c r="AA119" s="16" t="n">
        <f aca="false">IF(ABS(AA118-$B$11/$B$9*((MAX(0,MIN(1,AA118))^2/(MAX(0,MIN(1,AA118))^2+(1-MAX(0,MIN(1,AA118)))^2/$B$5))-(MAX(0,MIN(1,Z118))^2/(MAX(0,MIN(1,Z118))^2+(1-MAX(0,MIN(1,Z118)))^2/$B$5))))&lt;0.000000001,0,AA118-$B$11/$B$9*((MAX(0,MIN(1,AA118))^2/(MAX(0,MIN(1,AA118))^2+(1-MAX(0,MIN(1,AA118)))^2/$B$5))-(MAX(0,MIN(1,Z118))^2/(MAX(0,MIN(1,Z118))^2+(1-MAX(0,MIN(1,Z118)))^2/$B$5))))</f>
        <v>0.799199571286636</v>
      </c>
      <c r="AB119" s="16" t="n">
        <f aca="false">IF(ABS(AB118-$B$11/$B$9*((MAX(0,MIN(1,AB118))^2/(MAX(0,MIN(1,AB118))^2+(1-MAX(0,MIN(1,AB118)))^2/$B$5))-(MAX(0,MIN(1,AA118))^2/(MAX(0,MIN(1,AA118))^2+(1-MAX(0,MIN(1,AA118)))^2/$B$5))))&lt;0.000000001,0,AB118-$B$11/$B$9*((MAX(0,MIN(1,AB118))^2/(MAX(0,MIN(1,AB118))^2+(1-MAX(0,MIN(1,AB118)))^2/$B$5))-(MAX(0,MIN(1,AA118))^2/(MAX(0,MIN(1,AA118))^2+(1-MAX(0,MIN(1,AA118)))^2/$B$5))))</f>
        <v>0.791415417958537</v>
      </c>
      <c r="AC119" s="16" t="n">
        <f aca="false">IF(ABS(AC118-$B$11/$B$9*((MAX(0,MIN(1,AC118))^2/(MAX(0,MIN(1,AC118))^2+(1-MAX(0,MIN(1,AC118)))^2/$B$5))-(MAX(0,MIN(1,AB118))^2/(MAX(0,MIN(1,AB118))^2+(1-MAX(0,MIN(1,AB118)))^2/$B$5))))&lt;0.000000001,0,AC118-$B$11/$B$9*((MAX(0,MIN(1,AC118))^2/(MAX(0,MIN(1,AC118))^2+(1-MAX(0,MIN(1,AC118)))^2/$B$5))-(MAX(0,MIN(1,AB118))^2/(MAX(0,MIN(1,AB118))^2+(1-MAX(0,MIN(1,AB118)))^2/$B$5))))</f>
        <v>0.783890451942439</v>
      </c>
      <c r="AD119" s="16" t="n">
        <f aca="false">IF(ABS(AD118-$B$11/$B$9*((MAX(0,MIN(1,AD118))^2/(MAX(0,MIN(1,AD118))^2+(1-MAX(0,MIN(1,AD118)))^2/$B$5))-(MAX(0,MIN(1,AC118))^2/(MAX(0,MIN(1,AC118))^2+(1-MAX(0,MIN(1,AC118)))^2/$B$5))))&lt;0.000000001,0,AD118-$B$11/$B$9*((MAX(0,MIN(1,AD118))^2/(MAX(0,MIN(1,AD118))^2+(1-MAX(0,MIN(1,AD118)))^2/$B$5))-(MAX(0,MIN(1,AC118))^2/(MAX(0,MIN(1,AC118))^2+(1-MAX(0,MIN(1,AC118)))^2/$B$5))))</f>
        <v>0.776603352687552</v>
      </c>
      <c r="AE119" s="16" t="n">
        <f aca="false">IF(ABS(AE118-$B$11/$B$9*((MAX(0,MIN(1,AE118))^2/(MAX(0,MIN(1,AE118))^2+(1-MAX(0,MIN(1,AE118)))^2/$B$5))-(MAX(0,MIN(1,AD118))^2/(MAX(0,MIN(1,AD118))^2+(1-MAX(0,MIN(1,AD118)))^2/$B$5))))&lt;0.000000001,0,AE118-$B$11/$B$9*((MAX(0,MIN(1,AE118))^2/(MAX(0,MIN(1,AE118))^2+(1-MAX(0,MIN(1,AE118)))^2/$B$5))-(MAX(0,MIN(1,AD118))^2/(MAX(0,MIN(1,AD118))^2+(1-MAX(0,MIN(1,AD118)))^2/$B$5))))</f>
        <v>0.769535165023789</v>
      </c>
      <c r="AF119" s="16" t="n">
        <f aca="false">IF(ABS(AF118-$B$11/$B$9*((MAX(0,MIN(1,AF118))^2/(MAX(0,MIN(1,AF118))^2+(1-MAX(0,MIN(1,AF118)))^2/$B$5))-(MAX(0,MIN(1,AE118))^2/(MAX(0,MIN(1,AE118))^2+(1-MAX(0,MIN(1,AE118)))^2/$B$5))))&lt;0.000000001,0,AF118-$B$11/$B$9*((MAX(0,MIN(1,AF118))^2/(MAX(0,MIN(1,AF118))^2+(1-MAX(0,MIN(1,AF118)))^2/$B$5))-(MAX(0,MIN(1,AE118))^2/(MAX(0,MIN(1,AE118))^2+(1-MAX(0,MIN(1,AE118)))^2/$B$5))))</f>
        <v>0.762668934694974</v>
      </c>
    </row>
    <row r="120" customFormat="false" ht="15" hidden="false" customHeight="false" outlineLevel="0" collapsed="false">
      <c r="L120" s="0" t="n">
        <v>110</v>
      </c>
      <c r="M120" s="16" t="n">
        <f aca="false">IF(ABS(M119-$B$11/$B$9*((MAX(0,MIN(1,M119))^2/(MAX(0,MIN(1,M119))^2+(1-MAX(0,MIN(1,M119)))^2/$B$5))-(MAX(0,MIN(1,1))^2/(MAX(0,MIN(1,1))^2+(1-MAX(0,MIN(1,1)))^2/$B$5))))&lt;0.000000001,0,M119-$B$11/$B$9*((MAX(0,MIN(1,M119))^2/(MAX(0,MIN(1,M119))^2+(1-MAX(0,MIN(1,M119)))^2/$B$5))-(MAX(0,MIN(1,1))^2/(MAX(0,MIN(1,1))^2+(1-MAX(0,MIN(1,1)))^2/$B$5))))</f>
        <v>0.964437720640618</v>
      </c>
      <c r="N120" s="16" t="n">
        <f aca="false">IF(ABS(N119-$B$11/$B$9*((MAX(0,MIN(1,N119))^2/(MAX(0,MIN(1,N119))^2+(1-MAX(0,MIN(1,N119)))^2/$B$5))-(MAX(0,MIN(1,M119))^2/(MAX(0,MIN(1,M119))^2+(1-MAX(0,MIN(1,M119)))^2/$B$5))))&lt;0.000000001,0,N119-$B$11/$B$9*((MAX(0,MIN(1,N119))^2/(MAX(0,MIN(1,N119))^2+(1-MAX(0,MIN(1,N119)))^2/$B$5))-(MAX(0,MIN(1,M119))^2/(MAX(0,MIN(1,M119))^2+(1-MAX(0,MIN(1,M119)))^2/$B$5))))</f>
        <v>0.944987523397293</v>
      </c>
      <c r="O120" s="16" t="n">
        <f aca="false">IF(ABS(O119-$B$11/$B$9*((MAX(0,MIN(1,O119))^2/(MAX(0,MIN(1,O119))^2+(1-MAX(0,MIN(1,O119)))^2/$B$5))-(MAX(0,MIN(1,N119))^2/(MAX(0,MIN(1,N119))^2+(1-MAX(0,MIN(1,N119)))^2/$B$5))))&lt;0.000000001,0,O119-$B$11/$B$9*((MAX(0,MIN(1,O119))^2/(MAX(0,MIN(1,O119))^2+(1-MAX(0,MIN(1,O119)))^2/$B$5))-(MAX(0,MIN(1,N119))^2/(MAX(0,MIN(1,N119))^2+(1-MAX(0,MIN(1,N119)))^2/$B$5))))</f>
        <v>0.928370976821955</v>
      </c>
      <c r="P120" s="16" t="n">
        <f aca="false">IF(ABS(P119-$B$11/$B$9*((MAX(0,MIN(1,P119))^2/(MAX(0,MIN(1,P119))^2+(1-MAX(0,MIN(1,P119)))^2/$B$5))-(MAX(0,MIN(1,O119))^2/(MAX(0,MIN(1,O119))^2+(1-MAX(0,MIN(1,O119)))^2/$B$5))))&lt;0.000000001,0,P119-$B$11/$B$9*((MAX(0,MIN(1,P119))^2/(MAX(0,MIN(1,P119))^2+(1-MAX(0,MIN(1,P119)))^2/$B$5))-(MAX(0,MIN(1,O119))^2/(MAX(0,MIN(1,O119))^2+(1-MAX(0,MIN(1,O119)))^2/$B$5))))</f>
        <v>0.913481562070515</v>
      </c>
      <c r="Q120" s="16" t="n">
        <f aca="false">IF(ABS(Q119-$B$11/$B$9*((MAX(0,MIN(1,Q119))^2/(MAX(0,MIN(1,Q119))^2+(1-MAX(0,MIN(1,Q119)))^2/$B$5))-(MAX(0,MIN(1,P119))^2/(MAX(0,MIN(1,P119))^2+(1-MAX(0,MIN(1,P119)))^2/$B$5))))&lt;0.000000001,0,Q119-$B$11/$B$9*((MAX(0,MIN(1,Q119))^2/(MAX(0,MIN(1,Q119))^2+(1-MAX(0,MIN(1,Q119)))^2/$B$5))-(MAX(0,MIN(1,P119))^2/(MAX(0,MIN(1,P119))^2+(1-MAX(0,MIN(1,P119)))^2/$B$5))))</f>
        <v>0.899857568772822</v>
      </c>
      <c r="R120" s="16" t="n">
        <f aca="false">IF(ABS(R119-$B$11/$B$9*((MAX(0,MIN(1,R119))^2/(MAX(0,MIN(1,R119))^2+(1-MAX(0,MIN(1,R119)))^2/$B$5))-(MAX(0,MIN(1,Q119))^2/(MAX(0,MIN(1,Q119))^2+(1-MAX(0,MIN(1,Q119)))^2/$B$5))))&lt;0.000000001,0,R119-$B$11/$B$9*((MAX(0,MIN(1,R119))^2/(MAX(0,MIN(1,R119))^2+(1-MAX(0,MIN(1,R119)))^2/$B$5))-(MAX(0,MIN(1,Q119))^2/(MAX(0,MIN(1,Q119))^2+(1-MAX(0,MIN(1,Q119)))^2/$B$5))))</f>
        <v>0.887235980810963</v>
      </c>
      <c r="S120" s="16" t="n">
        <f aca="false">IF(ABS(S119-$B$11/$B$9*((MAX(0,MIN(1,S119))^2/(MAX(0,MIN(1,S119))^2+(1-MAX(0,MIN(1,S119)))^2/$B$5))-(MAX(0,MIN(1,R119))^2/(MAX(0,MIN(1,R119))^2+(1-MAX(0,MIN(1,R119)))^2/$B$5))))&lt;0.000000001,0,S119-$B$11/$B$9*((MAX(0,MIN(1,S119))^2/(MAX(0,MIN(1,S119))^2+(1-MAX(0,MIN(1,S119)))^2/$B$5))-(MAX(0,MIN(1,R119))^2/(MAX(0,MIN(1,R119))^2+(1-MAX(0,MIN(1,R119)))^2/$B$5))))</f>
        <v>0.875442706953563</v>
      </c>
      <c r="T120" s="16" t="n">
        <f aca="false">IF(ABS(T119-$B$11/$B$9*((MAX(0,MIN(1,T119))^2/(MAX(0,MIN(1,T119))^2+(1-MAX(0,MIN(1,T119)))^2/$B$5))-(MAX(0,MIN(1,S119))^2/(MAX(0,MIN(1,S119))^2+(1-MAX(0,MIN(1,S119)))^2/$B$5))))&lt;0.000000001,0,T119-$B$11/$B$9*((MAX(0,MIN(1,T119))^2/(MAX(0,MIN(1,T119))^2+(1-MAX(0,MIN(1,T119)))^2/$B$5))-(MAX(0,MIN(1,S119))^2/(MAX(0,MIN(1,S119))^2+(1-MAX(0,MIN(1,S119)))^2/$B$5))))</f>
        <v>0.86435219632129</v>
      </c>
      <c r="U120" s="16" t="n">
        <f aca="false">IF(ABS(U119-$B$11/$B$9*((MAX(0,MIN(1,U119))^2/(MAX(0,MIN(1,U119))^2+(1-MAX(0,MIN(1,U119)))^2/$B$5))-(MAX(0,MIN(1,T119))^2/(MAX(0,MIN(1,T119))^2+(1-MAX(0,MIN(1,T119)))^2/$B$5))))&lt;0.000000001,0,U119-$B$11/$B$9*((MAX(0,MIN(1,U119))^2/(MAX(0,MIN(1,U119))^2+(1-MAX(0,MIN(1,U119)))^2/$B$5))-(MAX(0,MIN(1,T119))^2/(MAX(0,MIN(1,T119))^2+(1-MAX(0,MIN(1,T119)))^2/$B$5))))</f>
        <v>0.853868856969493</v>
      </c>
      <c r="V120" s="16" t="n">
        <f aca="false">IF(ABS(V119-$B$11/$B$9*((MAX(0,MIN(1,V119))^2/(MAX(0,MIN(1,V119))^2+(1-MAX(0,MIN(1,V119)))^2/$B$5))-(MAX(0,MIN(1,U119))^2/(MAX(0,MIN(1,U119))^2+(1-MAX(0,MIN(1,U119)))^2/$B$5))))&lt;0.000000001,0,V119-$B$11/$B$9*((MAX(0,MIN(1,V119))^2/(MAX(0,MIN(1,V119))^2+(1-MAX(0,MIN(1,V119)))^2/$B$5))-(MAX(0,MIN(1,U119))^2/(MAX(0,MIN(1,U119))^2+(1-MAX(0,MIN(1,U119)))^2/$B$5))))</f>
        <v>0.843917165851921</v>
      </c>
      <c r="W120" s="16" t="n">
        <f aca="false">IF(ABS(W119-$B$11/$B$9*((MAX(0,MIN(1,W119))^2/(MAX(0,MIN(1,W119))^2+(1-MAX(0,MIN(1,W119)))^2/$B$5))-(MAX(0,MIN(1,V119))^2/(MAX(0,MIN(1,V119))^2+(1-MAX(0,MIN(1,V119)))^2/$B$5))))&lt;0.000000001,0,W119-$B$11/$B$9*((MAX(0,MIN(1,W119))^2/(MAX(0,MIN(1,W119))^2+(1-MAX(0,MIN(1,W119)))^2/$B$5))-(MAX(0,MIN(1,V119))^2/(MAX(0,MIN(1,V119))^2+(1-MAX(0,MIN(1,V119)))^2/$B$5))))</f>
        <v>0.834435839050292</v>
      </c>
      <c r="X120" s="16" t="n">
        <f aca="false">IF(ABS(X119-$B$11/$B$9*((MAX(0,MIN(1,X119))^2/(MAX(0,MIN(1,X119))^2+(1-MAX(0,MIN(1,X119)))^2/$B$5))-(MAX(0,MIN(1,W119))^2/(MAX(0,MIN(1,W119))^2+(1-MAX(0,MIN(1,W119)))^2/$B$5))))&lt;0.000000001,0,X119-$B$11/$B$9*((MAX(0,MIN(1,X119))^2/(MAX(0,MIN(1,X119))^2+(1-MAX(0,MIN(1,X119)))^2/$B$5))-(MAX(0,MIN(1,W119))^2/(MAX(0,MIN(1,W119))^2+(1-MAX(0,MIN(1,W119)))^2/$B$5))))</f>
        <v>0.825374128765576</v>
      </c>
      <c r="Y120" s="16" t="n">
        <f aca="false">IF(ABS(Y119-$B$11/$B$9*((MAX(0,MIN(1,Y119))^2/(MAX(0,MIN(1,Y119))^2+(1-MAX(0,MIN(1,Y119)))^2/$B$5))-(MAX(0,MIN(1,X119))^2/(MAX(0,MIN(1,X119))^2+(1-MAX(0,MIN(1,X119)))^2/$B$5))))&lt;0.000000001,0,Y119-$B$11/$B$9*((MAX(0,MIN(1,Y119))^2/(MAX(0,MIN(1,Y119))^2+(1-MAX(0,MIN(1,Y119)))^2/$B$5))-(MAX(0,MIN(1,X119))^2/(MAX(0,MIN(1,X119))^2+(1-MAX(0,MIN(1,X119)))^2/$B$5))))</f>
        <v>0.816689334743021</v>
      </c>
      <c r="Z120" s="16" t="n">
        <f aca="false">IF(ABS(Z119-$B$11/$B$9*((MAX(0,MIN(1,Z119))^2/(MAX(0,MIN(1,Z119))^2+(1-MAX(0,MIN(1,Z119)))^2/$B$5))-(MAX(0,MIN(1,Y119))^2/(MAX(0,MIN(1,Y119))^2+(1-MAX(0,MIN(1,Y119)))^2/$B$5))))&lt;0.000000001,0,Z119-$B$11/$B$9*((MAX(0,MIN(1,Z119))^2/(MAX(0,MIN(1,Z119))^2+(1-MAX(0,MIN(1,Z119)))^2/$B$5))-(MAX(0,MIN(1,Y119))^2/(MAX(0,MIN(1,Y119))^2+(1-MAX(0,MIN(1,Y119)))^2/$B$5))))</f>
        <v>0.808345057232776</v>
      </c>
      <c r="AA120" s="16" t="n">
        <f aca="false">IF(ABS(AA119-$B$11/$B$9*((MAX(0,MIN(1,AA119))^2/(MAX(0,MIN(1,AA119))^2+(1-MAX(0,MIN(1,AA119)))^2/$B$5))-(MAX(0,MIN(1,Z119))^2/(MAX(0,MIN(1,Z119))^2+(1-MAX(0,MIN(1,Z119)))^2/$B$5))))&lt;0.000000001,0,AA119-$B$11/$B$9*((MAX(0,MIN(1,AA119))^2/(MAX(0,MIN(1,AA119))^2+(1-MAX(0,MIN(1,AA119)))^2/$B$5))-(MAX(0,MIN(1,Z119))^2/(MAX(0,MIN(1,Z119))^2+(1-MAX(0,MIN(1,Z119)))^2/$B$5))))</f>
        <v>0.800309927425407</v>
      </c>
      <c r="AB120" s="16" t="n">
        <f aca="false">IF(ABS(AB119-$B$11/$B$9*((MAX(0,MIN(1,AB119))^2/(MAX(0,MIN(1,AB119))^2+(1-MAX(0,MIN(1,AB119)))^2/$B$5))-(MAX(0,MIN(1,AA119))^2/(MAX(0,MIN(1,AA119))^2+(1-MAX(0,MIN(1,AA119)))^2/$B$5))))&lt;0.000000001,0,AB119-$B$11/$B$9*((MAX(0,MIN(1,AB119))^2/(MAX(0,MIN(1,AB119))^2+(1-MAX(0,MIN(1,AB119)))^2/$B$5))-(MAX(0,MIN(1,AA119))^2/(MAX(0,MIN(1,AA119))^2+(1-MAX(0,MIN(1,AA119)))^2/$B$5))))</f>
        <v>0.792556658765216</v>
      </c>
      <c r="AC120" s="16" t="n">
        <f aca="false">IF(ABS(AC119-$B$11/$B$9*((MAX(0,MIN(1,AC119))^2/(MAX(0,MIN(1,AC119))^2+(1-MAX(0,MIN(1,AC119)))^2/$B$5))-(MAX(0,MIN(1,AB119))^2/(MAX(0,MIN(1,AB119))^2+(1-MAX(0,MIN(1,AB119)))^2/$B$5))))&lt;0.000000001,0,AC119-$B$11/$B$9*((MAX(0,MIN(1,AC119))^2/(MAX(0,MIN(1,AC119))^2+(1-MAX(0,MIN(1,AC119)))^2/$B$5))-(MAX(0,MIN(1,AB119))^2/(MAX(0,MIN(1,AB119))^2+(1-MAX(0,MIN(1,AB119)))^2/$B$5))))</f>
        <v>0.785061321564193</v>
      </c>
      <c r="AD120" s="16" t="n">
        <f aca="false">IF(ABS(AD119-$B$11/$B$9*((MAX(0,MIN(1,AD119))^2/(MAX(0,MIN(1,AD119))^2+(1-MAX(0,MIN(1,AD119)))^2/$B$5))-(MAX(0,MIN(1,AC119))^2/(MAX(0,MIN(1,AC119))^2+(1-MAX(0,MIN(1,AC119)))^2/$B$5))))&lt;0.000000001,0,AD119-$B$11/$B$9*((MAX(0,MIN(1,AD119))^2/(MAX(0,MIN(1,AD119))^2+(1-MAX(0,MIN(1,AD119)))^2/$B$5))-(MAX(0,MIN(1,AC119))^2/(MAX(0,MIN(1,AC119))^2+(1-MAX(0,MIN(1,AC119)))^2/$B$5))))</f>
        <v>0.777802777558939</v>
      </c>
      <c r="AE120" s="16" t="n">
        <f aca="false">IF(ABS(AE119-$B$11/$B$9*((MAX(0,MIN(1,AE119))^2/(MAX(0,MIN(1,AE119))^2+(1-MAX(0,MIN(1,AE119)))^2/$B$5))-(MAX(0,MIN(1,AD119))^2/(MAX(0,MIN(1,AD119))^2+(1-MAX(0,MIN(1,AD119)))^2/$B$5))))&lt;0.000000001,0,AE119-$B$11/$B$9*((MAX(0,MIN(1,AE119))^2/(MAX(0,MIN(1,AE119))^2+(1-MAX(0,MIN(1,AE119)))^2/$B$5))-(MAX(0,MIN(1,AD119))^2/(MAX(0,MIN(1,AD119))^2+(1-MAX(0,MIN(1,AD119)))^2/$B$5))))</f>
        <v>0.770762231819712</v>
      </c>
      <c r="AF120" s="16" t="n">
        <f aca="false">IF(ABS(AF119-$B$11/$B$9*((MAX(0,MIN(1,AF119))^2/(MAX(0,MIN(1,AF119))^2+(1-MAX(0,MIN(1,AF119)))^2/$B$5))-(MAX(0,MIN(1,AE119))^2/(MAX(0,MIN(1,AE119))^2+(1-MAX(0,MIN(1,AE119)))^2/$B$5))))&lt;0.000000001,0,AF119-$B$11/$B$9*((MAX(0,MIN(1,AF119))^2/(MAX(0,MIN(1,AF119))^2+(1-MAX(0,MIN(1,AF119)))^2/$B$5))-(MAX(0,MIN(1,AE119))^2/(MAX(0,MIN(1,AE119))^2+(1-MAX(0,MIN(1,AE119)))^2/$B$5))))</f>
        <v>0.763922872521846</v>
      </c>
    </row>
    <row r="121" customFormat="false" ht="15" hidden="false" customHeight="false" outlineLevel="0" collapsed="false">
      <c r="L121" s="0" t="n">
        <v>111</v>
      </c>
      <c r="M121" s="16" t="n">
        <f aca="false">IF(ABS(M120-$B$11/$B$9*((MAX(0,MIN(1,M120))^2/(MAX(0,MIN(1,M120))^2+(1-MAX(0,MIN(1,M120)))^2/$B$5))-(MAX(0,MIN(1,1))^2/(MAX(0,MIN(1,1))^2+(1-MAX(0,MIN(1,1)))^2/$B$5))))&lt;0.000000001,0,M120-$B$11/$B$9*((MAX(0,MIN(1,M120))^2/(MAX(0,MIN(1,M120))^2+(1-MAX(0,MIN(1,M120)))^2/$B$5))-(MAX(0,MIN(1,1))^2/(MAX(0,MIN(1,1))^2+(1-MAX(0,MIN(1,1)))^2/$B$5))))</f>
        <v>0.96469895930385</v>
      </c>
      <c r="N121" s="16" t="n">
        <f aca="false">IF(ABS(N120-$B$11/$B$9*((MAX(0,MIN(1,N120))^2/(MAX(0,MIN(1,N120))^2+(1-MAX(0,MIN(1,N120)))^2/$B$5))-(MAX(0,MIN(1,M120))^2/(MAX(0,MIN(1,M120))^2+(1-MAX(0,MIN(1,M120)))^2/$B$5))))&lt;0.000000001,0,N120-$B$11/$B$9*((MAX(0,MIN(1,N120))^2/(MAX(0,MIN(1,N120))^2+(1-MAX(0,MIN(1,N120)))^2/$B$5))-(MAX(0,MIN(1,M120))^2/(MAX(0,MIN(1,M120))^2+(1-MAX(0,MIN(1,M120)))^2/$B$5))))</f>
        <v>0.945376768937171</v>
      </c>
      <c r="O121" s="16" t="n">
        <f aca="false">IF(ABS(O120-$B$11/$B$9*((MAX(0,MIN(1,O120))^2/(MAX(0,MIN(1,O120))^2+(1-MAX(0,MIN(1,O120)))^2/$B$5))-(MAX(0,MIN(1,N120))^2/(MAX(0,MIN(1,N120))^2+(1-MAX(0,MIN(1,N120)))^2/$B$5))))&lt;0.000000001,0,O120-$B$11/$B$9*((MAX(0,MIN(1,O120))^2/(MAX(0,MIN(1,O120))^2+(1-MAX(0,MIN(1,O120)))^2/$B$5))-(MAX(0,MIN(1,N120))^2/(MAX(0,MIN(1,N120))^2+(1-MAX(0,MIN(1,N120)))^2/$B$5))))</f>
        <v>0.9288616511713</v>
      </c>
      <c r="P121" s="16" t="n">
        <f aca="false">IF(ABS(P120-$B$11/$B$9*((MAX(0,MIN(1,P120))^2/(MAX(0,MIN(1,P120))^2+(1-MAX(0,MIN(1,P120)))^2/$B$5))-(MAX(0,MIN(1,O120))^2/(MAX(0,MIN(1,O120))^2+(1-MAX(0,MIN(1,O120)))^2/$B$5))))&lt;0.000000001,0,P120-$B$11/$B$9*((MAX(0,MIN(1,P120))^2/(MAX(0,MIN(1,P120))^2+(1-MAX(0,MIN(1,P120)))^2/$B$5))-(MAX(0,MIN(1,O120))^2/(MAX(0,MIN(1,O120))^2+(1-MAX(0,MIN(1,O120)))^2/$B$5))))</f>
        <v>0.914057426054926</v>
      </c>
      <c r="Q121" s="16" t="n">
        <f aca="false">IF(ABS(Q120-$B$11/$B$9*((MAX(0,MIN(1,Q120))^2/(MAX(0,MIN(1,Q120))^2+(1-MAX(0,MIN(1,Q120)))^2/$B$5))-(MAX(0,MIN(1,P120))^2/(MAX(0,MIN(1,P120))^2+(1-MAX(0,MIN(1,P120)))^2/$B$5))))&lt;0.000000001,0,Q120-$B$11/$B$9*((MAX(0,MIN(1,Q120))^2/(MAX(0,MIN(1,Q120))^2+(1-MAX(0,MIN(1,Q120)))^2/$B$5))-(MAX(0,MIN(1,P120))^2/(MAX(0,MIN(1,P120))^2+(1-MAX(0,MIN(1,P120)))^2/$B$5))))</f>
        <v>0.900507062424502</v>
      </c>
      <c r="R121" s="16" t="n">
        <f aca="false">IF(ABS(R120-$B$11/$B$9*((MAX(0,MIN(1,R120))^2/(MAX(0,MIN(1,R120))^2+(1-MAX(0,MIN(1,R120)))^2/$B$5))-(MAX(0,MIN(1,Q120))^2/(MAX(0,MIN(1,Q120))^2+(1-MAX(0,MIN(1,Q120)))^2/$B$5))))&lt;0.000000001,0,R120-$B$11/$B$9*((MAX(0,MIN(1,R120))^2/(MAX(0,MIN(1,R120))^2+(1-MAX(0,MIN(1,R120)))^2/$B$5))-(MAX(0,MIN(1,Q120))^2/(MAX(0,MIN(1,Q120))^2+(1-MAX(0,MIN(1,Q120)))^2/$B$5))))</f>
        <v>0.887950318006478</v>
      </c>
      <c r="S121" s="16" t="n">
        <f aca="false">IF(ABS(S120-$B$11/$B$9*((MAX(0,MIN(1,S120))^2/(MAX(0,MIN(1,S120))^2+(1-MAX(0,MIN(1,S120)))^2/$B$5))-(MAX(0,MIN(1,R120))^2/(MAX(0,MIN(1,R120))^2+(1-MAX(0,MIN(1,R120)))^2/$B$5))))&lt;0.000000001,0,S120-$B$11/$B$9*((MAX(0,MIN(1,S120))^2/(MAX(0,MIN(1,S120))^2+(1-MAX(0,MIN(1,S120)))^2/$B$5))-(MAX(0,MIN(1,R120))^2/(MAX(0,MIN(1,R120))^2+(1-MAX(0,MIN(1,R120)))^2/$B$5))))</f>
        <v>0.876214959652428</v>
      </c>
      <c r="T121" s="16" t="n">
        <f aca="false">IF(ABS(T120-$B$11/$B$9*((MAX(0,MIN(1,T120))^2/(MAX(0,MIN(1,T120))^2+(1-MAX(0,MIN(1,T120)))^2/$B$5))-(MAX(0,MIN(1,S120))^2/(MAX(0,MIN(1,S120))^2+(1-MAX(0,MIN(1,S120)))^2/$B$5))))&lt;0.000000001,0,T120-$B$11/$B$9*((MAX(0,MIN(1,T120))^2/(MAX(0,MIN(1,T120))^2+(1-MAX(0,MIN(1,T120)))^2/$B$5))-(MAX(0,MIN(1,S120))^2/(MAX(0,MIN(1,S120))^2+(1-MAX(0,MIN(1,S120)))^2/$B$5))))</f>
        <v>0.865176769342144</v>
      </c>
      <c r="U121" s="16" t="n">
        <f aca="false">IF(ABS(U120-$B$11/$B$9*((MAX(0,MIN(1,U120))^2/(MAX(0,MIN(1,U120))^2+(1-MAX(0,MIN(1,U120)))^2/$B$5))-(MAX(0,MIN(1,T120))^2/(MAX(0,MIN(1,T120))^2+(1-MAX(0,MIN(1,T120)))^2/$B$5))))&lt;0.000000001,0,U120-$B$11/$B$9*((MAX(0,MIN(1,U120))^2/(MAX(0,MIN(1,U120))^2+(1-MAX(0,MIN(1,U120)))^2/$B$5))-(MAX(0,MIN(1,T120))^2/(MAX(0,MIN(1,T120))^2+(1-MAX(0,MIN(1,T120)))^2/$B$5))))</f>
        <v>0.854741154122562</v>
      </c>
      <c r="V121" s="16" t="n">
        <f aca="false">IF(ABS(V120-$B$11/$B$9*((MAX(0,MIN(1,V120))^2/(MAX(0,MIN(1,V120))^2+(1-MAX(0,MIN(1,V120)))^2/$B$5))-(MAX(0,MIN(1,U120))^2/(MAX(0,MIN(1,U120))^2+(1-MAX(0,MIN(1,U120)))^2/$B$5))))&lt;0.000000001,0,V120-$B$11/$B$9*((MAX(0,MIN(1,V120))^2/(MAX(0,MIN(1,V120))^2+(1-MAX(0,MIN(1,V120)))^2/$B$5))-(MAX(0,MIN(1,U120))^2/(MAX(0,MIN(1,U120))^2+(1-MAX(0,MIN(1,U120)))^2/$B$5))))</f>
        <v>0.844833363253539</v>
      </c>
      <c r="W121" s="16" t="n">
        <f aca="false">IF(ABS(W120-$B$11/$B$9*((MAX(0,MIN(1,W120))^2/(MAX(0,MIN(1,W120))^2+(1-MAX(0,MIN(1,W120)))^2/$B$5))-(MAX(0,MIN(1,V120))^2/(MAX(0,MIN(1,V120))^2+(1-MAX(0,MIN(1,V120)))^2/$B$5))))&lt;0.000000001,0,W120-$B$11/$B$9*((MAX(0,MIN(1,W120))^2/(MAX(0,MIN(1,W120))^2+(1-MAX(0,MIN(1,W120)))^2/$B$5))-(MAX(0,MIN(1,V120))^2/(MAX(0,MIN(1,V120))^2+(1-MAX(0,MIN(1,V120)))^2/$B$5))))</f>
        <v>0.835392724067617</v>
      </c>
      <c r="X121" s="16" t="n">
        <f aca="false">IF(ABS(X120-$B$11/$B$9*((MAX(0,MIN(1,X120))^2/(MAX(0,MIN(1,X120))^2+(1-MAX(0,MIN(1,X120)))^2/$B$5))-(MAX(0,MIN(1,W120))^2/(MAX(0,MIN(1,W120))^2+(1-MAX(0,MIN(1,W120)))^2/$B$5))))&lt;0.000000001,0,X120-$B$11/$B$9*((MAX(0,MIN(1,X120))^2/(MAX(0,MIN(1,X120))^2+(1-MAX(0,MIN(1,X120)))^2/$B$5))-(MAX(0,MIN(1,W120))^2/(MAX(0,MIN(1,W120))^2+(1-MAX(0,MIN(1,W120)))^2/$B$5))))</f>
        <v>0.826368981749084</v>
      </c>
      <c r="Y121" s="16" t="n">
        <f aca="false">IF(ABS(Y120-$B$11/$B$9*((MAX(0,MIN(1,Y120))^2/(MAX(0,MIN(1,Y120))^2+(1-MAX(0,MIN(1,Y120)))^2/$B$5))-(MAX(0,MIN(1,X120))^2/(MAX(0,MIN(1,X120))^2+(1-MAX(0,MIN(1,X120)))^2/$B$5))))&lt;0.000000001,0,Y120-$B$11/$B$9*((MAX(0,MIN(1,Y120))^2/(MAX(0,MIN(1,Y120))^2+(1-MAX(0,MIN(1,Y120)))^2/$B$5))-(MAX(0,MIN(1,X120))^2/(MAX(0,MIN(1,X120))^2+(1-MAX(0,MIN(1,X120)))^2/$B$5))))</f>
        <v>0.817719839974484</v>
      </c>
      <c r="Z121" s="16" t="n">
        <f aca="false">IF(ABS(Z120-$B$11/$B$9*((MAX(0,MIN(1,Z120))^2/(MAX(0,MIN(1,Z120))^2+(1-MAX(0,MIN(1,Z120)))^2/$B$5))-(MAX(0,MIN(1,Y120))^2/(MAX(0,MIN(1,Y120))^2+(1-MAX(0,MIN(1,Y120)))^2/$B$5))))&lt;0.000000001,0,Z120-$B$11/$B$9*((MAX(0,MIN(1,Z120))^2/(MAX(0,MIN(1,Z120))^2+(1-MAX(0,MIN(1,Z120)))^2/$B$5))-(MAX(0,MIN(1,Y120))^2/(MAX(0,MIN(1,Y120))^2+(1-MAX(0,MIN(1,Y120)))^2/$B$5))))</f>
        <v>0.8094092345431</v>
      </c>
      <c r="AA121" s="16" t="n">
        <f aca="false">IF(ABS(AA120-$B$11/$B$9*((MAX(0,MIN(1,AA120))^2/(MAX(0,MIN(1,AA120))^2+(1-MAX(0,MIN(1,AA120)))^2/$B$5))-(MAX(0,MIN(1,Z120))^2/(MAX(0,MIN(1,Z120))^2+(1-MAX(0,MIN(1,Z120)))^2/$B$5))))&lt;0.000000001,0,AA120-$B$11/$B$9*((MAX(0,MIN(1,AA120))^2/(MAX(0,MIN(1,AA120))^2+(1-MAX(0,MIN(1,AA120)))^2/$B$5))-(MAX(0,MIN(1,Z120))^2/(MAX(0,MIN(1,Z120))^2+(1-MAX(0,MIN(1,Z120)))^2/$B$5))))</f>
        <v>0.801406078857086</v>
      </c>
      <c r="AB121" s="16" t="n">
        <f aca="false">IF(ABS(AB120-$B$11/$B$9*((MAX(0,MIN(1,AB120))^2/(MAX(0,MIN(1,AB120))^2+(1-MAX(0,MIN(1,AB120)))^2/$B$5))-(MAX(0,MIN(1,AA120))^2/(MAX(0,MIN(1,AA120))^2+(1-MAX(0,MIN(1,AA120)))^2/$B$5))))&lt;0.000000001,0,AB120-$B$11/$B$9*((MAX(0,MIN(1,AB120))^2/(MAX(0,MIN(1,AB120))^2+(1-MAX(0,MIN(1,AB120)))^2/$B$5))-(MAX(0,MIN(1,AA120))^2/(MAX(0,MIN(1,AA120))^2+(1-MAX(0,MIN(1,AA120)))^2/$B$5))))</f>
        <v>0.79368332644536</v>
      </c>
      <c r="AC121" s="16" t="n">
        <f aca="false">IF(ABS(AC120-$B$11/$B$9*((MAX(0,MIN(1,AC120))^2/(MAX(0,MIN(1,AC120))^2+(1-MAX(0,MIN(1,AC120)))^2/$B$5))-(MAX(0,MIN(1,AB120))^2/(MAX(0,MIN(1,AB120))^2+(1-MAX(0,MIN(1,AB120)))^2/$B$5))))&lt;0.000000001,0,AC120-$B$11/$B$9*((MAX(0,MIN(1,AC120))^2/(MAX(0,MIN(1,AC120))^2+(1-MAX(0,MIN(1,AC120)))^2/$B$5))-(MAX(0,MIN(1,AB120))^2/(MAX(0,MIN(1,AB120))^2+(1-MAX(0,MIN(1,AB120)))^2/$B$5))))</f>
        <v>0.786217254101399</v>
      </c>
      <c r="AD121" s="16" t="n">
        <f aca="false">IF(ABS(AD120-$B$11/$B$9*((MAX(0,MIN(1,AD120))^2/(MAX(0,MIN(1,AD120))^2+(1-MAX(0,MIN(1,AD120)))^2/$B$5))-(MAX(0,MIN(1,AC120))^2/(MAX(0,MIN(1,AC120))^2+(1-MAX(0,MIN(1,AC120)))^2/$B$5))))&lt;0.000000001,0,AD120-$B$11/$B$9*((MAX(0,MIN(1,AD120))^2/(MAX(0,MIN(1,AD120))^2+(1-MAX(0,MIN(1,AD120)))^2/$B$5))-(MAX(0,MIN(1,AC120))^2/(MAX(0,MIN(1,AC120))^2+(1-MAX(0,MIN(1,AC120)))^2/$B$5))))</f>
        <v>0.778986903038897</v>
      </c>
      <c r="AE121" s="16" t="n">
        <f aca="false">IF(ABS(AE120-$B$11/$B$9*((MAX(0,MIN(1,AE120))^2/(MAX(0,MIN(1,AE120))^2+(1-MAX(0,MIN(1,AE120)))^2/$B$5))-(MAX(0,MIN(1,AD120))^2/(MAX(0,MIN(1,AD120))^2+(1-MAX(0,MIN(1,AD120)))^2/$B$5))))&lt;0.000000001,0,AE120-$B$11/$B$9*((MAX(0,MIN(1,AE120))^2/(MAX(0,MIN(1,AE120))^2+(1-MAX(0,MIN(1,AE120)))^2/$B$5))-(MAX(0,MIN(1,AD120))^2/(MAX(0,MIN(1,AD120))^2+(1-MAX(0,MIN(1,AD120)))^2/$B$5))))</f>
        <v>0.771973635995566</v>
      </c>
      <c r="AF121" s="16" t="n">
        <f aca="false">IF(ABS(AF120-$B$11/$B$9*((MAX(0,MIN(1,AF120))^2/(MAX(0,MIN(1,AF120))^2+(1-MAX(0,MIN(1,AF120)))^2/$B$5))-(MAX(0,MIN(1,AE120))^2/(MAX(0,MIN(1,AE120))^2+(1-MAX(0,MIN(1,AE120)))^2/$B$5))))&lt;0.000000001,0,AF120-$B$11/$B$9*((MAX(0,MIN(1,AF120))^2/(MAX(0,MIN(1,AF120))^2+(1-MAX(0,MIN(1,AF120)))^2/$B$5))-(MAX(0,MIN(1,AE120))^2/(MAX(0,MIN(1,AE120))^2+(1-MAX(0,MIN(1,AE120)))^2/$B$5))))</f>
        <v>0.765160781161419</v>
      </c>
    </row>
    <row r="122" customFormat="false" ht="15" hidden="false" customHeight="false" outlineLevel="0" collapsed="false">
      <c r="L122" s="0" t="n">
        <v>112</v>
      </c>
      <c r="M122" s="16" t="n">
        <f aca="false">IF(ABS(M121-$B$11/$B$9*((MAX(0,MIN(1,M121))^2/(MAX(0,MIN(1,M121))^2+(1-MAX(0,MIN(1,M121)))^2/$B$5))-(MAX(0,MIN(1,1))^2/(MAX(0,MIN(1,1))^2+(1-MAX(0,MIN(1,1)))^2/$B$5))))&lt;0.000000001,0,M121-$B$11/$B$9*((MAX(0,MIN(1,M121))^2/(MAX(0,MIN(1,M121))^2+(1-MAX(0,MIN(1,M121)))^2/$B$5))-(MAX(0,MIN(1,1))^2/(MAX(0,MIN(1,1))^2+(1-MAX(0,MIN(1,1)))^2/$B$5))))</f>
        <v>0.96495623722874</v>
      </c>
      <c r="N122" s="16" t="n">
        <f aca="false">IF(ABS(N121-$B$11/$B$9*((MAX(0,MIN(1,N121))^2/(MAX(0,MIN(1,N121))^2+(1-MAX(0,MIN(1,N121)))^2/$B$5))-(MAX(0,MIN(1,M121))^2/(MAX(0,MIN(1,M121))^2+(1-MAX(0,MIN(1,M121)))^2/$B$5))))&lt;0.000000001,0,N121-$B$11/$B$9*((MAX(0,MIN(1,N121))^2/(MAX(0,MIN(1,N121))^2+(1-MAX(0,MIN(1,N121)))^2/$B$5))-(MAX(0,MIN(1,M121))^2/(MAX(0,MIN(1,M121))^2+(1-MAX(0,MIN(1,M121)))^2/$B$5))))</f>
        <v>0.945760290838702</v>
      </c>
      <c r="O122" s="16" t="n">
        <f aca="false">IF(ABS(O121-$B$11/$B$9*((MAX(0,MIN(1,O121))^2/(MAX(0,MIN(1,O121))^2+(1-MAX(0,MIN(1,O121)))^2/$B$5))-(MAX(0,MIN(1,N121))^2/(MAX(0,MIN(1,N121))^2+(1-MAX(0,MIN(1,N121)))^2/$B$5))))&lt;0.000000001,0,O121-$B$11/$B$9*((MAX(0,MIN(1,O121))^2/(MAX(0,MIN(1,O121))^2+(1-MAX(0,MIN(1,O121)))^2/$B$5))-(MAX(0,MIN(1,N121))^2/(MAX(0,MIN(1,N121))^2+(1-MAX(0,MIN(1,N121)))^2/$B$5))))</f>
        <v>0.929345289250435</v>
      </c>
      <c r="P122" s="16" t="n">
        <f aca="false">IF(ABS(P121-$B$11/$B$9*((MAX(0,MIN(1,P121))^2/(MAX(0,MIN(1,P121))^2+(1-MAX(0,MIN(1,P121)))^2/$B$5))-(MAX(0,MIN(1,O121))^2/(MAX(0,MIN(1,O121))^2+(1-MAX(0,MIN(1,O121)))^2/$B$5))))&lt;0.000000001,0,P121-$B$11/$B$9*((MAX(0,MIN(1,P121))^2/(MAX(0,MIN(1,P121))^2+(1-MAX(0,MIN(1,P121)))^2/$B$5))-(MAX(0,MIN(1,O121))^2/(MAX(0,MIN(1,O121))^2+(1-MAX(0,MIN(1,O121)))^2/$B$5))))</f>
        <v>0.914625205401052</v>
      </c>
      <c r="Q122" s="16" t="n">
        <f aca="false">IF(ABS(Q121-$B$11/$B$9*((MAX(0,MIN(1,Q121))^2/(MAX(0,MIN(1,Q121))^2+(1-MAX(0,MIN(1,Q121)))^2/$B$5))-(MAX(0,MIN(1,P121))^2/(MAX(0,MIN(1,P121))^2+(1-MAX(0,MIN(1,P121)))^2/$B$5))))&lt;0.000000001,0,Q121-$B$11/$B$9*((MAX(0,MIN(1,Q121))^2/(MAX(0,MIN(1,Q121))^2+(1-MAX(0,MIN(1,Q121)))^2/$B$5))-(MAX(0,MIN(1,P121))^2/(MAX(0,MIN(1,P121))^2+(1-MAX(0,MIN(1,P121)))^2/$B$5))))</f>
        <v>0.901147601575196</v>
      </c>
      <c r="R122" s="16" t="n">
        <f aca="false">IF(ABS(R121-$B$11/$B$9*((MAX(0,MIN(1,R121))^2/(MAX(0,MIN(1,R121))^2+(1-MAX(0,MIN(1,R121)))^2/$B$5))-(MAX(0,MIN(1,Q121))^2/(MAX(0,MIN(1,Q121))^2+(1-MAX(0,MIN(1,Q121)))^2/$B$5))))&lt;0.000000001,0,R121-$B$11/$B$9*((MAX(0,MIN(1,R121))^2/(MAX(0,MIN(1,R121))^2+(1-MAX(0,MIN(1,R121)))^2/$B$5))-(MAX(0,MIN(1,Q121))^2/(MAX(0,MIN(1,Q121))^2+(1-MAX(0,MIN(1,Q121)))^2/$B$5))))</f>
        <v>0.888654959058469</v>
      </c>
      <c r="S122" s="16" t="n">
        <f aca="false">IF(ABS(S121-$B$11/$B$9*((MAX(0,MIN(1,S121))^2/(MAX(0,MIN(1,S121))^2+(1-MAX(0,MIN(1,S121)))^2/$B$5))-(MAX(0,MIN(1,R121))^2/(MAX(0,MIN(1,R121))^2+(1-MAX(0,MIN(1,R121)))^2/$B$5))))&lt;0.000000001,0,S121-$B$11/$B$9*((MAX(0,MIN(1,S121))^2/(MAX(0,MIN(1,S121))^2+(1-MAX(0,MIN(1,S121)))^2/$B$5))-(MAX(0,MIN(1,R121))^2/(MAX(0,MIN(1,R121))^2+(1-MAX(0,MIN(1,R121)))^2/$B$5))))</f>
        <v>0.876976869923258</v>
      </c>
      <c r="T122" s="16" t="n">
        <f aca="false">IF(ABS(T121-$B$11/$B$9*((MAX(0,MIN(1,T121))^2/(MAX(0,MIN(1,T121))^2+(1-MAX(0,MIN(1,T121)))^2/$B$5))-(MAX(0,MIN(1,S121))^2/(MAX(0,MIN(1,S121))^2+(1-MAX(0,MIN(1,S121)))^2/$B$5))))&lt;0.000000001,0,T121-$B$11/$B$9*((MAX(0,MIN(1,T121))^2/(MAX(0,MIN(1,T121))^2+(1-MAX(0,MIN(1,T121)))^2/$B$5))-(MAX(0,MIN(1,S121))^2/(MAX(0,MIN(1,S121))^2+(1-MAX(0,MIN(1,S121)))^2/$B$5))))</f>
        <v>0.865990426144732</v>
      </c>
      <c r="U122" s="16" t="n">
        <f aca="false">IF(ABS(U121-$B$11/$B$9*((MAX(0,MIN(1,U121))^2/(MAX(0,MIN(1,U121))^2+(1-MAX(0,MIN(1,U121)))^2/$B$5))-(MAX(0,MIN(1,T121))^2/(MAX(0,MIN(1,T121))^2+(1-MAX(0,MIN(1,T121)))^2/$B$5))))&lt;0.000000001,0,U121-$B$11/$B$9*((MAX(0,MIN(1,U121))^2/(MAX(0,MIN(1,U121))^2+(1-MAX(0,MIN(1,U121)))^2/$B$5))-(MAX(0,MIN(1,T121))^2/(MAX(0,MIN(1,T121))^2+(1-MAX(0,MIN(1,T121)))^2/$B$5))))</f>
        <v>0.855602017168549</v>
      </c>
      <c r="V122" s="16" t="n">
        <f aca="false">IF(ABS(V121-$B$11/$B$9*((MAX(0,MIN(1,V121))^2/(MAX(0,MIN(1,V121))^2+(1-MAX(0,MIN(1,V121)))^2/$B$5))-(MAX(0,MIN(1,U121))^2/(MAX(0,MIN(1,U121))^2+(1-MAX(0,MIN(1,U121)))^2/$B$5))))&lt;0.000000001,0,V121-$B$11/$B$9*((MAX(0,MIN(1,V121))^2/(MAX(0,MIN(1,V121))^2+(1-MAX(0,MIN(1,V121)))^2/$B$5))-(MAX(0,MIN(1,U121))^2/(MAX(0,MIN(1,U121))^2+(1-MAX(0,MIN(1,U121)))^2/$B$5))))</f>
        <v>0.845737652131147</v>
      </c>
      <c r="W122" s="16" t="n">
        <f aca="false">IF(ABS(W121-$B$11/$B$9*((MAX(0,MIN(1,W121))^2/(MAX(0,MIN(1,W121))^2+(1-MAX(0,MIN(1,W121)))^2/$B$5))-(MAX(0,MIN(1,V121))^2/(MAX(0,MIN(1,V121))^2+(1-MAX(0,MIN(1,V121)))^2/$B$5))))&lt;0.000000001,0,W121-$B$11/$B$9*((MAX(0,MIN(1,W121))^2/(MAX(0,MIN(1,W121))^2+(1-MAX(0,MIN(1,W121)))^2/$B$5))-(MAX(0,MIN(1,V121))^2/(MAX(0,MIN(1,V121))^2+(1-MAX(0,MIN(1,V121)))^2/$B$5))))</f>
        <v>0.836337260061471</v>
      </c>
      <c r="X122" s="16" t="n">
        <f aca="false">IF(ABS(X121-$B$11/$B$9*((MAX(0,MIN(1,X121))^2/(MAX(0,MIN(1,X121))^2+(1-MAX(0,MIN(1,X121)))^2/$B$5))-(MAX(0,MIN(1,W121))^2/(MAX(0,MIN(1,W121))^2+(1-MAX(0,MIN(1,W121)))^2/$B$5))))&lt;0.000000001,0,X121-$B$11/$B$9*((MAX(0,MIN(1,X121))^2/(MAX(0,MIN(1,X121))^2+(1-MAX(0,MIN(1,X121)))^2/$B$5))-(MAX(0,MIN(1,W121))^2/(MAX(0,MIN(1,W121))^2+(1-MAX(0,MIN(1,W121)))^2/$B$5))))</f>
        <v>0.827351071615798</v>
      </c>
      <c r="Y122" s="16" t="n">
        <f aca="false">IF(ABS(Y121-$B$11/$B$9*((MAX(0,MIN(1,Y121))^2/(MAX(0,MIN(1,Y121))^2+(1-MAX(0,MIN(1,Y121)))^2/$B$5))-(MAX(0,MIN(1,X121))^2/(MAX(0,MIN(1,X121))^2+(1-MAX(0,MIN(1,X121)))^2/$B$5))))&lt;0.000000001,0,Y121-$B$11/$B$9*((MAX(0,MIN(1,Y121))^2/(MAX(0,MIN(1,Y121))^2+(1-MAX(0,MIN(1,Y121)))^2/$B$5))-(MAX(0,MIN(1,X121))^2/(MAX(0,MIN(1,X121))^2+(1-MAX(0,MIN(1,X121)))^2/$B$5))))</f>
        <v>0.818737188373556</v>
      </c>
      <c r="Z122" s="16" t="n">
        <f aca="false">IF(ABS(Z121-$B$11/$B$9*((MAX(0,MIN(1,Z121))^2/(MAX(0,MIN(1,Z121))^2+(1-MAX(0,MIN(1,Z121)))^2/$B$5))-(MAX(0,MIN(1,Y121))^2/(MAX(0,MIN(1,Y121))^2+(1-MAX(0,MIN(1,Y121)))^2/$B$5))))&lt;0.000000001,0,Z121-$B$11/$B$9*((MAX(0,MIN(1,Z121))^2/(MAX(0,MIN(1,Z121))^2+(1-MAX(0,MIN(1,Z121)))^2/$B$5))-(MAX(0,MIN(1,Y121))^2/(MAX(0,MIN(1,Y121))^2+(1-MAX(0,MIN(1,Y121)))^2/$B$5))))</f>
        <v>0.810459876747676</v>
      </c>
      <c r="AA122" s="16" t="n">
        <f aca="false">IF(ABS(AA121-$B$11/$B$9*((MAX(0,MIN(1,AA121))^2/(MAX(0,MIN(1,AA121))^2+(1-MAX(0,MIN(1,AA121)))^2/$B$5))-(MAX(0,MIN(1,Z121))^2/(MAX(0,MIN(1,Z121))^2+(1-MAX(0,MIN(1,Z121)))^2/$B$5))))&lt;0.000000001,0,AA121-$B$11/$B$9*((MAX(0,MIN(1,AA121))^2/(MAX(0,MIN(1,AA121))^2+(1-MAX(0,MIN(1,AA121)))^2/$B$5))-(MAX(0,MIN(1,Z121))^2/(MAX(0,MIN(1,Z121))^2+(1-MAX(0,MIN(1,Z121)))^2/$B$5))))</f>
        <v>0.80248832823008</v>
      </c>
      <c r="AB122" s="16" t="n">
        <f aca="false">IF(ABS(AB121-$B$11/$B$9*((MAX(0,MIN(1,AB121))^2/(MAX(0,MIN(1,AB121))^2+(1-MAX(0,MIN(1,AB121)))^2/$B$5))-(MAX(0,MIN(1,AA121))^2/(MAX(0,MIN(1,AA121))^2+(1-MAX(0,MIN(1,AA121)))^2/$B$5))))&lt;0.000000001,0,AB121-$B$11/$B$9*((MAX(0,MIN(1,AB121))^2/(MAX(0,MIN(1,AB121))^2+(1-MAX(0,MIN(1,AB121)))^2/$B$5))-(MAX(0,MIN(1,AA121))^2/(MAX(0,MIN(1,AA121))^2+(1-MAX(0,MIN(1,AA121)))^2/$B$5))))</f>
        <v>0.794795732920897</v>
      </c>
      <c r="AC122" s="16" t="n">
        <f aca="false">IF(ABS(AC121-$B$11/$B$9*((MAX(0,MIN(1,AC121))^2/(MAX(0,MIN(1,AC121))^2+(1-MAX(0,MIN(1,AC121)))^2/$B$5))-(MAX(0,MIN(1,AB121))^2/(MAX(0,MIN(1,AB121))^2+(1-MAX(0,MIN(1,AB121)))^2/$B$5))))&lt;0.000000001,0,AC121-$B$11/$B$9*((MAX(0,MIN(1,AC121))^2/(MAX(0,MIN(1,AC121))^2+(1-MAX(0,MIN(1,AC121)))^2/$B$5))-(MAX(0,MIN(1,AB121))^2/(MAX(0,MIN(1,AB121))^2+(1-MAX(0,MIN(1,AB121)))^2/$B$5))))</f>
        <v>0.787358571035432</v>
      </c>
      <c r="AD122" s="16" t="n">
        <f aca="false">IF(ABS(AD121-$B$11/$B$9*((MAX(0,MIN(1,AD121))^2/(MAX(0,MIN(1,AD121))^2+(1-MAX(0,MIN(1,AD121)))^2/$B$5))-(MAX(0,MIN(1,AC121))^2/(MAX(0,MIN(1,AC121))^2+(1-MAX(0,MIN(1,AC121)))^2/$B$5))))&lt;0.000000001,0,AD121-$B$11/$B$9*((MAX(0,MIN(1,AD121))^2/(MAX(0,MIN(1,AD121))^2+(1-MAX(0,MIN(1,AD121)))^2/$B$5))-(MAX(0,MIN(1,AC121))^2/(MAX(0,MIN(1,AC121))^2+(1-MAX(0,MIN(1,AC121)))^2/$B$5))))</f>
        <v>0.780156060538906</v>
      </c>
      <c r="AE122" s="16" t="n">
        <f aca="false">IF(ABS(AE121-$B$11/$B$9*((MAX(0,MIN(1,AE121))^2/(MAX(0,MIN(1,AE121))^2+(1-MAX(0,MIN(1,AE121)))^2/$B$5))-(MAX(0,MIN(1,AD121))^2/(MAX(0,MIN(1,AD121))^2+(1-MAX(0,MIN(1,AD121)))^2/$B$5))))&lt;0.000000001,0,AE121-$B$11/$B$9*((MAX(0,MIN(1,AE121))^2/(MAX(0,MIN(1,AE121))^2+(1-MAX(0,MIN(1,AE121)))^2/$B$5))-(MAX(0,MIN(1,AD121))^2/(MAX(0,MIN(1,AD121))^2+(1-MAX(0,MIN(1,AD121)))^2/$B$5))))</f>
        <v>0.773169719349733</v>
      </c>
      <c r="AF122" s="16" t="n">
        <f aca="false">IF(ABS(AF121-$B$11/$B$9*((MAX(0,MIN(1,AF121))^2/(MAX(0,MIN(1,AF121))^2+(1-MAX(0,MIN(1,AF121)))^2/$B$5))-(MAX(0,MIN(1,AE121))^2/(MAX(0,MIN(1,AE121))^2+(1-MAX(0,MIN(1,AE121)))^2/$B$5))))&lt;0.000000001,0,AF121-$B$11/$B$9*((MAX(0,MIN(1,AF121))^2/(MAX(0,MIN(1,AF121))^2+(1-MAX(0,MIN(1,AF121)))^2/$B$5))-(MAX(0,MIN(1,AE121))^2/(MAX(0,MIN(1,AE121))^2+(1-MAX(0,MIN(1,AE121)))^2/$B$5))))</f>
        <v>0.766383013346182</v>
      </c>
    </row>
    <row r="123" customFormat="false" ht="15" hidden="false" customHeight="false" outlineLevel="0" collapsed="false">
      <c r="L123" s="0" t="n">
        <v>113</v>
      </c>
      <c r="M123" s="16" t="n">
        <f aca="false">IF(ABS(M122-$B$11/$B$9*((MAX(0,MIN(1,M122))^2/(MAX(0,MIN(1,M122))^2+(1-MAX(0,MIN(1,M122)))^2/$B$5))-(MAX(0,MIN(1,1))^2/(MAX(0,MIN(1,1))^2+(1-MAX(0,MIN(1,1)))^2/$B$5))))&lt;0.000000001,0,M122-$B$11/$B$9*((MAX(0,MIN(1,M122))^2/(MAX(0,MIN(1,M122))^2+(1-MAX(0,MIN(1,M122)))^2/$B$5))-(MAX(0,MIN(1,1))^2/(MAX(0,MIN(1,1))^2+(1-MAX(0,MIN(1,1)))^2/$B$5))))</f>
        <v>0.965209646049232</v>
      </c>
      <c r="N123" s="16" t="n">
        <f aca="false">IF(ABS(N122-$B$11/$B$9*((MAX(0,MIN(1,N122))^2/(MAX(0,MIN(1,N122))^2+(1-MAX(0,MIN(1,N122)))^2/$B$5))-(MAX(0,MIN(1,M122))^2/(MAX(0,MIN(1,M122))^2+(1-MAX(0,MIN(1,M122)))^2/$B$5))))&lt;0.000000001,0,N122-$B$11/$B$9*((MAX(0,MIN(1,N122))^2/(MAX(0,MIN(1,N122))^2+(1-MAX(0,MIN(1,N122)))^2/$B$5))-(MAX(0,MIN(1,M122))^2/(MAX(0,MIN(1,M122))^2+(1-MAX(0,MIN(1,M122)))^2/$B$5))))</f>
        <v>0.946138218266163</v>
      </c>
      <c r="O123" s="16" t="n">
        <f aca="false">IF(ABS(O122-$B$11/$B$9*((MAX(0,MIN(1,O122))^2/(MAX(0,MIN(1,O122))^2+(1-MAX(0,MIN(1,O122)))^2/$B$5))-(MAX(0,MIN(1,N122))^2/(MAX(0,MIN(1,N122))^2+(1-MAX(0,MIN(1,N122)))^2/$B$5))))&lt;0.000000001,0,O122-$B$11/$B$9*((MAX(0,MIN(1,O122))^2/(MAX(0,MIN(1,O122))^2+(1-MAX(0,MIN(1,O122)))^2/$B$5))-(MAX(0,MIN(1,N122))^2/(MAX(0,MIN(1,N122))^2+(1-MAX(0,MIN(1,N122)))^2/$B$5))))</f>
        <v>0.929822046833285</v>
      </c>
      <c r="P123" s="16" t="n">
        <f aca="false">IF(ABS(P122-$B$11/$B$9*((MAX(0,MIN(1,P122))^2/(MAX(0,MIN(1,P122))^2+(1-MAX(0,MIN(1,P122)))^2/$B$5))-(MAX(0,MIN(1,O122))^2/(MAX(0,MIN(1,O122))^2+(1-MAX(0,MIN(1,O122)))^2/$B$5))))&lt;0.000000001,0,P122-$B$11/$B$9*((MAX(0,MIN(1,P122))^2/(MAX(0,MIN(1,P122))^2+(1-MAX(0,MIN(1,P122)))^2/$B$5))-(MAX(0,MIN(1,O122))^2/(MAX(0,MIN(1,O122))^2+(1-MAX(0,MIN(1,O122)))^2/$B$5))))</f>
        <v>0.91518507641017</v>
      </c>
      <c r="Q123" s="16" t="n">
        <f aca="false">IF(ABS(Q122-$B$11/$B$9*((MAX(0,MIN(1,Q122))^2/(MAX(0,MIN(1,Q122))^2+(1-MAX(0,MIN(1,Q122)))^2/$B$5))-(MAX(0,MIN(1,P122))^2/(MAX(0,MIN(1,P122))^2+(1-MAX(0,MIN(1,P122)))^2/$B$5))))&lt;0.000000001,0,Q122-$B$11/$B$9*((MAX(0,MIN(1,Q122))^2/(MAX(0,MIN(1,Q122))^2+(1-MAX(0,MIN(1,Q122)))^2/$B$5))-(MAX(0,MIN(1,P122))^2/(MAX(0,MIN(1,P122))^2+(1-MAX(0,MIN(1,P122)))^2/$B$5))))</f>
        <v>0.901779379179971</v>
      </c>
      <c r="R123" s="16" t="n">
        <f aca="false">IF(ABS(R122-$B$11/$B$9*((MAX(0,MIN(1,R122))^2/(MAX(0,MIN(1,R122))^2+(1-MAX(0,MIN(1,R122)))^2/$B$5))-(MAX(0,MIN(1,Q122))^2/(MAX(0,MIN(1,Q122))^2+(1-MAX(0,MIN(1,Q122)))^2/$B$5))))&lt;0.000000001,0,R122-$B$11/$B$9*((MAX(0,MIN(1,R122))^2/(MAX(0,MIN(1,R122))^2+(1-MAX(0,MIN(1,R122)))^2/$B$5))-(MAX(0,MIN(1,Q122))^2/(MAX(0,MIN(1,Q122))^2+(1-MAX(0,MIN(1,Q122)))^2/$B$5))))</f>
        <v>0.889350110962375</v>
      </c>
      <c r="S123" s="16" t="n">
        <f aca="false">IF(ABS(S122-$B$11/$B$9*((MAX(0,MIN(1,S122))^2/(MAX(0,MIN(1,S122))^2+(1-MAX(0,MIN(1,S122)))^2/$B$5))-(MAX(0,MIN(1,R122))^2/(MAX(0,MIN(1,R122))^2+(1-MAX(0,MIN(1,R122)))^2/$B$5))))&lt;0.000000001,0,S122-$B$11/$B$9*((MAX(0,MIN(1,S122))^2/(MAX(0,MIN(1,S122))^2+(1-MAX(0,MIN(1,S122)))^2/$B$5))-(MAX(0,MIN(1,R122))^2/(MAX(0,MIN(1,R122))^2+(1-MAX(0,MIN(1,R122)))^2/$B$5))))</f>
        <v>0.877728656985563</v>
      </c>
      <c r="T123" s="16" t="n">
        <f aca="false">IF(ABS(T122-$B$11/$B$9*((MAX(0,MIN(1,T122))^2/(MAX(0,MIN(1,T122))^2+(1-MAX(0,MIN(1,T122)))^2/$B$5))-(MAX(0,MIN(1,S122))^2/(MAX(0,MIN(1,S122))^2+(1-MAX(0,MIN(1,S122)))^2/$B$5))))&lt;0.000000001,0,T122-$B$11/$B$9*((MAX(0,MIN(1,T122))^2/(MAX(0,MIN(1,T122))^2+(1-MAX(0,MIN(1,T122)))^2/$B$5))-(MAX(0,MIN(1,S122))^2/(MAX(0,MIN(1,S122))^2+(1-MAX(0,MIN(1,S122)))^2/$B$5))))</f>
        <v>0.866793396893264</v>
      </c>
      <c r="U123" s="16" t="n">
        <f aca="false">IF(ABS(U122-$B$11/$B$9*((MAX(0,MIN(1,U122))^2/(MAX(0,MIN(1,U122))^2+(1-MAX(0,MIN(1,U122)))^2/$B$5))-(MAX(0,MIN(1,T122))^2/(MAX(0,MIN(1,T122))^2+(1-MAX(0,MIN(1,T122)))^2/$B$5))))&lt;0.000000001,0,U122-$B$11/$B$9*((MAX(0,MIN(1,U122))^2/(MAX(0,MIN(1,U122))^2+(1-MAX(0,MIN(1,U122)))^2/$B$5))-(MAX(0,MIN(1,T122))^2/(MAX(0,MIN(1,T122))^2+(1-MAX(0,MIN(1,T122)))^2/$B$5))))</f>
        <v>0.856451686315532</v>
      </c>
      <c r="V123" s="16" t="n">
        <f aca="false">IF(ABS(V122-$B$11/$B$9*((MAX(0,MIN(1,V122))^2/(MAX(0,MIN(1,V122))^2+(1-MAX(0,MIN(1,V122)))^2/$B$5))-(MAX(0,MIN(1,U122))^2/(MAX(0,MIN(1,U122))^2+(1-MAX(0,MIN(1,U122)))^2/$B$5))))&lt;0.000000001,0,V122-$B$11/$B$9*((MAX(0,MIN(1,V122))^2/(MAX(0,MIN(1,V122))^2+(1-MAX(0,MIN(1,V122)))^2/$B$5))-(MAX(0,MIN(1,U122))^2/(MAX(0,MIN(1,U122))^2+(1-MAX(0,MIN(1,U122)))^2/$B$5))))</f>
        <v>0.846630282112889</v>
      </c>
      <c r="W123" s="16" t="n">
        <f aca="false">IF(ABS(W122-$B$11/$B$9*((MAX(0,MIN(1,W122))^2/(MAX(0,MIN(1,W122))^2+(1-MAX(0,MIN(1,W122)))^2/$B$5))-(MAX(0,MIN(1,V122))^2/(MAX(0,MIN(1,V122))^2+(1-MAX(0,MIN(1,V122)))^2/$B$5))))&lt;0.000000001,0,W122-$B$11/$B$9*((MAX(0,MIN(1,W122))^2/(MAX(0,MIN(1,W122))^2+(1-MAX(0,MIN(1,W122)))^2/$B$5))-(MAX(0,MIN(1,V122))^2/(MAX(0,MIN(1,V122))^2+(1-MAX(0,MIN(1,V122)))^2/$B$5))))</f>
        <v>0.837269705666</v>
      </c>
      <c r="X123" s="16" t="n">
        <f aca="false">IF(ABS(X122-$B$11/$B$9*((MAX(0,MIN(1,X122))^2/(MAX(0,MIN(1,X122))^2+(1-MAX(0,MIN(1,X122)))^2/$B$5))-(MAX(0,MIN(1,W122))^2/(MAX(0,MIN(1,W122))^2+(1-MAX(0,MIN(1,W122)))^2/$B$5))))&lt;0.000000001,0,X122-$B$11/$B$9*((MAX(0,MIN(1,X122))^2/(MAX(0,MIN(1,X122))^2+(1-MAX(0,MIN(1,X122)))^2/$B$5))-(MAX(0,MIN(1,W122))^2/(MAX(0,MIN(1,W122))^2+(1-MAX(0,MIN(1,W122)))^2/$B$5))))</f>
        <v>0.82832066575589</v>
      </c>
      <c r="Y123" s="16" t="n">
        <f aca="false">IF(ABS(Y122-$B$11/$B$9*((MAX(0,MIN(1,Y122))^2/(MAX(0,MIN(1,Y122))^2+(1-MAX(0,MIN(1,Y122)))^2/$B$5))-(MAX(0,MIN(1,X122))^2/(MAX(0,MIN(1,X122))^2+(1-MAX(0,MIN(1,X122)))^2/$B$5))))&lt;0.000000001,0,Y122-$B$11/$B$9*((MAX(0,MIN(1,Y122))^2/(MAX(0,MIN(1,Y122))^2+(1-MAX(0,MIN(1,Y122)))^2/$B$5))-(MAX(0,MIN(1,X122))^2/(MAX(0,MIN(1,X122))^2+(1-MAX(0,MIN(1,X122)))^2/$B$5))))</f>
        <v>0.819741655969196</v>
      </c>
      <c r="Z123" s="16" t="n">
        <f aca="false">IF(ABS(Z122-$B$11/$B$9*((MAX(0,MIN(1,Z122))^2/(MAX(0,MIN(1,Z122))^2+(1-MAX(0,MIN(1,Z122)))^2/$B$5))-(MAX(0,MIN(1,Y122))^2/(MAX(0,MIN(1,Y122))^2+(1-MAX(0,MIN(1,Y122)))^2/$B$5))))&lt;0.000000001,0,Z122-$B$11/$B$9*((MAX(0,MIN(1,Z122))^2/(MAX(0,MIN(1,Z122))^2+(1-MAX(0,MIN(1,Z122)))^2/$B$5))-(MAX(0,MIN(1,Y122))^2/(MAX(0,MIN(1,Y122))^2+(1-MAX(0,MIN(1,Y122)))^2/$B$5))))</f>
        <v>0.811497268508269</v>
      </c>
      <c r="AA123" s="16" t="n">
        <f aca="false">IF(ABS(AA122-$B$11/$B$9*((MAX(0,MIN(1,AA122))^2/(MAX(0,MIN(1,AA122))^2+(1-MAX(0,MIN(1,AA122)))^2/$B$5))-(MAX(0,MIN(1,Z122))^2/(MAX(0,MIN(1,Z122))^2+(1-MAX(0,MIN(1,Z122)))^2/$B$5))))&lt;0.000000001,0,AA122-$B$11/$B$9*((MAX(0,MIN(1,AA122))^2/(MAX(0,MIN(1,AA122))^2+(1-MAX(0,MIN(1,AA122)))^2/$B$5))-(MAX(0,MIN(1,Z122))^2/(MAX(0,MIN(1,Z122))^2+(1-MAX(0,MIN(1,Z122)))^2/$B$5))))</f>
        <v>0.803556968929713</v>
      </c>
      <c r="AB123" s="16" t="n">
        <f aca="false">IF(ABS(AB122-$B$11/$B$9*((MAX(0,MIN(1,AB122))^2/(MAX(0,MIN(1,AB122))^2+(1-MAX(0,MIN(1,AB122)))^2/$B$5))-(MAX(0,MIN(1,AA122))^2/(MAX(0,MIN(1,AA122))^2+(1-MAX(0,MIN(1,AA122)))^2/$B$5))))&lt;0.000000001,0,AB122-$B$11/$B$9*((MAX(0,MIN(1,AB122))^2/(MAX(0,MIN(1,AB122))^2+(1-MAX(0,MIN(1,AB122)))^2/$B$5))-(MAX(0,MIN(1,AA122))^2/(MAX(0,MIN(1,AA122))^2+(1-MAX(0,MIN(1,AA122)))^2/$B$5))))</f>
        <v>0.795894180478881</v>
      </c>
      <c r="AC123" s="16" t="n">
        <f aca="false">IF(ABS(AC122-$B$11/$B$9*((MAX(0,MIN(1,AC122))^2/(MAX(0,MIN(1,AC122))^2+(1-MAX(0,MIN(1,AC122)))^2/$B$5))-(MAX(0,MIN(1,AB122))^2/(MAX(0,MIN(1,AB122))^2+(1-MAX(0,MIN(1,AB122)))^2/$B$5))))&lt;0.000000001,0,AC122-$B$11/$B$9*((MAX(0,MIN(1,AC122))^2/(MAX(0,MIN(1,AC122))^2+(1-MAX(0,MIN(1,AC122)))^2/$B$5))-(MAX(0,MIN(1,AB122))^2/(MAX(0,MIN(1,AB122))^2+(1-MAX(0,MIN(1,AB122)))^2/$B$5))))</f>
        <v>0.788485583815356</v>
      </c>
      <c r="AD123" s="16" t="n">
        <f aca="false">IF(ABS(AD122-$B$11/$B$9*((MAX(0,MIN(1,AD122))^2/(MAX(0,MIN(1,AD122))^2+(1-MAX(0,MIN(1,AD122)))^2/$B$5))-(MAX(0,MIN(1,AC122))^2/(MAX(0,MIN(1,AC122))^2+(1-MAX(0,MIN(1,AC122)))^2/$B$5))))&lt;0.000000001,0,AD122-$B$11/$B$9*((MAX(0,MIN(1,AD122))^2/(MAX(0,MIN(1,AD122))^2+(1-MAX(0,MIN(1,AD122)))^2/$B$5))-(MAX(0,MIN(1,AC122))^2/(MAX(0,MIN(1,AC122))^2+(1-MAX(0,MIN(1,AC122)))^2/$B$5))))</f>
        <v>0.781310571010435</v>
      </c>
      <c r="AE123" s="16" t="n">
        <f aca="false">IF(ABS(AE122-$B$11/$B$9*((MAX(0,MIN(1,AE122))^2/(MAX(0,MIN(1,AE122))^2+(1-MAX(0,MIN(1,AE122)))^2/$B$5))-(MAX(0,MIN(1,AD122))^2/(MAX(0,MIN(1,AD122))^2+(1-MAX(0,MIN(1,AD122)))^2/$B$5))))&lt;0.000000001,0,AE122-$B$11/$B$9*((MAX(0,MIN(1,AE122))^2/(MAX(0,MIN(1,AE122))^2+(1-MAX(0,MIN(1,AE122)))^2/$B$5))-(MAX(0,MIN(1,AD122))^2/(MAX(0,MIN(1,AD122))^2+(1-MAX(0,MIN(1,AD122)))^2/$B$5))))</f>
        <v>0.774350812757437</v>
      </c>
      <c r="AF123" s="16" t="n">
        <f aca="false">IF(ABS(AF122-$B$11/$B$9*((MAX(0,MIN(1,AF122))^2/(MAX(0,MIN(1,AF122))^2+(1-MAX(0,MIN(1,AF122)))^2/$B$5))-(MAX(0,MIN(1,AE122))^2/(MAX(0,MIN(1,AE122))^2+(1-MAX(0,MIN(1,AE122)))^2/$B$5))))&lt;0.000000001,0,AF122-$B$11/$B$9*((MAX(0,MIN(1,AF122))^2/(MAX(0,MIN(1,AF122))^2+(1-MAX(0,MIN(1,AF122)))^2/$B$5))-(MAX(0,MIN(1,AE122))^2/(MAX(0,MIN(1,AE122))^2+(1-MAX(0,MIN(1,AE122)))^2/$B$5))))</f>
        <v>0.767589910380951</v>
      </c>
    </row>
    <row r="124" customFormat="false" ht="15" hidden="false" customHeight="false" outlineLevel="0" collapsed="false">
      <c r="L124" s="0" t="n">
        <v>114</v>
      </c>
      <c r="M124" s="16" t="n">
        <f aca="false">IF(ABS(M123-$B$11/$B$9*((MAX(0,MIN(1,M123))^2/(MAX(0,MIN(1,M123))^2+(1-MAX(0,MIN(1,M123)))^2/$B$5))-(MAX(0,MIN(1,1))^2/(MAX(0,MIN(1,1))^2+(1-MAX(0,MIN(1,1)))^2/$B$5))))&lt;0.000000001,0,M123-$B$11/$B$9*((MAX(0,MIN(1,M123))^2/(MAX(0,MIN(1,M123))^2+(1-MAX(0,MIN(1,M123)))^2/$B$5))-(MAX(0,MIN(1,1))^2/(MAX(0,MIN(1,1))^2+(1-MAX(0,MIN(1,1)))^2/$B$5))))</f>
        <v>0.965459274544622</v>
      </c>
      <c r="N124" s="16" t="n">
        <f aca="false">IF(ABS(N123-$B$11/$B$9*((MAX(0,MIN(1,N123))^2/(MAX(0,MIN(1,N123))^2+(1-MAX(0,MIN(1,N123)))^2/$B$5))-(MAX(0,MIN(1,M123))^2/(MAX(0,MIN(1,M123))^2+(1-MAX(0,MIN(1,M123)))^2/$B$5))))&lt;0.000000001,0,N123-$B$11/$B$9*((MAX(0,MIN(1,N123))^2/(MAX(0,MIN(1,N123))^2+(1-MAX(0,MIN(1,N123)))^2/$B$5))-(MAX(0,MIN(1,M123))^2/(MAX(0,MIN(1,M123))^2+(1-MAX(0,MIN(1,M123)))^2/$B$5))))</f>
        <v>0.946510676440592</v>
      </c>
      <c r="O124" s="16" t="n">
        <f aca="false">IF(ABS(O123-$B$11/$B$9*((MAX(0,MIN(1,O123))^2/(MAX(0,MIN(1,O123))^2+(1-MAX(0,MIN(1,O123)))^2/$B$5))-(MAX(0,MIN(1,N123))^2/(MAX(0,MIN(1,N123))^2+(1-MAX(0,MIN(1,N123)))^2/$B$5))))&lt;0.000000001,0,O123-$B$11/$B$9*((MAX(0,MIN(1,O123))^2/(MAX(0,MIN(1,O123))^2+(1-MAX(0,MIN(1,O123)))^2/$B$5))-(MAX(0,MIN(1,N123))^2/(MAX(0,MIN(1,N123))^2+(1-MAX(0,MIN(1,N123)))^2/$B$5))))</f>
        <v>0.930292075006104</v>
      </c>
      <c r="P124" s="16" t="n">
        <f aca="false">IF(ABS(P123-$B$11/$B$9*((MAX(0,MIN(1,P123))^2/(MAX(0,MIN(1,P123))^2+(1-MAX(0,MIN(1,P123)))^2/$B$5))-(MAX(0,MIN(1,O123))^2/(MAX(0,MIN(1,O123))^2+(1-MAX(0,MIN(1,O123)))^2/$B$5))))&lt;0.000000001,0,P123-$B$11/$B$9*((MAX(0,MIN(1,P123))^2/(MAX(0,MIN(1,P123))^2+(1-MAX(0,MIN(1,P123)))^2/$B$5))-(MAX(0,MIN(1,O123))^2/(MAX(0,MIN(1,O123))^2+(1-MAX(0,MIN(1,O123)))^2/$B$5))))</f>
        <v>0.915737210132516</v>
      </c>
      <c r="Q124" s="16" t="n">
        <f aca="false">IF(ABS(Q123-$B$11/$B$9*((MAX(0,MIN(1,Q123))^2/(MAX(0,MIN(1,Q123))^2+(1-MAX(0,MIN(1,Q123)))^2/$B$5))-(MAX(0,MIN(1,P123))^2/(MAX(0,MIN(1,P123))^2+(1-MAX(0,MIN(1,P123)))^2/$B$5))))&lt;0.000000001,0,Q123-$B$11/$B$9*((MAX(0,MIN(1,Q123))^2/(MAX(0,MIN(1,Q123))^2+(1-MAX(0,MIN(1,Q123)))^2/$B$5))-(MAX(0,MIN(1,P123))^2/(MAX(0,MIN(1,P123))^2+(1-MAX(0,MIN(1,P123)))^2/$B$5))))</f>
        <v>0.90240258248772</v>
      </c>
      <c r="R124" s="16" t="n">
        <f aca="false">IF(ABS(R123-$B$11/$B$9*((MAX(0,MIN(1,R123))^2/(MAX(0,MIN(1,R123))^2+(1-MAX(0,MIN(1,R123)))^2/$B$5))-(MAX(0,MIN(1,Q123))^2/(MAX(0,MIN(1,Q123))^2+(1-MAX(0,MIN(1,Q123)))^2/$B$5))))&lt;0.000000001,0,R123-$B$11/$B$9*((MAX(0,MIN(1,R123))^2/(MAX(0,MIN(1,R123))^2+(1-MAX(0,MIN(1,R123)))^2/$B$5))-(MAX(0,MIN(1,Q123))^2/(MAX(0,MIN(1,Q123))^2+(1-MAX(0,MIN(1,Q123)))^2/$B$5))))</f>
        <v>0.890035974620313</v>
      </c>
      <c r="S124" s="16" t="n">
        <f aca="false">IF(ABS(S123-$B$11/$B$9*((MAX(0,MIN(1,S123))^2/(MAX(0,MIN(1,S123))^2+(1-MAX(0,MIN(1,S123)))^2/$B$5))-(MAX(0,MIN(1,R123))^2/(MAX(0,MIN(1,R123))^2+(1-MAX(0,MIN(1,R123)))^2/$B$5))))&lt;0.000000001,0,S123-$B$11/$B$9*((MAX(0,MIN(1,S123))^2/(MAX(0,MIN(1,S123))^2+(1-MAX(0,MIN(1,S123)))^2/$B$5))-(MAX(0,MIN(1,R123))^2/(MAX(0,MIN(1,R123))^2+(1-MAX(0,MIN(1,R123)))^2/$B$5))))</f>
        <v>0.878470533621656</v>
      </c>
      <c r="T124" s="16" t="n">
        <f aca="false">IF(ABS(T123-$B$11/$B$9*((MAX(0,MIN(1,T123))^2/(MAX(0,MIN(1,T123))^2+(1-MAX(0,MIN(1,T123)))^2/$B$5))-(MAX(0,MIN(1,S123))^2/(MAX(0,MIN(1,S123))^2+(1-MAX(0,MIN(1,S123)))^2/$B$5))))&lt;0.000000001,0,T123-$B$11/$B$9*((MAX(0,MIN(1,T123))^2/(MAX(0,MIN(1,T123))^2+(1-MAX(0,MIN(1,T123)))^2/$B$5))-(MAX(0,MIN(1,S123))^2/(MAX(0,MIN(1,S123))^2+(1-MAX(0,MIN(1,S123)))^2/$B$5))))</f>
        <v>0.867585904997938</v>
      </c>
      <c r="U124" s="16" t="n">
        <f aca="false">IF(ABS(U123-$B$11/$B$9*((MAX(0,MIN(1,U123))^2/(MAX(0,MIN(1,U123))^2+(1-MAX(0,MIN(1,U123)))^2/$B$5))-(MAX(0,MIN(1,T123))^2/(MAX(0,MIN(1,T123))^2+(1-MAX(0,MIN(1,T123)))^2/$B$5))))&lt;0.000000001,0,U123-$B$11/$B$9*((MAX(0,MIN(1,U123))^2/(MAX(0,MIN(1,U123))^2+(1-MAX(0,MIN(1,U123)))^2/$B$5))-(MAX(0,MIN(1,T123))^2/(MAX(0,MIN(1,T123))^2+(1-MAX(0,MIN(1,T123)))^2/$B$5))))</f>
        <v>0.85729039471656</v>
      </c>
      <c r="V124" s="16" t="n">
        <f aca="false">IF(ABS(V123-$B$11/$B$9*((MAX(0,MIN(1,V123))^2/(MAX(0,MIN(1,V123))^2+(1-MAX(0,MIN(1,V123)))^2/$B$5))-(MAX(0,MIN(1,U123))^2/(MAX(0,MIN(1,U123))^2+(1-MAX(0,MIN(1,U123)))^2/$B$5))))&lt;0.000000001,0,V123-$B$11/$B$9*((MAX(0,MIN(1,V123))^2/(MAX(0,MIN(1,V123))^2+(1-MAX(0,MIN(1,V123)))^2/$B$5))-(MAX(0,MIN(1,U123))^2/(MAX(0,MIN(1,U123))^2+(1-MAX(0,MIN(1,U123)))^2/$B$5))))</f>
        <v>0.847511495478465</v>
      </c>
      <c r="W124" s="16" t="n">
        <f aca="false">IF(ABS(W123-$B$11/$B$9*((MAX(0,MIN(1,W123))^2/(MAX(0,MIN(1,W123))^2+(1-MAX(0,MIN(1,W123)))^2/$B$5))-(MAX(0,MIN(1,V123))^2/(MAX(0,MIN(1,V123))^2+(1-MAX(0,MIN(1,V123)))^2/$B$5))))&lt;0.000000001,0,W123-$B$11/$B$9*((MAX(0,MIN(1,W123))^2/(MAX(0,MIN(1,W123))^2+(1-MAX(0,MIN(1,W123)))^2/$B$5))-(MAX(0,MIN(1,V123))^2/(MAX(0,MIN(1,V123))^2+(1-MAX(0,MIN(1,V123)))^2/$B$5))))</f>
        <v>0.838190311874777</v>
      </c>
      <c r="X124" s="16" t="n">
        <f aca="false">IF(ABS(X123-$B$11/$B$9*((MAX(0,MIN(1,X123))^2/(MAX(0,MIN(1,X123))^2+(1-MAX(0,MIN(1,X123)))^2/$B$5))-(MAX(0,MIN(1,W123))^2/(MAX(0,MIN(1,W123))^2+(1-MAX(0,MIN(1,W123)))^2/$B$5))))&lt;0.000000001,0,X123-$B$11/$B$9*((MAX(0,MIN(1,X123))^2/(MAX(0,MIN(1,X123))^2+(1-MAX(0,MIN(1,X123)))^2/$B$5))-(MAX(0,MIN(1,W123))^2/(MAX(0,MIN(1,W123))^2+(1-MAX(0,MIN(1,W123)))^2/$B$5))))</f>
        <v>0.82927802362301</v>
      </c>
      <c r="Y124" s="16" t="n">
        <f aca="false">IF(ABS(Y123-$B$11/$B$9*((MAX(0,MIN(1,Y123))^2/(MAX(0,MIN(1,Y123))^2+(1-MAX(0,MIN(1,Y123)))^2/$B$5))-(MAX(0,MIN(1,X123))^2/(MAX(0,MIN(1,X123))^2+(1-MAX(0,MIN(1,X123)))^2/$B$5))))&lt;0.000000001,0,Y123-$B$11/$B$9*((MAX(0,MIN(1,Y123))^2/(MAX(0,MIN(1,Y123))^2+(1-MAX(0,MIN(1,Y123)))^2/$B$5))-(MAX(0,MIN(1,X123))^2/(MAX(0,MIN(1,X123))^2+(1-MAX(0,MIN(1,X123)))^2/$B$5))))</f>
        <v>0.820733510549732</v>
      </c>
      <c r="Z124" s="16" t="n">
        <f aca="false">IF(ABS(Z123-$B$11/$B$9*((MAX(0,MIN(1,Z123))^2/(MAX(0,MIN(1,Z123))^2+(1-MAX(0,MIN(1,Z123)))^2/$B$5))-(MAX(0,MIN(1,Y123))^2/(MAX(0,MIN(1,Y123))^2+(1-MAX(0,MIN(1,Y123)))^2/$B$5))))&lt;0.000000001,0,Z123-$B$11/$B$9*((MAX(0,MIN(1,Z123))^2/(MAX(0,MIN(1,Z123))^2+(1-MAX(0,MIN(1,Z123)))^2/$B$5))-(MAX(0,MIN(1,Y123))^2/(MAX(0,MIN(1,Y123))^2+(1-MAX(0,MIN(1,Y123)))^2/$B$5))))</f>
        <v>0.812521685929774</v>
      </c>
      <c r="AA124" s="16" t="n">
        <f aca="false">IF(ABS(AA123-$B$11/$B$9*((MAX(0,MIN(1,AA123))^2/(MAX(0,MIN(1,AA123))^2+(1-MAX(0,MIN(1,AA123)))^2/$B$5))-(MAX(0,MIN(1,Z123))^2/(MAX(0,MIN(1,Z123))^2+(1-MAX(0,MIN(1,Z123)))^2/$B$5))))&lt;0.000000001,0,AA123-$B$11/$B$9*((MAX(0,MIN(1,AA123))^2/(MAX(0,MIN(1,AA123))^2+(1-MAX(0,MIN(1,AA123)))^2/$B$5))-(MAX(0,MIN(1,Z123))^2/(MAX(0,MIN(1,Z123))^2+(1-MAX(0,MIN(1,Z123)))^2/$B$5))))</f>
        <v>0.804612285452313</v>
      </c>
      <c r="AB124" s="16" t="n">
        <f aca="false">IF(ABS(AB123-$B$11/$B$9*((MAX(0,MIN(1,AB123))^2/(MAX(0,MIN(1,AB123))^2+(1-MAX(0,MIN(1,AB123)))^2/$B$5))-(MAX(0,MIN(1,AA123))^2/(MAX(0,MIN(1,AA123))^2+(1-MAX(0,MIN(1,AA123)))^2/$B$5))))&lt;0.000000001,0,AB123-$B$11/$B$9*((MAX(0,MIN(1,AB123))^2/(MAX(0,MIN(1,AB123))^2+(1-MAX(0,MIN(1,AB123)))^2/$B$5))-(MAX(0,MIN(1,AA123))^2/(MAX(0,MIN(1,AA123))^2+(1-MAX(0,MIN(1,AA123)))^2/$B$5))))</f>
        <v>0.796978962165576</v>
      </c>
      <c r="AC124" s="16" t="n">
        <f aca="false">IF(ABS(AC123-$B$11/$B$9*((MAX(0,MIN(1,AC123))^2/(MAX(0,MIN(1,AC123))^2+(1-MAX(0,MIN(1,AC123)))^2/$B$5))-(MAX(0,MIN(1,AB123))^2/(MAX(0,MIN(1,AB123))^2+(1-MAX(0,MIN(1,AB123)))^2/$B$5))))&lt;0.000000001,0,AC123-$B$11/$B$9*((MAX(0,MIN(1,AC123))^2/(MAX(0,MIN(1,AC123))^2+(1-MAX(0,MIN(1,AC123)))^2/$B$5))-(MAX(0,MIN(1,AB123))^2/(MAX(0,MIN(1,AB123))^2+(1-MAX(0,MIN(1,AB123)))^2/$B$5))))</f>
        <v>0.789598594274055</v>
      </c>
      <c r="AD124" s="16" t="n">
        <f aca="false">IF(ABS(AD123-$B$11/$B$9*((MAX(0,MIN(1,AD123))^2/(MAX(0,MIN(1,AD123))^2+(1-MAX(0,MIN(1,AD123)))^2/$B$5))-(MAX(0,MIN(1,AC123))^2/(MAX(0,MIN(1,AC123))^2+(1-MAX(0,MIN(1,AC123)))^2/$B$5))))&lt;0.000000001,0,AD123-$B$11/$B$9*((MAX(0,MIN(1,AD123))^2/(MAX(0,MIN(1,AD123))^2+(1-MAX(0,MIN(1,AD123)))^2/$B$5))-(MAX(0,MIN(1,AC123))^2/(MAX(0,MIN(1,AC123))^2+(1-MAX(0,MIN(1,AC123)))^2/$B$5))))</f>
        <v>0.782450745385497</v>
      </c>
      <c r="AE124" s="16" t="n">
        <f aca="false">IF(ABS(AE123-$B$11/$B$9*((MAX(0,MIN(1,AE123))^2/(MAX(0,MIN(1,AE123))^2+(1-MAX(0,MIN(1,AE123)))^2/$B$5))-(MAX(0,MIN(1,AD123))^2/(MAX(0,MIN(1,AD123))^2+(1-MAX(0,MIN(1,AD123)))^2/$B$5))))&lt;0.000000001,0,AE123-$B$11/$B$9*((MAX(0,MIN(1,AE123))^2/(MAX(0,MIN(1,AE123))^2+(1-MAX(0,MIN(1,AE123)))^2/$B$5))-(MAX(0,MIN(1,AD123))^2/(MAX(0,MIN(1,AD123))^2+(1-MAX(0,MIN(1,AD123)))^2/$B$5))))</f>
        <v>0.775517236638541</v>
      </c>
      <c r="AF124" s="16" t="n">
        <f aca="false">IF(ABS(AF123-$B$11/$B$9*((MAX(0,MIN(1,AF123))^2/(MAX(0,MIN(1,AF123))^2+(1-MAX(0,MIN(1,AF123)))^2/$B$5))-(MAX(0,MIN(1,AE123))^2/(MAX(0,MIN(1,AE123))^2+(1-MAX(0,MIN(1,AE123)))^2/$B$5))))&lt;0.000000001,0,AF123-$B$11/$B$9*((MAX(0,MIN(1,AF123))^2/(MAX(0,MIN(1,AF123))^2+(1-MAX(0,MIN(1,AF123)))^2/$B$5))-(MAX(0,MIN(1,AE123))^2/(MAX(0,MIN(1,AE123))^2+(1-MAX(0,MIN(1,AE123)))^2/$B$5))))</f>
        <v>0.76878180264124</v>
      </c>
    </row>
    <row r="125" customFormat="false" ht="15" hidden="false" customHeight="false" outlineLevel="0" collapsed="false">
      <c r="L125" s="0" t="n">
        <v>115</v>
      </c>
      <c r="M125" s="16" t="n">
        <f aca="false">IF(ABS(M124-$B$11/$B$9*((MAX(0,MIN(1,M124))^2/(MAX(0,MIN(1,M124))^2+(1-MAX(0,MIN(1,M124)))^2/$B$5))-(MAX(0,MIN(1,1))^2/(MAX(0,MIN(1,1))^2+(1-MAX(0,MIN(1,1)))^2/$B$5))))&lt;0.000000001,0,M124-$B$11/$B$9*((MAX(0,MIN(1,M124))^2/(MAX(0,MIN(1,M124))^2+(1-MAX(0,MIN(1,M124)))^2/$B$5))-(MAX(0,MIN(1,1))^2/(MAX(0,MIN(1,1))^2+(1-MAX(0,MIN(1,1)))^2/$B$5))))</f>
        <v>0.965705208751327</v>
      </c>
      <c r="N125" s="16" t="n">
        <f aca="false">IF(ABS(N124-$B$11/$B$9*((MAX(0,MIN(1,N124))^2/(MAX(0,MIN(1,N124))^2+(1-MAX(0,MIN(1,N124)))^2/$B$5))-(MAX(0,MIN(1,M124))^2/(MAX(0,MIN(1,M124))^2+(1-MAX(0,MIN(1,M124)))^2/$B$5))))&lt;0.000000001,0,N124-$B$11/$B$9*((MAX(0,MIN(1,N124))^2/(MAX(0,MIN(1,N124))^2+(1-MAX(0,MIN(1,N124)))^2/$B$5))-(MAX(0,MIN(1,M124))^2/(MAX(0,MIN(1,M124))^2+(1-MAX(0,MIN(1,M124)))^2/$B$5))))</f>
        <v>0.946877786791662</v>
      </c>
      <c r="O125" s="16" t="n">
        <f aca="false">IF(ABS(O124-$B$11/$B$9*((MAX(0,MIN(1,O124))^2/(MAX(0,MIN(1,O124))^2+(1-MAX(0,MIN(1,O124)))^2/$B$5))-(MAX(0,MIN(1,N124))^2/(MAX(0,MIN(1,N124))^2+(1-MAX(0,MIN(1,N124)))^2/$B$5))))&lt;0.000000001,0,O124-$B$11/$B$9*((MAX(0,MIN(1,O124))^2/(MAX(0,MIN(1,O124))^2+(1-MAX(0,MIN(1,O124)))^2/$B$5))-(MAX(0,MIN(1,N124))^2/(MAX(0,MIN(1,N124))^2+(1-MAX(0,MIN(1,N124)))^2/$B$5))))</f>
        <v>0.930755520346132</v>
      </c>
      <c r="P125" s="16" t="n">
        <f aca="false">IF(ABS(P124-$B$11/$B$9*((MAX(0,MIN(1,P124))^2/(MAX(0,MIN(1,P124))^2+(1-MAX(0,MIN(1,P124)))^2/$B$5))-(MAX(0,MIN(1,O124))^2/(MAX(0,MIN(1,O124))^2+(1-MAX(0,MIN(1,O124)))^2/$B$5))))&lt;0.000000001,0,P124-$B$11/$B$9*((MAX(0,MIN(1,P124))^2/(MAX(0,MIN(1,P124))^2+(1-MAX(0,MIN(1,P124)))^2/$B$5))-(MAX(0,MIN(1,O124))^2/(MAX(0,MIN(1,O124))^2+(1-MAX(0,MIN(1,O124)))^2/$B$5))))</f>
        <v>0.916281772566107</v>
      </c>
      <c r="Q125" s="16" t="n">
        <f aca="false">IF(ABS(Q124-$B$11/$B$9*((MAX(0,MIN(1,Q124))^2/(MAX(0,MIN(1,Q124))^2+(1-MAX(0,MIN(1,Q124)))^2/$B$5))-(MAX(0,MIN(1,P124))^2/(MAX(0,MIN(1,P124))^2+(1-MAX(0,MIN(1,P124)))^2/$B$5))))&lt;0.000000001,0,Q124-$B$11/$B$9*((MAX(0,MIN(1,Q124))^2/(MAX(0,MIN(1,Q124))^2+(1-MAX(0,MIN(1,Q124)))^2/$B$5))-(MAX(0,MIN(1,P124))^2/(MAX(0,MIN(1,P124))^2+(1-MAX(0,MIN(1,P124)))^2/$B$5))))</f>
        <v>0.90301739325647</v>
      </c>
      <c r="R125" s="16" t="n">
        <f aca="false">IF(ABS(R124-$B$11/$B$9*((MAX(0,MIN(1,R124))^2/(MAX(0,MIN(1,R124))^2+(1-MAX(0,MIN(1,R124)))^2/$B$5))-(MAX(0,MIN(1,Q124))^2/(MAX(0,MIN(1,Q124))^2+(1-MAX(0,MIN(1,Q124)))^2/$B$5))))&lt;0.000000001,0,R124-$B$11/$B$9*((MAX(0,MIN(1,R124))^2/(MAX(0,MIN(1,R124))^2+(1-MAX(0,MIN(1,R124)))^2/$B$5))-(MAX(0,MIN(1,Q124))^2/(MAX(0,MIN(1,Q124))^2+(1-MAX(0,MIN(1,Q124)))^2/$B$5))))</f>
        <v>0.890712745070748</v>
      </c>
      <c r="S125" s="16" t="n">
        <f aca="false">IF(ABS(S124-$B$11/$B$9*((MAX(0,MIN(1,S124))^2/(MAX(0,MIN(1,S124))^2+(1-MAX(0,MIN(1,S124)))^2/$B$5))-(MAX(0,MIN(1,R124))^2/(MAX(0,MIN(1,R124))^2+(1-MAX(0,MIN(1,R124)))^2/$B$5))))&lt;0.000000001,0,S124-$B$11/$B$9*((MAX(0,MIN(1,S124))^2/(MAX(0,MIN(1,S124))^2+(1-MAX(0,MIN(1,S124)))^2/$B$5))-(MAX(0,MIN(1,R124))^2/(MAX(0,MIN(1,R124))^2+(1-MAX(0,MIN(1,R124)))^2/$B$5))))</f>
        <v>0.879202706419526</v>
      </c>
      <c r="T125" s="16" t="n">
        <f aca="false">IF(ABS(T124-$B$11/$B$9*((MAX(0,MIN(1,T124))^2/(MAX(0,MIN(1,T124))^2+(1-MAX(0,MIN(1,T124)))^2/$B$5))-(MAX(0,MIN(1,S124))^2/(MAX(0,MIN(1,S124))^2+(1-MAX(0,MIN(1,S124)))^2/$B$5))))&lt;0.000000001,0,T124-$B$11/$B$9*((MAX(0,MIN(1,T124))^2/(MAX(0,MIN(1,T124))^2+(1-MAX(0,MIN(1,T124)))^2/$B$5))-(MAX(0,MIN(1,S124))^2/(MAX(0,MIN(1,S124))^2+(1-MAX(0,MIN(1,S124)))^2/$B$5))))</f>
        <v>0.86836816737045</v>
      </c>
      <c r="U125" s="16" t="n">
        <f aca="false">IF(ABS(U124-$B$11/$B$9*((MAX(0,MIN(1,U124))^2/(MAX(0,MIN(1,U124))^2+(1-MAX(0,MIN(1,U124)))^2/$B$5))-(MAX(0,MIN(1,T124))^2/(MAX(0,MIN(1,T124))^2+(1-MAX(0,MIN(1,T124)))^2/$B$5))))&lt;0.000000001,0,U124-$B$11/$B$9*((MAX(0,MIN(1,U124))^2/(MAX(0,MIN(1,U124))^2+(1-MAX(0,MIN(1,U124)))^2/$B$5))-(MAX(0,MIN(1,T124))^2/(MAX(0,MIN(1,T124))^2+(1-MAX(0,MIN(1,T124)))^2/$B$5))))</f>
        <v>0.858118368737674</v>
      </c>
      <c r="V125" s="16" t="n">
        <f aca="false">IF(ABS(V124-$B$11/$B$9*((MAX(0,MIN(1,V124))^2/(MAX(0,MIN(1,V124))^2+(1-MAX(0,MIN(1,V124)))^2/$B$5))-(MAX(0,MIN(1,U124))^2/(MAX(0,MIN(1,U124))^2+(1-MAX(0,MIN(1,U124)))^2/$B$5))))&lt;0.000000001,0,V124-$B$11/$B$9*((MAX(0,MIN(1,V124))^2/(MAX(0,MIN(1,V124))^2+(1-MAX(0,MIN(1,V124)))^2/$B$5))-(MAX(0,MIN(1,U124))^2/(MAX(0,MIN(1,U124))^2+(1-MAX(0,MIN(1,U124)))^2/$B$5))))</f>
        <v>0.848381527439829</v>
      </c>
      <c r="W125" s="16" t="n">
        <f aca="false">IF(ABS(W124-$B$11/$B$9*((MAX(0,MIN(1,W124))^2/(MAX(0,MIN(1,W124))^2+(1-MAX(0,MIN(1,W124)))^2/$B$5))-(MAX(0,MIN(1,V124))^2/(MAX(0,MIN(1,V124))^2+(1-MAX(0,MIN(1,V124)))^2/$B$5))))&lt;0.000000001,0,W124-$B$11/$B$9*((MAX(0,MIN(1,W124))^2/(MAX(0,MIN(1,W124))^2+(1-MAX(0,MIN(1,W124)))^2/$B$5))-(MAX(0,MIN(1,V124))^2/(MAX(0,MIN(1,V124))^2+(1-MAX(0,MIN(1,V124)))^2/$B$5))))</f>
        <v>0.839099322334628</v>
      </c>
      <c r="X125" s="16" t="n">
        <f aca="false">IF(ABS(X124-$B$11/$B$9*((MAX(0,MIN(1,X124))^2/(MAX(0,MIN(1,X124))^2+(1-MAX(0,MIN(1,X124)))^2/$B$5))-(MAX(0,MIN(1,W124))^2/(MAX(0,MIN(1,W124))^2+(1-MAX(0,MIN(1,W124)))^2/$B$5))))&lt;0.000000001,0,X124-$B$11/$B$9*((MAX(0,MIN(1,X124))^2/(MAX(0,MIN(1,X124))^2+(1-MAX(0,MIN(1,X124)))^2/$B$5))-(MAX(0,MIN(1,W124))^2/(MAX(0,MIN(1,W124))^2+(1-MAX(0,MIN(1,W124)))^2/$B$5))))</f>
        <v>0.830223397041924</v>
      </c>
      <c r="Y125" s="16" t="n">
        <f aca="false">IF(ABS(Y124-$B$11/$B$9*((MAX(0,MIN(1,Y124))^2/(MAX(0,MIN(1,Y124))^2+(1-MAX(0,MIN(1,Y124)))^2/$B$5))-(MAX(0,MIN(1,X124))^2/(MAX(0,MIN(1,X124))^2+(1-MAX(0,MIN(1,X124)))^2/$B$5))))&lt;0.000000001,0,Y124-$B$11/$B$9*((MAX(0,MIN(1,Y124))^2/(MAX(0,MIN(1,Y124))^2+(1-MAX(0,MIN(1,Y124)))^2/$B$5))-(MAX(0,MIN(1,X124))^2/(MAX(0,MIN(1,X124))^2+(1-MAX(0,MIN(1,X124)))^2/$B$5))))</f>
        <v>0.821713011985169</v>
      </c>
      <c r="Z125" s="16" t="n">
        <f aca="false">IF(ABS(Z124-$B$11/$B$9*((MAX(0,MIN(1,Z124))^2/(MAX(0,MIN(1,Z124))^2+(1-MAX(0,MIN(1,Z124)))^2/$B$5))-(MAX(0,MIN(1,Y124))^2/(MAX(0,MIN(1,Y124))^2+(1-MAX(0,MIN(1,Y124)))^2/$B$5))))&lt;0.000000001,0,Z124-$B$11/$B$9*((MAX(0,MIN(1,Z124))^2/(MAX(0,MIN(1,Z124))^2+(1-MAX(0,MIN(1,Z124)))^2/$B$5))-(MAX(0,MIN(1,Y124))^2/(MAX(0,MIN(1,Y124))^2+(1-MAX(0,MIN(1,Y124)))^2/$B$5))))</f>
        <v>0.813533396898309</v>
      </c>
      <c r="AA125" s="16" t="n">
        <f aca="false">IF(ABS(AA124-$B$11/$B$9*((MAX(0,MIN(1,AA124))^2/(MAX(0,MIN(1,AA124))^2+(1-MAX(0,MIN(1,AA124)))^2/$B$5))-(MAX(0,MIN(1,Z124))^2/(MAX(0,MIN(1,Z124))^2+(1-MAX(0,MIN(1,Z124)))^2/$B$5))))&lt;0.000000001,0,AA124-$B$11/$B$9*((MAX(0,MIN(1,AA124))^2/(MAX(0,MIN(1,AA124))^2+(1-MAX(0,MIN(1,AA124)))^2/$B$5))-(MAX(0,MIN(1,Z124))^2/(MAX(0,MIN(1,Z124))^2+(1-MAX(0,MIN(1,Z124)))^2/$B$5))))</f>
        <v>0.805654553760414</v>
      </c>
      <c r="AB125" s="16" t="n">
        <f aca="false">IF(ABS(AB124-$B$11/$B$9*((MAX(0,MIN(1,AB124))^2/(MAX(0,MIN(1,AB124))^2+(1-MAX(0,MIN(1,AB124)))^2/$B$5))-(MAX(0,MIN(1,AA124))^2/(MAX(0,MIN(1,AA124))^2+(1-MAX(0,MIN(1,AA124)))^2/$B$5))))&lt;0.000000001,0,AB124-$B$11/$B$9*((MAX(0,MIN(1,AB124))^2/(MAX(0,MIN(1,AB124))^2+(1-MAX(0,MIN(1,AB124)))^2/$B$5))-(MAX(0,MIN(1,AA124))^2/(MAX(0,MIN(1,AA124))^2+(1-MAX(0,MIN(1,AA124)))^2/$B$5))))</f>
        <v>0.798050362160351</v>
      </c>
      <c r="AC125" s="16" t="n">
        <f aca="false">IF(ABS(AC124-$B$11/$B$9*((MAX(0,MIN(1,AC124))^2/(MAX(0,MIN(1,AC124))^2+(1-MAX(0,MIN(1,AC124)))^2/$B$5))-(MAX(0,MIN(1,AB124))^2/(MAX(0,MIN(1,AB124))^2+(1-MAX(0,MIN(1,AB124)))^2/$B$5))))&lt;0.000000001,0,AC124-$B$11/$B$9*((MAX(0,MIN(1,AC124))^2/(MAX(0,MIN(1,AC124))^2+(1-MAX(0,MIN(1,AC124)))^2/$B$5))-(MAX(0,MIN(1,AB124))^2/(MAX(0,MIN(1,AB124))^2+(1-MAX(0,MIN(1,AB124)))^2/$B$5))))</f>
        <v>0.790697895022652</v>
      </c>
      <c r="AD125" s="16" t="n">
        <f aca="false">IF(ABS(AD124-$B$11/$B$9*((MAX(0,MIN(1,AD124))^2/(MAX(0,MIN(1,AD124))^2+(1-MAX(0,MIN(1,AD124)))^2/$B$5))-(MAX(0,MIN(1,AC124))^2/(MAX(0,MIN(1,AC124))^2+(1-MAX(0,MIN(1,AC124)))^2/$B$5))))&lt;0.000000001,0,AD124-$B$11/$B$9*((MAX(0,MIN(1,AD124))^2/(MAX(0,MIN(1,AD124))^2+(1-MAX(0,MIN(1,AD124)))^2/$B$5))-(MAX(0,MIN(1,AC124))^2/(MAX(0,MIN(1,AC124))^2+(1-MAX(0,MIN(1,AC124)))^2/$B$5))))</f>
        <v>0.783576884993789</v>
      </c>
      <c r="AE125" s="16" t="n">
        <f aca="false">IF(ABS(AE124-$B$11/$B$9*((MAX(0,MIN(1,AE124))^2/(MAX(0,MIN(1,AE124))^2+(1-MAX(0,MIN(1,AE124)))^2/$B$5))-(MAX(0,MIN(1,AD124))^2/(MAX(0,MIN(1,AD124))^2+(1-MAX(0,MIN(1,AD124)))^2/$B$5))))&lt;0.000000001,0,AE124-$B$11/$B$9*((MAX(0,MIN(1,AE124))^2/(MAX(0,MIN(1,AE124))^2+(1-MAX(0,MIN(1,AE124)))^2/$B$5))-(MAX(0,MIN(1,AD124))^2/(MAX(0,MIN(1,AD124))^2+(1-MAX(0,MIN(1,AD124)))^2/$B$5))))</f>
        <v>0.776669301399975</v>
      </c>
      <c r="AF125" s="16" t="n">
        <f aca="false">IF(ABS(AF124-$B$11/$B$9*((MAX(0,MIN(1,AF124))^2/(MAX(0,MIN(1,AF124))^2+(1-MAX(0,MIN(1,AF124)))^2/$B$5))-(MAX(0,MIN(1,AE124))^2/(MAX(0,MIN(1,AE124))^2+(1-MAX(0,MIN(1,AE124)))^2/$B$5))))&lt;0.000000001,0,AF124-$B$11/$B$9*((MAX(0,MIN(1,AF124))^2/(MAX(0,MIN(1,AF124))^2+(1-MAX(0,MIN(1,AF124)))^2/$B$5))-(MAX(0,MIN(1,AE124))^2/(MAX(0,MIN(1,AE124))^2+(1-MAX(0,MIN(1,AE124)))^2/$B$5))))</f>
        <v>0.769959010044009</v>
      </c>
    </row>
    <row r="126" customFormat="false" ht="15" hidden="false" customHeight="false" outlineLevel="0" collapsed="false">
      <c r="L126" s="0" t="n">
        <v>116</v>
      </c>
      <c r="M126" s="16" t="n">
        <f aca="false">IF(ABS(M125-$B$11/$B$9*((MAX(0,MIN(1,M125))^2/(MAX(0,MIN(1,M125))^2+(1-MAX(0,MIN(1,M125)))^2/$B$5))-(MAX(0,MIN(1,1))^2/(MAX(0,MIN(1,1))^2+(1-MAX(0,MIN(1,1)))^2/$B$5))))&lt;0.000000001,0,M125-$B$11/$B$9*((MAX(0,MIN(1,M125))^2/(MAX(0,MIN(1,M125))^2+(1-MAX(0,MIN(1,M125)))^2/$B$5))-(MAX(0,MIN(1,1))^2/(MAX(0,MIN(1,1))^2+(1-MAX(0,MIN(1,1)))^2/$B$5))))</f>
        <v>0.965947532069395</v>
      </c>
      <c r="N126" s="16" t="n">
        <f aca="false">IF(ABS(N125-$B$11/$B$9*((MAX(0,MIN(1,N125))^2/(MAX(0,MIN(1,N125))^2+(1-MAX(0,MIN(1,N125)))^2/$B$5))-(MAX(0,MIN(1,M125))^2/(MAX(0,MIN(1,M125))^2+(1-MAX(0,MIN(1,M125)))^2/$B$5))))&lt;0.000000001,0,N125-$B$11/$B$9*((MAX(0,MIN(1,N125))^2/(MAX(0,MIN(1,N125))^2+(1-MAX(0,MIN(1,N125)))^2/$B$5))-(MAX(0,MIN(1,M125))^2/(MAX(0,MIN(1,M125))^2+(1-MAX(0,MIN(1,M125)))^2/$B$5))))</f>
        <v>0.947239667102508</v>
      </c>
      <c r="O126" s="16" t="n">
        <f aca="false">IF(ABS(O125-$B$11/$B$9*((MAX(0,MIN(1,O125))^2/(MAX(0,MIN(1,O125))^2+(1-MAX(0,MIN(1,O125)))^2/$B$5))-(MAX(0,MIN(1,N125))^2/(MAX(0,MIN(1,N125))^2+(1-MAX(0,MIN(1,N125)))^2/$B$5))))&lt;0.000000001,0,O125-$B$11/$B$9*((MAX(0,MIN(1,O125))^2/(MAX(0,MIN(1,O125))^2+(1-MAX(0,MIN(1,O125)))^2/$B$5))-(MAX(0,MIN(1,N125))^2/(MAX(0,MIN(1,N125))^2+(1-MAX(0,MIN(1,N125)))^2/$B$5))))</f>
        <v>0.93121252509201</v>
      </c>
      <c r="P126" s="16" t="n">
        <f aca="false">IF(ABS(P125-$B$11/$B$9*((MAX(0,MIN(1,P125))^2/(MAX(0,MIN(1,P125))^2+(1-MAX(0,MIN(1,P125)))^2/$B$5))-(MAX(0,MIN(1,O125))^2/(MAX(0,MIN(1,O125))^2+(1-MAX(0,MIN(1,O125)))^2/$B$5))))&lt;0.000000001,0,P125-$B$11/$B$9*((MAX(0,MIN(1,P125))^2/(MAX(0,MIN(1,P125))^2+(1-MAX(0,MIN(1,P125)))^2/$B$5))-(MAX(0,MIN(1,O125))^2/(MAX(0,MIN(1,O125))^2+(1-MAX(0,MIN(1,O125)))^2/$B$5))))</f>
        <v>0.916818924846422</v>
      </c>
      <c r="Q126" s="16" t="n">
        <f aca="false">IF(ABS(Q125-$B$11/$B$9*((MAX(0,MIN(1,Q125))^2/(MAX(0,MIN(1,Q125))^2+(1-MAX(0,MIN(1,Q125)))^2/$B$5))-(MAX(0,MIN(1,P125))^2/(MAX(0,MIN(1,P125))^2+(1-MAX(0,MIN(1,P125)))^2/$B$5))))&lt;0.000000001,0,Q125-$B$11/$B$9*((MAX(0,MIN(1,Q125))^2/(MAX(0,MIN(1,Q125))^2+(1-MAX(0,MIN(1,Q125)))^2/$B$5))-(MAX(0,MIN(1,P125))^2/(MAX(0,MIN(1,P125))^2+(1-MAX(0,MIN(1,P125)))^2/$B$5))))</f>
        <v>0.903623987958796</v>
      </c>
      <c r="R126" s="16" t="n">
        <f aca="false">IF(ABS(R125-$B$11/$B$9*((MAX(0,MIN(1,R125))^2/(MAX(0,MIN(1,R125))^2+(1-MAX(0,MIN(1,R125)))^2/$B$5))-(MAX(0,MIN(1,Q125))^2/(MAX(0,MIN(1,Q125))^2+(1-MAX(0,MIN(1,Q125)))^2/$B$5))))&lt;0.000000001,0,R125-$B$11/$B$9*((MAX(0,MIN(1,R125))^2/(MAX(0,MIN(1,R125))^2+(1-MAX(0,MIN(1,R125)))^2/$B$5))-(MAX(0,MIN(1,Q125))^2/(MAX(0,MIN(1,Q125))^2+(1-MAX(0,MIN(1,Q125)))^2/$B$5))))</f>
        <v>0.891380611707604</v>
      </c>
      <c r="S126" s="16" t="n">
        <f aca="false">IF(ABS(S125-$B$11/$B$9*((MAX(0,MIN(1,S125))^2/(MAX(0,MIN(1,S125))^2+(1-MAX(0,MIN(1,S125)))^2/$B$5))-(MAX(0,MIN(1,R125))^2/(MAX(0,MIN(1,R125))^2+(1-MAX(0,MIN(1,R125)))^2/$B$5))))&lt;0.000000001,0,S125-$B$11/$B$9*((MAX(0,MIN(1,S125))^2/(MAX(0,MIN(1,S125))^2+(1-MAX(0,MIN(1,S125)))^2/$B$5))-(MAX(0,MIN(1,R125))^2/(MAX(0,MIN(1,R125))^2+(1-MAX(0,MIN(1,R125)))^2/$B$5))))</f>
        <v>0.879925376004498</v>
      </c>
      <c r="T126" s="16" t="n">
        <f aca="false">IF(ABS(T125-$B$11/$B$9*((MAX(0,MIN(1,T125))^2/(MAX(0,MIN(1,T125))^2+(1-MAX(0,MIN(1,T125)))^2/$B$5))-(MAX(0,MIN(1,S125))^2/(MAX(0,MIN(1,S125))^2+(1-MAX(0,MIN(1,S125)))^2/$B$5))))&lt;0.000000001,0,T125-$B$11/$B$9*((MAX(0,MIN(1,T125))^2/(MAX(0,MIN(1,T125))^2+(1-MAX(0,MIN(1,T125)))^2/$B$5))-(MAX(0,MIN(1,S125))^2/(MAX(0,MIN(1,S125))^2+(1-MAX(0,MIN(1,S125)))^2/$B$5))))</f>
        <v>0.869140394667646</v>
      </c>
      <c r="U126" s="16" t="n">
        <f aca="false">IF(ABS(U125-$B$11/$B$9*((MAX(0,MIN(1,U125))^2/(MAX(0,MIN(1,U125))^2+(1-MAX(0,MIN(1,U125)))^2/$B$5))-(MAX(0,MIN(1,T125))^2/(MAX(0,MIN(1,T125))^2+(1-MAX(0,MIN(1,T125)))^2/$B$5))))&lt;0.000000001,0,U125-$B$11/$B$9*((MAX(0,MIN(1,U125))^2/(MAX(0,MIN(1,U125))^2+(1-MAX(0,MIN(1,U125)))^2/$B$5))-(MAX(0,MIN(1,T125))^2/(MAX(0,MIN(1,T125))^2+(1-MAX(0,MIN(1,T125)))^2/$B$5))))</f>
        <v>0.858935828213388</v>
      </c>
      <c r="V126" s="16" t="n">
        <f aca="false">IF(ABS(V125-$B$11/$B$9*((MAX(0,MIN(1,V125))^2/(MAX(0,MIN(1,V125))^2+(1-MAX(0,MIN(1,V125)))^2/$B$5))-(MAX(0,MIN(1,U125))^2/(MAX(0,MIN(1,U125))^2+(1-MAX(0,MIN(1,U125)))^2/$B$5))))&lt;0.000000001,0,V125-$B$11/$B$9*((MAX(0,MIN(1,V125))^2/(MAX(0,MIN(1,V125))^2+(1-MAX(0,MIN(1,V125)))^2/$B$5))-(MAX(0,MIN(1,U125))^2/(MAX(0,MIN(1,U125))^2+(1-MAX(0,MIN(1,U125)))^2/$B$5))))</f>
        <v>0.849240606408666</v>
      </c>
      <c r="W126" s="16" t="n">
        <f aca="false">IF(ABS(W125-$B$11/$B$9*((MAX(0,MIN(1,W125))^2/(MAX(0,MIN(1,W125))^2+(1-MAX(0,MIN(1,W125)))^2/$B$5))-(MAX(0,MIN(1,V125))^2/(MAX(0,MIN(1,V125))^2+(1-MAX(0,MIN(1,V125)))^2/$B$5))))&lt;0.000000001,0,W125-$B$11/$B$9*((MAX(0,MIN(1,W125))^2/(MAX(0,MIN(1,W125))^2+(1-MAX(0,MIN(1,W125)))^2/$B$5))-(MAX(0,MIN(1,V125))^2/(MAX(0,MIN(1,V125))^2+(1-MAX(0,MIN(1,V125)))^2/$B$5))))</f>
        <v>0.839996973625493</v>
      </c>
      <c r="X126" s="16" t="n">
        <f aca="false">IF(ABS(X125-$B$11/$B$9*((MAX(0,MIN(1,X125))^2/(MAX(0,MIN(1,X125))^2+(1-MAX(0,MIN(1,X125)))^2/$B$5))-(MAX(0,MIN(1,W125))^2/(MAX(0,MIN(1,W125))^2+(1-MAX(0,MIN(1,W125)))^2/$B$5))))&lt;0.000000001,0,X125-$B$11/$B$9*((MAX(0,MIN(1,X125))^2/(MAX(0,MIN(1,X125))^2+(1-MAX(0,MIN(1,X125)))^2/$B$5))-(MAX(0,MIN(1,W125))^2/(MAX(0,MIN(1,W125))^2+(1-MAX(0,MIN(1,W125)))^2/$B$5))))</f>
        <v>0.831157030501357</v>
      </c>
      <c r="Y126" s="16" t="n">
        <f aca="false">IF(ABS(Y125-$B$11/$B$9*((MAX(0,MIN(1,Y125))^2/(MAX(0,MIN(1,Y125))^2+(1-MAX(0,MIN(1,Y125)))^2/$B$5))-(MAX(0,MIN(1,X125))^2/(MAX(0,MIN(1,X125))^2+(1-MAX(0,MIN(1,X125)))^2/$B$5))))&lt;0.000000001,0,Y125-$B$11/$B$9*((MAX(0,MIN(1,Y125))^2/(MAX(0,MIN(1,Y125))^2+(1-MAX(0,MIN(1,Y125)))^2/$B$5))-(MAX(0,MIN(1,X125))^2/(MAX(0,MIN(1,X125))^2+(1-MAX(0,MIN(1,X125)))^2/$B$5))))</f>
        <v>0.822680412533843</v>
      </c>
      <c r="Z126" s="16" t="n">
        <f aca="false">IF(ABS(Z125-$B$11/$B$9*((MAX(0,MIN(1,Z125))^2/(MAX(0,MIN(1,Z125))^2+(1-MAX(0,MIN(1,Z125)))^2/$B$5))-(MAX(0,MIN(1,Y125))^2/(MAX(0,MIN(1,Y125))^2+(1-MAX(0,MIN(1,Y125)))^2/$B$5))))&lt;0.000000001,0,Z125-$B$11/$B$9*((MAX(0,MIN(1,Z125))^2/(MAX(0,MIN(1,Z125))^2+(1-MAX(0,MIN(1,Z125)))^2/$B$5))-(MAX(0,MIN(1,Y125))^2/(MAX(0,MIN(1,Y125))^2+(1-MAX(0,MIN(1,Y125)))^2/$B$5))))</f>
        <v>0.814532661402672</v>
      </c>
      <c r="AA126" s="16" t="n">
        <f aca="false">IF(ABS(AA125-$B$11/$B$9*((MAX(0,MIN(1,AA125))^2/(MAX(0,MIN(1,AA125))^2+(1-MAX(0,MIN(1,AA125)))^2/$B$5))-(MAX(0,MIN(1,Z125))^2/(MAX(0,MIN(1,Z125))^2+(1-MAX(0,MIN(1,Z125)))^2/$B$5))))&lt;0.000000001,0,AA125-$B$11/$B$9*((MAX(0,MIN(1,AA125))^2/(MAX(0,MIN(1,AA125))^2+(1-MAX(0,MIN(1,AA125)))^2/$B$5))-(MAX(0,MIN(1,Z125))^2/(MAX(0,MIN(1,Z125))^2+(1-MAX(0,MIN(1,Z125)))^2/$B$5))))</f>
        <v>0.806684041620228</v>
      </c>
      <c r="AB126" s="16" t="n">
        <f aca="false">IF(ABS(AB125-$B$11/$B$9*((MAX(0,MIN(1,AB125))^2/(MAX(0,MIN(1,AB125))^2+(1-MAX(0,MIN(1,AB125)))^2/$B$5))-(MAX(0,MIN(1,AA125))^2/(MAX(0,MIN(1,AA125))^2+(1-MAX(0,MIN(1,AA125)))^2/$B$5))))&lt;0.000000001,0,AB125-$B$11/$B$9*((MAX(0,MIN(1,AB125))^2/(MAX(0,MIN(1,AB125))^2+(1-MAX(0,MIN(1,AB125)))^2/$B$5))-(MAX(0,MIN(1,AA125))^2/(MAX(0,MIN(1,AA125))^2+(1-MAX(0,MIN(1,AA125)))^2/$B$5))))</f>
        <v>0.799108656130601</v>
      </c>
      <c r="AC126" s="16" t="n">
        <f aca="false">IF(ABS(AC125-$B$11/$B$9*((MAX(0,MIN(1,AC125))^2/(MAX(0,MIN(1,AC125))^2+(1-MAX(0,MIN(1,AC125)))^2/$B$5))-(MAX(0,MIN(1,AB125))^2/(MAX(0,MIN(1,AB125))^2+(1-MAX(0,MIN(1,AB125)))^2/$B$5))))&lt;0.000000001,0,AC125-$B$11/$B$9*((MAX(0,MIN(1,AC125))^2/(MAX(0,MIN(1,AC125))^2+(1-MAX(0,MIN(1,AC125)))^2/$B$5))-(MAX(0,MIN(1,AB125))^2/(MAX(0,MIN(1,AB125))^2+(1-MAX(0,MIN(1,AB125)))^2/$B$5))))</f>
        <v>0.791783769824597</v>
      </c>
      <c r="AD126" s="16" t="n">
        <f aca="false">IF(ABS(AD125-$B$11/$B$9*((MAX(0,MIN(1,AD125))^2/(MAX(0,MIN(1,AD125))^2+(1-MAX(0,MIN(1,AD125)))^2/$B$5))-(MAX(0,MIN(1,AC125))^2/(MAX(0,MIN(1,AC125))^2+(1-MAX(0,MIN(1,AC125)))^2/$B$5))))&lt;0.000000001,0,AD125-$B$11/$B$9*((MAX(0,MIN(1,AD125))^2/(MAX(0,MIN(1,AD125))^2+(1-MAX(0,MIN(1,AD125)))^2/$B$5))-(MAX(0,MIN(1,AC125))^2/(MAX(0,MIN(1,AC125))^2+(1-MAX(0,MIN(1,AC125)))^2/$B$5))))</f>
        <v>0.784689281957925</v>
      </c>
      <c r="AE126" s="16" t="n">
        <f aca="false">IF(ABS(AE125-$B$11/$B$9*((MAX(0,MIN(1,AE125))^2/(MAX(0,MIN(1,AE125))^2+(1-MAX(0,MIN(1,AE125)))^2/$B$5))-(MAX(0,MIN(1,AD125))^2/(MAX(0,MIN(1,AD125))^2+(1-MAX(0,MIN(1,AD125)))^2/$B$5))))&lt;0.000000001,0,AE125-$B$11/$B$9*((MAX(0,MIN(1,AE125))^2/(MAX(0,MIN(1,AE125))^2+(1-MAX(0,MIN(1,AE125)))^2/$B$5))-(MAX(0,MIN(1,AD125))^2/(MAX(0,MIN(1,AD125))^2+(1-MAX(0,MIN(1,AD125)))^2/$B$5))))</f>
        <v>0.777807307854463</v>
      </c>
      <c r="AF126" s="16" t="n">
        <f aca="false">IF(ABS(AF125-$B$11/$B$9*((MAX(0,MIN(1,AF125))^2/(MAX(0,MIN(1,AF125))^2+(1-MAX(0,MIN(1,AF125)))^2/$B$5))-(MAX(0,MIN(1,AE125))^2/(MAX(0,MIN(1,AE125))^2+(1-MAX(0,MIN(1,AE125)))^2/$B$5))))&lt;0.000000001,0,AF125-$B$11/$B$9*((MAX(0,MIN(1,AF125))^2/(MAX(0,MIN(1,AF125))^2+(1-MAX(0,MIN(1,AF125)))^2/$B$5))-(MAX(0,MIN(1,AE125))^2/(MAX(0,MIN(1,AE125))^2+(1-MAX(0,MIN(1,AE125)))^2/$B$5))))</f>
        <v>0.771121842492636</v>
      </c>
    </row>
    <row r="127" customFormat="false" ht="15" hidden="false" customHeight="false" outlineLevel="0" collapsed="false">
      <c r="L127" s="0" t="n">
        <v>117</v>
      </c>
      <c r="M127" s="16" t="n">
        <f aca="false">IF(ABS(M126-$B$11/$B$9*((MAX(0,MIN(1,M126))^2/(MAX(0,MIN(1,M126))^2+(1-MAX(0,MIN(1,M126)))^2/$B$5))-(MAX(0,MIN(1,1))^2/(MAX(0,MIN(1,1))^2+(1-MAX(0,MIN(1,1)))^2/$B$5))))&lt;0.000000001,0,M126-$B$11/$B$9*((MAX(0,MIN(1,M126))^2/(MAX(0,MIN(1,M126))^2+(1-MAX(0,MIN(1,M126)))^2/$B$5))-(MAX(0,MIN(1,1))^2/(MAX(0,MIN(1,1))^2+(1-MAX(0,MIN(1,1)))^2/$B$5))))</f>
        <v>0.966186325364033</v>
      </c>
      <c r="N127" s="16" t="n">
        <f aca="false">IF(ABS(N126-$B$11/$B$9*((MAX(0,MIN(1,N126))^2/(MAX(0,MIN(1,N126))^2+(1-MAX(0,MIN(1,N126)))^2/$B$5))-(MAX(0,MIN(1,M126))^2/(MAX(0,MIN(1,M126))^2+(1-MAX(0,MIN(1,M126)))^2/$B$5))))&lt;0.000000001,0,N126-$B$11/$B$9*((MAX(0,MIN(1,N126))^2/(MAX(0,MIN(1,N126))^2+(1-MAX(0,MIN(1,N126)))^2/$B$5))-(MAX(0,MIN(1,M126))^2/(MAX(0,MIN(1,M126))^2+(1-MAX(0,MIN(1,M126)))^2/$B$5))))</f>
        <v>0.947596431647869</v>
      </c>
      <c r="O127" s="16" t="n">
        <f aca="false">IF(ABS(O126-$B$11/$B$9*((MAX(0,MIN(1,O126))^2/(MAX(0,MIN(1,O126))^2+(1-MAX(0,MIN(1,O126)))^2/$B$5))-(MAX(0,MIN(1,N126))^2/(MAX(0,MIN(1,N126))^2+(1-MAX(0,MIN(1,N126)))^2/$B$5))))&lt;0.000000001,0,O126-$B$11/$B$9*((MAX(0,MIN(1,O126))^2/(MAX(0,MIN(1,O126))^2+(1-MAX(0,MIN(1,O126)))^2/$B$5))-(MAX(0,MIN(1,N126))^2/(MAX(0,MIN(1,N126))^2+(1-MAX(0,MIN(1,N126)))^2/$B$5))))</f>
        <v>0.931663227306393</v>
      </c>
      <c r="P127" s="16" t="n">
        <f aca="false">IF(ABS(P126-$B$11/$B$9*((MAX(0,MIN(1,P126))^2/(MAX(0,MIN(1,P126))^2+(1-MAX(0,MIN(1,P126)))^2/$B$5))-(MAX(0,MIN(1,O126))^2/(MAX(0,MIN(1,O126))^2+(1-MAX(0,MIN(1,O126)))^2/$B$5))))&lt;0.000000001,0,P126-$B$11/$B$9*((MAX(0,MIN(1,P126))^2/(MAX(0,MIN(1,P126))^2+(1-MAX(0,MIN(1,P126)))^2/$B$5))-(MAX(0,MIN(1,O126))^2/(MAX(0,MIN(1,O126))^2+(1-MAX(0,MIN(1,O126)))^2/$B$5))))</f>
        <v>0.917348823427438</v>
      </c>
      <c r="Q127" s="16" t="n">
        <f aca="false">IF(ABS(Q126-$B$11/$B$9*((MAX(0,MIN(1,Q126))^2/(MAX(0,MIN(1,Q126))^2+(1-MAX(0,MIN(1,Q126)))^2/$B$5))-(MAX(0,MIN(1,P126))^2/(MAX(0,MIN(1,P126))^2+(1-MAX(0,MIN(1,P126)))^2/$B$5))))&lt;0.000000001,0,Q126-$B$11/$B$9*((MAX(0,MIN(1,Q126))^2/(MAX(0,MIN(1,Q126))^2+(1-MAX(0,MIN(1,Q126)))^2/$B$5))-(MAX(0,MIN(1,P126))^2/(MAX(0,MIN(1,P126))^2+(1-MAX(0,MIN(1,P126)))^2/$B$5))))</f>
        <v>0.904222537977877</v>
      </c>
      <c r="R127" s="16" t="n">
        <f aca="false">IF(ABS(R126-$B$11/$B$9*((MAX(0,MIN(1,R126))^2/(MAX(0,MIN(1,R126))^2+(1-MAX(0,MIN(1,R126)))^2/$B$5))-(MAX(0,MIN(1,Q126))^2/(MAX(0,MIN(1,Q126))^2+(1-MAX(0,MIN(1,Q126)))^2/$B$5))))&lt;0.000000001,0,R126-$B$11/$B$9*((MAX(0,MIN(1,R126))^2/(MAX(0,MIN(1,R126))^2+(1-MAX(0,MIN(1,R126)))^2/$B$5))-(MAX(0,MIN(1,Q126))^2/(MAX(0,MIN(1,Q126))^2+(1-MAX(0,MIN(1,Q126)))^2/$B$5))))</f>
        <v>0.892039758489375</v>
      </c>
      <c r="S127" s="16" t="n">
        <f aca="false">IF(ABS(S126-$B$11/$B$9*((MAX(0,MIN(1,S126))^2/(MAX(0,MIN(1,S126))^2+(1-MAX(0,MIN(1,S126)))^2/$B$5))-(MAX(0,MIN(1,R126))^2/(MAX(0,MIN(1,R126))^2+(1-MAX(0,MIN(1,R126)))^2/$B$5))))&lt;0.000000001,0,S126-$B$11/$B$9*((MAX(0,MIN(1,S126))^2/(MAX(0,MIN(1,S126))^2+(1-MAX(0,MIN(1,S126)))^2/$B$5))-(MAX(0,MIN(1,R126))^2/(MAX(0,MIN(1,R126))^2+(1-MAX(0,MIN(1,R126)))^2/$B$5))))</f>
        <v>0.880638737260283</v>
      </c>
      <c r="T127" s="16" t="n">
        <f aca="false">IF(ABS(T126-$B$11/$B$9*((MAX(0,MIN(1,T126))^2/(MAX(0,MIN(1,T126))^2+(1-MAX(0,MIN(1,T126)))^2/$B$5))-(MAX(0,MIN(1,S126))^2/(MAX(0,MIN(1,S126))^2+(1-MAX(0,MIN(1,S126)))^2/$B$5))))&lt;0.000000001,0,T126-$B$11/$B$9*((MAX(0,MIN(1,T126))^2/(MAX(0,MIN(1,T126))^2+(1-MAX(0,MIN(1,T126)))^2/$B$5))-(MAX(0,MIN(1,S126))^2/(MAX(0,MIN(1,S126))^2+(1-MAX(0,MIN(1,S126)))^2/$B$5))))</f>
        <v>0.869902791523957</v>
      </c>
      <c r="U127" s="16" t="n">
        <f aca="false">IF(ABS(U126-$B$11/$B$9*((MAX(0,MIN(1,U126))^2/(MAX(0,MIN(1,U126))^2+(1-MAX(0,MIN(1,U126)))^2/$B$5))-(MAX(0,MIN(1,T126))^2/(MAX(0,MIN(1,T126))^2+(1-MAX(0,MIN(1,T126)))^2/$B$5))))&lt;0.000000001,0,U126-$B$11/$B$9*((MAX(0,MIN(1,U126))^2/(MAX(0,MIN(1,U126))^2+(1-MAX(0,MIN(1,U126)))^2/$B$5))-(MAX(0,MIN(1,T126))^2/(MAX(0,MIN(1,T126))^2+(1-MAX(0,MIN(1,T126)))^2/$B$5))))</f>
        <v>0.859742986690354</v>
      </c>
      <c r="V127" s="16" t="n">
        <f aca="false">IF(ABS(V126-$B$11/$B$9*((MAX(0,MIN(1,V126))^2/(MAX(0,MIN(1,V126))^2+(1-MAX(0,MIN(1,V126)))^2/$B$5))-(MAX(0,MIN(1,U126))^2/(MAX(0,MIN(1,U126))^2+(1-MAX(0,MIN(1,U126)))^2/$B$5))))&lt;0.000000001,0,V126-$B$11/$B$9*((MAX(0,MIN(1,V126))^2/(MAX(0,MIN(1,V126))^2+(1-MAX(0,MIN(1,V126)))^2/$B$5))-(MAX(0,MIN(1,U126))^2/(MAX(0,MIN(1,U126))^2+(1-MAX(0,MIN(1,U126)))^2/$B$5))))</f>
        <v>0.850088954251388</v>
      </c>
      <c r="W127" s="16" t="n">
        <f aca="false">IF(ABS(W126-$B$11/$B$9*((MAX(0,MIN(1,W126))^2/(MAX(0,MIN(1,W126))^2+(1-MAX(0,MIN(1,W126)))^2/$B$5))-(MAX(0,MIN(1,V126))^2/(MAX(0,MIN(1,V126))^2+(1-MAX(0,MIN(1,V126)))^2/$B$5))))&lt;0.000000001,0,W126-$B$11/$B$9*((MAX(0,MIN(1,W126))^2/(MAX(0,MIN(1,W126))^2+(1-MAX(0,MIN(1,W126)))^2/$B$5))-(MAX(0,MIN(1,V126))^2/(MAX(0,MIN(1,V126))^2+(1-MAX(0,MIN(1,V126)))^2/$B$5))))</f>
        <v>0.84088349552711</v>
      </c>
      <c r="X127" s="16" t="n">
        <f aca="false">IF(ABS(X126-$B$11/$B$9*((MAX(0,MIN(1,X126))^2/(MAX(0,MIN(1,X126))^2+(1-MAX(0,MIN(1,X126)))^2/$B$5))-(MAX(0,MIN(1,W126))^2/(MAX(0,MIN(1,W126))^2+(1-MAX(0,MIN(1,W126)))^2/$B$5))))&lt;0.000000001,0,X126-$B$11/$B$9*((MAX(0,MIN(1,X126))^2/(MAX(0,MIN(1,X126))^2+(1-MAX(0,MIN(1,X126)))^2/$B$5))-(MAX(0,MIN(1,W126))^2/(MAX(0,MIN(1,W126))^2+(1-MAX(0,MIN(1,W126)))^2/$B$5))))</f>
        <v>0.832079161432927</v>
      </c>
      <c r="Y127" s="16" t="n">
        <f aca="false">IF(ABS(Y126-$B$11/$B$9*((MAX(0,MIN(1,Y126))^2/(MAX(0,MIN(1,Y126))^2+(1-MAX(0,MIN(1,Y126)))^2/$B$5))-(MAX(0,MIN(1,X126))^2/(MAX(0,MIN(1,X126))^2+(1-MAX(0,MIN(1,X126)))^2/$B$5))))&lt;0.000000001,0,Y126-$B$11/$B$9*((MAX(0,MIN(1,Y126))^2/(MAX(0,MIN(1,Y126))^2+(1-MAX(0,MIN(1,Y126)))^2/$B$5))-(MAX(0,MIN(1,X126))^2/(MAX(0,MIN(1,X126))^2+(1-MAX(0,MIN(1,X126)))^2/$B$5))))</f>
        <v>0.823635957134322</v>
      </c>
      <c r="Z127" s="16" t="n">
        <f aca="false">IF(ABS(Z126-$B$11/$B$9*((MAX(0,MIN(1,Z126))^2/(MAX(0,MIN(1,Z126))^2+(1-MAX(0,MIN(1,Z126)))^2/$B$5))-(MAX(0,MIN(1,Y126))^2/(MAX(0,MIN(1,Y126))^2+(1-MAX(0,MIN(1,Y126)))^2/$B$5))))&lt;0.000000001,0,Z126-$B$11/$B$9*((MAX(0,MIN(1,Z126))^2/(MAX(0,MIN(1,Z126))^2+(1-MAX(0,MIN(1,Z126)))^2/$B$5))-(MAX(0,MIN(1,Y126))^2/(MAX(0,MIN(1,Y126))^2+(1-MAX(0,MIN(1,Y126)))^2/$B$5))))</f>
        <v>0.815519731840141</v>
      </c>
      <c r="AA127" s="16" t="n">
        <f aca="false">IF(ABS(AA126-$B$11/$B$9*((MAX(0,MIN(1,AA126))^2/(MAX(0,MIN(1,AA126))^2+(1-MAX(0,MIN(1,AA126)))^2/$B$5))-(MAX(0,MIN(1,Z126))^2/(MAX(0,MIN(1,Z126))^2+(1-MAX(0,MIN(1,Z126)))^2/$B$5))))&lt;0.000000001,0,AA126-$B$11/$B$9*((MAX(0,MIN(1,AA126))^2/(MAX(0,MIN(1,AA126))^2+(1-MAX(0,MIN(1,AA126)))^2/$B$5))-(MAX(0,MIN(1,Z126))^2/(MAX(0,MIN(1,Z126))^2+(1-MAX(0,MIN(1,Z126)))^2/$B$5))))</f>
        <v>0.807701008922455</v>
      </c>
      <c r="AB127" s="16" t="n">
        <f aca="false">IF(ABS(AB126-$B$11/$B$9*((MAX(0,MIN(1,AB126))^2/(MAX(0,MIN(1,AB126))^2+(1-MAX(0,MIN(1,AB126)))^2/$B$5))-(MAX(0,MIN(1,AA126))^2/(MAX(0,MIN(1,AA126))^2+(1-MAX(0,MIN(1,AA126)))^2/$B$5))))&lt;0.000000001,0,AB126-$B$11/$B$9*((MAX(0,MIN(1,AB126))^2/(MAX(0,MIN(1,AB126))^2+(1-MAX(0,MIN(1,AB126)))^2/$B$5))-(MAX(0,MIN(1,AA126))^2/(MAX(0,MIN(1,AA126))^2+(1-MAX(0,MIN(1,AA126)))^2/$B$5))))</f>
        <v>0.80015411156889</v>
      </c>
      <c r="AC127" s="16" t="n">
        <f aca="false">IF(ABS(AC126-$B$11/$B$9*((MAX(0,MIN(1,AC126))^2/(MAX(0,MIN(1,AC126))^2+(1-MAX(0,MIN(1,AC126)))^2/$B$5))-(MAX(0,MIN(1,AB126))^2/(MAX(0,MIN(1,AB126))^2+(1-MAX(0,MIN(1,AB126)))^2/$B$5))))&lt;0.000000001,0,AC126-$B$11/$B$9*((MAX(0,MIN(1,AC126))^2/(MAX(0,MIN(1,AC126))^2+(1-MAX(0,MIN(1,AC126)))^2/$B$5))-(MAX(0,MIN(1,AB126))^2/(MAX(0,MIN(1,AB126))^2+(1-MAX(0,MIN(1,AB126)))^2/$B$5))))</f>
        <v>0.792856493950684</v>
      </c>
      <c r="AD127" s="16" t="n">
        <f aca="false">IF(ABS(AD126-$B$11/$B$9*((MAX(0,MIN(1,AD126))^2/(MAX(0,MIN(1,AD126))^2+(1-MAX(0,MIN(1,AD126)))^2/$B$5))-(MAX(0,MIN(1,AC126))^2/(MAX(0,MIN(1,AC126))^2+(1-MAX(0,MIN(1,AC126)))^2/$B$5))))&lt;0.000000001,0,AD126-$B$11/$B$9*((MAX(0,MIN(1,AD126))^2/(MAX(0,MIN(1,AD126))^2+(1-MAX(0,MIN(1,AD126)))^2/$B$5))-(MAX(0,MIN(1,AC126))^2/(MAX(0,MIN(1,AC126))^2+(1-MAX(0,MIN(1,AC126)))^2/$B$5))))</f>
        <v>0.78578821956817</v>
      </c>
      <c r="AE127" s="16" t="n">
        <f aca="false">IF(ABS(AE126-$B$11/$B$9*((MAX(0,MIN(1,AE126))^2/(MAX(0,MIN(1,AE126))^2+(1-MAX(0,MIN(1,AE126)))^2/$B$5))-(MAX(0,MIN(1,AD126))^2/(MAX(0,MIN(1,AD126))^2+(1-MAX(0,MIN(1,AD126)))^2/$B$5))))&lt;0.000000001,0,AE126-$B$11/$B$9*((MAX(0,MIN(1,AE126))^2/(MAX(0,MIN(1,AE126))^2+(1-MAX(0,MIN(1,AE126)))^2/$B$5))-(MAX(0,MIN(1,AD126))^2/(MAX(0,MIN(1,AD126))^2+(1-MAX(0,MIN(1,AD126)))^2/$B$5))))</f>
        <v>0.778931547617096</v>
      </c>
      <c r="AF127" s="16" t="n">
        <f aca="false">IF(ABS(AF126-$B$11/$B$9*((MAX(0,MIN(1,AF126))^2/(MAX(0,MIN(1,AF126))^2+(1-MAX(0,MIN(1,AF126)))^2/$B$5))-(MAX(0,MIN(1,AE126))^2/(MAX(0,MIN(1,AE126))^2+(1-MAX(0,MIN(1,AE126)))^2/$B$5))))&lt;0.000000001,0,AF126-$B$11/$B$9*((MAX(0,MIN(1,AF126))^2/(MAX(0,MIN(1,AF126))^2+(1-MAX(0,MIN(1,AF126)))^2/$B$5))-(MAX(0,MIN(1,AE126))^2/(MAX(0,MIN(1,AE126))^2+(1-MAX(0,MIN(1,AE126)))^2/$B$5))))</f>
        <v>0.772270600297853</v>
      </c>
    </row>
    <row r="128" customFormat="false" ht="15" hidden="false" customHeight="false" outlineLevel="0" collapsed="false">
      <c r="L128" s="0" t="n">
        <v>118</v>
      </c>
      <c r="M128" s="16" t="n">
        <f aca="false">IF(ABS(M127-$B$11/$B$9*((MAX(0,MIN(1,M127))^2/(MAX(0,MIN(1,M127))^2+(1-MAX(0,MIN(1,M127)))^2/$B$5))-(MAX(0,MIN(1,1))^2/(MAX(0,MIN(1,1))^2+(1-MAX(0,MIN(1,1)))^2/$B$5))))&lt;0.000000001,0,M127-$B$11/$B$9*((MAX(0,MIN(1,M127))^2/(MAX(0,MIN(1,M127))^2+(1-MAX(0,MIN(1,M127)))^2/$B$5))-(MAX(0,MIN(1,1))^2/(MAX(0,MIN(1,1))^2+(1-MAX(0,MIN(1,1)))^2/$B$5))))</f>
        <v>0.966421667062434</v>
      </c>
      <c r="N128" s="16" t="n">
        <f aca="false">IF(ABS(N127-$B$11/$B$9*((MAX(0,MIN(1,N127))^2/(MAX(0,MIN(1,N127))^2+(1-MAX(0,MIN(1,N127)))^2/$B$5))-(MAX(0,MIN(1,M127))^2/(MAX(0,MIN(1,M127))^2+(1-MAX(0,MIN(1,M127)))^2/$B$5))))&lt;0.000000001,0,N127-$B$11/$B$9*((MAX(0,MIN(1,N127))^2/(MAX(0,MIN(1,N127))^2+(1-MAX(0,MIN(1,N127)))^2/$B$5))-(MAX(0,MIN(1,M127))^2/(MAX(0,MIN(1,M127))^2+(1-MAX(0,MIN(1,M127)))^2/$B$5))))</f>
        <v>0.947948191325919</v>
      </c>
      <c r="O128" s="16" t="n">
        <f aca="false">IF(ABS(O127-$B$11/$B$9*((MAX(0,MIN(1,O127))^2/(MAX(0,MIN(1,O127))^2+(1-MAX(0,MIN(1,O127)))^2/$B$5))-(MAX(0,MIN(1,N127))^2/(MAX(0,MIN(1,N127))^2+(1-MAX(0,MIN(1,N127)))^2/$B$5))))&lt;0.000000001,0,O127-$B$11/$B$9*((MAX(0,MIN(1,O127))^2/(MAX(0,MIN(1,O127))^2+(1-MAX(0,MIN(1,O127)))^2/$B$5))-(MAX(0,MIN(1,N127))^2/(MAX(0,MIN(1,N127))^2+(1-MAX(0,MIN(1,N127)))^2/$B$5))))</f>
        <v>0.932107761031187</v>
      </c>
      <c r="P128" s="16" t="n">
        <f aca="false">IF(ABS(P127-$B$11/$B$9*((MAX(0,MIN(1,P127))^2/(MAX(0,MIN(1,P127))^2+(1-MAX(0,MIN(1,P127)))^2/$B$5))-(MAX(0,MIN(1,O127))^2/(MAX(0,MIN(1,O127))^2+(1-MAX(0,MIN(1,O127)))^2/$B$5))))&lt;0.000000001,0,P127-$B$11/$B$9*((MAX(0,MIN(1,P127))^2/(MAX(0,MIN(1,P127))^2+(1-MAX(0,MIN(1,P127)))^2/$B$5))-(MAX(0,MIN(1,O127))^2/(MAX(0,MIN(1,O127))^2+(1-MAX(0,MIN(1,O127)))^2/$B$5))))</f>
        <v>0.917871620254485</v>
      </c>
      <c r="Q128" s="16" t="n">
        <f aca="false">IF(ABS(Q127-$B$11/$B$9*((MAX(0,MIN(1,Q127))^2/(MAX(0,MIN(1,Q127))^2+(1-MAX(0,MIN(1,Q127)))^2/$B$5))-(MAX(0,MIN(1,P127))^2/(MAX(0,MIN(1,P127))^2+(1-MAX(0,MIN(1,P127)))^2/$B$5))))&lt;0.000000001,0,Q127-$B$11/$B$9*((MAX(0,MIN(1,Q127))^2/(MAX(0,MIN(1,Q127))^2+(1-MAX(0,MIN(1,Q127)))^2/$B$5))-(MAX(0,MIN(1,P127))^2/(MAX(0,MIN(1,P127))^2+(1-MAX(0,MIN(1,P127)))^2/$B$5))))</f>
        <v>0.904813209794702</v>
      </c>
      <c r="R128" s="16" t="n">
        <f aca="false">IF(ABS(R127-$B$11/$B$9*((MAX(0,MIN(1,R127))^2/(MAX(0,MIN(1,R127))^2+(1-MAX(0,MIN(1,R127)))^2/$B$5))-(MAX(0,MIN(1,Q127))^2/(MAX(0,MIN(1,Q127))^2+(1-MAX(0,MIN(1,Q127)))^2/$B$5))))&lt;0.000000001,0,R127-$B$11/$B$9*((MAX(0,MIN(1,R127))^2/(MAX(0,MIN(1,R127))^2+(1-MAX(0,MIN(1,R127)))^2/$B$5))-(MAX(0,MIN(1,Q127))^2/(MAX(0,MIN(1,Q127))^2+(1-MAX(0,MIN(1,Q127)))^2/$B$5))))</f>
        <v>0.89269036413878</v>
      </c>
      <c r="S128" s="16" t="n">
        <f aca="false">IF(ABS(S127-$B$11/$B$9*((MAX(0,MIN(1,S127))^2/(MAX(0,MIN(1,S127))^2+(1-MAX(0,MIN(1,S127)))^2/$B$5))-(MAX(0,MIN(1,R127))^2/(MAX(0,MIN(1,R127))^2+(1-MAX(0,MIN(1,R127)))^2/$B$5))))&lt;0.000000001,0,S127-$B$11/$B$9*((MAX(0,MIN(1,S127))^2/(MAX(0,MIN(1,S127))^2+(1-MAX(0,MIN(1,S127)))^2/$B$5))-(MAX(0,MIN(1,R127))^2/(MAX(0,MIN(1,R127))^2+(1-MAX(0,MIN(1,R127)))^2/$B$5))))</f>
        <v>0.881342979540005</v>
      </c>
      <c r="T128" s="16" t="n">
        <f aca="false">IF(ABS(T127-$B$11/$B$9*((MAX(0,MIN(1,T127))^2/(MAX(0,MIN(1,T127))^2+(1-MAX(0,MIN(1,T127)))^2/$B$5))-(MAX(0,MIN(1,S127))^2/(MAX(0,MIN(1,S127))^2+(1-MAX(0,MIN(1,S127)))^2/$B$5))))&lt;0.000000001,0,T127-$B$11/$B$9*((MAX(0,MIN(1,T127))^2/(MAX(0,MIN(1,T127))^2+(1-MAX(0,MIN(1,T127)))^2/$B$5))-(MAX(0,MIN(1,S127))^2/(MAX(0,MIN(1,S127))^2+(1-MAX(0,MIN(1,S127)))^2/$B$5))))</f>
        <v>0.870655556773248</v>
      </c>
      <c r="U128" s="16" t="n">
        <f aca="false">IF(ABS(U127-$B$11/$B$9*((MAX(0,MIN(1,U127))^2/(MAX(0,MIN(1,U127))^2+(1-MAX(0,MIN(1,U127)))^2/$B$5))-(MAX(0,MIN(1,T127))^2/(MAX(0,MIN(1,T127))^2+(1-MAX(0,MIN(1,T127)))^2/$B$5))))&lt;0.000000001,0,U127-$B$11/$B$9*((MAX(0,MIN(1,U127))^2/(MAX(0,MIN(1,U127))^2+(1-MAX(0,MIN(1,U127)))^2/$B$5))-(MAX(0,MIN(1,T127))^2/(MAX(0,MIN(1,T127))^2+(1-MAX(0,MIN(1,T127)))^2/$B$5))))</f>
        <v>0.860540051659836</v>
      </c>
      <c r="V128" s="16" t="n">
        <f aca="false">IF(ABS(V127-$B$11/$B$9*((MAX(0,MIN(1,V127))^2/(MAX(0,MIN(1,V127))^2+(1-MAX(0,MIN(1,V127)))^2/$B$5))-(MAX(0,MIN(1,U127))^2/(MAX(0,MIN(1,U127))^2+(1-MAX(0,MIN(1,U127)))^2/$B$5))))&lt;0.000000001,0,V127-$B$11/$B$9*((MAX(0,MIN(1,V127))^2/(MAX(0,MIN(1,V127))^2+(1-MAX(0,MIN(1,V127)))^2/$B$5))-(MAX(0,MIN(1,U127))^2/(MAX(0,MIN(1,U127))^2+(1-MAX(0,MIN(1,U127)))^2/$B$5))))</f>
        <v>0.850926786532342</v>
      </c>
      <c r="W128" s="16" t="n">
        <f aca="false">IF(ABS(W127-$B$11/$B$9*((MAX(0,MIN(1,W127))^2/(MAX(0,MIN(1,W127))^2+(1-MAX(0,MIN(1,W127)))^2/$B$5))-(MAX(0,MIN(1,V127))^2/(MAX(0,MIN(1,V127))^2+(1-MAX(0,MIN(1,V127)))^2/$B$5))))&lt;0.000000001,0,W127-$B$11/$B$9*((MAX(0,MIN(1,W127))^2/(MAX(0,MIN(1,W127))^2+(1-MAX(0,MIN(1,W127)))^2/$B$5))-(MAX(0,MIN(1,V127))^2/(MAX(0,MIN(1,V127))^2+(1-MAX(0,MIN(1,V127)))^2/$B$5))))</f>
        <v>0.841759111273265</v>
      </c>
      <c r="X128" s="16" t="n">
        <f aca="false">IF(ABS(X127-$B$11/$B$9*((MAX(0,MIN(1,X127))^2/(MAX(0,MIN(1,X127))^2+(1-MAX(0,MIN(1,X127)))^2/$B$5))-(MAX(0,MIN(1,W127))^2/(MAX(0,MIN(1,W127))^2+(1-MAX(0,MIN(1,W127)))^2/$B$5))))&lt;0.000000001,0,X127-$B$11/$B$9*((MAX(0,MIN(1,X127))^2/(MAX(0,MIN(1,X127))^2+(1-MAX(0,MIN(1,X127)))^2/$B$5))-(MAX(0,MIN(1,W127))^2/(MAX(0,MIN(1,W127))^2+(1-MAX(0,MIN(1,W127)))^2/$B$5))))</f>
        <v>0.832990020476925</v>
      </c>
      <c r="Y128" s="16" t="n">
        <f aca="false">IF(ABS(Y127-$B$11/$B$9*((MAX(0,MIN(1,Y127))^2/(MAX(0,MIN(1,Y127))^2+(1-MAX(0,MIN(1,Y127)))^2/$B$5))-(MAX(0,MIN(1,X127))^2/(MAX(0,MIN(1,X127))^2+(1-MAX(0,MIN(1,X127)))^2/$B$5))))&lt;0.000000001,0,Y127-$B$11/$B$9*((MAX(0,MIN(1,Y127))^2/(MAX(0,MIN(1,Y127))^2+(1-MAX(0,MIN(1,Y127)))^2/$B$5))-(MAX(0,MIN(1,X127))^2/(MAX(0,MIN(1,X127))^2+(1-MAX(0,MIN(1,X127)))^2/$B$5))))</f>
        <v>0.824579883683405</v>
      </c>
      <c r="Z128" s="16" t="n">
        <f aca="false">IF(ABS(Z127-$B$11/$B$9*((MAX(0,MIN(1,Z127))^2/(MAX(0,MIN(1,Z127))^2+(1-MAX(0,MIN(1,Z127)))^2/$B$5))-(MAX(0,MIN(1,Y127))^2/(MAX(0,MIN(1,Y127))^2+(1-MAX(0,MIN(1,Y127)))^2/$B$5))))&lt;0.000000001,0,Z127-$B$11/$B$9*((MAX(0,MIN(1,Z127))^2/(MAX(0,MIN(1,Z127))^2+(1-MAX(0,MIN(1,Z127)))^2/$B$5))-(MAX(0,MIN(1,Y127))^2/(MAX(0,MIN(1,Y127))^2+(1-MAX(0,MIN(1,Y127)))^2/$B$5))))</f>
        <v>0.816494853307523</v>
      </c>
      <c r="AA128" s="16" t="n">
        <f aca="false">IF(ABS(AA127-$B$11/$B$9*((MAX(0,MIN(1,AA127))^2/(MAX(0,MIN(1,AA127))^2+(1-MAX(0,MIN(1,AA127)))^2/$B$5))-(MAX(0,MIN(1,Z127))^2/(MAX(0,MIN(1,Z127))^2+(1-MAX(0,MIN(1,Z127)))^2/$B$5))))&lt;0.000000001,0,AA127-$B$11/$B$9*((MAX(0,MIN(1,AA127))^2/(MAX(0,MIN(1,AA127))^2+(1-MAX(0,MIN(1,AA127)))^2/$B$5))-(MAX(0,MIN(1,Z127))^2/(MAX(0,MIN(1,Z127))^2+(1-MAX(0,MIN(1,Z127)))^2/$B$5))))</f>
        <v>0.80870570798741</v>
      </c>
      <c r="AB128" s="16" t="n">
        <f aca="false">IF(ABS(AB127-$B$11/$B$9*((MAX(0,MIN(1,AB127))^2/(MAX(0,MIN(1,AB127))^2+(1-MAX(0,MIN(1,AB127)))^2/$B$5))-(MAX(0,MIN(1,AA127))^2/(MAX(0,MIN(1,AA127))^2+(1-MAX(0,MIN(1,AA127)))^2/$B$5))))&lt;0.000000001,0,AB127-$B$11/$B$9*((MAX(0,MIN(1,AB127))^2/(MAX(0,MIN(1,AB127))^2+(1-MAX(0,MIN(1,AB127)))^2/$B$5))-(MAX(0,MIN(1,AA127))^2/(MAX(0,MIN(1,AA127))^2+(1-MAX(0,MIN(1,AA127)))^2/$B$5))))</f>
        <v>0.801186988113366</v>
      </c>
      <c r="AC128" s="16" t="n">
        <f aca="false">IF(ABS(AC127-$B$11/$B$9*((MAX(0,MIN(1,AC127))^2/(MAX(0,MIN(1,AC127))^2+(1-MAX(0,MIN(1,AC127)))^2/$B$5))-(MAX(0,MIN(1,AB127))^2/(MAX(0,MIN(1,AB127))^2+(1-MAX(0,MIN(1,AB127)))^2/$B$5))))&lt;0.000000001,0,AC127-$B$11/$B$9*((MAX(0,MIN(1,AC127))^2/(MAX(0,MIN(1,AC127))^2+(1-MAX(0,MIN(1,AC127)))^2/$B$5))-(MAX(0,MIN(1,AB127))^2/(MAX(0,MIN(1,AB127))^2+(1-MAX(0,MIN(1,AB127)))^2/$B$5))))</f>
        <v>0.793916334516183</v>
      </c>
      <c r="AD128" s="16" t="n">
        <f aca="false">IF(ABS(AD127-$B$11/$B$9*((MAX(0,MIN(1,AD127))^2/(MAX(0,MIN(1,AD127))^2+(1-MAX(0,MIN(1,AD127)))^2/$B$5))-(MAX(0,MIN(1,AC127))^2/(MAX(0,MIN(1,AC127))^2+(1-MAX(0,MIN(1,AC127)))^2/$B$5))))&lt;0.000000001,0,AD127-$B$11/$B$9*((MAX(0,MIN(1,AD127))^2/(MAX(0,MIN(1,AD127))^2+(1-MAX(0,MIN(1,AD127)))^2/$B$5))-(MAX(0,MIN(1,AC127))^2/(MAX(0,MIN(1,AC127))^2+(1-MAX(0,MIN(1,AC127)))^2/$B$5))))</f>
        <v>0.786873972637943</v>
      </c>
      <c r="AE128" s="16" t="n">
        <f aca="false">IF(ABS(AE127-$B$11/$B$9*((MAX(0,MIN(1,AE127))^2/(MAX(0,MIN(1,AE127))^2+(1-MAX(0,MIN(1,AE127)))^2/$B$5))-(MAX(0,MIN(1,AD127))^2/(MAX(0,MIN(1,AD127))^2+(1-MAX(0,MIN(1,AD127)))^2/$B$5))))&lt;0.000000001,0,AE127-$B$11/$B$9*((MAX(0,MIN(1,AE127))^2/(MAX(0,MIN(1,AE127))^2+(1-MAX(0,MIN(1,AE127)))^2/$B$5))-(MAX(0,MIN(1,AD127))^2/(MAX(0,MIN(1,AD127))^2+(1-MAX(0,MIN(1,AD127)))^2/$B$5))))</f>
        <v>0.780042303481181</v>
      </c>
      <c r="AF128" s="16" t="n">
        <f aca="false">IF(ABS(AF127-$B$11/$B$9*((MAX(0,MIN(1,AF127))^2/(MAX(0,MIN(1,AF127))^2+(1-MAX(0,MIN(1,AF127)))^2/$B$5))-(MAX(0,MIN(1,AE127))^2/(MAX(0,MIN(1,AE127))^2+(1-MAX(0,MIN(1,AE127)))^2/$B$5))))&lt;0.000000001,0,AF127-$B$11/$B$9*((MAX(0,MIN(1,AF127))^2/(MAX(0,MIN(1,AF127))^2+(1-MAX(0,MIN(1,AF127)))^2/$B$5))-(MAX(0,MIN(1,AE127))^2/(MAX(0,MIN(1,AE127))^2+(1-MAX(0,MIN(1,AE127)))^2/$B$5))))</f>
        <v>0.773405574576226</v>
      </c>
    </row>
    <row r="129" customFormat="false" ht="15" hidden="false" customHeight="false" outlineLevel="0" collapsed="false">
      <c r="L129" s="0" t="n">
        <v>119</v>
      </c>
      <c r="M129" s="16" t="n">
        <f aca="false">IF(ABS(M128-$B$11/$B$9*((MAX(0,MIN(1,M128))^2/(MAX(0,MIN(1,M128))^2+(1-MAX(0,MIN(1,M128)))^2/$B$5))-(MAX(0,MIN(1,1))^2/(MAX(0,MIN(1,1))^2+(1-MAX(0,MIN(1,1)))^2/$B$5))))&lt;0.000000001,0,M128-$B$11/$B$9*((MAX(0,MIN(1,M128))^2/(MAX(0,MIN(1,M128))^2+(1-MAX(0,MIN(1,M128)))^2/$B$5))-(MAX(0,MIN(1,1))^2/(MAX(0,MIN(1,1))^2+(1-MAX(0,MIN(1,1)))^2/$B$5))))</f>
        <v>0.966653633246155</v>
      </c>
      <c r="N129" s="16" t="n">
        <f aca="false">IF(ABS(N128-$B$11/$B$9*((MAX(0,MIN(1,N128))^2/(MAX(0,MIN(1,N128))^2+(1-MAX(0,MIN(1,N128)))^2/$B$5))-(MAX(0,MIN(1,M128))^2/(MAX(0,MIN(1,M128))^2+(1-MAX(0,MIN(1,M128)))^2/$B$5))))&lt;0.000000001,0,N128-$B$11/$B$9*((MAX(0,MIN(1,N128))^2/(MAX(0,MIN(1,N128))^2+(1-MAX(0,MIN(1,N128)))^2/$B$5))-(MAX(0,MIN(1,M128))^2/(MAX(0,MIN(1,M128))^2+(1-MAX(0,MIN(1,M128)))^2/$B$5))))</f>
        <v>0.948295053784116</v>
      </c>
      <c r="O129" s="16" t="n">
        <f aca="false">IF(ABS(O128-$B$11/$B$9*((MAX(0,MIN(1,O128))^2/(MAX(0,MIN(1,O128))^2+(1-MAX(0,MIN(1,O128)))^2/$B$5))-(MAX(0,MIN(1,N128))^2/(MAX(0,MIN(1,N128))^2+(1-MAX(0,MIN(1,N128)))^2/$B$5))))&lt;0.000000001,0,O128-$B$11/$B$9*((MAX(0,MIN(1,O128))^2/(MAX(0,MIN(1,O128))^2+(1-MAX(0,MIN(1,O128)))^2/$B$5))-(MAX(0,MIN(1,N128))^2/(MAX(0,MIN(1,N128))^2+(1-MAX(0,MIN(1,N128)))^2/$B$5))))</f>
        <v>0.932546256435806</v>
      </c>
      <c r="P129" s="16" t="n">
        <f aca="false">IF(ABS(P128-$B$11/$B$9*((MAX(0,MIN(1,P128))^2/(MAX(0,MIN(1,P128))^2+(1-MAX(0,MIN(1,P128)))^2/$B$5))-(MAX(0,MIN(1,O128))^2/(MAX(0,MIN(1,O128))^2+(1-MAX(0,MIN(1,O128)))^2/$B$5))))&lt;0.000000001,0,P128-$B$11/$B$9*((MAX(0,MIN(1,P128))^2/(MAX(0,MIN(1,P128))^2+(1-MAX(0,MIN(1,P128)))^2/$B$5))-(MAX(0,MIN(1,O128))^2/(MAX(0,MIN(1,O128))^2+(1-MAX(0,MIN(1,O128)))^2/$B$5))))</f>
        <v>0.918387462929348</v>
      </c>
      <c r="Q129" s="16" t="n">
        <f aca="false">IF(ABS(Q128-$B$11/$B$9*((MAX(0,MIN(1,Q128))^2/(MAX(0,MIN(1,Q128))^2+(1-MAX(0,MIN(1,Q128)))^2/$B$5))-(MAX(0,MIN(1,P128))^2/(MAX(0,MIN(1,P128))^2+(1-MAX(0,MIN(1,P128)))^2/$B$5))))&lt;0.000000001,0,Q128-$B$11/$B$9*((MAX(0,MIN(1,Q128))^2/(MAX(0,MIN(1,Q128))^2+(1-MAX(0,MIN(1,Q128)))^2/$B$5))-(MAX(0,MIN(1,P128))^2/(MAX(0,MIN(1,P128))^2+(1-MAX(0,MIN(1,P128)))^2/$B$5))))</f>
        <v>0.905396165166893</v>
      </c>
      <c r="R129" s="16" t="n">
        <f aca="false">IF(ABS(R128-$B$11/$B$9*((MAX(0,MIN(1,R128))^2/(MAX(0,MIN(1,R128))^2+(1-MAX(0,MIN(1,R128)))^2/$B$5))-(MAX(0,MIN(1,Q128))^2/(MAX(0,MIN(1,Q128))^2+(1-MAX(0,MIN(1,Q128)))^2/$B$5))))&lt;0.000000001,0,R128-$B$11/$B$9*((MAX(0,MIN(1,R128))^2/(MAX(0,MIN(1,R128))^2+(1-MAX(0,MIN(1,R128)))^2/$B$5))-(MAX(0,MIN(1,Q128))^2/(MAX(0,MIN(1,Q128))^2+(1-MAX(0,MIN(1,Q128)))^2/$B$5))))</f>
        <v>0.893332602333465</v>
      </c>
      <c r="S129" s="16" t="n">
        <f aca="false">IF(ABS(S128-$B$11/$B$9*((MAX(0,MIN(1,S128))^2/(MAX(0,MIN(1,S128))^2+(1-MAX(0,MIN(1,S128)))^2/$B$5))-(MAX(0,MIN(1,R128))^2/(MAX(0,MIN(1,R128))^2+(1-MAX(0,MIN(1,R128)))^2/$B$5))))&lt;0.000000001,0,S128-$B$11/$B$9*((MAX(0,MIN(1,S128))^2/(MAX(0,MIN(1,S128))^2+(1-MAX(0,MIN(1,S128)))^2/$B$5))-(MAX(0,MIN(1,R128))^2/(MAX(0,MIN(1,R128))^2+(1-MAX(0,MIN(1,R128)))^2/$B$5))))</f>
        <v>0.882038286867736</v>
      </c>
      <c r="T129" s="16" t="n">
        <f aca="false">IF(ABS(T128-$B$11/$B$9*((MAX(0,MIN(1,T128))^2/(MAX(0,MIN(1,T128))^2+(1-MAX(0,MIN(1,T128)))^2/$B$5))-(MAX(0,MIN(1,S128))^2/(MAX(0,MIN(1,S128))^2+(1-MAX(0,MIN(1,S128)))^2/$B$5))))&lt;0.000000001,0,T128-$B$11/$B$9*((MAX(0,MIN(1,T128))^2/(MAX(0,MIN(1,T128))^2+(1-MAX(0,MIN(1,T128)))^2/$B$5))-(MAX(0,MIN(1,S128))^2/(MAX(0,MIN(1,S128))^2+(1-MAX(0,MIN(1,S128)))^2/$B$5))))</f>
        <v>0.871398883660632</v>
      </c>
      <c r="U129" s="16" t="n">
        <f aca="false">IF(ABS(U128-$B$11/$B$9*((MAX(0,MIN(1,U128))^2/(MAX(0,MIN(1,U128))^2+(1-MAX(0,MIN(1,U128)))^2/$B$5))-(MAX(0,MIN(1,T128))^2/(MAX(0,MIN(1,T128))^2+(1-MAX(0,MIN(1,T128)))^2/$B$5))))&lt;0.000000001,0,U128-$B$11/$B$9*((MAX(0,MIN(1,U128))^2/(MAX(0,MIN(1,U128))^2+(1-MAX(0,MIN(1,U128)))^2/$B$5))-(MAX(0,MIN(1,T128))^2/(MAX(0,MIN(1,T128))^2+(1-MAX(0,MIN(1,T128)))^2/$B$5))))</f>
        <v>0.86132722477962</v>
      </c>
      <c r="V129" s="16" t="n">
        <f aca="false">IF(ABS(V128-$B$11/$B$9*((MAX(0,MIN(1,V128))^2/(MAX(0,MIN(1,V128))^2+(1-MAX(0,MIN(1,V128)))^2/$B$5))-(MAX(0,MIN(1,U128))^2/(MAX(0,MIN(1,U128))^2+(1-MAX(0,MIN(1,U128)))^2/$B$5))))&lt;0.000000001,0,V128-$B$11/$B$9*((MAX(0,MIN(1,V128))^2/(MAX(0,MIN(1,V128))^2+(1-MAX(0,MIN(1,V128)))^2/$B$5))-(MAX(0,MIN(1,U128))^2/(MAX(0,MIN(1,U128))^2+(1-MAX(0,MIN(1,U128)))^2/$B$5))))</f>
        <v>0.851754312745882</v>
      </c>
      <c r="W129" s="16" t="n">
        <f aca="false">IF(ABS(W128-$B$11/$B$9*((MAX(0,MIN(1,W128))^2/(MAX(0,MIN(1,W128))^2+(1-MAX(0,MIN(1,W128)))^2/$B$5))-(MAX(0,MIN(1,V128))^2/(MAX(0,MIN(1,V128))^2+(1-MAX(0,MIN(1,V128)))^2/$B$5))))&lt;0.000000001,0,W128-$B$11/$B$9*((MAX(0,MIN(1,W128))^2/(MAX(0,MIN(1,W128))^2+(1-MAX(0,MIN(1,W128)))^2/$B$5))-(MAX(0,MIN(1,V128))^2/(MAX(0,MIN(1,V128))^2+(1-MAX(0,MIN(1,V128)))^2/$B$5))))</f>
        <v>0.842624037794294</v>
      </c>
      <c r="X129" s="16" t="n">
        <f aca="false">IF(ABS(X128-$B$11/$B$9*((MAX(0,MIN(1,X128))^2/(MAX(0,MIN(1,X128))^2+(1-MAX(0,MIN(1,X128)))^2/$B$5))-(MAX(0,MIN(1,W128))^2/(MAX(0,MIN(1,W128))^2+(1-MAX(0,MIN(1,W128)))^2/$B$5))))&lt;0.000000001,0,X128-$B$11/$B$9*((MAX(0,MIN(1,X128))^2/(MAX(0,MIN(1,X128))^2+(1-MAX(0,MIN(1,X128)))^2/$B$5))-(MAX(0,MIN(1,W128))^2/(MAX(0,MIN(1,W128))^2+(1-MAX(0,MIN(1,W128)))^2/$B$5))))</f>
        <v>0.833889831735709</v>
      </c>
      <c r="Y129" s="16" t="n">
        <f aca="false">IF(ABS(Y128-$B$11/$B$9*((MAX(0,MIN(1,Y128))^2/(MAX(0,MIN(1,Y128))^2+(1-MAX(0,MIN(1,Y128)))^2/$B$5))-(MAX(0,MIN(1,X128))^2/(MAX(0,MIN(1,X128))^2+(1-MAX(0,MIN(1,X128)))^2/$B$5))))&lt;0.000000001,0,Y128-$B$11/$B$9*((MAX(0,MIN(1,Y128))^2/(MAX(0,MIN(1,Y128))^2+(1-MAX(0,MIN(1,Y128)))^2/$B$5))-(MAX(0,MIN(1,X128))^2/(MAX(0,MIN(1,X128))^2+(1-MAX(0,MIN(1,X128)))^2/$B$5))))</f>
        <v>0.825512423301011</v>
      </c>
      <c r="Z129" s="16" t="n">
        <f aca="false">IF(ABS(Z128-$B$11/$B$9*((MAX(0,MIN(1,Z128))^2/(MAX(0,MIN(1,Z128))^2+(1-MAX(0,MIN(1,Z128)))^2/$B$5))-(MAX(0,MIN(1,Y128))^2/(MAX(0,MIN(1,Y128))^2+(1-MAX(0,MIN(1,Y128)))^2/$B$5))))&lt;0.000000001,0,Z128-$B$11/$B$9*((MAX(0,MIN(1,Z128))^2/(MAX(0,MIN(1,Z128))^2+(1-MAX(0,MIN(1,Z128)))^2/$B$5))-(MAX(0,MIN(1,Y128))^2/(MAX(0,MIN(1,Y128))^2+(1-MAX(0,MIN(1,Y128)))^2/$B$5))))</f>
        <v>0.817458263878324</v>
      </c>
      <c r="AA129" s="16" t="n">
        <f aca="false">IF(ABS(AA128-$B$11/$B$9*((MAX(0,MIN(1,AA128))^2/(MAX(0,MIN(1,AA128))^2+(1-MAX(0,MIN(1,AA128)))^2/$B$5))-(MAX(0,MIN(1,Z128))^2/(MAX(0,MIN(1,Z128))^2+(1-MAX(0,MIN(1,Z128)))^2/$B$5))))&lt;0.000000001,0,AA128-$B$11/$B$9*((MAX(0,MIN(1,AA128))^2/(MAX(0,MIN(1,AA128))^2+(1-MAX(0,MIN(1,AA128)))^2/$B$5))-(MAX(0,MIN(1,Z128))^2/(MAX(0,MIN(1,Z128))^2+(1-MAX(0,MIN(1,Z128)))^2/$B$5))))</f>
        <v>0.809698383855402</v>
      </c>
      <c r="AB129" s="16" t="n">
        <f aca="false">IF(ABS(AB128-$B$11/$B$9*((MAX(0,MIN(1,AB128))^2/(MAX(0,MIN(1,AB128))^2+(1-MAX(0,MIN(1,AB128)))^2/$B$5))-(MAX(0,MIN(1,AA128))^2/(MAX(0,MIN(1,AA128))^2+(1-MAX(0,MIN(1,AA128)))^2/$B$5))))&lt;0.000000001,0,AB128-$B$11/$B$9*((MAX(0,MIN(1,AB128))^2/(MAX(0,MIN(1,AB128))^2+(1-MAX(0,MIN(1,AB128)))^2/$B$5))-(MAX(0,MIN(1,AA128))^2/(MAX(0,MIN(1,AA128))^2+(1-MAX(0,MIN(1,AA128)))^2/$B$5))))</f>
        <v>0.802207537852456</v>
      </c>
      <c r="AC129" s="16" t="n">
        <f aca="false">IF(ABS(AC128-$B$11/$B$9*((MAX(0,MIN(1,AC128))^2/(MAX(0,MIN(1,AC128))^2+(1-MAX(0,MIN(1,AC128)))^2/$B$5))-(MAX(0,MIN(1,AB128))^2/(MAX(0,MIN(1,AB128))^2+(1-MAX(0,MIN(1,AB128)))^2/$B$5))))&lt;0.000000001,0,AC128-$B$11/$B$9*((MAX(0,MIN(1,AC128))^2/(MAX(0,MIN(1,AC128))^2+(1-MAX(0,MIN(1,AC128)))^2/$B$5))-(MAX(0,MIN(1,AB128))^2/(MAX(0,MIN(1,AB128))^2+(1-MAX(0,MIN(1,AB128)))^2/$B$5))))</f>
        <v>0.794963550801168</v>
      </c>
      <c r="AD129" s="16" t="n">
        <f aca="false">IF(ABS(AD128-$B$11/$B$9*((MAX(0,MIN(1,AD128))^2/(MAX(0,MIN(1,AD128))^2+(1-MAX(0,MIN(1,AD128)))^2/$B$5))-(MAX(0,MIN(1,AC128))^2/(MAX(0,MIN(1,AC128))^2+(1-MAX(0,MIN(1,AC128)))^2/$B$5))))&lt;0.000000001,0,AD128-$B$11/$B$9*((MAX(0,MIN(1,AD128))^2/(MAX(0,MIN(1,AD128))^2+(1-MAX(0,MIN(1,AD128)))^2/$B$5))-(MAX(0,MIN(1,AC128))^2/(MAX(0,MIN(1,AC128))^2+(1-MAX(0,MIN(1,AC128)))^2/$B$5))))</f>
        <v>0.787946807841314</v>
      </c>
      <c r="AE129" s="16" t="n">
        <f aca="false">IF(ABS(AE128-$B$11/$B$9*((MAX(0,MIN(1,AE128))^2/(MAX(0,MIN(1,AE128))^2+(1-MAX(0,MIN(1,AE128)))^2/$B$5))-(MAX(0,MIN(1,AD128))^2/(MAX(0,MIN(1,AD128))^2+(1-MAX(0,MIN(1,AD128)))^2/$B$5))))&lt;0.000000001,0,AE128-$B$11/$B$9*((MAX(0,MIN(1,AE128))^2/(MAX(0,MIN(1,AE128))^2+(1-MAX(0,MIN(1,AE128)))^2/$B$5))-(MAX(0,MIN(1,AD128))^2/(MAX(0,MIN(1,AD128))^2+(1-MAX(0,MIN(1,AD128)))^2/$B$5))))</f>
        <v>0.781139849774684</v>
      </c>
      <c r="AF129" s="16" t="n">
        <f aca="false">IF(ABS(AF128-$B$11/$B$9*((MAX(0,MIN(1,AF128))^2/(MAX(0,MIN(1,AF128))^2+(1-MAX(0,MIN(1,AF128)))^2/$B$5))-(MAX(0,MIN(1,AE128))^2/(MAX(0,MIN(1,AE128))^2+(1-MAX(0,MIN(1,AE128)))^2/$B$5))))&lt;0.000000001,0,AF128-$B$11/$B$9*((MAX(0,MIN(1,AF128))^2/(MAX(0,MIN(1,AF128))^2+(1-MAX(0,MIN(1,AF128)))^2/$B$5))-(MAX(0,MIN(1,AE128))^2/(MAX(0,MIN(1,AE128))^2+(1-MAX(0,MIN(1,AE128)))^2/$B$5))))</f>
        <v>0.774527047627635</v>
      </c>
    </row>
    <row r="130" customFormat="false" ht="15" hidden="false" customHeight="false" outlineLevel="0" collapsed="false">
      <c r="L130" s="0" t="n">
        <v>120</v>
      </c>
      <c r="M130" s="16" t="n">
        <f aca="false">IF(ABS(M129-$B$11/$B$9*((MAX(0,MIN(1,M129))^2/(MAX(0,MIN(1,M129))^2+(1-MAX(0,MIN(1,M129)))^2/$B$5))-(MAX(0,MIN(1,1))^2/(MAX(0,MIN(1,1))^2+(1-MAX(0,MIN(1,1)))^2/$B$5))))&lt;0.000000001,0,M129-$B$11/$B$9*((MAX(0,MIN(1,M129))^2/(MAX(0,MIN(1,M129))^2+(1-MAX(0,MIN(1,M129)))^2/$B$5))-(MAX(0,MIN(1,1))^2/(MAX(0,MIN(1,1))^2+(1-MAX(0,MIN(1,1)))^2/$B$5))))</f>
        <v>0.966882297739282</v>
      </c>
      <c r="N130" s="16" t="n">
        <f aca="false">IF(ABS(N129-$B$11/$B$9*((MAX(0,MIN(1,N129))^2/(MAX(0,MIN(1,N129))^2+(1-MAX(0,MIN(1,N129)))^2/$B$5))-(MAX(0,MIN(1,M129))^2/(MAX(0,MIN(1,M129))^2+(1-MAX(0,MIN(1,M129)))^2/$B$5))))&lt;0.000000001,0,N129-$B$11/$B$9*((MAX(0,MIN(1,N129))^2/(MAX(0,MIN(1,N129))^2+(1-MAX(0,MIN(1,N129)))^2/$B$5))-(MAX(0,MIN(1,M129))^2/(MAX(0,MIN(1,M129))^2+(1-MAX(0,MIN(1,M129)))^2/$B$5))))</f>
        <v>0.948637123539392</v>
      </c>
      <c r="O130" s="16" t="n">
        <f aca="false">IF(ABS(O129-$B$11/$B$9*((MAX(0,MIN(1,O129))^2/(MAX(0,MIN(1,O129))^2+(1-MAX(0,MIN(1,O129)))^2/$B$5))-(MAX(0,MIN(1,N129))^2/(MAX(0,MIN(1,N129))^2+(1-MAX(0,MIN(1,N129)))^2/$B$5))))&lt;0.000000001,0,O129-$B$11/$B$9*((MAX(0,MIN(1,O129))^2/(MAX(0,MIN(1,O129))^2+(1-MAX(0,MIN(1,O129)))^2/$B$5))-(MAX(0,MIN(1,N129))^2/(MAX(0,MIN(1,N129))^2+(1-MAX(0,MIN(1,N129)))^2/$B$5))))</f>
        <v>0.932978839958804</v>
      </c>
      <c r="P130" s="16" t="n">
        <f aca="false">IF(ABS(P129-$B$11/$B$9*((MAX(0,MIN(1,P129))^2/(MAX(0,MIN(1,P129))^2+(1-MAX(0,MIN(1,P129)))^2/$B$5))-(MAX(0,MIN(1,O129))^2/(MAX(0,MIN(1,O129))^2+(1-MAX(0,MIN(1,O129)))^2/$B$5))))&lt;0.000000001,0,P129-$B$11/$B$9*((MAX(0,MIN(1,P129))^2/(MAX(0,MIN(1,P129))^2+(1-MAX(0,MIN(1,P129)))^2/$B$5))-(MAX(0,MIN(1,O129))^2/(MAX(0,MIN(1,O129))^2+(1-MAX(0,MIN(1,O129)))^2/$B$5))))</f>
        <v>0.918896494868033</v>
      </c>
      <c r="Q130" s="16" t="n">
        <f aca="false">IF(ABS(Q129-$B$11/$B$9*((MAX(0,MIN(1,Q129))^2/(MAX(0,MIN(1,Q129))^2+(1-MAX(0,MIN(1,Q129)))^2/$B$5))-(MAX(0,MIN(1,P129))^2/(MAX(0,MIN(1,P129))^2+(1-MAX(0,MIN(1,P129)))^2/$B$5))))&lt;0.000000001,0,Q129-$B$11/$B$9*((MAX(0,MIN(1,Q129))^2/(MAX(0,MIN(1,Q129))^2+(1-MAX(0,MIN(1,Q129)))^2/$B$5))-(MAX(0,MIN(1,P129))^2/(MAX(0,MIN(1,P129))^2+(1-MAX(0,MIN(1,P129)))^2/$B$5))))</f>
        <v>0.90597156129958</v>
      </c>
      <c r="R130" s="16" t="n">
        <f aca="false">IF(ABS(R129-$B$11/$B$9*((MAX(0,MIN(1,R129))^2/(MAX(0,MIN(1,R129))^2+(1-MAX(0,MIN(1,R129)))^2/$B$5))-(MAX(0,MIN(1,Q129))^2/(MAX(0,MIN(1,Q129))^2+(1-MAX(0,MIN(1,Q129)))^2/$B$5))))&lt;0.000000001,0,R129-$B$11/$B$9*((MAX(0,MIN(1,R129))^2/(MAX(0,MIN(1,R129))^2+(1-MAX(0,MIN(1,R129)))^2/$B$5))-(MAX(0,MIN(1,Q129))^2/(MAX(0,MIN(1,Q129))^2+(1-MAX(0,MIN(1,Q129)))^2/$B$5))))</f>
        <v>0.893966641888231</v>
      </c>
      <c r="S130" s="16" t="n">
        <f aca="false">IF(ABS(S129-$B$11/$B$9*((MAX(0,MIN(1,S129))^2/(MAX(0,MIN(1,S129))^2+(1-MAX(0,MIN(1,S129)))^2/$B$5))-(MAX(0,MIN(1,R129))^2/(MAX(0,MIN(1,R129))^2+(1-MAX(0,MIN(1,R129)))^2/$B$5))))&lt;0.000000001,0,S129-$B$11/$B$9*((MAX(0,MIN(1,S129))^2/(MAX(0,MIN(1,S129))^2+(1-MAX(0,MIN(1,S129)))^2/$B$5))-(MAX(0,MIN(1,R129))^2/(MAX(0,MIN(1,R129))^2+(1-MAX(0,MIN(1,R129)))^2/$B$5))))</f>
        <v>0.882724838131038</v>
      </c>
      <c r="T130" s="16" t="n">
        <f aca="false">IF(ABS(T129-$B$11/$B$9*((MAX(0,MIN(1,T129))^2/(MAX(0,MIN(1,T129))^2+(1-MAX(0,MIN(1,T129)))^2/$B$5))-(MAX(0,MIN(1,S129))^2/(MAX(0,MIN(1,S129))^2+(1-MAX(0,MIN(1,S129)))^2/$B$5))))&lt;0.000000001,0,T129-$B$11/$B$9*((MAX(0,MIN(1,T129))^2/(MAX(0,MIN(1,T129))^2+(1-MAX(0,MIN(1,T129)))^2/$B$5))-(MAX(0,MIN(1,S129))^2/(MAX(0,MIN(1,S129))^2+(1-MAX(0,MIN(1,S129)))^2/$B$5))))</f>
        <v>0.872132960044801</v>
      </c>
      <c r="U130" s="16" t="n">
        <f aca="false">IF(ABS(U129-$B$11/$B$9*((MAX(0,MIN(1,U129))^2/(MAX(0,MIN(1,U129))^2+(1-MAX(0,MIN(1,U129)))^2/$B$5))-(MAX(0,MIN(1,T129))^2/(MAX(0,MIN(1,T129))^2+(1-MAX(0,MIN(1,T129)))^2/$B$5))))&lt;0.000000001,0,U129-$B$11/$B$9*((MAX(0,MIN(1,U129))^2/(MAX(0,MIN(1,U129))^2+(1-MAX(0,MIN(1,U129)))^2/$B$5))-(MAX(0,MIN(1,T129))^2/(MAX(0,MIN(1,T129))^2+(1-MAX(0,MIN(1,T129)))^2/$B$5))))</f>
        <v>0.86210470208593</v>
      </c>
      <c r="V130" s="16" t="n">
        <f aca="false">IF(ABS(V129-$B$11/$B$9*((MAX(0,MIN(1,V129))^2/(MAX(0,MIN(1,V129))^2+(1-MAX(0,MIN(1,V129)))^2/$B$5))-(MAX(0,MIN(1,U129))^2/(MAX(0,MIN(1,U129))^2+(1-MAX(0,MIN(1,U129)))^2/$B$5))))&lt;0.000000001,0,V129-$B$11/$B$9*((MAX(0,MIN(1,V129))^2/(MAX(0,MIN(1,V129))^2+(1-MAX(0,MIN(1,V129)))^2/$B$5))-(MAX(0,MIN(1,U129))^2/(MAX(0,MIN(1,U129))^2+(1-MAX(0,MIN(1,U129)))^2/$B$5))))</f>
        <v>0.852571736537899</v>
      </c>
      <c r="W130" s="16" t="n">
        <f aca="false">IF(ABS(W129-$B$11/$B$9*((MAX(0,MIN(1,W129))^2/(MAX(0,MIN(1,W129))^2+(1-MAX(0,MIN(1,W129)))^2/$B$5))-(MAX(0,MIN(1,V129))^2/(MAX(0,MIN(1,V129))^2+(1-MAX(0,MIN(1,V129)))^2/$B$5))))&lt;0.000000001,0,W129-$B$11/$B$9*((MAX(0,MIN(1,W129))^2/(MAX(0,MIN(1,W129))^2+(1-MAX(0,MIN(1,W129)))^2/$B$5))-(MAX(0,MIN(1,V129))^2/(MAX(0,MIN(1,V129))^2+(1-MAX(0,MIN(1,V129)))^2/$B$5))))</f>
        <v>0.843478485948489</v>
      </c>
      <c r="X130" s="16" t="n">
        <f aca="false">IF(ABS(X129-$B$11/$B$9*((MAX(0,MIN(1,X129))^2/(MAX(0,MIN(1,X129))^2+(1-MAX(0,MIN(1,X129)))^2/$B$5))-(MAX(0,MIN(1,W129))^2/(MAX(0,MIN(1,W129))^2+(1-MAX(0,MIN(1,W129)))^2/$B$5))))&lt;0.000000001,0,X129-$B$11/$B$9*((MAX(0,MIN(1,X129))^2/(MAX(0,MIN(1,X129))^2+(1-MAX(0,MIN(1,X129)))^2/$B$5))-(MAX(0,MIN(1,W129))^2/(MAX(0,MIN(1,W129))^2+(1-MAX(0,MIN(1,W129)))^2/$B$5))))</f>
        <v>0.834778813015385</v>
      </c>
      <c r="Y130" s="16" t="n">
        <f aca="false">IF(ABS(Y129-$B$11/$B$9*((MAX(0,MIN(1,Y129))^2/(MAX(0,MIN(1,Y129))^2+(1-MAX(0,MIN(1,Y129)))^2/$B$5))-(MAX(0,MIN(1,X129))^2/(MAX(0,MIN(1,X129))^2+(1-MAX(0,MIN(1,X129)))^2/$B$5))))&lt;0.000000001,0,Y129-$B$11/$B$9*((MAX(0,MIN(1,Y129))^2/(MAX(0,MIN(1,Y129))^2+(1-MAX(0,MIN(1,Y129)))^2/$B$5))-(MAX(0,MIN(1,X129))^2/(MAX(0,MIN(1,X129))^2+(1-MAX(0,MIN(1,X129)))^2/$B$5))))</f>
        <v>0.826433800582705</v>
      </c>
      <c r="Z130" s="16" t="n">
        <f aca="false">IF(ABS(Z129-$B$11/$B$9*((MAX(0,MIN(1,Z129))^2/(MAX(0,MIN(1,Z129))^2+(1-MAX(0,MIN(1,Z129)))^2/$B$5))-(MAX(0,MIN(1,Y129))^2/(MAX(0,MIN(1,Y129))^2+(1-MAX(0,MIN(1,Y129)))^2/$B$5))))&lt;0.000000001,0,Z129-$B$11/$B$9*((MAX(0,MIN(1,Z129))^2/(MAX(0,MIN(1,Z129))^2+(1-MAX(0,MIN(1,Z129)))^2/$B$5))-(MAX(0,MIN(1,Y129))^2/(MAX(0,MIN(1,Y129))^2+(1-MAX(0,MIN(1,Y129)))^2/$B$5))))</f>
        <v>0.818410194866818</v>
      </c>
      <c r="AA130" s="16" t="n">
        <f aca="false">IF(ABS(AA129-$B$11/$B$9*((MAX(0,MIN(1,AA129))^2/(MAX(0,MIN(1,AA129))^2+(1-MAX(0,MIN(1,AA129)))^2/$B$5))-(MAX(0,MIN(1,Z129))^2/(MAX(0,MIN(1,Z129))^2+(1-MAX(0,MIN(1,Z129)))^2/$B$5))))&lt;0.000000001,0,AA129-$B$11/$B$9*((MAX(0,MIN(1,AA129))^2/(MAX(0,MIN(1,AA129))^2+(1-MAX(0,MIN(1,AA129)))^2/$B$5))-(MAX(0,MIN(1,Z129))^2/(MAX(0,MIN(1,Z129))^2+(1-MAX(0,MIN(1,Z129)))^2/$B$5))))</f>
        <v>0.810679274563206</v>
      </c>
      <c r="AB130" s="16" t="n">
        <f aca="false">IF(ABS(AB129-$B$11/$B$9*((MAX(0,MIN(1,AB129))^2/(MAX(0,MIN(1,AB129))^2+(1-MAX(0,MIN(1,AB129)))^2/$B$5))-(MAX(0,MIN(1,AA129))^2/(MAX(0,MIN(1,AA129))^2+(1-MAX(0,MIN(1,AA129)))^2/$B$5))))&lt;0.000000001,0,AB129-$B$11/$B$9*((MAX(0,MIN(1,AB129))^2/(MAX(0,MIN(1,AB129))^2+(1-MAX(0,MIN(1,AB129)))^2/$B$5))-(MAX(0,MIN(1,AA129))^2/(MAX(0,MIN(1,AA129))^2+(1-MAX(0,MIN(1,AA129)))^2/$B$5))))</f>
        <v>0.803216005614783</v>
      </c>
      <c r="AC130" s="16" t="n">
        <f aca="false">IF(ABS(AC129-$B$11/$B$9*((MAX(0,MIN(1,AC129))^2/(MAX(0,MIN(1,AC129))^2+(1-MAX(0,MIN(1,AC129)))^2/$B$5))-(MAX(0,MIN(1,AB129))^2/(MAX(0,MIN(1,AB129))^2+(1-MAX(0,MIN(1,AB129)))^2/$B$5))))&lt;0.000000001,0,AC129-$B$11/$B$9*((MAX(0,MIN(1,AC129))^2/(MAX(0,MIN(1,AC129))^2+(1-MAX(0,MIN(1,AC129)))^2/$B$5))-(MAX(0,MIN(1,AB129))^2/(MAX(0,MIN(1,AB129))^2+(1-MAX(0,MIN(1,AB129)))^2/$B$5))))</f>
        <v>0.795998394555059</v>
      </c>
      <c r="AD130" s="16" t="n">
        <f aca="false">IF(ABS(AD129-$B$11/$B$9*((MAX(0,MIN(1,AD129))^2/(MAX(0,MIN(1,AD129))^2+(1-MAX(0,MIN(1,AD129)))^2/$B$5))-(MAX(0,MIN(1,AC129))^2/(MAX(0,MIN(1,AC129))^2+(1-MAX(0,MIN(1,AC129)))^2/$B$5))))&lt;0.000000001,0,AD129-$B$11/$B$9*((MAX(0,MIN(1,AD129))^2/(MAX(0,MIN(1,AD129))^2+(1-MAX(0,MIN(1,AD129)))^2/$B$5))-(MAX(0,MIN(1,AC129))^2/(MAX(0,MIN(1,AC129))^2+(1-MAX(0,MIN(1,AC129)))^2/$B$5))))</f>
        <v>0.789006984033577</v>
      </c>
      <c r="AE130" s="16" t="n">
        <f aca="false">IF(ABS(AE129-$B$11/$B$9*((MAX(0,MIN(1,AE129))^2/(MAX(0,MIN(1,AE129))^2+(1-MAX(0,MIN(1,AE129)))^2/$B$5))-(MAX(0,MIN(1,AD129))^2/(MAX(0,MIN(1,AD129))^2+(1-MAX(0,MIN(1,AD129)))^2/$B$5))))&lt;0.000000001,0,AE129-$B$11/$B$9*((MAX(0,MIN(1,AE129))^2/(MAX(0,MIN(1,AE129))^2+(1-MAX(0,MIN(1,AE129)))^2/$B$5))-(MAX(0,MIN(1,AD129))^2/(MAX(0,MIN(1,AD129))^2+(1-MAX(0,MIN(1,AD129)))^2/$B$5))))</f>
        <v>0.782224452698477</v>
      </c>
      <c r="AF130" s="16" t="n">
        <f aca="false">IF(ABS(AF129-$B$11/$B$9*((MAX(0,MIN(1,AF129))^2/(MAX(0,MIN(1,AF129))^2+(1-MAX(0,MIN(1,AF129)))^2/$B$5))-(MAX(0,MIN(1,AE129))^2/(MAX(0,MIN(1,AE129))^2+(1-MAX(0,MIN(1,AE129)))^2/$B$5))))&lt;0.000000001,0,AF129-$B$11/$B$9*((MAX(0,MIN(1,AF129))^2/(MAX(0,MIN(1,AF129))^2+(1-MAX(0,MIN(1,AF129)))^2/$B$5))-(MAX(0,MIN(1,AE129))^2/(MAX(0,MIN(1,AE129))^2+(1-MAX(0,MIN(1,AE129)))^2/$B$5))))</f>
        <v>0.775635293293121</v>
      </c>
    </row>
    <row r="131" customFormat="false" ht="15" hidden="false" customHeight="false" outlineLevel="0" collapsed="false">
      <c r="L131" s="0" t="n">
        <v>121</v>
      </c>
      <c r="M131" s="16" t="n">
        <f aca="false">IF(ABS(M130-$B$11/$B$9*((MAX(0,MIN(1,M130))^2/(MAX(0,MIN(1,M130))^2+(1-MAX(0,MIN(1,M130)))^2/$B$5))-(MAX(0,MIN(1,1))^2/(MAX(0,MIN(1,1))^2+(1-MAX(0,MIN(1,1)))^2/$B$5))))&lt;0.000000001,0,M130-$B$11/$B$9*((MAX(0,MIN(1,M130))^2/(MAX(0,MIN(1,M130))^2+(1-MAX(0,MIN(1,M130)))^2/$B$5))-(MAX(0,MIN(1,1))^2/(MAX(0,MIN(1,1))^2+(1-MAX(0,MIN(1,1)))^2/$B$5))))</f>
        <v>0.967107732192607</v>
      </c>
      <c r="N131" s="16" t="n">
        <f aca="false">IF(ABS(N130-$B$11/$B$9*((MAX(0,MIN(1,N130))^2/(MAX(0,MIN(1,N130))^2+(1-MAX(0,MIN(1,N130)))^2/$B$5))-(MAX(0,MIN(1,M130))^2/(MAX(0,MIN(1,M130))^2+(1-MAX(0,MIN(1,M130)))^2/$B$5))))&lt;0.000000001,0,N130-$B$11/$B$9*((MAX(0,MIN(1,N130))^2/(MAX(0,MIN(1,N130))^2+(1-MAX(0,MIN(1,N130)))^2/$B$5))-(MAX(0,MIN(1,M130))^2/(MAX(0,MIN(1,M130))^2+(1-MAX(0,MIN(1,M130)))^2/$B$5))))</f>
        <v>0.948974502092984</v>
      </c>
      <c r="O131" s="16" t="n">
        <f aca="false">IF(ABS(O130-$B$11/$B$9*((MAX(0,MIN(1,O130))^2/(MAX(0,MIN(1,O130))^2+(1-MAX(0,MIN(1,O130)))^2/$B$5))-(MAX(0,MIN(1,N130))^2/(MAX(0,MIN(1,N130))^2+(1-MAX(0,MIN(1,N130)))^2/$B$5))))&lt;0.000000001,0,O130-$B$11/$B$9*((MAX(0,MIN(1,O130))^2/(MAX(0,MIN(1,O130))^2+(1-MAX(0,MIN(1,O130)))^2/$B$5))-(MAX(0,MIN(1,N130))^2/(MAX(0,MIN(1,N130))^2+(1-MAX(0,MIN(1,N130)))^2/$B$5))))</f>
        <v>0.933405634443243</v>
      </c>
      <c r="P131" s="16" t="n">
        <f aca="false">IF(ABS(P130-$B$11/$B$9*((MAX(0,MIN(1,P130))^2/(MAX(0,MIN(1,P130))^2+(1-MAX(0,MIN(1,P130)))^2/$B$5))-(MAX(0,MIN(1,O130))^2/(MAX(0,MIN(1,O130))^2+(1-MAX(0,MIN(1,O130)))^2/$B$5))))&lt;0.000000001,0,P130-$B$11/$B$9*((MAX(0,MIN(1,P130))^2/(MAX(0,MIN(1,P130))^2+(1-MAX(0,MIN(1,P130)))^2/$B$5))-(MAX(0,MIN(1,O130))^2/(MAX(0,MIN(1,O130))^2+(1-MAX(0,MIN(1,O130)))^2/$B$5))))</f>
        <v>0.919398855451578</v>
      </c>
      <c r="Q131" s="16" t="n">
        <f aca="false">IF(ABS(Q130-$B$11/$B$9*((MAX(0,MIN(1,Q130))^2/(MAX(0,MIN(1,Q130))^2+(1-MAX(0,MIN(1,Q130)))^2/$B$5))-(MAX(0,MIN(1,P130))^2/(MAX(0,MIN(1,P130))^2+(1-MAX(0,MIN(1,P130)))^2/$B$5))))&lt;0.000000001,0,Q130-$B$11/$B$9*((MAX(0,MIN(1,Q130))^2/(MAX(0,MIN(1,Q130))^2+(1-MAX(0,MIN(1,Q130)))^2/$B$5))-(MAX(0,MIN(1,P130))^2/(MAX(0,MIN(1,P130))^2+(1-MAX(0,MIN(1,P130)))^2/$B$5))))</f>
        <v>0.906539551008764</v>
      </c>
      <c r="R131" s="16" t="n">
        <f aca="false">IF(ABS(R130-$B$11/$B$9*((MAX(0,MIN(1,R130))^2/(MAX(0,MIN(1,R130))^2+(1-MAX(0,MIN(1,R130)))^2/$B$5))-(MAX(0,MIN(1,Q130))^2/(MAX(0,MIN(1,Q130))^2+(1-MAX(0,MIN(1,Q130)))^2/$B$5))))&lt;0.000000001,0,R130-$B$11/$B$9*((MAX(0,MIN(1,R130))^2/(MAX(0,MIN(1,R130))^2+(1-MAX(0,MIN(1,R130)))^2/$B$5))-(MAX(0,MIN(1,Q130))^2/(MAX(0,MIN(1,Q130))^2+(1-MAX(0,MIN(1,Q130)))^2/$B$5))))</f>
        <v>0.894592646929225</v>
      </c>
      <c r="S131" s="16" t="n">
        <f aca="false">IF(ABS(S130-$B$11/$B$9*((MAX(0,MIN(1,S130))^2/(MAX(0,MIN(1,S130))^2+(1-MAX(0,MIN(1,S130)))^2/$B$5))-(MAX(0,MIN(1,R130))^2/(MAX(0,MIN(1,R130))^2+(1-MAX(0,MIN(1,R130)))^2/$B$5))))&lt;0.000000001,0,S130-$B$11/$B$9*((MAX(0,MIN(1,S130))^2/(MAX(0,MIN(1,S130))^2+(1-MAX(0,MIN(1,S130)))^2/$B$5))-(MAX(0,MIN(1,R130))^2/(MAX(0,MIN(1,R130))^2+(1-MAX(0,MIN(1,R130)))^2/$B$5))))</f>
        <v>0.883402807265003</v>
      </c>
      <c r="T131" s="16" t="n">
        <f aca="false">IF(ABS(T130-$B$11/$B$9*((MAX(0,MIN(1,T130))^2/(MAX(0,MIN(1,T130))^2+(1-MAX(0,MIN(1,T130)))^2/$B$5))-(MAX(0,MIN(1,S130))^2/(MAX(0,MIN(1,S130))^2+(1-MAX(0,MIN(1,S130)))^2/$B$5))))&lt;0.000000001,0,T130-$B$11/$B$9*((MAX(0,MIN(1,T130))^2/(MAX(0,MIN(1,T130))^2+(1-MAX(0,MIN(1,T130)))^2/$B$5))-(MAX(0,MIN(1,S130))^2/(MAX(0,MIN(1,S130))^2+(1-MAX(0,MIN(1,S130)))^2/$B$5))))</f>
        <v>0.872857968591376</v>
      </c>
      <c r="U131" s="16" t="n">
        <f aca="false">IF(ABS(U130-$B$11/$B$9*((MAX(0,MIN(1,U130))^2/(MAX(0,MIN(1,U130))^2+(1-MAX(0,MIN(1,U130)))^2/$B$5))-(MAX(0,MIN(1,T130))^2/(MAX(0,MIN(1,T130))^2+(1-MAX(0,MIN(1,T130)))^2/$B$5))))&lt;0.000000001,0,U130-$B$11/$B$9*((MAX(0,MIN(1,U130))^2/(MAX(0,MIN(1,U130))^2+(1-MAX(0,MIN(1,U130)))^2/$B$5))-(MAX(0,MIN(1,T130))^2/(MAX(0,MIN(1,T130))^2+(1-MAX(0,MIN(1,T130)))^2/$B$5))))</f>
        <v>0.862872674195869</v>
      </c>
      <c r="V131" s="16" t="n">
        <f aca="false">IF(ABS(V130-$B$11/$B$9*((MAX(0,MIN(1,V130))^2/(MAX(0,MIN(1,V130))^2+(1-MAX(0,MIN(1,V130)))^2/$B$5))-(MAX(0,MIN(1,U130))^2/(MAX(0,MIN(1,U130))^2+(1-MAX(0,MIN(1,U130)))^2/$B$5))))&lt;0.000000001,0,V130-$B$11/$B$9*((MAX(0,MIN(1,V130))^2/(MAX(0,MIN(1,V130))^2+(1-MAX(0,MIN(1,V130)))^2/$B$5))-(MAX(0,MIN(1,U130))^2/(MAX(0,MIN(1,U130))^2+(1-MAX(0,MIN(1,U130)))^2/$B$5))))</f>
        <v>0.853379255917404</v>
      </c>
      <c r="W131" s="16" t="n">
        <f aca="false">IF(ABS(W130-$B$11/$B$9*((MAX(0,MIN(1,W130))^2/(MAX(0,MIN(1,W130))^2+(1-MAX(0,MIN(1,W130)))^2/$B$5))-(MAX(0,MIN(1,V130))^2/(MAX(0,MIN(1,V130))^2+(1-MAX(0,MIN(1,V130)))^2/$B$5))))&lt;0.000000001,0,W130-$B$11/$B$9*((MAX(0,MIN(1,W130))^2/(MAX(0,MIN(1,W130))^2+(1-MAX(0,MIN(1,W130)))^2/$B$5))-(MAX(0,MIN(1,V130))^2/(MAX(0,MIN(1,V130))^2+(1-MAX(0,MIN(1,V130)))^2/$B$5))))</f>
        <v>0.844322660743011</v>
      </c>
      <c r="X131" s="16" t="n">
        <f aca="false">IF(ABS(X130-$B$11/$B$9*((MAX(0,MIN(1,X130))^2/(MAX(0,MIN(1,X130))^2+(1-MAX(0,MIN(1,X130)))^2/$B$5))-(MAX(0,MIN(1,W130))^2/(MAX(0,MIN(1,W130))^2+(1-MAX(0,MIN(1,W130)))^2/$B$5))))&lt;0.000000001,0,X130-$B$11/$B$9*((MAX(0,MIN(1,X130))^2/(MAX(0,MIN(1,X130))^2+(1-MAX(0,MIN(1,X130)))^2/$B$5))-(MAX(0,MIN(1,W130))^2/(MAX(0,MIN(1,W130))^2+(1-MAX(0,MIN(1,W130)))^2/$B$5))))</f>
        <v>0.835657176056432</v>
      </c>
      <c r="Y131" s="16" t="n">
        <f aca="false">IF(ABS(Y130-$B$11/$B$9*((MAX(0,MIN(1,Y130))^2/(MAX(0,MIN(1,Y130))^2+(1-MAX(0,MIN(1,Y130)))^2/$B$5))-(MAX(0,MIN(1,X130))^2/(MAX(0,MIN(1,X130))^2+(1-MAX(0,MIN(1,X130)))^2/$B$5))))&lt;0.000000001,0,Y130-$B$11/$B$9*((MAX(0,MIN(1,Y130))^2/(MAX(0,MIN(1,Y130))^2+(1-MAX(0,MIN(1,Y130)))^2/$B$5))-(MAX(0,MIN(1,X130))^2/(MAX(0,MIN(1,X130))^2+(1-MAX(0,MIN(1,X130)))^2/$B$5))))</f>
        <v>0.827344233840541</v>
      </c>
      <c r="Z131" s="16" t="n">
        <f aca="false">IF(ABS(Z130-$B$11/$B$9*((MAX(0,MIN(1,Z130))^2/(MAX(0,MIN(1,Z130))^2+(1-MAX(0,MIN(1,Z130)))^2/$B$5))-(MAX(0,MIN(1,Y130))^2/(MAX(0,MIN(1,Y130))^2+(1-MAX(0,MIN(1,Y130)))^2/$B$5))))&lt;0.000000001,0,Z130-$B$11/$B$9*((MAX(0,MIN(1,Z130))^2/(MAX(0,MIN(1,Z130))^2+(1-MAX(0,MIN(1,Z130)))^2/$B$5))-(MAX(0,MIN(1,Y130))^2/(MAX(0,MIN(1,Y130))^2+(1-MAX(0,MIN(1,Y130)))^2/$B$5))))</f>
        <v>0.819350871079764</v>
      </c>
      <c r="AA131" s="16" t="n">
        <f aca="false">IF(ABS(AA130-$B$11/$B$9*((MAX(0,MIN(1,AA130))^2/(MAX(0,MIN(1,AA130))^2+(1-MAX(0,MIN(1,AA130)))^2/$B$5))-(MAX(0,MIN(1,Z130))^2/(MAX(0,MIN(1,Z130))^2+(1-MAX(0,MIN(1,Z130)))^2/$B$5))))&lt;0.000000001,0,AA130-$B$11/$B$9*((MAX(0,MIN(1,AA130))^2/(MAX(0,MIN(1,AA130))^2+(1-MAX(0,MIN(1,AA130)))^2/$B$5))-(MAX(0,MIN(1,Z130))^2/(MAX(0,MIN(1,Z130))^2+(1-MAX(0,MIN(1,Z130)))^2/$B$5))))</f>
        <v>0.811648611407455</v>
      </c>
      <c r="AB131" s="16" t="n">
        <f aca="false">IF(ABS(AB130-$B$11/$B$9*((MAX(0,MIN(1,AB130))^2/(MAX(0,MIN(1,AB130))^2+(1-MAX(0,MIN(1,AB130)))^2/$B$5))-(MAX(0,MIN(1,AA130))^2/(MAX(0,MIN(1,AA130))^2+(1-MAX(0,MIN(1,AA130)))^2/$B$5))))&lt;0.000000001,0,AB130-$B$11/$B$9*((MAX(0,MIN(1,AB130))^2/(MAX(0,MIN(1,AB130))^2+(1-MAX(0,MIN(1,AB130)))^2/$B$5))-(MAX(0,MIN(1,AA130))^2/(MAX(0,MIN(1,AA130))^2+(1-MAX(0,MIN(1,AA130)))^2/$B$5))))</f>
        <v>0.804212629245142</v>
      </c>
      <c r="AC131" s="16" t="n">
        <f aca="false">IF(ABS(AC130-$B$11/$B$9*((MAX(0,MIN(1,AC130))^2/(MAX(0,MIN(1,AC130))^2+(1-MAX(0,MIN(1,AC130)))^2/$B$5))-(MAX(0,MIN(1,AB130))^2/(MAX(0,MIN(1,AB130))^2+(1-MAX(0,MIN(1,AB130)))^2/$B$5))))&lt;0.000000001,0,AC130-$B$11/$B$9*((MAX(0,MIN(1,AC130))^2/(MAX(0,MIN(1,AC130))^2+(1-MAX(0,MIN(1,AC130)))^2/$B$5))-(MAX(0,MIN(1,AB130))^2/(MAX(0,MIN(1,AB130))^2+(1-MAX(0,MIN(1,AB130)))^2/$B$5))))</f>
        <v>0.797021110286312</v>
      </c>
      <c r="AD131" s="16" t="n">
        <f aca="false">IF(ABS(AD130-$B$11/$B$9*((MAX(0,MIN(1,AD130))^2/(MAX(0,MIN(1,AD130))^2+(1-MAX(0,MIN(1,AD130)))^2/$B$5))-(MAX(0,MIN(1,AC130))^2/(MAX(0,MIN(1,AC130))^2+(1-MAX(0,MIN(1,AC130)))^2/$B$5))))&lt;0.000000001,0,AD130-$B$11/$B$9*((MAX(0,MIN(1,AD130))^2/(MAX(0,MIN(1,AD130))^2+(1-MAX(0,MIN(1,AD130)))^2/$B$5))-(MAX(0,MIN(1,AC130))^2/(MAX(0,MIN(1,AC130))^2+(1-MAX(0,MIN(1,AC130)))^2/$B$5))))</f>
        <v>0.790054752555941</v>
      </c>
      <c r="AE131" s="16" t="n">
        <f aca="false">IF(ABS(AE130-$B$11/$B$9*((MAX(0,MIN(1,AE130))^2/(MAX(0,MIN(1,AE130))^2+(1-MAX(0,MIN(1,AE130)))^2/$B$5))-(MAX(0,MIN(1,AD130))^2/(MAX(0,MIN(1,AD130))^2+(1-MAX(0,MIN(1,AD130)))^2/$B$5))))&lt;0.000000001,0,AE130-$B$11/$B$9*((MAX(0,MIN(1,AE130))^2/(MAX(0,MIN(1,AE130))^2+(1-MAX(0,MIN(1,AE130)))^2/$B$5))-(MAX(0,MIN(1,AD130))^2/(MAX(0,MIN(1,AD130))^2+(1-MAX(0,MIN(1,AD130)))^2/$B$5))))</f>
        <v>0.783296370647525</v>
      </c>
      <c r="AF131" s="16" t="n">
        <f aca="false">IF(ABS(AF130-$B$11/$B$9*((MAX(0,MIN(1,AF130))^2/(MAX(0,MIN(1,AF130))^2+(1-MAX(0,MIN(1,AF130)))^2/$B$5))-(MAX(0,MIN(1,AE130))^2/(MAX(0,MIN(1,AE130))^2+(1-MAX(0,MIN(1,AE130)))^2/$B$5))))&lt;0.000000001,0,AF130-$B$11/$B$9*((MAX(0,MIN(1,AF130))^2/(MAX(0,MIN(1,AF130))^2+(1-MAX(0,MIN(1,AF130)))^2/$B$5))-(MAX(0,MIN(1,AE130))^2/(MAX(0,MIN(1,AE130))^2+(1-MAX(0,MIN(1,AE130)))^2/$B$5))))</f>
        <v>0.776730577294318</v>
      </c>
    </row>
    <row r="132" customFormat="false" ht="15" hidden="false" customHeight="false" outlineLevel="0" collapsed="false">
      <c r="L132" s="0" t="n">
        <v>122</v>
      </c>
      <c r="M132" s="16" t="n">
        <f aca="false">IF(ABS(M131-$B$11/$B$9*((MAX(0,MIN(1,M131))^2/(MAX(0,MIN(1,M131))^2+(1-MAX(0,MIN(1,M131)))^2/$B$5))-(MAX(0,MIN(1,1))^2/(MAX(0,MIN(1,1))^2+(1-MAX(0,MIN(1,1)))^2/$B$5))))&lt;0.000000001,0,M131-$B$11/$B$9*((MAX(0,MIN(1,M131))^2/(MAX(0,MIN(1,M131))^2+(1-MAX(0,MIN(1,M131)))^2/$B$5))-(MAX(0,MIN(1,1))^2/(MAX(0,MIN(1,1))^2+(1-MAX(0,MIN(1,1)))^2/$B$5))))</f>
        <v>0.967330006164035</v>
      </c>
      <c r="N132" s="16" t="n">
        <f aca="false">IF(ABS(N131-$B$11/$B$9*((MAX(0,MIN(1,N131))^2/(MAX(0,MIN(1,N131))^2+(1-MAX(0,MIN(1,N131)))^2/$B$5))-(MAX(0,MIN(1,M131))^2/(MAX(0,MIN(1,M131))^2+(1-MAX(0,MIN(1,M131)))^2/$B$5))))&lt;0.000000001,0,N131-$B$11/$B$9*((MAX(0,MIN(1,N131))^2/(MAX(0,MIN(1,N131))^2+(1-MAX(0,MIN(1,N131)))^2/$B$5))-(MAX(0,MIN(1,M131))^2/(MAX(0,MIN(1,M131))^2+(1-MAX(0,MIN(1,M131)))^2/$B$5))))</f>
        <v>0.949307288040175</v>
      </c>
      <c r="O132" s="16" t="n">
        <f aca="false">IF(ABS(O131-$B$11/$B$9*((MAX(0,MIN(1,O131))^2/(MAX(0,MIN(1,O131))^2+(1-MAX(0,MIN(1,O131)))^2/$B$5))-(MAX(0,MIN(1,N131))^2/(MAX(0,MIN(1,N131))^2+(1-MAX(0,MIN(1,N131)))^2/$B$5))))&lt;0.000000001,0,O131-$B$11/$B$9*((MAX(0,MIN(1,O131))^2/(MAX(0,MIN(1,O131))^2+(1-MAX(0,MIN(1,O131)))^2/$B$5))-(MAX(0,MIN(1,N131))^2/(MAX(0,MIN(1,N131))^2+(1-MAX(0,MIN(1,N131)))^2/$B$5))))</f>
        <v>0.933826759266112</v>
      </c>
      <c r="P132" s="16" t="n">
        <f aca="false">IF(ABS(P131-$B$11/$B$9*((MAX(0,MIN(1,P131))^2/(MAX(0,MIN(1,P131))^2+(1-MAX(0,MIN(1,P131)))^2/$B$5))-(MAX(0,MIN(1,O131))^2/(MAX(0,MIN(1,O131))^2+(1-MAX(0,MIN(1,O131)))^2/$B$5))))&lt;0.000000001,0,P131-$B$11/$B$9*((MAX(0,MIN(1,P131))^2/(MAX(0,MIN(1,P131))^2+(1-MAX(0,MIN(1,P131)))^2/$B$5))-(MAX(0,MIN(1,O131))^2/(MAX(0,MIN(1,O131))^2+(1-MAX(0,MIN(1,O131)))^2/$B$5))))</f>
        <v>0.919894680170266</v>
      </c>
      <c r="Q132" s="16" t="n">
        <f aca="false">IF(ABS(Q131-$B$11/$B$9*((MAX(0,MIN(1,Q131))^2/(MAX(0,MIN(1,Q131))^2+(1-MAX(0,MIN(1,Q131)))^2/$B$5))-(MAX(0,MIN(1,P131))^2/(MAX(0,MIN(1,P131))^2+(1-MAX(0,MIN(1,P131)))^2/$B$5))))&lt;0.000000001,0,Q131-$B$11/$B$9*((MAX(0,MIN(1,Q131))^2/(MAX(0,MIN(1,Q131))^2+(1-MAX(0,MIN(1,Q131)))^2/$B$5))-(MAX(0,MIN(1,P131))^2/(MAX(0,MIN(1,P131))^2+(1-MAX(0,MIN(1,P131)))^2/$B$5))))</f>
        <v>0.907100282877532</v>
      </c>
      <c r="R132" s="16" t="n">
        <f aca="false">IF(ABS(R131-$B$11/$B$9*((MAX(0,MIN(1,R131))^2/(MAX(0,MIN(1,R131))^2+(1-MAX(0,MIN(1,R131)))^2/$B$5))-(MAX(0,MIN(1,Q131))^2/(MAX(0,MIN(1,Q131))^2+(1-MAX(0,MIN(1,Q131)))^2/$B$5))))&lt;0.000000001,0,R131-$B$11/$B$9*((MAX(0,MIN(1,R131))^2/(MAX(0,MIN(1,R131))^2+(1-MAX(0,MIN(1,R131)))^2/$B$5))-(MAX(0,MIN(1,Q131))^2/(MAX(0,MIN(1,Q131))^2+(1-MAX(0,MIN(1,Q131)))^2/$B$5))))</f>
        <v>0.895210777060519</v>
      </c>
      <c r="S132" s="16" t="n">
        <f aca="false">IF(ABS(S131-$B$11/$B$9*((MAX(0,MIN(1,S131))^2/(MAX(0,MIN(1,S131))^2+(1-MAX(0,MIN(1,S131)))^2/$B$5))-(MAX(0,MIN(1,R131))^2/(MAX(0,MIN(1,R131))^2+(1-MAX(0,MIN(1,R131)))^2/$B$5))))&lt;0.000000001,0,S131-$B$11/$B$9*((MAX(0,MIN(1,S131))^2/(MAX(0,MIN(1,S131))^2+(1-MAX(0,MIN(1,S131)))^2/$B$5))-(MAX(0,MIN(1,R131))^2/(MAX(0,MIN(1,R131))^2+(1-MAX(0,MIN(1,R131)))^2/$B$5))))</f>
        <v>0.884072363428218</v>
      </c>
      <c r="T132" s="16" t="n">
        <f aca="false">IF(ABS(T131-$B$11/$B$9*((MAX(0,MIN(1,T131))^2/(MAX(0,MIN(1,T131))^2+(1-MAX(0,MIN(1,T131)))^2/$B$5))-(MAX(0,MIN(1,S131))^2/(MAX(0,MIN(1,S131))^2+(1-MAX(0,MIN(1,S131)))^2/$B$5))))&lt;0.000000001,0,T131-$B$11/$B$9*((MAX(0,MIN(1,T131))^2/(MAX(0,MIN(1,T131))^2+(1-MAX(0,MIN(1,T131)))^2/$B$5))-(MAX(0,MIN(1,S131))^2/(MAX(0,MIN(1,S131))^2+(1-MAX(0,MIN(1,S131)))^2/$B$5))))</f>
        <v>0.873574086957736</v>
      </c>
      <c r="U132" s="16" t="n">
        <f aca="false">IF(ABS(U131-$B$11/$B$9*((MAX(0,MIN(1,U131))^2/(MAX(0,MIN(1,U131))^2+(1-MAX(0,MIN(1,U131)))^2/$B$5))-(MAX(0,MIN(1,T131))^2/(MAX(0,MIN(1,T131))^2+(1-MAX(0,MIN(1,T131)))^2/$B$5))))&lt;0.000000001,0,U131-$B$11/$B$9*((MAX(0,MIN(1,U131))^2/(MAX(0,MIN(1,U131))^2+(1-MAX(0,MIN(1,U131)))^2/$B$5))-(MAX(0,MIN(1,T131))^2/(MAX(0,MIN(1,T131))^2+(1-MAX(0,MIN(1,T131)))^2/$B$5))))</f>
        <v>0.863631326500909</v>
      </c>
      <c r="V132" s="16" t="n">
        <f aca="false">IF(ABS(V131-$B$11/$B$9*((MAX(0,MIN(1,V131))^2/(MAX(0,MIN(1,V131))^2+(1-MAX(0,MIN(1,V131)))^2/$B$5))-(MAX(0,MIN(1,U131))^2/(MAX(0,MIN(1,U131))^2+(1-MAX(0,MIN(1,U131)))^2/$B$5))))&lt;0.000000001,0,V131-$B$11/$B$9*((MAX(0,MIN(1,V131))^2/(MAX(0,MIN(1,V131))^2+(1-MAX(0,MIN(1,V131)))^2/$B$5))-(MAX(0,MIN(1,U131))^2/(MAX(0,MIN(1,U131))^2+(1-MAX(0,MIN(1,U131)))^2/$B$5))))</f>
        <v>0.854177063458663</v>
      </c>
      <c r="W132" s="16" t="n">
        <f aca="false">IF(ABS(W131-$B$11/$B$9*((MAX(0,MIN(1,W131))^2/(MAX(0,MIN(1,W131))^2+(1-MAX(0,MIN(1,W131)))^2/$B$5))-(MAX(0,MIN(1,V131))^2/(MAX(0,MIN(1,V131))^2+(1-MAX(0,MIN(1,V131)))^2/$B$5))))&lt;0.000000001,0,W131-$B$11/$B$9*((MAX(0,MIN(1,W131))^2/(MAX(0,MIN(1,W131))^2+(1-MAX(0,MIN(1,W131)))^2/$B$5))-(MAX(0,MIN(1,V131))^2/(MAX(0,MIN(1,V131))^2+(1-MAX(0,MIN(1,V131)))^2/$B$5))))</f>
        <v>0.845156761544878</v>
      </c>
      <c r="X132" s="16" t="n">
        <f aca="false">IF(ABS(X131-$B$11/$B$9*((MAX(0,MIN(1,X131))^2/(MAX(0,MIN(1,X131))^2+(1-MAX(0,MIN(1,X131)))^2/$B$5))-(MAX(0,MIN(1,W131))^2/(MAX(0,MIN(1,W131))^2+(1-MAX(0,MIN(1,W131)))^2/$B$5))))&lt;0.000000001,0,X131-$B$11/$B$9*((MAX(0,MIN(1,X131))^2/(MAX(0,MIN(1,X131))^2+(1-MAX(0,MIN(1,X131)))^2/$B$5))-(MAX(0,MIN(1,W131))^2/(MAX(0,MIN(1,W131))^2+(1-MAX(0,MIN(1,W131)))^2/$B$5))))</f>
        <v>0.836525126753867</v>
      </c>
      <c r="Y132" s="16" t="n">
        <f aca="false">IF(ABS(Y131-$B$11/$B$9*((MAX(0,MIN(1,Y131))^2/(MAX(0,MIN(1,Y131))^2+(1-MAX(0,MIN(1,Y131)))^2/$B$5))-(MAX(0,MIN(1,X131))^2/(MAX(0,MIN(1,X131))^2+(1-MAX(0,MIN(1,X131)))^2/$B$5))))&lt;0.000000001,0,Y131-$B$11/$B$9*((MAX(0,MIN(1,Y131))^2/(MAX(0,MIN(1,Y131))^2+(1-MAX(0,MIN(1,Y131)))^2/$B$5))-(MAX(0,MIN(1,X131))^2/(MAX(0,MIN(1,X131))^2+(1-MAX(0,MIN(1,X131)))^2/$B$5))))</f>
        <v>0.828243935332878</v>
      </c>
      <c r="Z132" s="16" t="n">
        <f aca="false">IF(ABS(Z131-$B$11/$B$9*((MAX(0,MIN(1,Z131))^2/(MAX(0,MIN(1,Z131))^2+(1-MAX(0,MIN(1,Z131)))^2/$B$5))-(MAX(0,MIN(1,Y131))^2/(MAX(0,MIN(1,Y131))^2+(1-MAX(0,MIN(1,Y131)))^2/$B$5))))&lt;0.000000001,0,Z131-$B$11/$B$9*((MAX(0,MIN(1,Z131))^2/(MAX(0,MIN(1,Z131))^2+(1-MAX(0,MIN(1,Z131)))^2/$B$5))-(MAX(0,MIN(1,Y131))^2/(MAX(0,MIN(1,Y131))^2+(1-MAX(0,MIN(1,Y131)))^2/$B$5))))</f>
        <v>0.820280511056467</v>
      </c>
      <c r="AA132" s="16" t="n">
        <f aca="false">IF(ABS(AA131-$B$11/$B$9*((MAX(0,MIN(1,AA131))^2/(MAX(0,MIN(1,AA131))^2+(1-MAX(0,MIN(1,AA131)))^2/$B$5))-(MAX(0,MIN(1,Z131))^2/(MAX(0,MIN(1,Z131))^2+(1-MAX(0,MIN(1,Z131)))^2/$B$5))))&lt;0.000000001,0,AA131-$B$11/$B$9*((MAX(0,MIN(1,AA131))^2/(MAX(0,MIN(1,AA131))^2+(1-MAX(0,MIN(1,AA131)))^2/$B$5))-(MAX(0,MIN(1,Z131))^2/(MAX(0,MIN(1,Z131))^2+(1-MAX(0,MIN(1,Z131)))^2/$B$5))))</f>
        <v>0.812606619195663</v>
      </c>
      <c r="AB132" s="16" t="n">
        <f aca="false">IF(ABS(AB131-$B$11/$B$9*((MAX(0,MIN(1,AB131))^2/(MAX(0,MIN(1,AB131))^2+(1-MAX(0,MIN(1,AB131)))^2/$B$5))-(MAX(0,MIN(1,AA131))^2/(MAX(0,MIN(1,AA131))^2+(1-MAX(0,MIN(1,AA131)))^2/$B$5))))&lt;0.000000001,0,AB131-$B$11/$B$9*((MAX(0,MIN(1,AB131))^2/(MAX(0,MIN(1,AB131))^2+(1-MAX(0,MIN(1,AB131)))^2/$B$5))-(MAX(0,MIN(1,AA131))^2/(MAX(0,MIN(1,AA131))^2+(1-MAX(0,MIN(1,AA131)))^2/$B$5))))</f>
        <v>0.805197639867376</v>
      </c>
      <c r="AC132" s="16" t="n">
        <f aca="false">IF(ABS(AC131-$B$11/$B$9*((MAX(0,MIN(1,AC131))^2/(MAX(0,MIN(1,AC131))^2+(1-MAX(0,MIN(1,AC131)))^2/$B$5))-(MAX(0,MIN(1,AB131))^2/(MAX(0,MIN(1,AB131))^2+(1-MAX(0,MIN(1,AB131)))^2/$B$5))))&lt;0.000000001,0,AC131-$B$11/$B$9*((MAX(0,MIN(1,AC131))^2/(MAX(0,MIN(1,AC131))^2+(1-MAX(0,MIN(1,AC131)))^2/$B$5))-(MAX(0,MIN(1,AB131))^2/(MAX(0,MIN(1,AB131))^2+(1-MAX(0,MIN(1,AB131)))^2/$B$5))))</f>
        <v>0.798031935538141</v>
      </c>
      <c r="AD132" s="16" t="n">
        <f aca="false">IF(ABS(AD131-$B$11/$B$9*((MAX(0,MIN(1,AD131))^2/(MAX(0,MIN(1,AD131))^2+(1-MAX(0,MIN(1,AD131)))^2/$B$5))-(MAX(0,MIN(1,AC131))^2/(MAX(0,MIN(1,AC131))^2+(1-MAX(0,MIN(1,AC131)))^2/$B$5))))&lt;0.000000001,0,AD131-$B$11/$B$9*((MAX(0,MIN(1,AD131))^2/(MAX(0,MIN(1,AD131))^2+(1-MAX(0,MIN(1,AD131)))^2/$B$5))-(MAX(0,MIN(1,AC131))^2/(MAX(0,MIN(1,AC131))^2+(1-MAX(0,MIN(1,AC131)))^2/$B$5))))</f>
        <v>0.79109035752528</v>
      </c>
      <c r="AE132" s="16" t="n">
        <f aca="false">IF(ABS(AE131-$B$11/$B$9*((MAX(0,MIN(1,AE131))^2/(MAX(0,MIN(1,AE131))^2+(1-MAX(0,MIN(1,AE131)))^2/$B$5))-(MAX(0,MIN(1,AD131))^2/(MAX(0,MIN(1,AD131))^2+(1-MAX(0,MIN(1,AD131)))^2/$B$5))))&lt;0.000000001,0,AE131-$B$11/$B$9*((MAX(0,MIN(1,AE131))^2/(MAX(0,MIN(1,AE131))^2+(1-MAX(0,MIN(1,AE131)))^2/$B$5))-(MAX(0,MIN(1,AD131))^2/(MAX(0,MIN(1,AD131))^2+(1-MAX(0,MIN(1,AD131)))^2/$B$5))))</f>
        <v>0.784355854516065</v>
      </c>
      <c r="AF132" s="16" t="n">
        <f aca="false">IF(ABS(AF131-$B$11/$B$9*((MAX(0,MIN(1,AF131))^2/(MAX(0,MIN(1,AF131))^2+(1-MAX(0,MIN(1,AF131)))^2/$B$5))-(MAX(0,MIN(1,AE131))^2/(MAX(0,MIN(1,AE131))^2+(1-MAX(0,MIN(1,AE131)))^2/$B$5))))&lt;0.000000001,0,AF131-$B$11/$B$9*((MAX(0,MIN(1,AF131))^2/(MAX(0,MIN(1,AF131))^2+(1-MAX(0,MIN(1,AF131)))^2/$B$5))-(MAX(0,MIN(1,AE131))^2/(MAX(0,MIN(1,AE131))^2+(1-MAX(0,MIN(1,AE131)))^2/$B$5))))</f>
        <v>0.777813157555655</v>
      </c>
    </row>
    <row r="133" customFormat="false" ht="15" hidden="false" customHeight="false" outlineLevel="0" collapsed="false">
      <c r="L133" s="0" t="n">
        <v>123</v>
      </c>
      <c r="M133" s="16" t="n">
        <f aca="false">IF(ABS(M132-$B$11/$B$9*((MAX(0,MIN(1,M132))^2/(MAX(0,MIN(1,M132))^2+(1-MAX(0,MIN(1,M132)))^2/$B$5))-(MAX(0,MIN(1,1))^2/(MAX(0,MIN(1,1))^2+(1-MAX(0,MIN(1,1)))^2/$B$5))))&lt;0.000000001,0,M132-$B$11/$B$9*((MAX(0,MIN(1,M132))^2/(MAX(0,MIN(1,M132))^2+(1-MAX(0,MIN(1,M132)))^2/$B$5))-(MAX(0,MIN(1,1))^2/(MAX(0,MIN(1,1))^2+(1-MAX(0,MIN(1,1)))^2/$B$5))))</f>
        <v>0.967549187195401</v>
      </c>
      <c r="N133" s="16" t="n">
        <f aca="false">IF(ABS(N132-$B$11/$B$9*((MAX(0,MIN(1,N132))^2/(MAX(0,MIN(1,N132))^2+(1-MAX(0,MIN(1,N132)))^2/$B$5))-(MAX(0,MIN(1,M132))^2/(MAX(0,MIN(1,M132))^2+(1-MAX(0,MIN(1,M132)))^2/$B$5))))&lt;0.000000001,0,N132-$B$11/$B$9*((MAX(0,MIN(1,N132))^2/(MAX(0,MIN(1,N132))^2+(1-MAX(0,MIN(1,N132)))^2/$B$5))-(MAX(0,MIN(1,M132))^2/(MAX(0,MIN(1,M132))^2+(1-MAX(0,MIN(1,M132)))^2/$B$5))))</f>
        <v>0.94963557717522</v>
      </c>
      <c r="O133" s="16" t="n">
        <f aca="false">IF(ABS(O132-$B$11/$B$9*((MAX(0,MIN(1,O132))^2/(MAX(0,MIN(1,O132))^2+(1-MAX(0,MIN(1,O132)))^2/$B$5))-(MAX(0,MIN(1,N132))^2/(MAX(0,MIN(1,N132))^2+(1-MAX(0,MIN(1,N132)))^2/$B$5))))&lt;0.000000001,0,O132-$B$11/$B$9*((MAX(0,MIN(1,O132))^2/(MAX(0,MIN(1,O132))^2+(1-MAX(0,MIN(1,O132)))^2/$B$5))-(MAX(0,MIN(1,N132))^2/(MAX(0,MIN(1,N132))^2+(1-MAX(0,MIN(1,N132)))^2/$B$5))))</f>
        <v>0.934242330462113</v>
      </c>
      <c r="P133" s="16" t="n">
        <f aca="false">IF(ABS(P132-$B$11/$B$9*((MAX(0,MIN(1,P132))^2/(MAX(0,MIN(1,P132))^2+(1-MAX(0,MIN(1,P132)))^2/$B$5))-(MAX(0,MIN(1,O132))^2/(MAX(0,MIN(1,O132))^2+(1-MAX(0,MIN(1,O132)))^2/$B$5))))&lt;0.000000001,0,P132-$B$11/$B$9*((MAX(0,MIN(1,P132))^2/(MAX(0,MIN(1,P132))^2+(1-MAX(0,MIN(1,P132)))^2/$B$5))-(MAX(0,MIN(1,O132))^2/(MAX(0,MIN(1,O132))^2+(1-MAX(0,MIN(1,O132)))^2/$B$5))))</f>
        <v>0.920384100761585</v>
      </c>
      <c r="Q133" s="16" t="n">
        <f aca="false">IF(ABS(Q132-$B$11/$B$9*((MAX(0,MIN(1,Q132))^2/(MAX(0,MIN(1,Q132))^2+(1-MAX(0,MIN(1,Q132)))^2/$B$5))-(MAX(0,MIN(1,P132))^2/(MAX(0,MIN(1,P132))^2+(1-MAX(0,MIN(1,P132)))^2/$B$5))))&lt;0.000000001,0,Q132-$B$11/$B$9*((MAX(0,MIN(1,Q132))^2/(MAX(0,MIN(1,Q132))^2+(1-MAX(0,MIN(1,Q132)))^2/$B$5))-(MAX(0,MIN(1,P132))^2/(MAX(0,MIN(1,P132))^2+(1-MAX(0,MIN(1,P132)))^2/$B$5))))</f>
        <v>0.907653901405517</v>
      </c>
      <c r="R133" s="16" t="n">
        <f aca="false">IF(ABS(R132-$B$11/$B$9*((MAX(0,MIN(1,R132))^2/(MAX(0,MIN(1,R132))^2+(1-MAX(0,MIN(1,R132)))^2/$B$5))-(MAX(0,MIN(1,Q132))^2/(MAX(0,MIN(1,Q132))^2+(1-MAX(0,MIN(1,Q132)))^2/$B$5))))&lt;0.000000001,0,R132-$B$11/$B$9*((MAX(0,MIN(1,R132))^2/(MAX(0,MIN(1,R132))^2+(1-MAX(0,MIN(1,R132)))^2/$B$5))-(MAX(0,MIN(1,Q132))^2/(MAX(0,MIN(1,Q132))^2+(1-MAX(0,MIN(1,Q132)))^2/$B$5))))</f>
        <v>0.895821187523467</v>
      </c>
      <c r="S133" s="16" t="n">
        <f aca="false">IF(ABS(S132-$B$11/$B$9*((MAX(0,MIN(1,S132))^2/(MAX(0,MIN(1,S132))^2+(1-MAX(0,MIN(1,S132)))^2/$B$5))-(MAX(0,MIN(1,R132))^2/(MAX(0,MIN(1,R132))^2+(1-MAX(0,MIN(1,R132)))^2/$B$5))))&lt;0.000000001,0,S132-$B$11/$B$9*((MAX(0,MIN(1,S132))^2/(MAX(0,MIN(1,S132))^2+(1-MAX(0,MIN(1,S132)))^2/$B$5))-(MAX(0,MIN(1,R132))^2/(MAX(0,MIN(1,R132))^2+(1-MAX(0,MIN(1,R132)))^2/$B$5))))</f>
        <v>0.884733671171089</v>
      </c>
      <c r="T133" s="16" t="n">
        <f aca="false">IF(ABS(T132-$B$11/$B$9*((MAX(0,MIN(1,T132))^2/(MAX(0,MIN(1,T132))^2+(1-MAX(0,MIN(1,T132)))^2/$B$5))-(MAX(0,MIN(1,S132))^2/(MAX(0,MIN(1,S132))^2+(1-MAX(0,MIN(1,S132)))^2/$B$5))))&lt;0.000000001,0,T132-$B$11/$B$9*((MAX(0,MIN(1,T132))^2/(MAX(0,MIN(1,T132))^2+(1-MAX(0,MIN(1,T132)))^2/$B$5))-(MAX(0,MIN(1,S132))^2/(MAX(0,MIN(1,S132))^2+(1-MAX(0,MIN(1,S132)))^2/$B$5))))</f>
        <v>0.874281487969792</v>
      </c>
      <c r="U133" s="16" t="n">
        <f aca="false">IF(ABS(U132-$B$11/$B$9*((MAX(0,MIN(1,U132))^2/(MAX(0,MIN(1,U132))^2+(1-MAX(0,MIN(1,U132)))^2/$B$5))-(MAX(0,MIN(1,T132))^2/(MAX(0,MIN(1,T132))^2+(1-MAX(0,MIN(1,T132)))^2/$B$5))))&lt;0.000000001,0,U132-$B$11/$B$9*((MAX(0,MIN(1,U132))^2/(MAX(0,MIN(1,U132))^2+(1-MAX(0,MIN(1,U132)))^2/$B$5))-(MAX(0,MIN(1,T132))^2/(MAX(0,MIN(1,T132))^2+(1-MAX(0,MIN(1,T132)))^2/$B$5))))</f>
        <v>0.864380839351884</v>
      </c>
      <c r="V133" s="16" t="n">
        <f aca="false">IF(ABS(V132-$B$11/$B$9*((MAX(0,MIN(1,V132))^2/(MAX(0,MIN(1,V132))^2+(1-MAX(0,MIN(1,V132)))^2/$B$5))-(MAX(0,MIN(1,U132))^2/(MAX(0,MIN(1,U132))^2+(1-MAX(0,MIN(1,U132)))^2/$B$5))))&lt;0.000000001,0,V132-$B$11/$B$9*((MAX(0,MIN(1,V132))^2/(MAX(0,MIN(1,V132))^2+(1-MAX(0,MIN(1,V132)))^2/$B$5))-(MAX(0,MIN(1,U132))^2/(MAX(0,MIN(1,U132))^2+(1-MAX(0,MIN(1,U132)))^2/$B$5))))</f>
        <v>0.854965346494419</v>
      </c>
      <c r="W133" s="16" t="n">
        <f aca="false">IF(ABS(W132-$B$11/$B$9*((MAX(0,MIN(1,W132))^2/(MAX(0,MIN(1,W132))^2+(1-MAX(0,MIN(1,W132)))^2/$B$5))-(MAX(0,MIN(1,V132))^2/(MAX(0,MIN(1,V132))^2+(1-MAX(0,MIN(1,V132)))^2/$B$5))))&lt;0.000000001,0,W132-$B$11/$B$9*((MAX(0,MIN(1,W132))^2/(MAX(0,MIN(1,W132))^2+(1-MAX(0,MIN(1,W132)))^2/$B$5))-(MAX(0,MIN(1,V132))^2/(MAX(0,MIN(1,V132))^2+(1-MAX(0,MIN(1,V132)))^2/$B$5))))</f>
        <v>0.84598098228256</v>
      </c>
      <c r="X133" s="16" t="n">
        <f aca="false">IF(ABS(X132-$B$11/$B$9*((MAX(0,MIN(1,X132))^2/(MAX(0,MIN(1,X132))^2+(1-MAX(0,MIN(1,X132)))^2/$B$5))-(MAX(0,MIN(1,W132))^2/(MAX(0,MIN(1,W132))^2+(1-MAX(0,MIN(1,W132)))^2/$B$5))))&lt;0.000000001,0,X132-$B$11/$B$9*((MAX(0,MIN(1,X132))^2/(MAX(0,MIN(1,X132))^2+(1-MAX(0,MIN(1,X132)))^2/$B$5))-(MAX(0,MIN(1,W132))^2/(MAX(0,MIN(1,W132))^2+(1-MAX(0,MIN(1,W132)))^2/$B$5))))</f>
        <v>0.837382865367523</v>
      </c>
      <c r="Y133" s="16" t="n">
        <f aca="false">IF(ABS(Y132-$B$11/$B$9*((MAX(0,MIN(1,Y132))^2/(MAX(0,MIN(1,Y132))^2+(1-MAX(0,MIN(1,Y132)))^2/$B$5))-(MAX(0,MIN(1,X132))^2/(MAX(0,MIN(1,X132))^2+(1-MAX(0,MIN(1,X132)))^2/$B$5))))&lt;0.000000001,0,Y132-$B$11/$B$9*((MAX(0,MIN(1,Y132))^2/(MAX(0,MIN(1,Y132))^2+(1-MAX(0,MIN(1,Y132)))^2/$B$5))-(MAX(0,MIN(1,X132))^2/(MAX(0,MIN(1,X132))^2+(1-MAX(0,MIN(1,X132)))^2/$B$5))))</f>
        <v>0.829133111483765</v>
      </c>
      <c r="Z133" s="16" t="n">
        <f aca="false">IF(ABS(Z132-$B$11/$B$9*((MAX(0,MIN(1,Z132))^2/(MAX(0,MIN(1,Z132))^2+(1-MAX(0,MIN(1,Z132)))^2/$B$5))-(MAX(0,MIN(1,Y132))^2/(MAX(0,MIN(1,Y132))^2+(1-MAX(0,MIN(1,Y132)))^2/$B$5))))&lt;0.000000001,0,Z132-$B$11/$B$9*((MAX(0,MIN(1,Z132))^2/(MAX(0,MIN(1,Z132))^2+(1-MAX(0,MIN(1,Z132)))^2/$B$5))-(MAX(0,MIN(1,Y132))^2/(MAX(0,MIN(1,Y132))^2+(1-MAX(0,MIN(1,Y132)))^2/$B$5))))</f>
        <v>0.821199327297826</v>
      </c>
      <c r="AA133" s="16" t="n">
        <f aca="false">IF(ABS(AA132-$B$11/$B$9*((MAX(0,MIN(1,AA132))^2/(MAX(0,MIN(1,AA132))^2+(1-MAX(0,MIN(1,AA132)))^2/$B$5))-(MAX(0,MIN(1,Z132))^2/(MAX(0,MIN(1,Z132))^2+(1-MAX(0,MIN(1,Z132)))^2/$B$5))))&lt;0.000000001,0,AA132-$B$11/$B$9*((MAX(0,MIN(1,AA132))^2/(MAX(0,MIN(1,AA132))^2+(1-MAX(0,MIN(1,AA132)))^2/$B$5))-(MAX(0,MIN(1,Z132))^2/(MAX(0,MIN(1,Z132))^2+(1-MAX(0,MIN(1,Z132)))^2/$B$5))))</f>
        <v>0.813553516485604</v>
      </c>
      <c r="AB133" s="16" t="n">
        <f aca="false">IF(ABS(AB132-$B$11/$B$9*((MAX(0,MIN(1,AB132))^2/(MAX(0,MIN(1,AB132))^2+(1-MAX(0,MIN(1,AB132)))^2/$B$5))-(MAX(0,MIN(1,AA132))^2/(MAX(0,MIN(1,AA132))^2+(1-MAX(0,MIN(1,AA132)))^2/$B$5))))&lt;0.000000001,0,AB132-$B$11/$B$9*((MAX(0,MIN(1,AB132))^2/(MAX(0,MIN(1,AB132))^2+(1-MAX(0,MIN(1,AB132)))^2/$B$5))-(MAX(0,MIN(1,AA132))^2/(MAX(0,MIN(1,AA132))^2+(1-MAX(0,MIN(1,AA132)))^2/$B$5))))</f>
        <v>0.806171262134872</v>
      </c>
      <c r="AC133" s="16" t="n">
        <f aca="false">IF(ABS(AC132-$B$11/$B$9*((MAX(0,MIN(1,AC132))^2/(MAX(0,MIN(1,AC132))^2+(1-MAX(0,MIN(1,AC132)))^2/$B$5))-(MAX(0,MIN(1,AB132))^2/(MAX(0,MIN(1,AB132))^2+(1-MAX(0,MIN(1,AB132)))^2/$B$5))))&lt;0.000000001,0,AC132-$B$11/$B$9*((MAX(0,MIN(1,AC132))^2/(MAX(0,MIN(1,AC132))^2+(1-MAX(0,MIN(1,AC132)))^2/$B$5))-(MAX(0,MIN(1,AB132))^2/(MAX(0,MIN(1,AB132))^2+(1-MAX(0,MIN(1,AB132)))^2/$B$5))))</f>
        <v>0.799031101151077</v>
      </c>
      <c r="AD133" s="16" t="n">
        <f aca="false">IF(ABS(AD132-$B$11/$B$9*((MAX(0,MIN(1,AD132))^2/(MAX(0,MIN(1,AD132))^2+(1-MAX(0,MIN(1,AD132)))^2/$B$5))-(MAX(0,MIN(1,AC132))^2/(MAX(0,MIN(1,AC132))^2+(1-MAX(0,MIN(1,AC132)))^2/$B$5))))&lt;0.000000001,0,AD132-$B$11/$B$9*((MAX(0,MIN(1,AD132))^2/(MAX(0,MIN(1,AD132))^2+(1-MAX(0,MIN(1,AD132)))^2/$B$5))-(MAX(0,MIN(1,AC132))^2/(MAX(0,MIN(1,AC132))^2+(1-MAX(0,MIN(1,AC132)))^2/$B$5))))</f>
        <v>0.792114036109852</v>
      </c>
      <c r="AE133" s="16" t="n">
        <f aca="false">IF(ABS(AE132-$B$11/$B$9*((MAX(0,MIN(1,AE132))^2/(MAX(0,MIN(1,AE132))^2+(1-MAX(0,MIN(1,AE132)))^2/$B$5))-(MAX(0,MIN(1,AD132))^2/(MAX(0,MIN(1,AD132))^2+(1-MAX(0,MIN(1,AD132)))^2/$B$5))))&lt;0.000000001,0,AE132-$B$11/$B$9*((MAX(0,MIN(1,AE132))^2/(MAX(0,MIN(1,AE132))^2+(1-MAX(0,MIN(1,AE132)))^2/$B$5))-(MAX(0,MIN(1,AD132))^2/(MAX(0,MIN(1,AD132))^2+(1-MAX(0,MIN(1,AD132)))^2/$B$5))))</f>
        <v>0.785403147987723</v>
      </c>
      <c r="AF133" s="16" t="n">
        <f aca="false">IF(ABS(AF132-$B$11/$B$9*((MAX(0,MIN(1,AF132))^2/(MAX(0,MIN(1,AF132))^2+(1-MAX(0,MIN(1,AF132)))^2/$B$5))-(MAX(0,MIN(1,AE132))^2/(MAX(0,MIN(1,AE132))^2+(1-MAX(0,MIN(1,AE132)))^2/$B$5))))&lt;0.000000001,0,AF132-$B$11/$B$9*((MAX(0,MIN(1,AF132))^2/(MAX(0,MIN(1,AF132))^2+(1-MAX(0,MIN(1,AF132)))^2/$B$5))-(MAX(0,MIN(1,AE132))^2/(MAX(0,MIN(1,AE132))^2+(1-MAX(0,MIN(1,AE132)))^2/$B$5))))</f>
        <v>0.778883284510369</v>
      </c>
    </row>
    <row r="134" customFormat="false" ht="15" hidden="false" customHeight="false" outlineLevel="0" collapsed="false">
      <c r="L134" s="0" t="n">
        <v>124</v>
      </c>
      <c r="M134" s="16" t="n">
        <f aca="false">IF(ABS(M133-$B$11/$B$9*((MAX(0,MIN(1,M133))^2/(MAX(0,MIN(1,M133))^2+(1-MAX(0,MIN(1,M133)))^2/$B$5))-(MAX(0,MIN(1,1))^2/(MAX(0,MIN(1,1))^2+(1-MAX(0,MIN(1,1)))^2/$B$5))))&lt;0.000000001,0,M133-$B$11/$B$9*((MAX(0,MIN(1,M133))^2/(MAX(0,MIN(1,M133))^2+(1-MAX(0,MIN(1,M133)))^2/$B$5))-(MAX(0,MIN(1,1))^2/(MAX(0,MIN(1,1))^2+(1-MAX(0,MIN(1,1)))^2/$B$5))))</f>
        <v>0.967765340885903</v>
      </c>
      <c r="N134" s="16" t="n">
        <f aca="false">IF(ABS(N133-$B$11/$B$9*((MAX(0,MIN(1,N133))^2/(MAX(0,MIN(1,N133))^2+(1-MAX(0,MIN(1,N133)))^2/$B$5))-(MAX(0,MIN(1,M133))^2/(MAX(0,MIN(1,M133))^2+(1-MAX(0,MIN(1,M133)))^2/$B$5))))&lt;0.000000001,0,N133-$B$11/$B$9*((MAX(0,MIN(1,N133))^2/(MAX(0,MIN(1,N133))^2+(1-MAX(0,MIN(1,N133)))^2/$B$5))-(MAX(0,MIN(1,M133))^2/(MAX(0,MIN(1,M133))^2+(1-MAX(0,MIN(1,M133)))^2/$B$5))))</f>
        <v>0.949959462591704</v>
      </c>
      <c r="O134" s="16" t="n">
        <f aca="false">IF(ABS(O133-$B$11/$B$9*((MAX(0,MIN(1,O133))^2/(MAX(0,MIN(1,O133))^2+(1-MAX(0,MIN(1,O133)))^2/$B$5))-(MAX(0,MIN(1,N133))^2/(MAX(0,MIN(1,N133))^2+(1-MAX(0,MIN(1,N133)))^2/$B$5))))&lt;0.000000001,0,O133-$B$11/$B$9*((MAX(0,MIN(1,O133))^2/(MAX(0,MIN(1,O133))^2+(1-MAX(0,MIN(1,O133)))^2/$B$5))-(MAX(0,MIN(1,N133))^2/(MAX(0,MIN(1,N133))^2+(1-MAX(0,MIN(1,N133)))^2/$B$5))))</f>
        <v>0.934652460842092</v>
      </c>
      <c r="P134" s="16" t="n">
        <f aca="false">IF(ABS(P133-$B$11/$B$9*((MAX(0,MIN(1,P133))^2/(MAX(0,MIN(1,P133))^2+(1-MAX(0,MIN(1,P133)))^2/$B$5))-(MAX(0,MIN(1,O133))^2/(MAX(0,MIN(1,O133))^2+(1-MAX(0,MIN(1,O133)))^2/$B$5))))&lt;0.000000001,0,P133-$B$11/$B$9*((MAX(0,MIN(1,P133))^2/(MAX(0,MIN(1,P133))^2+(1-MAX(0,MIN(1,P133)))^2/$B$5))-(MAX(0,MIN(1,O133))^2/(MAX(0,MIN(1,O133))^2+(1-MAX(0,MIN(1,O133)))^2/$B$5))))</f>
        <v>0.920867245342246</v>
      </c>
      <c r="Q134" s="16" t="n">
        <f aca="false">IF(ABS(Q133-$B$11/$B$9*((MAX(0,MIN(1,Q133))^2/(MAX(0,MIN(1,Q133))^2+(1-MAX(0,MIN(1,Q133)))^2/$B$5))-(MAX(0,MIN(1,P133))^2/(MAX(0,MIN(1,P133))^2+(1-MAX(0,MIN(1,P133)))^2/$B$5))))&lt;0.000000001,0,Q133-$B$11/$B$9*((MAX(0,MIN(1,Q133))^2/(MAX(0,MIN(1,Q133))^2+(1-MAX(0,MIN(1,Q133)))^2/$B$5))-(MAX(0,MIN(1,P133))^2/(MAX(0,MIN(1,P133))^2+(1-MAX(0,MIN(1,P133)))^2/$B$5))))</f>
        <v>0.908200547151927</v>
      </c>
      <c r="R134" s="16" t="n">
        <f aca="false">IF(ABS(R133-$B$11/$B$9*((MAX(0,MIN(1,R133))^2/(MAX(0,MIN(1,R133))^2+(1-MAX(0,MIN(1,R133)))^2/$B$5))-(MAX(0,MIN(1,Q133))^2/(MAX(0,MIN(1,Q133))^2+(1-MAX(0,MIN(1,Q133)))^2/$B$5))))&lt;0.000000001,0,R133-$B$11/$B$9*((MAX(0,MIN(1,R133))^2/(MAX(0,MIN(1,R133))^2+(1-MAX(0,MIN(1,R133)))^2/$B$5))-(MAX(0,MIN(1,Q133))^2/(MAX(0,MIN(1,Q133))^2+(1-MAX(0,MIN(1,Q133)))^2/$B$5))))</f>
        <v>0.89642402934921</v>
      </c>
      <c r="S134" s="16" t="n">
        <f aca="false">IF(ABS(S133-$B$11/$B$9*((MAX(0,MIN(1,S133))^2/(MAX(0,MIN(1,S133))^2+(1-MAX(0,MIN(1,S133)))^2/$B$5))-(MAX(0,MIN(1,R133))^2/(MAX(0,MIN(1,R133))^2+(1-MAX(0,MIN(1,R133)))^2/$B$5))))&lt;0.000000001,0,S133-$B$11/$B$9*((MAX(0,MIN(1,S133))^2/(MAX(0,MIN(1,S133))^2+(1-MAX(0,MIN(1,S133)))^2/$B$5))-(MAX(0,MIN(1,R133))^2/(MAX(0,MIN(1,R133))^2+(1-MAX(0,MIN(1,R133)))^2/$B$5))))</f>
        <v>0.885386890596904</v>
      </c>
      <c r="T134" s="16" t="n">
        <f aca="false">IF(ABS(T133-$B$11/$B$9*((MAX(0,MIN(1,T133))^2/(MAX(0,MIN(1,T133))^2+(1-MAX(0,MIN(1,T133)))^2/$B$5))-(MAX(0,MIN(1,S133))^2/(MAX(0,MIN(1,S133))^2+(1-MAX(0,MIN(1,S133)))^2/$B$5))))&lt;0.000000001,0,T133-$B$11/$B$9*((MAX(0,MIN(1,T133))^2/(MAX(0,MIN(1,T133))^2+(1-MAX(0,MIN(1,T133)))^2/$B$5))-(MAX(0,MIN(1,S133))^2/(MAX(0,MIN(1,S133))^2+(1-MAX(0,MIN(1,S133)))^2/$B$5))))</f>
        <v>0.874980339791105</v>
      </c>
      <c r="U134" s="16" t="n">
        <f aca="false">IF(ABS(U133-$B$11/$B$9*((MAX(0,MIN(1,U133))^2/(MAX(0,MIN(1,U133))^2+(1-MAX(0,MIN(1,U133)))^2/$B$5))-(MAX(0,MIN(1,T133))^2/(MAX(0,MIN(1,T133))^2+(1-MAX(0,MIN(1,T133)))^2/$B$5))))&lt;0.000000001,0,U133-$B$11/$B$9*((MAX(0,MIN(1,U133))^2/(MAX(0,MIN(1,U133))^2+(1-MAX(0,MIN(1,U133)))^2/$B$5))-(MAX(0,MIN(1,T133))^2/(MAX(0,MIN(1,T133))^2+(1-MAX(0,MIN(1,T133)))^2/$B$5))))</f>
        <v>0.865121388235934</v>
      </c>
      <c r="V134" s="16" t="n">
        <f aca="false">IF(ABS(V133-$B$11/$B$9*((MAX(0,MIN(1,V133))^2/(MAX(0,MIN(1,V133))^2+(1-MAX(0,MIN(1,V133)))^2/$B$5))-(MAX(0,MIN(1,U133))^2/(MAX(0,MIN(1,U133))^2+(1-MAX(0,MIN(1,U133)))^2/$B$5))))&lt;0.000000001,0,V133-$B$11/$B$9*((MAX(0,MIN(1,V133))^2/(MAX(0,MIN(1,V133))^2+(1-MAX(0,MIN(1,V133)))^2/$B$5))-(MAX(0,MIN(1,U133))^2/(MAX(0,MIN(1,U133))^2+(1-MAX(0,MIN(1,U133)))^2/$B$5))))</f>
        <v>0.855744287300638</v>
      </c>
      <c r="W134" s="16" t="n">
        <f aca="false">IF(ABS(W133-$B$11/$B$9*((MAX(0,MIN(1,W133))^2/(MAX(0,MIN(1,W133))^2+(1-MAX(0,MIN(1,W133)))^2/$B$5))-(MAX(0,MIN(1,V133))^2/(MAX(0,MIN(1,V133))^2+(1-MAX(0,MIN(1,V133)))^2/$B$5))))&lt;0.000000001,0,W133-$B$11/$B$9*((MAX(0,MIN(1,W133))^2/(MAX(0,MIN(1,W133))^2+(1-MAX(0,MIN(1,W133)))^2/$B$5))-(MAX(0,MIN(1,V133))^2/(MAX(0,MIN(1,V133))^2+(1-MAX(0,MIN(1,V133)))^2/$B$5))))</f>
        <v>0.846795511638677</v>
      </c>
      <c r="X134" s="16" t="n">
        <f aca="false">IF(ABS(X133-$B$11/$B$9*((MAX(0,MIN(1,X133))^2/(MAX(0,MIN(1,X133))^2+(1-MAX(0,MIN(1,X133)))^2/$B$5))-(MAX(0,MIN(1,W133))^2/(MAX(0,MIN(1,W133))^2+(1-MAX(0,MIN(1,W133)))^2/$B$5))))&lt;0.000000001,0,X133-$B$11/$B$9*((MAX(0,MIN(1,X133))^2/(MAX(0,MIN(1,X133))^2+(1-MAX(0,MIN(1,X133)))^2/$B$5))-(MAX(0,MIN(1,W133))^2/(MAX(0,MIN(1,W133))^2+(1-MAX(0,MIN(1,W133)))^2/$B$5))))</f>
        <v>0.838230586722967</v>
      </c>
      <c r="Y134" s="16" t="n">
        <f aca="false">IF(ABS(Y133-$B$11/$B$9*((MAX(0,MIN(1,Y133))^2/(MAX(0,MIN(1,Y133))^2+(1-MAX(0,MIN(1,Y133)))^2/$B$5))-(MAX(0,MIN(1,X133))^2/(MAX(0,MIN(1,X133))^2+(1-MAX(0,MIN(1,X133)))^2/$B$5))))&lt;0.000000001,0,Y133-$B$11/$B$9*((MAX(0,MIN(1,Y133))^2/(MAX(0,MIN(1,Y133))^2+(1-MAX(0,MIN(1,Y133)))^2/$B$5))-(MAX(0,MIN(1,X133))^2/(MAX(0,MIN(1,X133))^2+(1-MAX(0,MIN(1,X133)))^2/$B$5))))</f>
        <v>0.830011963092471</v>
      </c>
      <c r="Z134" s="16" t="n">
        <f aca="false">IF(ABS(Z133-$B$11/$B$9*((MAX(0,MIN(1,Z133))^2/(MAX(0,MIN(1,Z133))^2+(1-MAX(0,MIN(1,Z133)))^2/$B$5))-(MAX(0,MIN(1,Y133))^2/(MAX(0,MIN(1,Y133))^2+(1-MAX(0,MIN(1,Y133)))^2/$B$5))))&lt;0.000000001,0,Z133-$B$11/$B$9*((MAX(0,MIN(1,Z133))^2/(MAX(0,MIN(1,Z133))^2+(1-MAX(0,MIN(1,Z133)))^2/$B$5))-(MAX(0,MIN(1,Y133))^2/(MAX(0,MIN(1,Y133))^2+(1-MAX(0,MIN(1,Y133)))^2/$B$5))))</f>
        <v>0.822107526484972</v>
      </c>
      <c r="AA134" s="16" t="n">
        <f aca="false">IF(ABS(AA133-$B$11/$B$9*((MAX(0,MIN(1,AA133))^2/(MAX(0,MIN(1,AA133))^2+(1-MAX(0,MIN(1,AA133)))^2/$B$5))-(MAX(0,MIN(1,Z133))^2/(MAX(0,MIN(1,Z133))^2+(1-MAX(0,MIN(1,Z133)))^2/$B$5))))&lt;0.000000001,0,AA133-$B$11/$B$9*((MAX(0,MIN(1,AA133))^2/(MAX(0,MIN(1,AA133))^2+(1-MAX(0,MIN(1,AA133)))^2/$B$5))-(MAX(0,MIN(1,Z133))^2/(MAX(0,MIN(1,Z133))^2+(1-MAX(0,MIN(1,Z133)))^2/$B$5))))</f>
        <v>0.814489515813683</v>
      </c>
      <c r="AB134" s="16" t="n">
        <f aca="false">IF(ABS(AB133-$B$11/$B$9*((MAX(0,MIN(1,AB133))^2/(MAX(0,MIN(1,AB133))^2+(1-MAX(0,MIN(1,AB133)))^2/$B$5))-(MAX(0,MIN(1,AA133))^2/(MAX(0,MIN(1,AA133))^2+(1-MAX(0,MIN(1,AA133)))^2/$B$5))))&lt;0.000000001,0,AB133-$B$11/$B$9*((MAX(0,MIN(1,AB133))^2/(MAX(0,MIN(1,AB133))^2+(1-MAX(0,MIN(1,AB133)))^2/$B$5))-(MAX(0,MIN(1,AA133))^2/(MAX(0,MIN(1,AA133))^2+(1-MAX(0,MIN(1,AA133)))^2/$B$5))))</f>
        <v>0.807133714469395</v>
      </c>
      <c r="AC134" s="16" t="n">
        <f aca="false">IF(ABS(AC133-$B$11/$B$9*((MAX(0,MIN(1,AC133))^2/(MAX(0,MIN(1,AC133))^2+(1-MAX(0,MIN(1,AC133)))^2/$B$5))-(MAX(0,MIN(1,AB133))^2/(MAX(0,MIN(1,AB133))^2+(1-MAX(0,MIN(1,AB133)))^2/$B$5))))&lt;0.000000001,0,AC133-$B$11/$B$9*((MAX(0,MIN(1,AC133))^2/(MAX(0,MIN(1,AC133))^2+(1-MAX(0,MIN(1,AC133)))^2/$B$5))-(MAX(0,MIN(1,AB133))^2/(MAX(0,MIN(1,AB133))^2+(1-MAX(0,MIN(1,AB133)))^2/$B$5))))</f>
        <v>0.800018831513128</v>
      </c>
      <c r="AD134" s="16" t="n">
        <f aca="false">IF(ABS(AD133-$B$11/$B$9*((MAX(0,MIN(1,AD133))^2/(MAX(0,MIN(1,AD133))^2+(1-MAX(0,MIN(1,AD133)))^2/$B$5))-(MAX(0,MIN(1,AC133))^2/(MAX(0,MIN(1,AC133))^2+(1-MAX(0,MIN(1,AC133)))^2/$B$5))))&lt;0.000000001,0,AD133-$B$11/$B$9*((MAX(0,MIN(1,AD133))^2/(MAX(0,MIN(1,AD133))^2+(1-MAX(0,MIN(1,AD133)))^2/$B$5))-(MAX(0,MIN(1,AC133))^2/(MAX(0,MIN(1,AC133))^2+(1-MAX(0,MIN(1,AC133)))^2/$B$5))))</f>
        <v>0.79312601879178</v>
      </c>
      <c r="AE134" s="16" t="n">
        <f aca="false">IF(ABS(AE133-$B$11/$B$9*((MAX(0,MIN(1,AE133))^2/(MAX(0,MIN(1,AE133))^2+(1-MAX(0,MIN(1,AE133)))^2/$B$5))-(MAX(0,MIN(1,AD133))^2/(MAX(0,MIN(1,AD133))^2+(1-MAX(0,MIN(1,AD133)))^2/$B$5))))&lt;0.000000001,0,AE133-$B$11/$B$9*((MAX(0,MIN(1,AE133))^2/(MAX(0,MIN(1,AE133))^2+(1-MAX(0,MIN(1,AE133)))^2/$B$5))-(MAX(0,MIN(1,AD133))^2/(MAX(0,MIN(1,AD133))^2+(1-MAX(0,MIN(1,AD133)))^2/$B$5))))</f>
        <v>0.786438487811504</v>
      </c>
      <c r="AF134" s="16" t="n">
        <f aca="false">IF(ABS(AF133-$B$11/$B$9*((MAX(0,MIN(1,AF133))^2/(MAX(0,MIN(1,AF133))^2+(1-MAX(0,MIN(1,AF133)))^2/$B$5))-(MAX(0,MIN(1,AE133))^2/(MAX(0,MIN(1,AE133))^2+(1-MAX(0,MIN(1,AE133)))^2/$B$5))))&lt;0.000000001,0,AF133-$B$11/$B$9*((MAX(0,MIN(1,AF133))^2/(MAX(0,MIN(1,AF133))^2+(1-MAX(0,MIN(1,AF133)))^2/$B$5))-(MAX(0,MIN(1,AE133))^2/(MAX(0,MIN(1,AE133))^2+(1-MAX(0,MIN(1,AE133)))^2/$B$5))))</f>
        <v>0.779941201391331</v>
      </c>
    </row>
    <row r="135" customFormat="false" ht="15" hidden="false" customHeight="false" outlineLevel="0" collapsed="false">
      <c r="L135" s="0" t="n">
        <v>125</v>
      </c>
      <c r="M135" s="16" t="n">
        <f aca="false">IF(ABS(M134-$B$11/$B$9*((MAX(0,MIN(1,M134))^2/(MAX(0,MIN(1,M134))^2+(1-MAX(0,MIN(1,M134)))^2/$B$5))-(MAX(0,MIN(1,1))^2/(MAX(0,MIN(1,1))^2+(1-MAX(0,MIN(1,1)))^2/$B$5))))&lt;0.000000001,0,M134-$B$11/$B$9*((MAX(0,MIN(1,M134))^2/(MAX(0,MIN(1,M134))^2+(1-MAX(0,MIN(1,M134)))^2/$B$5))-(MAX(0,MIN(1,1))^2/(MAX(0,MIN(1,1))^2+(1-MAX(0,MIN(1,1)))^2/$B$5))))</f>
        <v>0.967978530962319</v>
      </c>
      <c r="N135" s="16" t="n">
        <f aca="false">IF(ABS(N134-$B$11/$B$9*((MAX(0,MIN(1,N134))^2/(MAX(0,MIN(1,N134))^2+(1-MAX(0,MIN(1,N134)))^2/$B$5))-(MAX(0,MIN(1,M134))^2/(MAX(0,MIN(1,M134))^2+(1-MAX(0,MIN(1,M134)))^2/$B$5))))&lt;0.000000001,0,N134-$B$11/$B$9*((MAX(0,MIN(1,N134))^2/(MAX(0,MIN(1,N134))^2+(1-MAX(0,MIN(1,N134)))^2/$B$5))-(MAX(0,MIN(1,M134))^2/(MAX(0,MIN(1,M134))^2+(1-MAX(0,MIN(1,M134)))^2/$B$5))))</f>
        <v>0.95027903477855</v>
      </c>
      <c r="O135" s="16" t="n">
        <f aca="false">IF(ABS(O134-$B$11/$B$9*((MAX(0,MIN(1,O134))^2/(MAX(0,MIN(1,O134))^2+(1-MAX(0,MIN(1,O134)))^2/$B$5))-(MAX(0,MIN(1,N134))^2/(MAX(0,MIN(1,N134))^2+(1-MAX(0,MIN(1,N134)))^2/$B$5))))&lt;0.000000001,0,O134-$B$11/$B$9*((MAX(0,MIN(1,O134))^2/(MAX(0,MIN(1,O134))^2+(1-MAX(0,MIN(1,O134)))^2/$B$5))-(MAX(0,MIN(1,N134))^2/(MAX(0,MIN(1,N134))^2+(1-MAX(0,MIN(1,N134)))^2/$B$5))))</f>
        <v>0.935057260106396</v>
      </c>
      <c r="P135" s="16" t="n">
        <f aca="false">IF(ABS(P134-$B$11/$B$9*((MAX(0,MIN(1,P134))^2/(MAX(0,MIN(1,P134))^2+(1-MAX(0,MIN(1,P134)))^2/$B$5))-(MAX(0,MIN(1,O134))^2/(MAX(0,MIN(1,O134))^2+(1-MAX(0,MIN(1,O134)))^2/$B$5))))&lt;0.000000001,0,P134-$B$11/$B$9*((MAX(0,MIN(1,P134))^2/(MAX(0,MIN(1,P134))^2+(1-MAX(0,MIN(1,P134)))^2/$B$5))-(MAX(0,MIN(1,O134))^2/(MAX(0,MIN(1,O134))^2+(1-MAX(0,MIN(1,O134)))^2/$B$5))))</f>
        <v>0.921344238534574</v>
      </c>
      <c r="Q135" s="16" t="n">
        <f aca="false">IF(ABS(Q134-$B$11/$B$9*((MAX(0,MIN(1,Q134))^2/(MAX(0,MIN(1,Q134))^2+(1-MAX(0,MIN(1,Q134)))^2/$B$5))-(MAX(0,MIN(1,P134))^2/(MAX(0,MIN(1,P134))^2+(1-MAX(0,MIN(1,P134)))^2/$B$5))))&lt;0.000000001,0,Q134-$B$11/$B$9*((MAX(0,MIN(1,Q134))^2/(MAX(0,MIN(1,Q134))^2+(1-MAX(0,MIN(1,Q134)))^2/$B$5))-(MAX(0,MIN(1,P134))^2/(MAX(0,MIN(1,P134))^2+(1-MAX(0,MIN(1,P134)))^2/$B$5))))</f>
        <v>0.908740356872483</v>
      </c>
      <c r="R135" s="16" t="n">
        <f aca="false">IF(ABS(R134-$B$11/$B$9*((MAX(0,MIN(1,R134))^2/(MAX(0,MIN(1,R134))^2+(1-MAX(0,MIN(1,R134)))^2/$B$5))-(MAX(0,MIN(1,Q134))^2/(MAX(0,MIN(1,Q134))^2+(1-MAX(0,MIN(1,Q134)))^2/$B$5))))&lt;0.000000001,0,R134-$B$11/$B$9*((MAX(0,MIN(1,R134))^2/(MAX(0,MIN(1,R134))^2+(1-MAX(0,MIN(1,R134)))^2/$B$5))-(MAX(0,MIN(1,Q134))^2/(MAX(0,MIN(1,Q134))^2+(1-MAX(0,MIN(1,Q134)))^2/$B$5))))</f>
        <v>0.897019449504676</v>
      </c>
      <c r="S135" s="16" t="n">
        <f aca="false">IF(ABS(S134-$B$11/$B$9*((MAX(0,MIN(1,S134))^2/(MAX(0,MIN(1,S134))^2+(1-MAX(0,MIN(1,S134)))^2/$B$5))-(MAX(0,MIN(1,R134))^2/(MAX(0,MIN(1,R134))^2+(1-MAX(0,MIN(1,R134)))^2/$B$5))))&lt;0.000000001,0,S134-$B$11/$B$9*((MAX(0,MIN(1,S134))^2/(MAX(0,MIN(1,S134))^2+(1-MAX(0,MIN(1,S134)))^2/$B$5))-(MAX(0,MIN(1,R134))^2/(MAX(0,MIN(1,R134))^2+(1-MAX(0,MIN(1,R134)))^2/$B$5))))</f>
        <v>0.886032177516013</v>
      </c>
      <c r="T135" s="16" t="n">
        <f aca="false">IF(ABS(T134-$B$11/$B$9*((MAX(0,MIN(1,T134))^2/(MAX(0,MIN(1,T134))^2+(1-MAX(0,MIN(1,T134)))^2/$B$5))-(MAX(0,MIN(1,S134))^2/(MAX(0,MIN(1,S134))^2+(1-MAX(0,MIN(1,S134)))^2/$B$5))))&lt;0.000000001,0,T134-$B$11/$B$9*((MAX(0,MIN(1,T134))^2/(MAX(0,MIN(1,T134))^2+(1-MAX(0,MIN(1,T134)))^2/$B$5))-(MAX(0,MIN(1,S134))^2/(MAX(0,MIN(1,S134))^2+(1-MAX(0,MIN(1,S134)))^2/$B$5))))</f>
        <v>0.875670806084745</v>
      </c>
      <c r="U135" s="16" t="n">
        <f aca="false">IF(ABS(U134-$B$11/$B$9*((MAX(0,MIN(1,U134))^2/(MAX(0,MIN(1,U134))^2+(1-MAX(0,MIN(1,U134)))^2/$B$5))-(MAX(0,MIN(1,T134))^2/(MAX(0,MIN(1,T134))^2+(1-MAX(0,MIN(1,T134)))^2/$B$5))))&lt;0.000000001,0,U134-$B$11/$B$9*((MAX(0,MIN(1,U134))^2/(MAX(0,MIN(1,U134))^2+(1-MAX(0,MIN(1,U134)))^2/$B$5))-(MAX(0,MIN(1,T134))^2/(MAX(0,MIN(1,T134))^2+(1-MAX(0,MIN(1,T134)))^2/$B$5))))</f>
        <v>0.865853143945824</v>
      </c>
      <c r="V135" s="16" t="n">
        <f aca="false">IF(ABS(V134-$B$11/$B$9*((MAX(0,MIN(1,V134))^2/(MAX(0,MIN(1,V134))^2+(1-MAX(0,MIN(1,V134)))^2/$B$5))-(MAX(0,MIN(1,U134))^2/(MAX(0,MIN(1,U134))^2+(1-MAX(0,MIN(1,U134)))^2/$B$5))))&lt;0.000000001,0,V134-$B$11/$B$9*((MAX(0,MIN(1,V134))^2/(MAX(0,MIN(1,V134))^2+(1-MAX(0,MIN(1,V134)))^2/$B$5))-(MAX(0,MIN(1,U134))^2/(MAX(0,MIN(1,U134))^2+(1-MAX(0,MIN(1,U134)))^2/$B$5))))</f>
        <v>0.856514063273248</v>
      </c>
      <c r="W135" s="16" t="n">
        <f aca="false">IF(ABS(W134-$B$11/$B$9*((MAX(0,MIN(1,W134))^2/(MAX(0,MIN(1,W134))^2+(1-MAX(0,MIN(1,W134)))^2/$B$5))-(MAX(0,MIN(1,V134))^2/(MAX(0,MIN(1,V134))^2+(1-MAX(0,MIN(1,V134)))^2/$B$5))))&lt;0.000000001,0,W134-$B$11/$B$9*((MAX(0,MIN(1,W134))^2/(MAX(0,MIN(1,W134))^2+(1-MAX(0,MIN(1,W134)))^2/$B$5))-(MAX(0,MIN(1,V134))^2/(MAX(0,MIN(1,V134))^2+(1-MAX(0,MIN(1,V134)))^2/$B$5))))</f>
        <v>0.84760053323427</v>
      </c>
      <c r="X135" s="16" t="n">
        <f aca="false">IF(ABS(X134-$B$11/$B$9*((MAX(0,MIN(1,X134))^2/(MAX(0,MIN(1,X134))^2+(1-MAX(0,MIN(1,X134)))^2/$B$5))-(MAX(0,MIN(1,W134))^2/(MAX(0,MIN(1,W134))^2+(1-MAX(0,MIN(1,W134)))^2/$B$5))))&lt;0.000000001,0,X134-$B$11/$B$9*((MAX(0,MIN(1,X134))^2/(MAX(0,MIN(1,X134))^2+(1-MAX(0,MIN(1,X134)))^2/$B$5))-(MAX(0,MIN(1,W134))^2/(MAX(0,MIN(1,W134))^2+(1-MAX(0,MIN(1,W134)))^2/$B$5))))</f>
        <v>0.839068480403553</v>
      </c>
      <c r="Y135" s="16" t="n">
        <f aca="false">IF(ABS(Y134-$B$11/$B$9*((MAX(0,MIN(1,Y134))^2/(MAX(0,MIN(1,Y134))^2+(1-MAX(0,MIN(1,Y134)))^2/$B$5))-(MAX(0,MIN(1,X134))^2/(MAX(0,MIN(1,X134))^2+(1-MAX(0,MIN(1,X134)))^2/$B$5))))&lt;0.000000001,0,Y134-$B$11/$B$9*((MAX(0,MIN(1,Y134))^2/(MAX(0,MIN(1,Y134))^2+(1-MAX(0,MIN(1,Y134)))^2/$B$5))-(MAX(0,MIN(1,X134))^2/(MAX(0,MIN(1,X134))^2+(1-MAX(0,MIN(1,X134)))^2/$B$5))))</f>
        <v>0.830880685533683</v>
      </c>
      <c r="Z135" s="16" t="n">
        <f aca="false">IF(ABS(Z134-$B$11/$B$9*((MAX(0,MIN(1,Z134))^2/(MAX(0,MIN(1,Z134))^2+(1-MAX(0,MIN(1,Z134)))^2/$B$5))-(MAX(0,MIN(1,Y134))^2/(MAX(0,MIN(1,Y134))^2+(1-MAX(0,MIN(1,Y134)))^2/$B$5))))&lt;0.000000001,0,Z134-$B$11/$B$9*((MAX(0,MIN(1,Z134))^2/(MAX(0,MIN(1,Z134))^2+(1-MAX(0,MIN(1,Z134)))^2/$B$5))-(MAX(0,MIN(1,Y134))^2/(MAX(0,MIN(1,Y134))^2+(1-MAX(0,MIN(1,Y134)))^2/$B$5))))</f>
        <v>0.823005309688073</v>
      </c>
      <c r="AA135" s="16" t="n">
        <f aca="false">IF(ABS(AA134-$B$11/$B$9*((MAX(0,MIN(1,AA134))^2/(MAX(0,MIN(1,AA134))^2+(1-MAX(0,MIN(1,AA134)))^2/$B$5))-(MAX(0,MIN(1,Z134))^2/(MAX(0,MIN(1,Z134))^2+(1-MAX(0,MIN(1,Z134)))^2/$B$5))))&lt;0.000000001,0,AA134-$B$11/$B$9*((MAX(0,MIN(1,AA134))^2/(MAX(0,MIN(1,AA134))^2+(1-MAX(0,MIN(1,AA134)))^2/$B$5))-(MAX(0,MIN(1,Z134))^2/(MAX(0,MIN(1,Z134))^2+(1-MAX(0,MIN(1,Z134)))^2/$B$5))))</f>
        <v>0.81541482391291</v>
      </c>
      <c r="AB135" s="16" t="n">
        <f aca="false">IF(ABS(AB134-$B$11/$B$9*((MAX(0,MIN(1,AB134))^2/(MAX(0,MIN(1,AB134))^2+(1-MAX(0,MIN(1,AB134)))^2/$B$5))-(MAX(0,MIN(1,AA134))^2/(MAX(0,MIN(1,AA134))^2+(1-MAX(0,MIN(1,AA134)))^2/$B$5))))&lt;0.000000001,0,AB134-$B$11/$B$9*((MAX(0,MIN(1,AB134))^2/(MAX(0,MIN(1,AB134))^2+(1-MAX(0,MIN(1,AB134)))^2/$B$5))-(MAX(0,MIN(1,AA134))^2/(MAX(0,MIN(1,AA134))^2+(1-MAX(0,MIN(1,AA134)))^2/$B$5))))</f>
        <v>0.808085209288916</v>
      </c>
      <c r="AC135" s="16" t="n">
        <f aca="false">IF(ABS(AC134-$B$11/$B$9*((MAX(0,MIN(1,AC134))^2/(MAX(0,MIN(1,AC134))^2+(1-MAX(0,MIN(1,AC134)))^2/$B$5))-(MAX(0,MIN(1,AB134))^2/(MAX(0,MIN(1,AB134))^2+(1-MAX(0,MIN(1,AB134)))^2/$B$5))))&lt;0.000000001,0,AC134-$B$11/$B$9*((MAX(0,MIN(1,AC134))^2/(MAX(0,MIN(1,AC134))^2+(1-MAX(0,MIN(1,AC134)))^2/$B$5))-(MAX(0,MIN(1,AB134))^2/(MAX(0,MIN(1,AB134))^2+(1-MAX(0,MIN(1,AB134)))^2/$B$5))))</f>
        <v>0.800995344798242</v>
      </c>
      <c r="AD135" s="16" t="n">
        <f aca="false">IF(ABS(AD134-$B$11/$B$9*((MAX(0,MIN(1,AD134))^2/(MAX(0,MIN(1,AD134))^2+(1-MAX(0,MIN(1,AD134)))^2/$B$5))-(MAX(0,MIN(1,AC134))^2/(MAX(0,MIN(1,AC134))^2+(1-MAX(0,MIN(1,AC134)))^2/$B$5))))&lt;0.000000001,0,AD134-$B$11/$B$9*((MAX(0,MIN(1,AD134))^2/(MAX(0,MIN(1,AD134))^2+(1-MAX(0,MIN(1,AD134)))^2/$B$5))-(MAX(0,MIN(1,AC134))^2/(MAX(0,MIN(1,AC134))^2+(1-MAX(0,MIN(1,AC134)))^2/$B$5))))</f>
        <v>0.794126529617082</v>
      </c>
      <c r="AE135" s="16" t="n">
        <f aca="false">IF(ABS(AE134-$B$11/$B$9*((MAX(0,MIN(1,AE134))^2/(MAX(0,MIN(1,AE134))^2+(1-MAX(0,MIN(1,AE134)))^2/$B$5))-(MAX(0,MIN(1,AD134))^2/(MAX(0,MIN(1,AD134))^2+(1-MAX(0,MIN(1,AD134)))^2/$B$5))))&lt;0.000000001,0,AE134-$B$11/$B$9*((MAX(0,MIN(1,AE134))^2/(MAX(0,MIN(1,AE134))^2+(1-MAX(0,MIN(1,AE134)))^2/$B$5))-(MAX(0,MIN(1,AD134))^2/(MAX(0,MIN(1,AD134))^2+(1-MAX(0,MIN(1,AD134)))^2/$B$5))))</f>
        <v>0.787462104064455</v>
      </c>
      <c r="AF135" s="16" t="n">
        <f aca="false">IF(ABS(AF134-$B$11/$B$9*((MAX(0,MIN(1,AF134))^2/(MAX(0,MIN(1,AF134))^2+(1-MAX(0,MIN(1,AF134)))^2/$B$5))-(MAX(0,MIN(1,AE134))^2/(MAX(0,MIN(1,AE134))^2+(1-MAX(0,MIN(1,AE134)))^2/$B$5))))&lt;0.000000001,0,AF134-$B$11/$B$9*((MAX(0,MIN(1,AF134))^2/(MAX(0,MIN(1,AF134))^2+(1-MAX(0,MIN(1,AF134)))^2/$B$5))-(MAX(0,MIN(1,AE134))^2/(MAX(0,MIN(1,AE134))^2+(1-MAX(0,MIN(1,AE134)))^2/$B$5))))</f>
        <v>0.780987144507607</v>
      </c>
    </row>
    <row r="136" customFormat="false" ht="15" hidden="false" customHeight="false" outlineLevel="0" collapsed="false">
      <c r="L136" s="0" t="n">
        <v>126</v>
      </c>
      <c r="M136" s="16" t="n">
        <f aca="false">IF(ABS(M135-$B$11/$B$9*((MAX(0,MIN(1,M135))^2/(MAX(0,MIN(1,M135))^2+(1-MAX(0,MIN(1,M135)))^2/$B$5))-(MAX(0,MIN(1,1))^2/(MAX(0,MIN(1,1))^2+(1-MAX(0,MIN(1,1)))^2/$B$5))))&lt;0.000000001,0,M135-$B$11/$B$9*((MAX(0,MIN(1,M135))^2/(MAX(0,MIN(1,M135))^2+(1-MAX(0,MIN(1,M135)))^2/$B$5))-(MAX(0,MIN(1,1))^2/(MAX(0,MIN(1,1))^2+(1-MAX(0,MIN(1,1)))^2/$B$5))))</f>
        <v>0.96818881934616</v>
      </c>
      <c r="N136" s="16" t="n">
        <f aca="false">IF(ABS(N135-$B$11/$B$9*((MAX(0,MIN(1,N135))^2/(MAX(0,MIN(1,N135))^2+(1-MAX(0,MIN(1,N135)))^2/$B$5))-(MAX(0,MIN(1,M135))^2/(MAX(0,MIN(1,M135))^2+(1-MAX(0,MIN(1,M135)))^2/$B$5))))&lt;0.000000001,0,N135-$B$11/$B$9*((MAX(0,MIN(1,N135))^2/(MAX(0,MIN(1,N135))^2+(1-MAX(0,MIN(1,N135)))^2/$B$5))-(MAX(0,MIN(1,M135))^2/(MAX(0,MIN(1,M135))^2+(1-MAX(0,MIN(1,M135)))^2/$B$5))))</f>
        <v>0.950594381711922</v>
      </c>
      <c r="O136" s="16" t="n">
        <f aca="false">IF(ABS(O135-$B$11/$B$9*((MAX(0,MIN(1,O135))^2/(MAX(0,MIN(1,O135))^2+(1-MAX(0,MIN(1,O135)))^2/$B$5))-(MAX(0,MIN(1,N135))^2/(MAX(0,MIN(1,N135))^2+(1-MAX(0,MIN(1,N135)))^2/$B$5))))&lt;0.000000001,0,O135-$B$11/$B$9*((MAX(0,MIN(1,O135))^2/(MAX(0,MIN(1,O135))^2+(1-MAX(0,MIN(1,O135)))^2/$B$5))-(MAX(0,MIN(1,N135))^2/(MAX(0,MIN(1,N135))^2+(1-MAX(0,MIN(1,N135)))^2/$B$5))))</f>
        <v>0.9354568349534</v>
      </c>
      <c r="P136" s="16" t="n">
        <f aca="false">IF(ABS(P135-$B$11/$B$9*((MAX(0,MIN(1,P135))^2/(MAX(0,MIN(1,P135))^2+(1-MAX(0,MIN(1,P135)))^2/$B$5))-(MAX(0,MIN(1,O135))^2/(MAX(0,MIN(1,O135))^2+(1-MAX(0,MIN(1,O135)))^2/$B$5))))&lt;0.000000001,0,P135-$B$11/$B$9*((MAX(0,MIN(1,P135))^2/(MAX(0,MIN(1,P135))^2+(1-MAX(0,MIN(1,P135)))^2/$B$5))-(MAX(0,MIN(1,O135))^2/(MAX(0,MIN(1,O135))^2+(1-MAX(0,MIN(1,O135)))^2/$B$5))))</f>
        <v>0.921815201587533</v>
      </c>
      <c r="Q136" s="16" t="n">
        <f aca="false">IF(ABS(Q135-$B$11/$B$9*((MAX(0,MIN(1,Q135))^2/(MAX(0,MIN(1,Q135))^2+(1-MAX(0,MIN(1,Q135)))^2/$B$5))-(MAX(0,MIN(1,P135))^2/(MAX(0,MIN(1,P135))^2+(1-MAX(0,MIN(1,P135)))^2/$B$5))))&lt;0.000000001,0,Q135-$B$11/$B$9*((MAX(0,MIN(1,Q135))^2/(MAX(0,MIN(1,Q135))^2+(1-MAX(0,MIN(1,Q135)))^2/$B$5))-(MAX(0,MIN(1,P135))^2/(MAX(0,MIN(1,P135))^2+(1-MAX(0,MIN(1,P135)))^2/$B$5))))</f>
        <v>0.909273463650563</v>
      </c>
      <c r="R136" s="16" t="n">
        <f aca="false">IF(ABS(R135-$B$11/$B$9*((MAX(0,MIN(1,R135))^2/(MAX(0,MIN(1,R135))^2+(1-MAX(0,MIN(1,R135)))^2/$B$5))-(MAX(0,MIN(1,Q135))^2/(MAX(0,MIN(1,Q135))^2+(1-MAX(0,MIN(1,Q135)))^2/$B$5))))&lt;0.000000001,0,R135-$B$11/$B$9*((MAX(0,MIN(1,R135))^2/(MAX(0,MIN(1,R135))^2+(1-MAX(0,MIN(1,R135)))^2/$B$5))-(MAX(0,MIN(1,Q135))^2/(MAX(0,MIN(1,Q135))^2+(1-MAX(0,MIN(1,Q135)))^2/$B$5))))</f>
        <v>0.89760759103241</v>
      </c>
      <c r="S136" s="16" t="n">
        <f aca="false">IF(ABS(S135-$B$11/$B$9*((MAX(0,MIN(1,S135))^2/(MAX(0,MIN(1,S135))^2+(1-MAX(0,MIN(1,S135)))^2/$B$5))-(MAX(0,MIN(1,R135))^2/(MAX(0,MIN(1,R135))^2+(1-MAX(0,MIN(1,R135)))^2/$B$5))))&lt;0.000000001,0,S135-$B$11/$B$9*((MAX(0,MIN(1,S135))^2/(MAX(0,MIN(1,S135))^2+(1-MAX(0,MIN(1,S135)))^2/$B$5))-(MAX(0,MIN(1,R135))^2/(MAX(0,MIN(1,R135))^2+(1-MAX(0,MIN(1,R135)))^2/$B$5))))</f>
        <v>0.886669683593471</v>
      </c>
      <c r="T136" s="16" t="n">
        <f aca="false">IF(ABS(T135-$B$11/$B$9*((MAX(0,MIN(1,T135))^2/(MAX(0,MIN(1,T135))^2+(1-MAX(0,MIN(1,T135)))^2/$B$5))-(MAX(0,MIN(1,S135))^2/(MAX(0,MIN(1,S135))^2+(1-MAX(0,MIN(1,S135)))^2/$B$5))))&lt;0.000000001,0,T135-$B$11/$B$9*((MAX(0,MIN(1,T135))^2/(MAX(0,MIN(1,T135))^2+(1-MAX(0,MIN(1,T135)))^2/$B$5))-(MAX(0,MIN(1,S135))^2/(MAX(0,MIN(1,S135))^2+(1-MAX(0,MIN(1,S135)))^2/$B$5))))</f>
        <v>0.876353046168267</v>
      </c>
      <c r="U136" s="16" t="n">
        <f aca="false">IF(ABS(U135-$B$11/$B$9*((MAX(0,MIN(1,U135))^2/(MAX(0,MIN(1,U135))^2+(1-MAX(0,MIN(1,U135)))^2/$B$5))-(MAX(0,MIN(1,T135))^2/(MAX(0,MIN(1,T135))^2+(1-MAX(0,MIN(1,T135)))^2/$B$5))))&lt;0.000000001,0,U135-$B$11/$B$9*((MAX(0,MIN(1,U135))^2/(MAX(0,MIN(1,U135))^2+(1-MAX(0,MIN(1,U135)))^2/$B$5))-(MAX(0,MIN(1,T135))^2/(MAX(0,MIN(1,T135))^2+(1-MAX(0,MIN(1,T135)))^2/$B$5))))</f>
        <v>0.866576272742013</v>
      </c>
      <c r="V136" s="16" t="n">
        <f aca="false">IF(ABS(V135-$B$11/$B$9*((MAX(0,MIN(1,V135))^2/(MAX(0,MIN(1,V135))^2+(1-MAX(0,MIN(1,V135)))^2/$B$5))-(MAX(0,MIN(1,U135))^2/(MAX(0,MIN(1,U135))^2+(1-MAX(0,MIN(1,U135)))^2/$B$5))))&lt;0.000000001,0,V135-$B$11/$B$9*((MAX(0,MIN(1,V135))^2/(MAX(0,MIN(1,V135))^2+(1-MAX(0,MIN(1,V135)))^2/$B$5))-(MAX(0,MIN(1,U135))^2/(MAX(0,MIN(1,U135))^2+(1-MAX(0,MIN(1,U135)))^2/$B$5))))</f>
        <v>0.85727484709726</v>
      </c>
      <c r="W136" s="16" t="n">
        <f aca="false">IF(ABS(W135-$B$11/$B$9*((MAX(0,MIN(1,W135))^2/(MAX(0,MIN(1,W135))^2+(1-MAX(0,MIN(1,W135)))^2/$B$5))-(MAX(0,MIN(1,V135))^2/(MAX(0,MIN(1,V135))^2+(1-MAX(0,MIN(1,V135)))^2/$B$5))))&lt;0.000000001,0,W135-$B$11/$B$9*((MAX(0,MIN(1,W135))^2/(MAX(0,MIN(1,W135))^2+(1-MAX(0,MIN(1,W135)))^2/$B$5))-(MAX(0,MIN(1,V135))^2/(MAX(0,MIN(1,V135))^2+(1-MAX(0,MIN(1,V135)))^2/$B$5))))</f>
        <v>0.848396225805087</v>
      </c>
      <c r="X136" s="16" t="n">
        <f aca="false">IF(ABS(X135-$B$11/$B$9*((MAX(0,MIN(1,X135))^2/(MAX(0,MIN(1,X135))^2+(1-MAX(0,MIN(1,X135)))^2/$B$5))-(MAX(0,MIN(1,W135))^2/(MAX(0,MIN(1,W135))^2+(1-MAX(0,MIN(1,W135)))^2/$B$5))))&lt;0.000000001,0,X135-$B$11/$B$9*((MAX(0,MIN(1,X135))^2/(MAX(0,MIN(1,X135))^2+(1-MAX(0,MIN(1,X135)))^2/$B$5))-(MAX(0,MIN(1,W135))^2/(MAX(0,MIN(1,W135))^2+(1-MAX(0,MIN(1,W135)))^2/$B$5))))</f>
        <v>0.839896730934085</v>
      </c>
      <c r="Y136" s="16" t="n">
        <f aca="false">IF(ABS(Y135-$B$11/$B$9*((MAX(0,MIN(1,Y135))^2/(MAX(0,MIN(1,Y135))^2+(1-MAX(0,MIN(1,Y135)))^2/$B$5))-(MAX(0,MIN(1,X135))^2/(MAX(0,MIN(1,X135))^2+(1-MAX(0,MIN(1,X135)))^2/$B$5))))&lt;0.000000001,0,Y135-$B$11/$B$9*((MAX(0,MIN(1,Y135))^2/(MAX(0,MIN(1,Y135))^2+(1-MAX(0,MIN(1,Y135)))^2/$B$5))-(MAX(0,MIN(1,X135))^2/(MAX(0,MIN(1,X135))^2+(1-MAX(0,MIN(1,X135)))^2/$B$5))))</f>
        <v>0.831739468948868</v>
      </c>
      <c r="Z136" s="16" t="n">
        <f aca="false">IF(ABS(Z135-$B$11/$B$9*((MAX(0,MIN(1,Z135))^2/(MAX(0,MIN(1,Z135))^2+(1-MAX(0,MIN(1,Z135)))^2/$B$5))-(MAX(0,MIN(1,Y135))^2/(MAX(0,MIN(1,Y135))^2+(1-MAX(0,MIN(1,Y135)))^2/$B$5))))&lt;0.000000001,0,Z135-$B$11/$B$9*((MAX(0,MIN(1,Z135))^2/(MAX(0,MIN(1,Z135))^2+(1-MAX(0,MIN(1,Z135)))^2/$B$5))-(MAX(0,MIN(1,Y135))^2/(MAX(0,MIN(1,Y135))^2+(1-MAX(0,MIN(1,Y135)))^2/$B$5))))</f>
        <v>0.823892872565826</v>
      </c>
      <c r="AA136" s="16" t="n">
        <f aca="false">IF(ABS(AA135-$B$11/$B$9*((MAX(0,MIN(1,AA135))^2/(MAX(0,MIN(1,AA135))^2+(1-MAX(0,MIN(1,AA135)))^2/$B$5))-(MAX(0,MIN(1,Z135))^2/(MAX(0,MIN(1,Z135))^2+(1-MAX(0,MIN(1,Z135)))^2/$B$5))))&lt;0.000000001,0,AA135-$B$11/$B$9*((MAX(0,MIN(1,AA135))^2/(MAX(0,MIN(1,AA135))^2+(1-MAX(0,MIN(1,AA135)))^2/$B$5))-(MAX(0,MIN(1,Z135))^2/(MAX(0,MIN(1,Z135))^2+(1-MAX(0,MIN(1,Z135)))^2/$B$5))))</f>
        <v>0.816329641921045</v>
      </c>
      <c r="AB136" s="16" t="n">
        <f aca="false">IF(ABS(AB135-$B$11/$B$9*((MAX(0,MIN(1,AB135))^2/(MAX(0,MIN(1,AB135))^2+(1-MAX(0,MIN(1,AB135)))^2/$B$5))-(MAX(0,MIN(1,AA135))^2/(MAX(0,MIN(1,AA135))^2+(1-MAX(0,MIN(1,AA135)))^2/$B$5))))&lt;0.000000001,0,AB135-$B$11/$B$9*((MAX(0,MIN(1,AB135))^2/(MAX(0,MIN(1,AB135))^2+(1-MAX(0,MIN(1,AB135)))^2/$B$5))-(MAX(0,MIN(1,AA135))^2/(MAX(0,MIN(1,AA135))^2+(1-MAX(0,MIN(1,AA135)))^2/$B$5))))</f>
        <v>0.809025953225026</v>
      </c>
      <c r="AC136" s="16" t="n">
        <f aca="false">IF(ABS(AC135-$B$11/$B$9*((MAX(0,MIN(1,AC135))^2/(MAX(0,MIN(1,AC135))^2+(1-MAX(0,MIN(1,AC135)))^2/$B$5))-(MAX(0,MIN(1,AB135))^2/(MAX(0,MIN(1,AB135))^2+(1-MAX(0,MIN(1,AB135)))^2/$B$5))))&lt;0.000000001,0,AC135-$B$11/$B$9*((MAX(0,MIN(1,AC135))^2/(MAX(0,MIN(1,AC135))^2+(1-MAX(0,MIN(1,AC135)))^2/$B$5))-(MAX(0,MIN(1,AB135))^2/(MAX(0,MIN(1,AB135))^2+(1-MAX(0,MIN(1,AB135)))^2/$B$5))))</f>
        <v>0.801960853193739</v>
      </c>
      <c r="AD136" s="16" t="n">
        <f aca="false">IF(ABS(AD135-$B$11/$B$9*((MAX(0,MIN(1,AD135))^2/(MAX(0,MIN(1,AD135))^2+(1-MAX(0,MIN(1,AD135)))^2/$B$5))-(MAX(0,MIN(1,AC135))^2/(MAX(0,MIN(1,AC135))^2+(1-MAX(0,MIN(1,AC135)))^2/$B$5))))&lt;0.000000001,0,AD135-$B$11/$B$9*((MAX(0,MIN(1,AD135))^2/(MAX(0,MIN(1,AD135))^2+(1-MAX(0,MIN(1,AD135)))^2/$B$5))-(MAX(0,MIN(1,AC135))^2/(MAX(0,MIN(1,AC135))^2+(1-MAX(0,MIN(1,AC135)))^2/$B$5))))</f>
        <v>0.795115786433971</v>
      </c>
      <c r="AE136" s="16" t="n">
        <f aca="false">IF(ABS(AE135-$B$11/$B$9*((MAX(0,MIN(1,AE135))^2/(MAX(0,MIN(1,AE135))^2+(1-MAX(0,MIN(1,AE135)))^2/$B$5))-(MAX(0,MIN(1,AD135))^2/(MAX(0,MIN(1,AD135))^2+(1-MAX(0,MIN(1,AD135)))^2/$B$5))))&lt;0.000000001,0,AE135-$B$11/$B$9*((MAX(0,MIN(1,AE135))^2/(MAX(0,MIN(1,AE135))^2+(1-MAX(0,MIN(1,AE135)))^2/$B$5))-(MAX(0,MIN(1,AD135))^2/(MAX(0,MIN(1,AD135))^2+(1-MAX(0,MIN(1,AD135)))^2/$B$5))))</f>
        <v>0.788474220401812</v>
      </c>
      <c r="AF136" s="16" t="n">
        <f aca="false">IF(ABS(AF135-$B$11/$B$9*((MAX(0,MIN(1,AF135))^2/(MAX(0,MIN(1,AF135))^2+(1-MAX(0,MIN(1,AF135)))^2/$B$5))-(MAX(0,MIN(1,AE135))^2/(MAX(0,MIN(1,AE135))^2+(1-MAX(0,MIN(1,AE135)))^2/$B$5))))&lt;0.000000001,0,AF135-$B$11/$B$9*((MAX(0,MIN(1,AF135))^2/(MAX(0,MIN(1,AF135))^2+(1-MAX(0,MIN(1,AF135)))^2/$B$5))-(MAX(0,MIN(1,AE135))^2/(MAX(0,MIN(1,AE135))^2+(1-MAX(0,MIN(1,AE135)))^2/$B$5))))</f>
        <v>0.782021343507584</v>
      </c>
    </row>
    <row r="137" customFormat="false" ht="15" hidden="false" customHeight="false" outlineLevel="0" collapsed="false">
      <c r="L137" s="0" t="n">
        <v>127</v>
      </c>
      <c r="M137" s="16" t="n">
        <f aca="false">IF(ABS(M136-$B$11/$B$9*((MAX(0,MIN(1,M136))^2/(MAX(0,MIN(1,M136))^2+(1-MAX(0,MIN(1,M136)))^2/$B$5))-(MAX(0,MIN(1,1))^2/(MAX(0,MIN(1,1))^2+(1-MAX(0,MIN(1,1)))^2/$B$5))))&lt;0.000000001,0,M136-$B$11/$B$9*((MAX(0,MIN(1,M136))^2/(MAX(0,MIN(1,M136))^2+(1-MAX(0,MIN(1,M136)))^2/$B$5))-(MAX(0,MIN(1,1))^2/(MAX(0,MIN(1,1))^2+(1-MAX(0,MIN(1,1)))^2/$B$5))))</f>
        <v>0.968396266217935</v>
      </c>
      <c r="N137" s="16" t="n">
        <f aca="false">IF(ABS(N136-$B$11/$B$9*((MAX(0,MIN(1,N136))^2/(MAX(0,MIN(1,N136))^2+(1-MAX(0,MIN(1,N136)))^2/$B$5))-(MAX(0,MIN(1,M136))^2/(MAX(0,MIN(1,M136))^2+(1-MAX(0,MIN(1,M136)))^2/$B$5))))&lt;0.000000001,0,N136-$B$11/$B$9*((MAX(0,MIN(1,N136))^2/(MAX(0,MIN(1,N136))^2+(1-MAX(0,MIN(1,N136)))^2/$B$5))-(MAX(0,MIN(1,M136))^2/(MAX(0,MIN(1,M136))^2+(1-MAX(0,MIN(1,M136)))^2/$B$5))))</f>
        <v>0.950905588943207</v>
      </c>
      <c r="O137" s="16" t="n">
        <f aca="false">IF(ABS(O136-$B$11/$B$9*((MAX(0,MIN(1,O136))^2/(MAX(0,MIN(1,O136))^2+(1-MAX(0,MIN(1,O136)))^2/$B$5))-(MAX(0,MIN(1,N136))^2/(MAX(0,MIN(1,N136))^2+(1-MAX(0,MIN(1,N136)))^2/$B$5))))&lt;0.000000001,0,O136-$B$11/$B$9*((MAX(0,MIN(1,O136))^2/(MAX(0,MIN(1,O136))^2+(1-MAX(0,MIN(1,O136)))^2/$B$5))-(MAX(0,MIN(1,N136))^2/(MAX(0,MIN(1,N136))^2+(1-MAX(0,MIN(1,N136)))^2/$B$5))))</f>
        <v>0.93585128918346</v>
      </c>
      <c r="P137" s="16" t="n">
        <f aca="false">IF(ABS(P136-$B$11/$B$9*((MAX(0,MIN(1,P136))^2/(MAX(0,MIN(1,P136))^2+(1-MAX(0,MIN(1,P136)))^2/$B$5))-(MAX(0,MIN(1,O136))^2/(MAX(0,MIN(1,O136))^2+(1-MAX(0,MIN(1,O136)))^2/$B$5))))&lt;0.000000001,0,P136-$B$11/$B$9*((MAX(0,MIN(1,P136))^2/(MAX(0,MIN(1,P136))^2+(1-MAX(0,MIN(1,P136)))^2/$B$5))-(MAX(0,MIN(1,O136))^2/(MAX(0,MIN(1,O136))^2+(1-MAX(0,MIN(1,O136)))^2/$B$5))))</f>
        <v>0.922280252492675</v>
      </c>
      <c r="Q137" s="16" t="n">
        <f aca="false">IF(ABS(Q136-$B$11/$B$9*((MAX(0,MIN(1,Q136))^2/(MAX(0,MIN(1,Q136))^2+(1-MAX(0,MIN(1,Q136)))^2/$B$5))-(MAX(0,MIN(1,P136))^2/(MAX(0,MIN(1,P136))^2+(1-MAX(0,MIN(1,P136)))^2/$B$5))))&lt;0.000000001,0,Q136-$B$11/$B$9*((MAX(0,MIN(1,Q136))^2/(MAX(0,MIN(1,Q136))^2+(1-MAX(0,MIN(1,Q136)))^2/$B$5))-(MAX(0,MIN(1,P136))^2/(MAX(0,MIN(1,P136))^2+(1-MAX(0,MIN(1,P136)))^2/$B$5))))</f>
        <v>0.909799997022848</v>
      </c>
      <c r="R137" s="16" t="n">
        <f aca="false">IF(ABS(R136-$B$11/$B$9*((MAX(0,MIN(1,R136))^2/(MAX(0,MIN(1,R136))^2+(1-MAX(0,MIN(1,R136)))^2/$B$5))-(MAX(0,MIN(1,Q136))^2/(MAX(0,MIN(1,Q136))^2+(1-MAX(0,MIN(1,Q136)))^2/$B$5))))&lt;0.000000001,0,R136-$B$11/$B$9*((MAX(0,MIN(1,R136))^2/(MAX(0,MIN(1,R136))^2+(1-MAX(0,MIN(1,R136)))^2/$B$5))-(MAX(0,MIN(1,Q136))^2/(MAX(0,MIN(1,Q136))^2+(1-MAX(0,MIN(1,Q136)))^2/$B$5))))</f>
        <v>0.898188593184523</v>
      </c>
      <c r="S137" s="16" t="n">
        <f aca="false">IF(ABS(S136-$B$11/$B$9*((MAX(0,MIN(1,S136))^2/(MAX(0,MIN(1,S136))^2+(1-MAX(0,MIN(1,S136)))^2/$B$5))-(MAX(0,MIN(1,R136))^2/(MAX(0,MIN(1,R136))^2+(1-MAX(0,MIN(1,R136)))^2/$B$5))))&lt;0.000000001,0,S136-$B$11/$B$9*((MAX(0,MIN(1,S136))^2/(MAX(0,MIN(1,S136))^2+(1-MAX(0,MIN(1,S136)))^2/$B$5))-(MAX(0,MIN(1,R136))^2/(MAX(0,MIN(1,R136))^2+(1-MAX(0,MIN(1,R136)))^2/$B$5))))</f>
        <v>0.887299556490475</v>
      </c>
      <c r="T137" s="16" t="n">
        <f aca="false">IF(ABS(T136-$B$11/$B$9*((MAX(0,MIN(1,T136))^2/(MAX(0,MIN(1,T136))^2+(1-MAX(0,MIN(1,T136)))^2/$B$5))-(MAX(0,MIN(1,S136))^2/(MAX(0,MIN(1,S136))^2+(1-MAX(0,MIN(1,S136)))^2/$B$5))))&lt;0.000000001,0,T136-$B$11/$B$9*((MAX(0,MIN(1,T136))^2/(MAX(0,MIN(1,T136))^2+(1-MAX(0,MIN(1,T136)))^2/$B$5))-(MAX(0,MIN(1,S136))^2/(MAX(0,MIN(1,S136))^2+(1-MAX(0,MIN(1,S136)))^2/$B$5))))</f>
        <v>0.877027215162145</v>
      </c>
      <c r="U137" s="16" t="n">
        <f aca="false">IF(ABS(U136-$B$11/$B$9*((MAX(0,MIN(1,U136))^2/(MAX(0,MIN(1,U136))^2+(1-MAX(0,MIN(1,U136)))^2/$B$5))-(MAX(0,MIN(1,T136))^2/(MAX(0,MIN(1,T136))^2+(1-MAX(0,MIN(1,T136)))^2/$B$5))))&lt;0.000000001,0,U136-$B$11/$B$9*((MAX(0,MIN(1,U136))^2/(MAX(0,MIN(1,U136))^2+(1-MAX(0,MIN(1,U136)))^2/$B$5))-(MAX(0,MIN(1,T136))^2/(MAX(0,MIN(1,T136))^2+(1-MAX(0,MIN(1,T136)))^2/$B$5))))</f>
        <v>0.867290936507851</v>
      </c>
      <c r="V137" s="16" t="n">
        <f aca="false">IF(ABS(V136-$B$11/$B$9*((MAX(0,MIN(1,V136))^2/(MAX(0,MIN(1,V136))^2+(1-MAX(0,MIN(1,V136)))^2/$B$5))-(MAX(0,MIN(1,U136))^2/(MAX(0,MIN(1,U136))^2+(1-MAX(0,MIN(1,U136)))^2/$B$5))))&lt;0.000000001,0,V136-$B$11/$B$9*((MAX(0,MIN(1,V136))^2/(MAX(0,MIN(1,V136))^2+(1-MAX(0,MIN(1,V136)))^2/$B$5))-(MAX(0,MIN(1,U136))^2/(MAX(0,MIN(1,U136))^2+(1-MAX(0,MIN(1,U136)))^2/$B$5))))</f>
        <v>0.858026806908685</v>
      </c>
      <c r="W137" s="16" t="n">
        <f aca="false">IF(ABS(W136-$B$11/$B$9*((MAX(0,MIN(1,W136))^2/(MAX(0,MIN(1,W136))^2+(1-MAX(0,MIN(1,W136)))^2/$B$5))-(MAX(0,MIN(1,V136))^2/(MAX(0,MIN(1,V136))^2+(1-MAX(0,MIN(1,V136)))^2/$B$5))))&lt;0.000000001,0,W136-$B$11/$B$9*((MAX(0,MIN(1,W136))^2/(MAX(0,MIN(1,W136))^2+(1-MAX(0,MIN(1,W136)))^2/$B$5))-(MAX(0,MIN(1,V136))^2/(MAX(0,MIN(1,V136))^2+(1-MAX(0,MIN(1,V136)))^2/$B$5))))</f>
        <v>0.849182763370285</v>
      </c>
      <c r="X137" s="16" t="n">
        <f aca="false">IF(ABS(X136-$B$11/$B$9*((MAX(0,MIN(1,X136))^2/(MAX(0,MIN(1,X136))^2+(1-MAX(0,MIN(1,X136)))^2/$B$5))-(MAX(0,MIN(1,W136))^2/(MAX(0,MIN(1,W136))^2+(1-MAX(0,MIN(1,W136)))^2/$B$5))))&lt;0.000000001,0,X136-$B$11/$B$9*((MAX(0,MIN(1,X136))^2/(MAX(0,MIN(1,X136))^2+(1-MAX(0,MIN(1,X136)))^2/$B$5))-(MAX(0,MIN(1,W136))^2/(MAX(0,MIN(1,W136))^2+(1-MAX(0,MIN(1,W136)))^2/$B$5))))</f>
        <v>0.840715517956518</v>
      </c>
      <c r="Y137" s="16" t="n">
        <f aca="false">IF(ABS(Y136-$B$11/$B$9*((MAX(0,MIN(1,Y136))^2/(MAX(0,MIN(1,Y136))^2+(1-MAX(0,MIN(1,Y136)))^2/$B$5))-(MAX(0,MIN(1,X136))^2/(MAX(0,MIN(1,X136))^2+(1-MAX(0,MIN(1,X136)))^2/$B$5))))&lt;0.000000001,0,Y136-$B$11/$B$9*((MAX(0,MIN(1,Y136))^2/(MAX(0,MIN(1,Y136))^2+(1-MAX(0,MIN(1,Y136)))^2/$B$5))-(MAX(0,MIN(1,X136))^2/(MAX(0,MIN(1,X136))^2+(1-MAX(0,MIN(1,X136)))^2/$B$5))))</f>
        <v>0.83258849842927</v>
      </c>
      <c r="Z137" s="16" t="n">
        <f aca="false">IF(ABS(Z136-$B$11/$B$9*((MAX(0,MIN(1,Z136))^2/(MAX(0,MIN(1,Z136))^2+(1-MAX(0,MIN(1,Z136)))^2/$B$5))-(MAX(0,MIN(1,Y136))^2/(MAX(0,MIN(1,Y136))^2+(1-MAX(0,MIN(1,Y136)))^2/$B$5))))&lt;0.000000001,0,Z136-$B$11/$B$9*((MAX(0,MIN(1,Z136))^2/(MAX(0,MIN(1,Z136))^2+(1-MAX(0,MIN(1,Z136)))^2/$B$5))-(MAX(0,MIN(1,Y136))^2/(MAX(0,MIN(1,Y136))^2+(1-MAX(0,MIN(1,Y136)))^2/$B$5))))</f>
        <v>0.82477040555614</v>
      </c>
      <c r="AA137" s="16" t="n">
        <f aca="false">IF(ABS(AA136-$B$11/$B$9*((MAX(0,MIN(1,AA136))^2/(MAX(0,MIN(1,AA136))^2+(1-MAX(0,MIN(1,AA136)))^2/$B$5))-(MAX(0,MIN(1,Z136))^2/(MAX(0,MIN(1,Z136))^2+(1-MAX(0,MIN(1,Z136)))^2/$B$5))))&lt;0.000000001,0,AA136-$B$11/$B$9*((MAX(0,MIN(1,AA136))^2/(MAX(0,MIN(1,AA136))^2+(1-MAX(0,MIN(1,AA136)))^2/$B$5))-(MAX(0,MIN(1,Z136))^2/(MAX(0,MIN(1,Z136))^2+(1-MAX(0,MIN(1,Z136)))^2/$B$5))))</f>
        <v>0.81723416557945</v>
      </c>
      <c r="AB137" s="16" t="n">
        <f aca="false">IF(ABS(AB136-$B$11/$B$9*((MAX(0,MIN(1,AB136))^2/(MAX(0,MIN(1,AB136))^2+(1-MAX(0,MIN(1,AB136)))^2/$B$5))-(MAX(0,MIN(1,AA136))^2/(MAX(0,MIN(1,AA136))^2+(1-MAX(0,MIN(1,AA136)))^2/$B$5))))&lt;0.000000001,0,AB136-$B$11/$B$9*((MAX(0,MIN(1,AB136))^2/(MAX(0,MIN(1,AB136))^2+(1-MAX(0,MIN(1,AB136)))^2/$B$5))-(MAX(0,MIN(1,AA136))^2/(MAX(0,MIN(1,AA136))^2+(1-MAX(0,MIN(1,AA136)))^2/$B$5))))</f>
        <v>0.809956147330535</v>
      </c>
      <c r="AC137" s="16" t="n">
        <f aca="false">IF(ABS(AC136-$B$11/$B$9*((MAX(0,MIN(1,AC136))^2/(MAX(0,MIN(1,AC136))^2+(1-MAX(0,MIN(1,AC136)))^2/$B$5))-(MAX(0,MIN(1,AB136))^2/(MAX(0,MIN(1,AB136))^2+(1-MAX(0,MIN(1,AB136)))^2/$B$5))))&lt;0.000000001,0,AC136-$B$11/$B$9*((MAX(0,MIN(1,AC136))^2/(MAX(0,MIN(1,AC136))^2+(1-MAX(0,MIN(1,AC136)))^2/$B$5))-(MAX(0,MIN(1,AB136))^2/(MAX(0,MIN(1,AB136))^2+(1-MAX(0,MIN(1,AB136)))^2/$B$5))))</f>
        <v>0.802915563117325</v>
      </c>
      <c r="AD137" s="16" t="n">
        <f aca="false">IF(ABS(AD136-$B$11/$B$9*((MAX(0,MIN(1,AD136))^2/(MAX(0,MIN(1,AD136))^2+(1-MAX(0,MIN(1,AD136)))^2/$B$5))-(MAX(0,MIN(1,AC136))^2/(MAX(0,MIN(1,AC136))^2+(1-MAX(0,MIN(1,AC136)))^2/$B$5))))&lt;0.000000001,0,AD136-$B$11/$B$9*((MAX(0,MIN(1,AD136))^2/(MAX(0,MIN(1,AD136))^2+(1-MAX(0,MIN(1,AD136)))^2/$B$5))-(MAX(0,MIN(1,AC136))^2/(MAX(0,MIN(1,AC136))^2+(1-MAX(0,MIN(1,AC136)))^2/$B$5))))</f>
        <v>0.796094001120065</v>
      </c>
      <c r="AE137" s="16" t="n">
        <f aca="false">IF(ABS(AE136-$B$11/$B$9*((MAX(0,MIN(1,AE136))^2/(MAX(0,MIN(1,AE136))^2+(1-MAX(0,MIN(1,AE136)))^2/$B$5))-(MAX(0,MIN(1,AD136))^2/(MAX(0,MIN(1,AD136))^2+(1-MAX(0,MIN(1,AD136)))^2/$B$5))))&lt;0.000000001,0,AE136-$B$11/$B$9*((MAX(0,MIN(1,AE136))^2/(MAX(0,MIN(1,AE136))^2+(1-MAX(0,MIN(1,AE136)))^2/$B$5))-(MAX(0,MIN(1,AD136))^2/(MAX(0,MIN(1,AD136))^2+(1-MAX(0,MIN(1,AD136)))^2/$B$5))))</f>
        <v>0.789475054295334</v>
      </c>
      <c r="AF137" s="16" t="n">
        <f aca="false">IF(ABS(AF136-$B$11/$B$9*((MAX(0,MIN(1,AF136))^2/(MAX(0,MIN(1,AF136))^2+(1-MAX(0,MIN(1,AF136)))^2/$B$5))-(MAX(0,MIN(1,AE136))^2/(MAX(0,MIN(1,AE136))^2+(1-MAX(0,MIN(1,AE136)))^2/$B$5))))&lt;0.000000001,0,AF136-$B$11/$B$9*((MAX(0,MIN(1,AF136))^2/(MAX(0,MIN(1,AF136))^2+(1-MAX(0,MIN(1,AF136)))^2/$B$5))-(MAX(0,MIN(1,AE136))^2/(MAX(0,MIN(1,AE136))^2+(1-MAX(0,MIN(1,AE136)))^2/$B$5))))</f>
        <v>0.783044021629483</v>
      </c>
    </row>
    <row r="138" customFormat="false" ht="15" hidden="false" customHeight="false" outlineLevel="0" collapsed="false">
      <c r="L138" s="0" t="n">
        <v>128</v>
      </c>
      <c r="M138" s="16" t="n">
        <f aca="false">IF(ABS(M137-$B$11/$B$9*((MAX(0,MIN(1,M137))^2/(MAX(0,MIN(1,M137))^2+(1-MAX(0,MIN(1,M137)))^2/$B$5))-(MAX(0,MIN(1,1))^2/(MAX(0,MIN(1,1))^2+(1-MAX(0,MIN(1,1)))^2/$B$5))))&lt;0.000000001,0,M137-$B$11/$B$9*((MAX(0,MIN(1,M137))^2/(MAX(0,MIN(1,M137))^2+(1-MAX(0,MIN(1,M137)))^2/$B$5))-(MAX(0,MIN(1,1))^2/(MAX(0,MIN(1,1))^2+(1-MAX(0,MIN(1,1)))^2/$B$5))))</f>
        <v>0.968600930078661</v>
      </c>
      <c r="N138" s="16" t="n">
        <f aca="false">IF(ABS(N137-$B$11/$B$9*((MAX(0,MIN(1,N137))^2/(MAX(0,MIN(1,N137))^2+(1-MAX(0,MIN(1,N137)))^2/$B$5))-(MAX(0,MIN(1,M137))^2/(MAX(0,MIN(1,M137))^2+(1-MAX(0,MIN(1,M137)))^2/$B$5))))&lt;0.000000001,0,N137-$B$11/$B$9*((MAX(0,MIN(1,N137))^2/(MAX(0,MIN(1,N137))^2+(1-MAX(0,MIN(1,N137)))^2/$B$5))-(MAX(0,MIN(1,M137))^2/(MAX(0,MIN(1,M137))^2+(1-MAX(0,MIN(1,M137)))^2/$B$5))))</f>
        <v>0.951212739683277</v>
      </c>
      <c r="O138" s="16" t="n">
        <f aca="false">IF(ABS(O137-$B$11/$B$9*((MAX(0,MIN(1,O137))^2/(MAX(0,MIN(1,O137))^2+(1-MAX(0,MIN(1,O137)))^2/$B$5))-(MAX(0,MIN(1,N137))^2/(MAX(0,MIN(1,N137))^2+(1-MAX(0,MIN(1,N137)))^2/$B$5))))&lt;0.000000001,0,O137-$B$11/$B$9*((MAX(0,MIN(1,O137))^2/(MAX(0,MIN(1,O137))^2+(1-MAX(0,MIN(1,O137)))^2/$B$5))-(MAX(0,MIN(1,N137))^2/(MAX(0,MIN(1,N137))^2+(1-MAX(0,MIN(1,N137)))^2/$B$5))))</f>
        <v>0.936240723798504</v>
      </c>
      <c r="P138" s="16" t="n">
        <f aca="false">IF(ABS(P137-$B$11/$B$9*((MAX(0,MIN(1,P137))^2/(MAX(0,MIN(1,P137))^2+(1-MAX(0,MIN(1,P137)))^2/$B$5))-(MAX(0,MIN(1,O137))^2/(MAX(0,MIN(1,O137))^2+(1-MAX(0,MIN(1,O137)))^2/$B$5))))&lt;0.000000001,0,P137-$B$11/$B$9*((MAX(0,MIN(1,P137))^2/(MAX(0,MIN(1,P137))^2+(1-MAX(0,MIN(1,P137)))^2/$B$5))-(MAX(0,MIN(1,O137))^2/(MAX(0,MIN(1,O137))^2+(1-MAX(0,MIN(1,O137)))^2/$B$5))))</f>
        <v>0.92273950609525</v>
      </c>
      <c r="Q138" s="16" t="n">
        <f aca="false">IF(ABS(Q137-$B$11/$B$9*((MAX(0,MIN(1,Q137))^2/(MAX(0,MIN(1,Q137))^2+(1-MAX(0,MIN(1,Q137)))^2/$B$5))-(MAX(0,MIN(1,P137))^2/(MAX(0,MIN(1,P137))^2+(1-MAX(0,MIN(1,P137)))^2/$B$5))))&lt;0.000000001,0,Q137-$B$11/$B$9*((MAX(0,MIN(1,Q137))^2/(MAX(0,MIN(1,Q137))^2+(1-MAX(0,MIN(1,Q137)))^2/$B$5))-(MAX(0,MIN(1,P137))^2/(MAX(0,MIN(1,P137))^2+(1-MAX(0,MIN(1,P137)))^2/$B$5))))</f>
        <v>0.910320083099732</v>
      </c>
      <c r="R138" s="16" t="n">
        <f aca="false">IF(ABS(R137-$B$11/$B$9*((MAX(0,MIN(1,R137))^2/(MAX(0,MIN(1,R137))^2+(1-MAX(0,MIN(1,R137)))^2/$B$5))-(MAX(0,MIN(1,Q137))^2/(MAX(0,MIN(1,Q137))^2+(1-MAX(0,MIN(1,Q137)))^2/$B$5))))&lt;0.000000001,0,R137-$B$11/$B$9*((MAX(0,MIN(1,R137))^2/(MAX(0,MIN(1,R137))^2+(1-MAX(0,MIN(1,R137)))^2/$B$5))-(MAX(0,MIN(1,Q137))^2/(MAX(0,MIN(1,Q137))^2+(1-MAX(0,MIN(1,Q137)))^2/$B$5))))</f>
        <v>0.898762591551077</v>
      </c>
      <c r="S138" s="16" t="n">
        <f aca="false">IF(ABS(S137-$B$11/$B$9*((MAX(0,MIN(1,S137))^2/(MAX(0,MIN(1,S137))^2+(1-MAX(0,MIN(1,S137)))^2/$B$5))-(MAX(0,MIN(1,R137))^2/(MAX(0,MIN(1,R137))^2+(1-MAX(0,MIN(1,R137)))^2/$B$5))))&lt;0.000000001,0,S137-$B$11/$B$9*((MAX(0,MIN(1,S137))^2/(MAX(0,MIN(1,S137))^2+(1-MAX(0,MIN(1,S137)))^2/$B$5))-(MAX(0,MIN(1,R137))^2/(MAX(0,MIN(1,R137))^2+(1-MAX(0,MIN(1,R137)))^2/$B$5))))</f>
        <v>0.887921939999895</v>
      </c>
      <c r="T138" s="16" t="n">
        <f aca="false">IF(ABS(T137-$B$11/$B$9*((MAX(0,MIN(1,T137))^2/(MAX(0,MIN(1,T137))^2+(1-MAX(0,MIN(1,T137)))^2/$B$5))-(MAX(0,MIN(1,S137))^2/(MAX(0,MIN(1,S137))^2+(1-MAX(0,MIN(1,S137)))^2/$B$5))))&lt;0.000000001,0,T137-$B$11/$B$9*((MAX(0,MIN(1,T137))^2/(MAX(0,MIN(1,T137))^2+(1-MAX(0,MIN(1,T137)))^2/$B$5))-(MAX(0,MIN(1,S137))^2/(MAX(0,MIN(1,S137))^2+(1-MAX(0,MIN(1,S137)))^2/$B$5))))</f>
        <v>0.877693464131985</v>
      </c>
      <c r="U138" s="16" t="n">
        <f aca="false">IF(ABS(U137-$B$11/$B$9*((MAX(0,MIN(1,U137))^2/(MAX(0,MIN(1,U137))^2+(1-MAX(0,MIN(1,U137)))^2/$B$5))-(MAX(0,MIN(1,T137))^2/(MAX(0,MIN(1,T137))^2+(1-MAX(0,MIN(1,T137)))^2/$B$5))))&lt;0.000000001,0,U137-$B$11/$B$9*((MAX(0,MIN(1,U137))^2/(MAX(0,MIN(1,U137))^2+(1-MAX(0,MIN(1,U137)))^2/$B$5))-(MAX(0,MIN(1,T137))^2/(MAX(0,MIN(1,T137))^2+(1-MAX(0,MIN(1,T137)))^2/$B$5))))</f>
        <v>0.867997292898254</v>
      </c>
      <c r="V138" s="16" t="n">
        <f aca="false">IF(ABS(V137-$B$11/$B$9*((MAX(0,MIN(1,V137))^2/(MAX(0,MIN(1,V137))^2+(1-MAX(0,MIN(1,V137)))^2/$B$5))-(MAX(0,MIN(1,U137))^2/(MAX(0,MIN(1,U137))^2+(1-MAX(0,MIN(1,U137)))^2/$B$5))))&lt;0.000000001,0,V137-$B$11/$B$9*((MAX(0,MIN(1,V137))^2/(MAX(0,MIN(1,V137))^2+(1-MAX(0,MIN(1,V137)))^2/$B$5))-(MAX(0,MIN(1,U137))^2/(MAX(0,MIN(1,U137))^2+(1-MAX(0,MIN(1,U137)))^2/$B$5))))</f>
        <v>0.858770106449587</v>
      </c>
      <c r="W138" s="16" t="n">
        <f aca="false">IF(ABS(W137-$B$11/$B$9*((MAX(0,MIN(1,W137))^2/(MAX(0,MIN(1,W137))^2+(1-MAX(0,MIN(1,W137)))^2/$B$5))-(MAX(0,MIN(1,V137))^2/(MAX(0,MIN(1,V137))^2+(1-MAX(0,MIN(1,V137)))^2/$B$5))))&lt;0.000000001,0,W137-$B$11/$B$9*((MAX(0,MIN(1,W137))^2/(MAX(0,MIN(1,W137))^2+(1-MAX(0,MIN(1,W137)))^2/$B$5))-(MAX(0,MIN(1,V137))^2/(MAX(0,MIN(1,V137))^2+(1-MAX(0,MIN(1,V137)))^2/$B$5))))</f>
        <v>0.849960315393954</v>
      </c>
      <c r="X138" s="16" t="n">
        <f aca="false">IF(ABS(X137-$B$11/$B$9*((MAX(0,MIN(1,X137))^2/(MAX(0,MIN(1,X137))^2+(1-MAX(0,MIN(1,X137)))^2/$B$5))-(MAX(0,MIN(1,W137))^2/(MAX(0,MIN(1,W137))^2+(1-MAX(0,MIN(1,W137)))^2/$B$5))))&lt;0.000000001,0,X137-$B$11/$B$9*((MAX(0,MIN(1,X137))^2/(MAX(0,MIN(1,X137))^2+(1-MAX(0,MIN(1,X137)))^2/$B$5))-(MAX(0,MIN(1,W137))^2/(MAX(0,MIN(1,W137))^2+(1-MAX(0,MIN(1,W137)))^2/$B$5))))</f>
        <v>0.841525016398116</v>
      </c>
      <c r="Y138" s="16" t="n">
        <f aca="false">IF(ABS(Y137-$B$11/$B$9*((MAX(0,MIN(1,Y137))^2/(MAX(0,MIN(1,Y137))^2+(1-MAX(0,MIN(1,Y137)))^2/$B$5))-(MAX(0,MIN(1,X137))^2/(MAX(0,MIN(1,X137))^2+(1-MAX(0,MIN(1,X137)))^2/$B$5))))&lt;0.000000001,0,Y137-$B$11/$B$9*((MAX(0,MIN(1,Y137))^2/(MAX(0,MIN(1,Y137))^2+(1-MAX(0,MIN(1,Y137)))^2/$B$5))-(MAX(0,MIN(1,X137))^2/(MAX(0,MIN(1,X137))^2+(1-MAX(0,MIN(1,X137)))^2/$B$5))))</f>
        <v>0.833427954190976</v>
      </c>
      <c r="Z138" s="16" t="n">
        <f aca="false">IF(ABS(Z137-$B$11/$B$9*((MAX(0,MIN(1,Z137))^2/(MAX(0,MIN(1,Z137))^2+(1-MAX(0,MIN(1,Z137)))^2/$B$5))-(MAX(0,MIN(1,Y137))^2/(MAX(0,MIN(1,Y137))^2+(1-MAX(0,MIN(1,Y137)))^2/$B$5))))&lt;0.000000001,0,Z137-$B$11/$B$9*((MAX(0,MIN(1,Z137))^2/(MAX(0,MIN(1,Z137))^2+(1-MAX(0,MIN(1,Z137)))^2/$B$5))-(MAX(0,MIN(1,Y137))^2/(MAX(0,MIN(1,Y137))^2+(1-MAX(0,MIN(1,Y137)))^2/$B$5))))</f>
        <v>0.825638094058468</v>
      </c>
      <c r="AA138" s="16" t="n">
        <f aca="false">IF(ABS(AA137-$B$11/$B$9*((MAX(0,MIN(1,AA137))^2/(MAX(0,MIN(1,AA137))^2+(1-MAX(0,MIN(1,AA137)))^2/$B$5))-(MAX(0,MIN(1,Z137))^2/(MAX(0,MIN(1,Z137))^2+(1-MAX(0,MIN(1,Z137)))^2/$B$5))))&lt;0.000000001,0,AA137-$B$11/$B$9*((MAX(0,MIN(1,AA137))^2/(MAX(0,MIN(1,AA137))^2+(1-MAX(0,MIN(1,AA137)))^2/$B$5))-(MAX(0,MIN(1,Z137))^2/(MAX(0,MIN(1,Z137))^2+(1-MAX(0,MIN(1,Z137)))^2/$B$5))))</f>
        <v>0.818128585423132</v>
      </c>
      <c r="AB138" s="16" t="n">
        <f aca="false">IF(ABS(AB137-$B$11/$B$9*((MAX(0,MIN(1,AB137))^2/(MAX(0,MIN(1,AB137))^2+(1-MAX(0,MIN(1,AB137)))^2/$B$5))-(MAX(0,MIN(1,AA137))^2/(MAX(0,MIN(1,AA137))^2+(1-MAX(0,MIN(1,AA137)))^2/$B$5))))&lt;0.000000001,0,AB137-$B$11/$B$9*((MAX(0,MIN(1,AB137))^2/(MAX(0,MIN(1,AB137))^2+(1-MAX(0,MIN(1,AB137)))^2/$B$5))-(MAX(0,MIN(1,AA137))^2/(MAX(0,MIN(1,AA137))^2+(1-MAX(0,MIN(1,AA137)))^2/$B$5))))</f>
        <v>0.810875987277766</v>
      </c>
      <c r="AC138" s="16" t="n">
        <f aca="false">IF(ABS(AC137-$B$11/$B$9*((MAX(0,MIN(1,AC137))^2/(MAX(0,MIN(1,AC137))^2+(1-MAX(0,MIN(1,AC137)))^2/$B$5))-(MAX(0,MIN(1,AB137))^2/(MAX(0,MIN(1,AB137))^2+(1-MAX(0,MIN(1,AB137)))^2/$B$5))))&lt;0.000000001,0,AC137-$B$11/$B$9*((MAX(0,MIN(1,AC137))^2/(MAX(0,MIN(1,AC137))^2+(1-MAX(0,MIN(1,AC137)))^2/$B$5))-(MAX(0,MIN(1,AB137))^2/(MAX(0,MIN(1,AB137))^2+(1-MAX(0,MIN(1,AB137)))^2/$B$5))))</f>
        <v>0.803859675424257</v>
      </c>
      <c r="AD138" s="16" t="n">
        <f aca="false">IF(ABS(AD137-$B$11/$B$9*((MAX(0,MIN(1,AD137))^2/(MAX(0,MIN(1,AD137))^2+(1-MAX(0,MIN(1,AD137)))^2/$B$5))-(MAX(0,MIN(1,AC137))^2/(MAX(0,MIN(1,AC137))^2+(1-MAX(0,MIN(1,AC137)))^2/$B$5))))&lt;0.000000001,0,AD137-$B$11/$B$9*((MAX(0,MIN(1,AD137))^2/(MAX(0,MIN(1,AD137))^2+(1-MAX(0,MIN(1,AD137)))^2/$B$5))-(MAX(0,MIN(1,AC137))^2/(MAX(0,MIN(1,AC137))^2+(1-MAX(0,MIN(1,AC137)))^2/$B$5))))</f>
        <v>0.797061379799158</v>
      </c>
      <c r="AE138" s="16" t="n">
        <f aca="false">IF(ABS(AE137-$B$11/$B$9*((MAX(0,MIN(1,AE137))^2/(MAX(0,MIN(1,AE137))^2+(1-MAX(0,MIN(1,AE137)))^2/$B$5))-(MAX(0,MIN(1,AD137))^2/(MAX(0,MIN(1,AD137))^2+(1-MAX(0,MIN(1,AD137)))^2/$B$5))))&lt;0.000000001,0,AE137-$B$11/$B$9*((MAX(0,MIN(1,AE137))^2/(MAX(0,MIN(1,AE137))^2+(1-MAX(0,MIN(1,AE137)))^2/$B$5))-(MAX(0,MIN(1,AD137))^2/(MAX(0,MIN(1,AD137))^2+(1-MAX(0,MIN(1,AD137)))^2/$B$5))))</f>
        <v>0.790464817260509</v>
      </c>
      <c r="AF138" s="16" t="n">
        <f aca="false">IF(ABS(AF137-$B$11/$B$9*((MAX(0,MIN(1,AF137))^2/(MAX(0,MIN(1,AF137))^2+(1-MAX(0,MIN(1,AF137)))^2/$B$5))-(MAX(0,MIN(1,AE137))^2/(MAX(0,MIN(1,AE137))^2+(1-MAX(0,MIN(1,AE137)))^2/$B$5))))&lt;0.000000001,0,AF137-$B$11/$B$9*((MAX(0,MIN(1,AF137))^2/(MAX(0,MIN(1,AF137))^2+(1-MAX(0,MIN(1,AF137)))^2/$B$5))-(MAX(0,MIN(1,AE137))^2/(MAX(0,MIN(1,AE137))^2+(1-MAX(0,MIN(1,AE137)))^2/$B$5))))</f>
        <v>0.784055395939974</v>
      </c>
    </row>
    <row r="139" customFormat="false" ht="15" hidden="false" customHeight="false" outlineLevel="0" collapsed="false">
      <c r="L139" s="0" t="n">
        <v>129</v>
      </c>
      <c r="M139" s="16" t="n">
        <f aca="false">IF(ABS(M138-$B$11/$B$9*((MAX(0,MIN(1,M138))^2/(MAX(0,MIN(1,M138))^2+(1-MAX(0,MIN(1,M138)))^2/$B$5))-(MAX(0,MIN(1,1))^2/(MAX(0,MIN(1,1))^2+(1-MAX(0,MIN(1,1)))^2/$B$5))))&lt;0.000000001,0,M138-$B$11/$B$9*((MAX(0,MIN(1,M138))^2/(MAX(0,MIN(1,M138))^2+(1-MAX(0,MIN(1,M138)))^2/$B$5))-(MAX(0,MIN(1,1))^2/(MAX(0,MIN(1,1))^2+(1-MAX(0,MIN(1,1)))^2/$B$5))))</f>
        <v>0.968802867808756</v>
      </c>
      <c r="N139" s="16" t="n">
        <f aca="false">IF(ABS(N138-$B$11/$B$9*((MAX(0,MIN(1,N138))^2/(MAX(0,MIN(1,N138))^2+(1-MAX(0,MIN(1,N138)))^2/$B$5))-(MAX(0,MIN(1,M138))^2/(MAX(0,MIN(1,M138))^2+(1-MAX(0,MIN(1,M138)))^2/$B$5))))&lt;0.000000001,0,N138-$B$11/$B$9*((MAX(0,MIN(1,N138))^2/(MAX(0,MIN(1,N138))^2+(1-MAX(0,MIN(1,N138)))^2/$B$5))-(MAX(0,MIN(1,M138))^2/(MAX(0,MIN(1,M138))^2+(1-MAX(0,MIN(1,M138)))^2/$B$5))))</f>
        <v>0.951515914883231</v>
      </c>
      <c r="O139" s="16" t="n">
        <f aca="false">IF(ABS(O138-$B$11/$B$9*((MAX(0,MIN(1,O138))^2/(MAX(0,MIN(1,O138))^2+(1-MAX(0,MIN(1,O138)))^2/$B$5))-(MAX(0,MIN(1,N138))^2/(MAX(0,MIN(1,N138))^2+(1-MAX(0,MIN(1,N138)))^2/$B$5))))&lt;0.000000001,0,O138-$B$11/$B$9*((MAX(0,MIN(1,O138))^2/(MAX(0,MIN(1,O138))^2+(1-MAX(0,MIN(1,O138)))^2/$B$5))-(MAX(0,MIN(1,N138))^2/(MAX(0,MIN(1,N138))^2+(1-MAX(0,MIN(1,N138)))^2/$B$5))))</f>
        <v>0.936625237097485</v>
      </c>
      <c r="P139" s="16" t="n">
        <f aca="false">IF(ABS(P138-$B$11/$B$9*((MAX(0,MIN(1,P138))^2/(MAX(0,MIN(1,P138))^2+(1-MAX(0,MIN(1,P138)))^2/$B$5))-(MAX(0,MIN(1,O138))^2/(MAX(0,MIN(1,O138))^2+(1-MAX(0,MIN(1,O138)))^2/$B$5))))&lt;0.000000001,0,P138-$B$11/$B$9*((MAX(0,MIN(1,P138))^2/(MAX(0,MIN(1,P138))^2+(1-MAX(0,MIN(1,P138)))^2/$B$5))-(MAX(0,MIN(1,O138))^2/(MAX(0,MIN(1,O138))^2+(1-MAX(0,MIN(1,O138)))^2/$B$5))))</f>
        <v>0.92319307420071</v>
      </c>
      <c r="Q139" s="16" t="n">
        <f aca="false">IF(ABS(Q138-$B$11/$B$9*((MAX(0,MIN(1,Q138))^2/(MAX(0,MIN(1,Q138))^2+(1-MAX(0,MIN(1,Q138)))^2/$B$5))-(MAX(0,MIN(1,P138))^2/(MAX(0,MIN(1,P138))^2+(1-MAX(0,MIN(1,P138)))^2/$B$5))))&lt;0.000000001,0,Q138-$B$11/$B$9*((MAX(0,MIN(1,Q138))^2/(MAX(0,MIN(1,Q138))^2+(1-MAX(0,MIN(1,Q138)))^2/$B$5))-(MAX(0,MIN(1,P138))^2/(MAX(0,MIN(1,P138))^2+(1-MAX(0,MIN(1,P138)))^2/$B$5))))</f>
        <v>0.91083384468077</v>
      </c>
      <c r="R139" s="16" t="n">
        <f aca="false">IF(ABS(R138-$B$11/$B$9*((MAX(0,MIN(1,R138))^2/(MAX(0,MIN(1,R138))^2+(1-MAX(0,MIN(1,R138)))^2/$B$5))-(MAX(0,MIN(1,Q138))^2/(MAX(0,MIN(1,Q138))^2+(1-MAX(0,MIN(1,Q138)))^2/$B$5))))&lt;0.000000001,0,R138-$B$11/$B$9*((MAX(0,MIN(1,R138))^2/(MAX(0,MIN(1,R138))^2+(1-MAX(0,MIN(1,R138)))^2/$B$5))-(MAX(0,MIN(1,Q138))^2/(MAX(0,MIN(1,Q138))^2+(1-MAX(0,MIN(1,Q138)))^2/$B$5))))</f>
        <v>0.899329718183162</v>
      </c>
      <c r="S139" s="16" t="n">
        <f aca="false">IF(ABS(S138-$B$11/$B$9*((MAX(0,MIN(1,S138))^2/(MAX(0,MIN(1,S138))^2+(1-MAX(0,MIN(1,S138)))^2/$B$5))-(MAX(0,MIN(1,R138))^2/(MAX(0,MIN(1,R138))^2+(1-MAX(0,MIN(1,R138)))^2/$B$5))))&lt;0.000000001,0,S138-$B$11/$B$9*((MAX(0,MIN(1,S138))^2/(MAX(0,MIN(1,S138))^2+(1-MAX(0,MIN(1,S138)))^2/$B$5))-(MAX(0,MIN(1,R138))^2/(MAX(0,MIN(1,R138))^2+(1-MAX(0,MIN(1,R138)))^2/$B$5))))</f>
        <v>0.888536974176197</v>
      </c>
      <c r="T139" s="16" t="n">
        <f aca="false">IF(ABS(T138-$B$11/$B$9*((MAX(0,MIN(1,T138))^2/(MAX(0,MIN(1,T138))^2+(1-MAX(0,MIN(1,T138)))^2/$B$5))-(MAX(0,MIN(1,S138))^2/(MAX(0,MIN(1,S138))^2+(1-MAX(0,MIN(1,S138)))^2/$B$5))))&lt;0.000000001,0,T138-$B$11/$B$9*((MAX(0,MIN(1,T138))^2/(MAX(0,MIN(1,T138))^2+(1-MAX(0,MIN(1,T138)))^2/$B$5))-(MAX(0,MIN(1,S138))^2/(MAX(0,MIN(1,S138))^2+(1-MAX(0,MIN(1,S138)))^2/$B$5))))</f>
        <v>0.878351940224846</v>
      </c>
      <c r="U139" s="16" t="n">
        <f aca="false">IF(ABS(U138-$B$11/$B$9*((MAX(0,MIN(1,U138))^2/(MAX(0,MIN(1,U138))^2+(1-MAX(0,MIN(1,U138)))^2/$B$5))-(MAX(0,MIN(1,T138))^2/(MAX(0,MIN(1,T138))^2+(1-MAX(0,MIN(1,T138)))^2/$B$5))))&lt;0.000000001,0,U138-$B$11/$B$9*((MAX(0,MIN(1,U138))^2/(MAX(0,MIN(1,U138))^2+(1-MAX(0,MIN(1,U138)))^2/$B$5))-(MAX(0,MIN(1,T138))^2/(MAX(0,MIN(1,T138))^2+(1-MAX(0,MIN(1,T138)))^2/$B$5))))</f>
        <v>0.868695495482168</v>
      </c>
      <c r="V139" s="16" t="n">
        <f aca="false">IF(ABS(V138-$B$11/$B$9*((MAX(0,MIN(1,V138))^2/(MAX(0,MIN(1,V138))^2+(1-MAX(0,MIN(1,V138)))^2/$B$5))-(MAX(0,MIN(1,U138))^2/(MAX(0,MIN(1,U138))^2+(1-MAX(0,MIN(1,U138)))^2/$B$5))))&lt;0.000000001,0,V138-$B$11/$B$9*((MAX(0,MIN(1,V138))^2/(MAX(0,MIN(1,V138))^2+(1-MAX(0,MIN(1,V138)))^2/$B$5))-(MAX(0,MIN(1,U138))^2/(MAX(0,MIN(1,U138))^2+(1-MAX(0,MIN(1,U138)))^2/$B$5))))</f>
        <v>0.859504905216641</v>
      </c>
      <c r="W139" s="16" t="n">
        <f aca="false">IF(ABS(W138-$B$11/$B$9*((MAX(0,MIN(1,W138))^2/(MAX(0,MIN(1,W138))^2+(1-MAX(0,MIN(1,W138)))^2/$B$5))-(MAX(0,MIN(1,V138))^2/(MAX(0,MIN(1,V138))^2+(1-MAX(0,MIN(1,V138)))^2/$B$5))))&lt;0.000000001,0,W138-$B$11/$B$9*((MAX(0,MIN(1,W138))^2/(MAX(0,MIN(1,W138))^2+(1-MAX(0,MIN(1,W138)))^2/$B$5))-(MAX(0,MIN(1,V138))^2/(MAX(0,MIN(1,V138))^2+(1-MAX(0,MIN(1,V138)))^2/$B$5))))</f>
        <v>0.85072904693981</v>
      </c>
      <c r="X139" s="16" t="n">
        <f aca="false">IF(ABS(X138-$B$11/$B$9*((MAX(0,MIN(1,X138))^2/(MAX(0,MIN(1,X138))^2+(1-MAX(0,MIN(1,X138)))^2/$B$5))-(MAX(0,MIN(1,W138))^2/(MAX(0,MIN(1,W138))^2+(1-MAX(0,MIN(1,W138)))^2/$B$5))))&lt;0.000000001,0,X138-$B$11/$B$9*((MAX(0,MIN(1,X138))^2/(MAX(0,MIN(1,X138))^2+(1-MAX(0,MIN(1,X138)))^2/$B$5))-(MAX(0,MIN(1,W138))^2/(MAX(0,MIN(1,W138))^2+(1-MAX(0,MIN(1,W138)))^2/$B$5))))</f>
        <v>0.842325396632448</v>
      </c>
      <c r="Y139" s="16" t="n">
        <f aca="false">IF(ABS(Y138-$B$11/$B$9*((MAX(0,MIN(1,Y138))^2/(MAX(0,MIN(1,Y138))^2+(1-MAX(0,MIN(1,Y138)))^2/$B$5))-(MAX(0,MIN(1,X138))^2/(MAX(0,MIN(1,X138))^2+(1-MAX(0,MIN(1,X138)))^2/$B$5))))&lt;0.000000001,0,Y138-$B$11/$B$9*((MAX(0,MIN(1,Y138))^2/(MAX(0,MIN(1,Y138))^2+(1-MAX(0,MIN(1,Y138)))^2/$B$5))-(MAX(0,MIN(1,X138))^2/(MAX(0,MIN(1,X138))^2+(1-MAX(0,MIN(1,X138)))^2/$B$5))))</f>
        <v>0.834258011742467</v>
      </c>
      <c r="Z139" s="16" t="n">
        <f aca="false">IF(ABS(Z138-$B$11/$B$9*((MAX(0,MIN(1,Z138))^2/(MAX(0,MIN(1,Z138))^2+(1-MAX(0,MIN(1,Z138)))^2/$B$5))-(MAX(0,MIN(1,Y138))^2/(MAX(0,MIN(1,Y138))^2+(1-MAX(0,MIN(1,Y138)))^2/$B$5))))&lt;0.000000001,0,Z138-$B$11/$B$9*((MAX(0,MIN(1,Z138))^2/(MAX(0,MIN(1,Z138))^2+(1-MAX(0,MIN(1,Z138)))^2/$B$5))-(MAX(0,MIN(1,Y138))^2/(MAX(0,MIN(1,Y138))^2+(1-MAX(0,MIN(1,Y138)))^2/$B$5))))</f>
        <v>0.826496118608243</v>
      </c>
      <c r="AA139" s="16" t="n">
        <f aca="false">IF(ABS(AA138-$B$11/$B$9*((MAX(0,MIN(1,AA138))^2/(MAX(0,MIN(1,AA138))^2+(1-MAX(0,MIN(1,AA138)))^2/$B$5))-(MAX(0,MIN(1,Z138))^2/(MAX(0,MIN(1,Z138))^2+(1-MAX(0,MIN(1,Z138)))^2/$B$5))))&lt;0.000000001,0,AA138-$B$11/$B$9*((MAX(0,MIN(1,AA138))^2/(MAX(0,MIN(1,AA138))^2+(1-MAX(0,MIN(1,AA138)))^2/$B$5))-(MAX(0,MIN(1,Z138))^2/(MAX(0,MIN(1,Z138))^2+(1-MAX(0,MIN(1,Z138)))^2/$B$5))))</f>
        <v>0.819013086962474</v>
      </c>
      <c r="AB139" s="16" t="n">
        <f aca="false">IF(ABS(AB138-$B$11/$B$9*((MAX(0,MIN(1,AB138))^2/(MAX(0,MIN(1,AB138))^2+(1-MAX(0,MIN(1,AB138)))^2/$B$5))-(MAX(0,MIN(1,AA138))^2/(MAX(0,MIN(1,AA138))^2+(1-MAX(0,MIN(1,AA138)))^2/$B$5))))&lt;0.000000001,0,AB138-$B$11/$B$9*((MAX(0,MIN(1,AB138))^2/(MAX(0,MIN(1,AB138))^2+(1-MAX(0,MIN(1,AB138)))^2/$B$5))-(MAX(0,MIN(1,AA138))^2/(MAX(0,MIN(1,AA138))^2+(1-MAX(0,MIN(1,AA138)))^2/$B$5))))</f>
        <v>0.81178566354806</v>
      </c>
      <c r="AC139" s="16" t="n">
        <f aca="false">IF(ABS(AC138-$B$11/$B$9*((MAX(0,MIN(1,AC138))^2/(MAX(0,MIN(1,AC138))^2+(1-MAX(0,MIN(1,AC138)))^2/$B$5))-(MAX(0,MIN(1,AB138))^2/(MAX(0,MIN(1,AB138))^2+(1-MAX(0,MIN(1,AB138)))^2/$B$5))))&lt;0.000000001,0,AC138-$B$11/$B$9*((MAX(0,MIN(1,AC138))^2/(MAX(0,MIN(1,AC138))^2+(1-MAX(0,MIN(1,AC138)))^2/$B$5))-(MAX(0,MIN(1,AB138))^2/(MAX(0,MIN(1,AB138))^2+(1-MAX(0,MIN(1,AB138)))^2/$B$5))))</f>
        <v>0.80479338560521</v>
      </c>
      <c r="AD139" s="16" t="n">
        <f aca="false">IF(ABS(AD138-$B$11/$B$9*((MAX(0,MIN(1,AD138))^2/(MAX(0,MIN(1,AD138))^2+(1-MAX(0,MIN(1,AD138)))^2/$B$5))-(MAX(0,MIN(1,AC138))^2/(MAX(0,MIN(1,AC138))^2+(1-MAX(0,MIN(1,AC138)))^2/$B$5))))&lt;0.000000001,0,AD138-$B$11/$B$9*((MAX(0,MIN(1,AD138))^2/(MAX(0,MIN(1,AD138))^2+(1-MAX(0,MIN(1,AD138)))^2/$B$5))-(MAX(0,MIN(1,AC138))^2/(MAX(0,MIN(1,AC138))^2+(1-MAX(0,MIN(1,AC138)))^2/$B$5))))</f>
        <v>0.798018123048119</v>
      </c>
      <c r="AE139" s="16" t="n">
        <f aca="false">IF(ABS(AE138-$B$11/$B$9*((MAX(0,MIN(1,AE138))^2/(MAX(0,MIN(1,AE138))^2+(1-MAX(0,MIN(1,AE138)))^2/$B$5))-(MAX(0,MIN(1,AD138))^2/(MAX(0,MIN(1,AD138))^2+(1-MAX(0,MIN(1,AD138)))^2/$B$5))))&lt;0.000000001,0,AE138-$B$11/$B$9*((MAX(0,MIN(1,AE138))^2/(MAX(0,MIN(1,AE138))^2+(1-MAX(0,MIN(1,AE138)))^2/$B$5))-(MAX(0,MIN(1,AD138))^2/(MAX(0,MIN(1,AD138))^2+(1-MAX(0,MIN(1,AD138)))^2/$B$5))))</f>
        <v>0.791443715073258</v>
      </c>
      <c r="AF139" s="16" t="n">
        <f aca="false">IF(ABS(AF138-$B$11/$B$9*((MAX(0,MIN(1,AF138))^2/(MAX(0,MIN(1,AF138))^2+(1-MAX(0,MIN(1,AF138)))^2/$B$5))-(MAX(0,MIN(1,AE138))^2/(MAX(0,MIN(1,AE138))^2+(1-MAX(0,MIN(1,AE138)))^2/$B$5))))&lt;0.000000001,0,AF138-$B$11/$B$9*((MAX(0,MIN(1,AF138))^2/(MAX(0,MIN(1,AF138))^2+(1-MAX(0,MIN(1,AF138)))^2/$B$5))-(MAX(0,MIN(1,AE138))^2/(MAX(0,MIN(1,AE138))^2+(1-MAX(0,MIN(1,AE138)))^2/$B$5))))</f>
        <v>0.785055677561583</v>
      </c>
    </row>
    <row r="140" customFormat="false" ht="15" hidden="false" customHeight="false" outlineLevel="0" collapsed="false">
      <c r="L140" s="0" t="n">
        <v>130</v>
      </c>
      <c r="M140" s="16" t="n">
        <f aca="false">IF(ABS(M139-$B$11/$B$9*((MAX(0,MIN(1,M139))^2/(MAX(0,MIN(1,M139))^2+(1-MAX(0,MIN(1,M139)))^2/$B$5))-(MAX(0,MIN(1,1))^2/(MAX(0,MIN(1,1))^2+(1-MAX(0,MIN(1,1)))^2/$B$5))))&lt;0.000000001,0,M139-$B$11/$B$9*((MAX(0,MIN(1,M139))^2/(MAX(0,MIN(1,M139))^2+(1-MAX(0,MIN(1,M139)))^2/$B$5))-(MAX(0,MIN(1,1))^2/(MAX(0,MIN(1,1))^2+(1-MAX(0,MIN(1,1)))^2/$B$5))))</f>
        <v>0.969002134724448</v>
      </c>
      <c r="N140" s="16" t="n">
        <f aca="false">IF(ABS(N139-$B$11/$B$9*((MAX(0,MIN(1,N139))^2/(MAX(0,MIN(1,N139))^2+(1-MAX(0,MIN(1,N139)))^2/$B$5))-(MAX(0,MIN(1,M139))^2/(MAX(0,MIN(1,M139))^2+(1-MAX(0,MIN(1,M139)))^2/$B$5))))&lt;0.000000001,0,N139-$B$11/$B$9*((MAX(0,MIN(1,N139))^2/(MAX(0,MIN(1,N139))^2+(1-MAX(0,MIN(1,N139)))^2/$B$5))-(MAX(0,MIN(1,M139))^2/(MAX(0,MIN(1,M139))^2+(1-MAX(0,MIN(1,M139)))^2/$B$5))))</f>
        <v>0.951815193311761</v>
      </c>
      <c r="O140" s="16" t="n">
        <f aca="false">IF(ABS(O139-$B$11/$B$9*((MAX(0,MIN(1,O139))^2/(MAX(0,MIN(1,O139))^2+(1-MAX(0,MIN(1,O139)))^2/$B$5))-(MAX(0,MIN(1,N139))^2/(MAX(0,MIN(1,N139))^2+(1-MAX(0,MIN(1,N139)))^2/$B$5))))&lt;0.000000001,0,O139-$B$11/$B$9*((MAX(0,MIN(1,O139))^2/(MAX(0,MIN(1,O139))^2+(1-MAX(0,MIN(1,O139)))^2/$B$5))-(MAX(0,MIN(1,N139))^2/(MAX(0,MIN(1,N139))^2+(1-MAX(0,MIN(1,N139)))^2/$B$5))))</f>
        <v>0.937004924767893</v>
      </c>
      <c r="P140" s="16" t="n">
        <f aca="false">IF(ABS(P139-$B$11/$B$9*((MAX(0,MIN(1,P139))^2/(MAX(0,MIN(1,P139))^2+(1-MAX(0,MIN(1,P139)))^2/$B$5))-(MAX(0,MIN(1,O139))^2/(MAX(0,MIN(1,O139))^2+(1-MAX(0,MIN(1,O139)))^2/$B$5))))&lt;0.000000001,0,P139-$B$11/$B$9*((MAX(0,MIN(1,P139))^2/(MAX(0,MIN(1,P139))^2+(1-MAX(0,MIN(1,P139)))^2/$B$5))-(MAX(0,MIN(1,O139))^2/(MAX(0,MIN(1,O139))^2+(1-MAX(0,MIN(1,O139)))^2/$B$5))))</f>
        <v>0.923641065676853</v>
      </c>
      <c r="Q140" s="16" t="n">
        <f aca="false">IF(ABS(Q139-$B$11/$B$9*((MAX(0,MIN(1,Q139))^2/(MAX(0,MIN(1,Q139))^2+(1-MAX(0,MIN(1,Q139)))^2/$B$5))-(MAX(0,MIN(1,P139))^2/(MAX(0,MIN(1,P139))^2+(1-MAX(0,MIN(1,P139)))^2/$B$5))))&lt;0.000000001,0,Q139-$B$11/$B$9*((MAX(0,MIN(1,Q139))^2/(MAX(0,MIN(1,Q139))^2+(1-MAX(0,MIN(1,Q139)))^2/$B$5))-(MAX(0,MIN(1,P139))^2/(MAX(0,MIN(1,P139))^2+(1-MAX(0,MIN(1,P139)))^2/$B$5))))</f>
        <v>0.911341401365376</v>
      </c>
      <c r="R140" s="16" t="n">
        <f aca="false">IF(ABS(R139-$B$11/$B$9*((MAX(0,MIN(1,R139))^2/(MAX(0,MIN(1,R139))^2+(1-MAX(0,MIN(1,R139)))^2/$B$5))-(MAX(0,MIN(1,Q139))^2/(MAX(0,MIN(1,Q139))^2+(1-MAX(0,MIN(1,Q139)))^2/$B$5))))&lt;0.000000001,0,R139-$B$11/$B$9*((MAX(0,MIN(1,R139))^2/(MAX(0,MIN(1,R139))^2+(1-MAX(0,MIN(1,R139)))^2/$B$5))-(MAX(0,MIN(1,Q139))^2/(MAX(0,MIN(1,Q139))^2+(1-MAX(0,MIN(1,Q139)))^2/$B$5))))</f>
        <v>0.899890101710923</v>
      </c>
      <c r="S140" s="16" t="n">
        <f aca="false">IF(ABS(S139-$B$11/$B$9*((MAX(0,MIN(1,S139))^2/(MAX(0,MIN(1,S139))^2+(1-MAX(0,MIN(1,S139)))^2/$B$5))-(MAX(0,MIN(1,R139))^2/(MAX(0,MIN(1,R139))^2+(1-MAX(0,MIN(1,R139)))^2/$B$5))))&lt;0.000000001,0,S139-$B$11/$B$9*((MAX(0,MIN(1,S139))^2/(MAX(0,MIN(1,S139))^2+(1-MAX(0,MIN(1,S139)))^2/$B$5))-(MAX(0,MIN(1,R139))^2/(MAX(0,MIN(1,R139))^2+(1-MAX(0,MIN(1,R139)))^2/$B$5))))</f>
        <v>0.889144795460039</v>
      </c>
      <c r="T140" s="16" t="n">
        <f aca="false">IF(ABS(T139-$B$11/$B$9*((MAX(0,MIN(1,T139))^2/(MAX(0,MIN(1,T139))^2+(1-MAX(0,MIN(1,T139)))^2/$B$5))-(MAX(0,MIN(1,S139))^2/(MAX(0,MIN(1,S139))^2+(1-MAX(0,MIN(1,S139)))^2/$B$5))))&lt;0.000000001,0,T139-$B$11/$B$9*((MAX(0,MIN(1,T139))^2/(MAX(0,MIN(1,T139))^2+(1-MAX(0,MIN(1,T139)))^2/$B$5))-(MAX(0,MIN(1,S139))^2/(MAX(0,MIN(1,S139))^2+(1-MAX(0,MIN(1,S139)))^2/$B$5))))</f>
        <v>0.879002786799932</v>
      </c>
      <c r="U140" s="16" t="n">
        <f aca="false">IF(ABS(U139-$B$11/$B$9*((MAX(0,MIN(1,U139))^2/(MAX(0,MIN(1,U139))^2+(1-MAX(0,MIN(1,U139)))^2/$B$5))-(MAX(0,MIN(1,T139))^2/(MAX(0,MIN(1,T139))^2+(1-MAX(0,MIN(1,T139)))^2/$B$5))))&lt;0.000000001,0,U139-$B$11/$B$9*((MAX(0,MIN(1,U139))^2/(MAX(0,MIN(1,U139))^2+(1-MAX(0,MIN(1,U139)))^2/$B$5))-(MAX(0,MIN(1,T139))^2/(MAX(0,MIN(1,T139))^2+(1-MAX(0,MIN(1,T139)))^2/$B$5))))</f>
        <v>0.869385693879144</v>
      </c>
      <c r="V140" s="16" t="n">
        <f aca="false">IF(ABS(V139-$B$11/$B$9*((MAX(0,MIN(1,V139))^2/(MAX(0,MIN(1,V139))^2+(1-MAX(0,MIN(1,V139)))^2/$B$5))-(MAX(0,MIN(1,U139))^2/(MAX(0,MIN(1,U139))^2+(1-MAX(0,MIN(1,U139)))^2/$B$5))))&lt;0.000000001,0,V139-$B$11/$B$9*((MAX(0,MIN(1,V139))^2/(MAX(0,MIN(1,V139))^2+(1-MAX(0,MIN(1,V139)))^2/$B$5))-(MAX(0,MIN(1,U139))^2/(MAX(0,MIN(1,U139))^2+(1-MAX(0,MIN(1,U139)))^2/$B$5))))</f>
        <v>0.860231358603507</v>
      </c>
      <c r="W140" s="16" t="n">
        <f aca="false">IF(ABS(W139-$B$11/$B$9*((MAX(0,MIN(1,W139))^2/(MAX(0,MIN(1,W139))^2+(1-MAX(0,MIN(1,W139)))^2/$B$5))-(MAX(0,MIN(1,V139))^2/(MAX(0,MIN(1,V139))^2+(1-MAX(0,MIN(1,V139)))^2/$B$5))))&lt;0.000000001,0,W139-$B$11/$B$9*((MAX(0,MIN(1,W139))^2/(MAX(0,MIN(1,W139))^2+(1-MAX(0,MIN(1,W139)))^2/$B$5))-(MAX(0,MIN(1,V139))^2/(MAX(0,MIN(1,V139))^2+(1-MAX(0,MIN(1,V139)))^2/$B$5))))</f>
        <v>0.851489118819412</v>
      </c>
      <c r="X140" s="16" t="n">
        <f aca="false">IF(ABS(X139-$B$11/$B$9*((MAX(0,MIN(1,X139))^2/(MAX(0,MIN(1,X139))^2+(1-MAX(0,MIN(1,X139)))^2/$B$5))-(MAX(0,MIN(1,W139))^2/(MAX(0,MIN(1,W139))^2+(1-MAX(0,MIN(1,W139)))^2/$B$5))))&lt;0.000000001,0,X139-$B$11/$B$9*((MAX(0,MIN(1,X139))^2/(MAX(0,MIN(1,X139))^2+(1-MAX(0,MIN(1,X139)))^2/$B$5))-(MAX(0,MIN(1,W139))^2/(MAX(0,MIN(1,W139))^2+(1-MAX(0,MIN(1,W139)))^2/$B$5))))</f>
        <v>0.843116824633589</v>
      </c>
      <c r="Y140" s="16" t="n">
        <f aca="false">IF(ABS(Y139-$B$11/$B$9*((MAX(0,MIN(1,Y139))^2/(MAX(0,MIN(1,Y139))^2+(1-MAX(0,MIN(1,Y139)))^2/$B$5))-(MAX(0,MIN(1,X139))^2/(MAX(0,MIN(1,X139))^2+(1-MAX(0,MIN(1,X139)))^2/$B$5))))&lt;0.000000001,0,Y139-$B$11/$B$9*((MAX(0,MIN(1,Y139))^2/(MAX(0,MIN(1,Y139))^2+(1-MAX(0,MIN(1,Y139)))^2/$B$5))-(MAX(0,MIN(1,X139))^2/(MAX(0,MIN(1,X139))^2+(1-MAX(0,MIN(1,X139)))^2/$B$5))))</f>
        <v>0.835078842045028</v>
      </c>
      <c r="Z140" s="16" t="n">
        <f aca="false">IF(ABS(Z139-$B$11/$B$9*((MAX(0,MIN(1,Z139))^2/(MAX(0,MIN(1,Z139))^2+(1-MAX(0,MIN(1,Z139)))^2/$B$5))-(MAX(0,MIN(1,Y139))^2/(MAX(0,MIN(1,Y139))^2+(1-MAX(0,MIN(1,Y139)))^2/$B$5))))&lt;0.000000001,0,Z139-$B$11/$B$9*((MAX(0,MIN(1,Z139))^2/(MAX(0,MIN(1,Z139))^2+(1-MAX(0,MIN(1,Z139)))^2/$B$5))-(MAX(0,MIN(1,Y139))^2/(MAX(0,MIN(1,Y139))^2+(1-MAX(0,MIN(1,Y139)))^2/$B$5))))</f>
        <v>0.827344655043802</v>
      </c>
      <c r="AA140" s="16" t="n">
        <f aca="false">IF(ABS(AA139-$B$11/$B$9*((MAX(0,MIN(1,AA139))^2/(MAX(0,MIN(1,AA139))^2+(1-MAX(0,MIN(1,AA139)))^2/$B$5))-(MAX(0,MIN(1,Z139))^2/(MAX(0,MIN(1,Z139))^2+(1-MAX(0,MIN(1,Z139)))^2/$B$5))))&lt;0.000000001,0,AA139-$B$11/$B$9*((MAX(0,MIN(1,AA139))^2/(MAX(0,MIN(1,AA139))^2+(1-MAX(0,MIN(1,AA139)))^2/$B$5))-(MAX(0,MIN(1,Z139))^2/(MAX(0,MIN(1,Z139))^2+(1-MAX(0,MIN(1,Z139)))^2/$B$5))))</f>
        <v>0.819887850857053</v>
      </c>
      <c r="AB140" s="16" t="n">
        <f aca="false">IF(ABS(AB139-$B$11/$B$9*((MAX(0,MIN(1,AB139))^2/(MAX(0,MIN(1,AB139))^2+(1-MAX(0,MIN(1,AB139)))^2/$B$5))-(MAX(0,MIN(1,AA139))^2/(MAX(0,MIN(1,AA139))^2+(1-MAX(0,MIN(1,AA139)))^2/$B$5))))&lt;0.000000001,0,AB139-$B$11/$B$9*((MAX(0,MIN(1,AB139))^2/(MAX(0,MIN(1,AB139))^2+(1-MAX(0,MIN(1,AB139)))^2/$B$5))-(MAX(0,MIN(1,AA139))^2/(MAX(0,MIN(1,AA139))^2+(1-MAX(0,MIN(1,AA139)))^2/$B$5))))</f>
        <v>0.812685361612952</v>
      </c>
      <c r="AC140" s="16" t="n">
        <f aca="false">IF(ABS(AC139-$B$11/$B$9*((MAX(0,MIN(1,AC139))^2/(MAX(0,MIN(1,AC139))^2+(1-MAX(0,MIN(1,AC139)))^2/$B$5))-(MAX(0,MIN(1,AB139))^2/(MAX(0,MIN(1,AB139))^2+(1-MAX(0,MIN(1,AB139)))^2/$B$5))))&lt;0.000000001,0,AC139-$B$11/$B$9*((MAX(0,MIN(1,AC139))^2/(MAX(0,MIN(1,AC139))^2+(1-MAX(0,MIN(1,AC139)))^2/$B$5))-(MAX(0,MIN(1,AB139))^2/(MAX(0,MIN(1,AB139))^2+(1-MAX(0,MIN(1,AB139)))^2/$B$5))))</f>
        <v>0.805716883975339</v>
      </c>
      <c r="AD140" s="16" t="n">
        <f aca="false">IF(ABS(AD139-$B$11/$B$9*((MAX(0,MIN(1,AD139))^2/(MAX(0,MIN(1,AD139))^2+(1-MAX(0,MIN(1,AD139)))^2/$B$5))-(MAX(0,MIN(1,AC139))^2/(MAX(0,MIN(1,AC139))^2+(1-MAX(0,MIN(1,AC139)))^2/$B$5))))&lt;0.000000001,0,AD139-$B$11/$B$9*((MAX(0,MIN(1,AD139))^2/(MAX(0,MIN(1,AD139))^2+(1-MAX(0,MIN(1,AD139)))^2/$B$5))-(MAX(0,MIN(1,AC139))^2/(MAX(0,MIN(1,AC139))^2+(1-MAX(0,MIN(1,AC139)))^2/$B$5))))</f>
        <v>0.798964426094453</v>
      </c>
      <c r="AE140" s="16" t="n">
        <f aca="false">IF(ABS(AE139-$B$11/$B$9*((MAX(0,MIN(1,AE139))^2/(MAX(0,MIN(1,AE139))^2+(1-MAX(0,MIN(1,AE139)))^2/$B$5))-(MAX(0,MIN(1,AD139))^2/(MAX(0,MIN(1,AD139))^2+(1-MAX(0,MIN(1,AD139)))^2/$B$5))))&lt;0.000000001,0,AE139-$B$11/$B$9*((MAX(0,MIN(1,AE139))^2/(MAX(0,MIN(1,AE139))^2+(1-MAX(0,MIN(1,AE139)))^2/$B$5))-(MAX(0,MIN(1,AD139))^2/(MAX(0,MIN(1,AD139))^2+(1-MAX(0,MIN(1,AD139)))^2/$B$5))))</f>
        <v>0.792411947976728</v>
      </c>
      <c r="AF140" s="16" t="n">
        <f aca="false">IF(ABS(AF139-$B$11/$B$9*((MAX(0,MIN(1,AF139))^2/(MAX(0,MIN(1,AF139))^2+(1-MAX(0,MIN(1,AF139)))^2/$B$5))-(MAX(0,MIN(1,AE139))^2/(MAX(0,MIN(1,AE139))^2+(1-MAX(0,MIN(1,AE139)))^2/$B$5))))&lt;0.000000001,0,AF139-$B$11/$B$9*((MAX(0,MIN(1,AF139))^2/(MAX(0,MIN(1,AF139))^2+(1-MAX(0,MIN(1,AF139)))^2/$B$5))-(MAX(0,MIN(1,AE139))^2/(MAX(0,MIN(1,AE139))^2+(1-MAX(0,MIN(1,AE139)))^2/$B$5))))</f>
        <v>0.786045071889535</v>
      </c>
    </row>
    <row r="141" customFormat="false" ht="15" hidden="false" customHeight="false" outlineLevel="0" collapsed="false">
      <c r="L141" s="0" t="n">
        <v>131</v>
      </c>
      <c r="M141" s="16" t="n">
        <f aca="false">IF(ABS(M140-$B$11/$B$9*((MAX(0,MIN(1,M140))^2/(MAX(0,MIN(1,M140))^2+(1-MAX(0,MIN(1,M140)))^2/$B$5))-(MAX(0,MIN(1,1))^2/(MAX(0,MIN(1,1))^2+(1-MAX(0,MIN(1,1)))^2/$B$5))))&lt;0.000000001,0,M140-$B$11/$B$9*((MAX(0,MIN(1,M140))^2/(MAX(0,MIN(1,M140))^2+(1-MAX(0,MIN(1,M140)))^2/$B$5))-(MAX(0,MIN(1,1))^2/(MAX(0,MIN(1,1))^2+(1-MAX(0,MIN(1,1)))^2/$B$5))))</f>
        <v>0.969198784631825</v>
      </c>
      <c r="N141" s="16" t="n">
        <f aca="false">IF(ABS(N140-$B$11/$B$9*((MAX(0,MIN(1,N140))^2/(MAX(0,MIN(1,N140))^2+(1-MAX(0,MIN(1,N140)))^2/$B$5))-(MAX(0,MIN(1,M140))^2/(MAX(0,MIN(1,M140))^2+(1-MAX(0,MIN(1,M140)))^2/$B$5))))&lt;0.000000001,0,N140-$B$11/$B$9*((MAX(0,MIN(1,N140))^2/(MAX(0,MIN(1,N140))^2+(1-MAX(0,MIN(1,N140)))^2/$B$5))-(MAX(0,MIN(1,M140))^2/(MAX(0,MIN(1,M140))^2+(1-MAX(0,MIN(1,M140)))^2/$B$5))))</f>
        <v>0.952110651629332</v>
      </c>
      <c r="O141" s="16" t="n">
        <f aca="false">IF(ABS(O140-$B$11/$B$9*((MAX(0,MIN(1,O140))^2/(MAX(0,MIN(1,O140))^2+(1-MAX(0,MIN(1,O140)))^2/$B$5))-(MAX(0,MIN(1,N140))^2/(MAX(0,MIN(1,N140))^2+(1-MAX(0,MIN(1,N140)))^2/$B$5))))&lt;0.000000001,0,O140-$B$11/$B$9*((MAX(0,MIN(1,O140))^2/(MAX(0,MIN(1,O140))^2+(1-MAX(0,MIN(1,O140)))^2/$B$5))-(MAX(0,MIN(1,N140))^2/(MAX(0,MIN(1,N140))^2+(1-MAX(0,MIN(1,N140)))^2/$B$5))))</f>
        <v>0.937379879973516</v>
      </c>
      <c r="P141" s="16" t="n">
        <f aca="false">IF(ABS(P140-$B$11/$B$9*((MAX(0,MIN(1,P140))^2/(MAX(0,MIN(1,P140))^2+(1-MAX(0,MIN(1,P140)))^2/$B$5))-(MAX(0,MIN(1,O140))^2/(MAX(0,MIN(1,O140))^2+(1-MAX(0,MIN(1,O140)))^2/$B$5))))&lt;0.000000001,0,P140-$B$11/$B$9*((MAX(0,MIN(1,P140))^2/(MAX(0,MIN(1,P140))^2+(1-MAX(0,MIN(1,P140)))^2/$B$5))-(MAX(0,MIN(1,O140))^2/(MAX(0,MIN(1,O140))^2+(1-MAX(0,MIN(1,O140)))^2/$B$5))))</f>
        <v>0.924083586551792</v>
      </c>
      <c r="Q141" s="16" t="n">
        <f aca="false">IF(ABS(Q140-$B$11/$B$9*((MAX(0,MIN(1,Q140))^2/(MAX(0,MIN(1,Q140))^2+(1-MAX(0,MIN(1,Q140)))^2/$B$5))-(MAX(0,MIN(1,P140))^2/(MAX(0,MIN(1,P140))^2+(1-MAX(0,MIN(1,P140)))^2/$B$5))))&lt;0.000000001,0,Q140-$B$11/$B$9*((MAX(0,MIN(1,Q140))^2/(MAX(0,MIN(1,Q140))^2+(1-MAX(0,MIN(1,Q140)))^2/$B$5))-(MAX(0,MIN(1,P140))^2/(MAX(0,MIN(1,P140))^2+(1-MAX(0,MIN(1,P140)))^2/$B$5))))</f>
        <v>0.91184286965904</v>
      </c>
      <c r="R141" s="16" t="n">
        <f aca="false">IF(ABS(R140-$B$11/$B$9*((MAX(0,MIN(1,R140))^2/(MAX(0,MIN(1,R140))^2+(1-MAX(0,MIN(1,R140)))^2/$B$5))-(MAX(0,MIN(1,Q140))^2/(MAX(0,MIN(1,Q140))^2+(1-MAX(0,MIN(1,Q140)))^2/$B$5))))&lt;0.000000001,0,R140-$B$11/$B$9*((MAX(0,MIN(1,R140))^2/(MAX(0,MIN(1,R140))^2+(1-MAX(0,MIN(1,R140)))^2/$B$5))-(MAX(0,MIN(1,Q140))^2/(MAX(0,MIN(1,Q140))^2+(1-MAX(0,MIN(1,Q140)))^2/$B$5))))</f>
        <v>0.900443867456796</v>
      </c>
      <c r="S141" s="16" t="n">
        <f aca="false">IF(ABS(S140-$B$11/$B$9*((MAX(0,MIN(1,S140))^2/(MAX(0,MIN(1,S140))^2+(1-MAX(0,MIN(1,S140)))^2/$B$5))-(MAX(0,MIN(1,R140))^2/(MAX(0,MIN(1,R140))^2+(1-MAX(0,MIN(1,R140)))^2/$B$5))))&lt;0.000000001,0,S140-$B$11/$B$9*((MAX(0,MIN(1,S140))^2/(MAX(0,MIN(1,S140))^2+(1-MAX(0,MIN(1,S140)))^2/$B$5))-(MAX(0,MIN(1,R140))^2/(MAX(0,MIN(1,R140))^2+(1-MAX(0,MIN(1,R140)))^2/$B$5))))</f>
        <v>0.889745536797779</v>
      </c>
      <c r="T141" s="16" t="n">
        <f aca="false">IF(ABS(T140-$B$11/$B$9*((MAX(0,MIN(1,T140))^2/(MAX(0,MIN(1,T140))^2+(1-MAX(0,MIN(1,T140)))^2/$B$5))-(MAX(0,MIN(1,S140))^2/(MAX(0,MIN(1,S140))^2+(1-MAX(0,MIN(1,S140)))^2/$B$5))))&lt;0.000000001,0,T140-$B$11/$B$9*((MAX(0,MIN(1,T140))^2/(MAX(0,MIN(1,T140))^2+(1-MAX(0,MIN(1,T140)))^2/$B$5))-(MAX(0,MIN(1,S140))^2/(MAX(0,MIN(1,S140))^2+(1-MAX(0,MIN(1,S140)))^2/$B$5))))</f>
        <v>0.879646143553956</v>
      </c>
      <c r="U141" s="16" t="n">
        <f aca="false">IF(ABS(U140-$B$11/$B$9*((MAX(0,MIN(1,U140))^2/(MAX(0,MIN(1,U140))^2+(1-MAX(0,MIN(1,U140)))^2/$B$5))-(MAX(0,MIN(1,T140))^2/(MAX(0,MIN(1,T140))^2+(1-MAX(0,MIN(1,T140)))^2/$B$5))))&lt;0.000000001,0,U140-$B$11/$B$9*((MAX(0,MIN(1,U140))^2/(MAX(0,MIN(1,U140))^2+(1-MAX(0,MIN(1,U140)))^2/$B$5))-(MAX(0,MIN(1,T140))^2/(MAX(0,MIN(1,T140))^2+(1-MAX(0,MIN(1,T140)))^2/$B$5))))</f>
        <v>0.870068033890309</v>
      </c>
      <c r="V141" s="16" t="n">
        <f aca="false">IF(ABS(V140-$B$11/$B$9*((MAX(0,MIN(1,V140))^2/(MAX(0,MIN(1,V140))^2+(1-MAX(0,MIN(1,V140)))^2/$B$5))-(MAX(0,MIN(1,U140))^2/(MAX(0,MIN(1,U140))^2+(1-MAX(0,MIN(1,U140)))^2/$B$5))))&lt;0.000000001,0,V140-$B$11/$B$9*((MAX(0,MIN(1,V140))^2/(MAX(0,MIN(1,V140))^2+(1-MAX(0,MIN(1,V140)))^2/$B$5))-(MAX(0,MIN(1,U140))^2/(MAX(0,MIN(1,U140))^2+(1-MAX(0,MIN(1,U140)))^2/$B$5))))</f>
        <v>0.860949618037321</v>
      </c>
      <c r="W141" s="16" t="n">
        <f aca="false">IF(ABS(W140-$B$11/$B$9*((MAX(0,MIN(1,W140))^2/(MAX(0,MIN(1,W140))^2+(1-MAX(0,MIN(1,W140)))^2/$B$5))-(MAX(0,MIN(1,V140))^2/(MAX(0,MIN(1,V140))^2+(1-MAX(0,MIN(1,V140)))^2/$B$5))))&lt;0.000000001,0,W140-$B$11/$B$9*((MAX(0,MIN(1,W140))^2/(MAX(0,MIN(1,W140))^2+(1-MAX(0,MIN(1,W140)))^2/$B$5))-(MAX(0,MIN(1,V140))^2/(MAX(0,MIN(1,V140))^2+(1-MAX(0,MIN(1,V140)))^2/$B$5))))</f>
        <v>0.85224068773422</v>
      </c>
      <c r="X141" s="16" t="n">
        <f aca="false">IF(ABS(X140-$B$11/$B$9*((MAX(0,MIN(1,X140))^2/(MAX(0,MIN(1,X140))^2+(1-MAX(0,MIN(1,X140)))^2/$B$5))-(MAX(0,MIN(1,W140))^2/(MAX(0,MIN(1,W140))^2+(1-MAX(0,MIN(1,W140)))^2/$B$5))))&lt;0.000000001,0,X140-$B$11/$B$9*((MAX(0,MIN(1,X140))^2/(MAX(0,MIN(1,X140))^2+(1-MAX(0,MIN(1,X140)))^2/$B$5))-(MAX(0,MIN(1,W140))^2/(MAX(0,MIN(1,W140))^2+(1-MAX(0,MIN(1,W140)))^2/$B$5))))</f>
        <v>0.843899462123872</v>
      </c>
      <c r="Y141" s="16" t="n">
        <f aca="false">IF(ABS(Y140-$B$11/$B$9*((MAX(0,MIN(1,Y140))^2/(MAX(0,MIN(1,Y140))^2+(1-MAX(0,MIN(1,Y140)))^2/$B$5))-(MAX(0,MIN(1,X140))^2/(MAX(0,MIN(1,X140))^2+(1-MAX(0,MIN(1,X140)))^2/$B$5))))&lt;0.000000001,0,Y140-$B$11/$B$9*((MAX(0,MIN(1,Y140))^2/(MAX(0,MIN(1,Y140))^2+(1-MAX(0,MIN(1,Y140)))^2/$B$5))-(MAX(0,MIN(1,X140))^2/(MAX(0,MIN(1,X140))^2+(1-MAX(0,MIN(1,X140)))^2/$B$5))))</f>
        <v>0.835890611666395</v>
      </c>
      <c r="Z141" s="16" t="n">
        <f aca="false">IF(ABS(Z140-$B$11/$B$9*((MAX(0,MIN(1,Z140))^2/(MAX(0,MIN(1,Z140))^2+(1-MAX(0,MIN(1,Z140)))^2/$B$5))-(MAX(0,MIN(1,Y140))^2/(MAX(0,MIN(1,Y140))^2+(1-MAX(0,MIN(1,Y140)))^2/$B$5))))&lt;0.000000001,0,Z140-$B$11/$B$9*((MAX(0,MIN(1,Z140))^2/(MAX(0,MIN(1,Z140))^2+(1-MAX(0,MIN(1,Z140)))^2/$B$5))-(MAX(0,MIN(1,Y140))^2/(MAX(0,MIN(1,Y140))^2+(1-MAX(0,MIN(1,Y140)))^2/$B$5))))</f>
        <v>0.828183874666211</v>
      </c>
      <c r="AA141" s="16" t="n">
        <f aca="false">IF(ABS(AA140-$B$11/$B$9*((MAX(0,MIN(1,AA140))^2/(MAX(0,MIN(1,AA140))^2+(1-MAX(0,MIN(1,AA140)))^2/$B$5))-(MAX(0,MIN(1,Z140))^2/(MAX(0,MIN(1,Z140))^2+(1-MAX(0,MIN(1,Z140)))^2/$B$5))))&lt;0.000000001,0,AA140-$B$11/$B$9*((MAX(0,MIN(1,AA140))^2/(MAX(0,MIN(1,AA140))^2+(1-MAX(0,MIN(1,AA140)))^2/$B$5))-(MAX(0,MIN(1,Z140))^2/(MAX(0,MIN(1,Z140))^2+(1-MAX(0,MIN(1,Z140)))^2/$B$5))))</f>
        <v>0.820753053081992</v>
      </c>
      <c r="AB141" s="16" t="n">
        <f aca="false">IF(ABS(AB140-$B$11/$B$9*((MAX(0,MIN(1,AB140))^2/(MAX(0,MIN(1,AB140))^2+(1-MAX(0,MIN(1,AB140)))^2/$B$5))-(MAX(0,MIN(1,AA140))^2/(MAX(0,MIN(1,AA140))^2+(1-MAX(0,MIN(1,AA140)))^2/$B$5))))&lt;0.000000001,0,AB140-$B$11/$B$9*((MAX(0,MIN(1,AB140))^2/(MAX(0,MIN(1,AB140))^2+(1-MAX(0,MIN(1,AB140)))^2/$B$5))-(MAX(0,MIN(1,AA140))^2/(MAX(0,MIN(1,AA140))^2+(1-MAX(0,MIN(1,AA140)))^2/$B$5))))</f>
        <v>0.813575262107466</v>
      </c>
      <c r="AC141" s="16" t="n">
        <f aca="false">IF(ABS(AC140-$B$11/$B$9*((MAX(0,MIN(1,AC140))^2/(MAX(0,MIN(1,AC140))^2+(1-MAX(0,MIN(1,AC140)))^2/$B$5))-(MAX(0,MIN(1,AB140))^2/(MAX(0,MIN(1,AB140))^2+(1-MAX(0,MIN(1,AB140)))^2/$B$5))))&lt;0.000000001,0,AC140-$B$11/$B$9*((MAX(0,MIN(1,AC140))^2/(MAX(0,MIN(1,AC140))^2+(1-MAX(0,MIN(1,AC140)))^2/$B$5))-(MAX(0,MIN(1,AB140))^2/(MAX(0,MIN(1,AB140))^2+(1-MAX(0,MIN(1,AB140)))^2/$B$5))))</f>
        <v>0.806630355855013</v>
      </c>
      <c r="AD141" s="16" t="n">
        <f aca="false">IF(ABS(AD140-$B$11/$B$9*((MAX(0,MIN(1,AD140))^2/(MAX(0,MIN(1,AD140))^2+(1-MAX(0,MIN(1,AD140)))^2/$B$5))-(MAX(0,MIN(1,AC140))^2/(MAX(0,MIN(1,AC140))^2+(1-MAX(0,MIN(1,AC140)))^2/$B$5))))&lt;0.000000001,0,AD140-$B$11/$B$9*((MAX(0,MIN(1,AD140))^2/(MAX(0,MIN(1,AD140))^2+(1-MAX(0,MIN(1,AD140)))^2/$B$5))-(MAX(0,MIN(1,AC140))^2/(MAX(0,MIN(1,AC140))^2+(1-MAX(0,MIN(1,AC140)))^2/$B$5))))</f>
        <v>0.799900479005061</v>
      </c>
      <c r="AE141" s="16" t="n">
        <f aca="false">IF(ABS(AE140-$B$11/$B$9*((MAX(0,MIN(1,AE140))^2/(MAX(0,MIN(1,AE140))^2+(1-MAX(0,MIN(1,AE140)))^2/$B$5))-(MAX(0,MIN(1,AD140))^2/(MAX(0,MIN(1,AD140))^2+(1-MAX(0,MIN(1,AD140)))^2/$B$5))))&lt;0.000000001,0,AE140-$B$11/$B$9*((MAX(0,MIN(1,AE140))^2/(MAX(0,MIN(1,AE140))^2+(1-MAX(0,MIN(1,AE140)))^2/$B$5))-(MAX(0,MIN(1,AD140))^2/(MAX(0,MIN(1,AD140))^2+(1-MAX(0,MIN(1,AD140)))^2/$B$5))))</f>
        <v>0.793369710878725</v>
      </c>
      <c r="AF141" s="16" t="n">
        <f aca="false">IF(ABS(AF140-$B$11/$B$9*((MAX(0,MIN(1,AF140))^2/(MAX(0,MIN(1,AF140))^2+(1-MAX(0,MIN(1,AF140)))^2/$B$5))-(MAX(0,MIN(1,AE140))^2/(MAX(0,MIN(1,AE140))^2+(1-MAX(0,MIN(1,AE140)))^2/$B$5))))&lt;0.000000001,0,AF140-$B$11/$B$9*((MAX(0,MIN(1,AF140))^2/(MAX(0,MIN(1,AF140))^2+(1-MAX(0,MIN(1,AF140)))^2/$B$5))-(MAX(0,MIN(1,AE140))^2/(MAX(0,MIN(1,AE140))^2+(1-MAX(0,MIN(1,AE140)))^2/$B$5))))</f>
        <v>0.78702377879863</v>
      </c>
    </row>
    <row r="142" customFormat="false" ht="15" hidden="false" customHeight="false" outlineLevel="0" collapsed="false">
      <c r="L142" s="0" t="n">
        <v>132</v>
      </c>
      <c r="M142" s="16" t="n">
        <f aca="false">IF(ABS(M141-$B$11/$B$9*((MAX(0,MIN(1,M141))^2/(MAX(0,MIN(1,M141))^2+(1-MAX(0,MIN(1,M141)))^2/$B$5))-(MAX(0,MIN(1,1))^2/(MAX(0,MIN(1,1))^2+(1-MAX(0,MIN(1,1)))^2/$B$5))))&lt;0.000000001,0,M141-$B$11/$B$9*((MAX(0,MIN(1,M141))^2/(MAX(0,MIN(1,M141))^2+(1-MAX(0,MIN(1,M141)))^2/$B$5))-(MAX(0,MIN(1,1))^2/(MAX(0,MIN(1,1))^2+(1-MAX(0,MIN(1,1)))^2/$B$5))))</f>
        <v>0.969392869878635</v>
      </c>
      <c r="N142" s="16" t="n">
        <f aca="false">IF(ABS(N141-$B$11/$B$9*((MAX(0,MIN(1,N141))^2/(MAX(0,MIN(1,N141))^2+(1-MAX(0,MIN(1,N141)))^2/$B$5))-(MAX(0,MIN(1,M141))^2/(MAX(0,MIN(1,M141))^2+(1-MAX(0,MIN(1,M141)))^2/$B$5))))&lt;0.000000001,0,N141-$B$11/$B$9*((MAX(0,MIN(1,N141))^2/(MAX(0,MIN(1,N141))^2+(1-MAX(0,MIN(1,N141)))^2/$B$5))-(MAX(0,MIN(1,M141))^2/(MAX(0,MIN(1,M141))^2+(1-MAX(0,MIN(1,M141)))^2/$B$5))))</f>
        <v>0.952402364459317</v>
      </c>
      <c r="O142" s="16" t="n">
        <f aca="false">IF(ABS(O141-$B$11/$B$9*((MAX(0,MIN(1,O141))^2/(MAX(0,MIN(1,O141))^2+(1-MAX(0,MIN(1,O141)))^2/$B$5))-(MAX(0,MIN(1,N141))^2/(MAX(0,MIN(1,N141))^2+(1-MAX(0,MIN(1,N141)))^2/$B$5))))&lt;0.000000001,0,O141-$B$11/$B$9*((MAX(0,MIN(1,O141))^2/(MAX(0,MIN(1,O141))^2+(1-MAX(0,MIN(1,O141)))^2/$B$5))-(MAX(0,MIN(1,N141))^2/(MAX(0,MIN(1,N141))^2+(1-MAX(0,MIN(1,N141)))^2/$B$5))))</f>
        <v>0.937750193438642</v>
      </c>
      <c r="P142" s="16" t="n">
        <f aca="false">IF(ABS(P141-$B$11/$B$9*((MAX(0,MIN(1,P141))^2/(MAX(0,MIN(1,P141))^2+(1-MAX(0,MIN(1,P141)))^2/$B$5))-(MAX(0,MIN(1,O141))^2/(MAX(0,MIN(1,O141))^2+(1-MAX(0,MIN(1,O141)))^2/$B$5))))&lt;0.000000001,0,P141-$B$11/$B$9*((MAX(0,MIN(1,P141))^2/(MAX(0,MIN(1,P141))^2+(1-MAX(0,MIN(1,P141)))^2/$B$5))-(MAX(0,MIN(1,O141))^2/(MAX(0,MIN(1,O141))^2+(1-MAX(0,MIN(1,O141)))^2/$B$5))))</f>
        <v>0.924520740107962</v>
      </c>
      <c r="Q142" s="16" t="n">
        <f aca="false">IF(ABS(Q141-$B$11/$B$9*((MAX(0,MIN(1,Q141))^2/(MAX(0,MIN(1,Q141))^2+(1-MAX(0,MIN(1,Q141)))^2/$B$5))-(MAX(0,MIN(1,P141))^2/(MAX(0,MIN(1,P141))^2+(1-MAX(0,MIN(1,P141)))^2/$B$5))))&lt;0.000000001,0,Q141-$B$11/$B$9*((MAX(0,MIN(1,Q141))^2/(MAX(0,MIN(1,Q141))^2+(1-MAX(0,MIN(1,Q141)))^2/$B$5))-(MAX(0,MIN(1,P141))^2/(MAX(0,MIN(1,P141))^2+(1-MAX(0,MIN(1,P141)))^2/$B$5))))</f>
        <v>0.912338363075239</v>
      </c>
      <c r="R142" s="16" t="n">
        <f aca="false">IF(ABS(R141-$B$11/$B$9*((MAX(0,MIN(1,R141))^2/(MAX(0,MIN(1,R141))^2+(1-MAX(0,MIN(1,R141)))^2/$B$5))-(MAX(0,MIN(1,Q141))^2/(MAX(0,MIN(1,Q141))^2+(1-MAX(0,MIN(1,Q141)))^2/$B$5))))&lt;0.000000001,0,R141-$B$11/$B$9*((MAX(0,MIN(1,R141))^2/(MAX(0,MIN(1,R141))^2+(1-MAX(0,MIN(1,R141)))^2/$B$5))-(MAX(0,MIN(1,Q141))^2/(MAX(0,MIN(1,Q141))^2+(1-MAX(0,MIN(1,Q141)))^2/$B$5))))</f>
        <v>0.900991137544169</v>
      </c>
      <c r="S142" s="16" t="n">
        <f aca="false">IF(ABS(S141-$B$11/$B$9*((MAX(0,MIN(1,S141))^2/(MAX(0,MIN(1,S141))^2+(1-MAX(0,MIN(1,S141)))^2/$B$5))-(MAX(0,MIN(1,R141))^2/(MAX(0,MIN(1,R141))^2+(1-MAX(0,MIN(1,R141)))^2/$B$5))))&lt;0.000000001,0,S141-$B$11/$B$9*((MAX(0,MIN(1,S141))^2/(MAX(0,MIN(1,S141))^2+(1-MAX(0,MIN(1,S141)))^2/$B$5))-(MAX(0,MIN(1,R141))^2/(MAX(0,MIN(1,R141))^2+(1-MAX(0,MIN(1,R141)))^2/$B$5))))</f>
        <v>0.890339327756166</v>
      </c>
      <c r="T142" s="16" t="n">
        <f aca="false">IF(ABS(T141-$B$11/$B$9*((MAX(0,MIN(1,T141))^2/(MAX(0,MIN(1,T141))^2+(1-MAX(0,MIN(1,T141)))^2/$B$5))-(MAX(0,MIN(1,S141))^2/(MAX(0,MIN(1,S141))^2+(1-MAX(0,MIN(1,S141)))^2/$B$5))))&lt;0.000000001,0,T141-$B$11/$B$9*((MAX(0,MIN(1,T141))^2/(MAX(0,MIN(1,T141))^2+(1-MAX(0,MIN(1,T141)))^2/$B$5))-(MAX(0,MIN(1,S141))^2/(MAX(0,MIN(1,S141))^2+(1-MAX(0,MIN(1,S141)))^2/$B$5))))</f>
        <v>0.880282146641407</v>
      </c>
      <c r="U142" s="16" t="n">
        <f aca="false">IF(ABS(U141-$B$11/$B$9*((MAX(0,MIN(1,U141))^2/(MAX(0,MIN(1,U141))^2+(1-MAX(0,MIN(1,U141)))^2/$B$5))-(MAX(0,MIN(1,T141))^2/(MAX(0,MIN(1,T141))^2+(1-MAX(0,MIN(1,T141)))^2/$B$5))))&lt;0.000000001,0,U141-$B$11/$B$9*((MAX(0,MIN(1,U141))^2/(MAX(0,MIN(1,U141))^2+(1-MAX(0,MIN(1,U141)))^2/$B$5))-(MAX(0,MIN(1,T141))^2/(MAX(0,MIN(1,T141))^2+(1-MAX(0,MIN(1,T141)))^2/$B$5))))</f>
        <v>0.870742657623996</v>
      </c>
      <c r="V142" s="16" t="n">
        <f aca="false">IF(ABS(V141-$B$11/$B$9*((MAX(0,MIN(1,V141))^2/(MAX(0,MIN(1,V141))^2+(1-MAX(0,MIN(1,V141)))^2/$B$5))-(MAX(0,MIN(1,U141))^2/(MAX(0,MIN(1,U141))^2+(1-MAX(0,MIN(1,U141)))^2/$B$5))))&lt;0.000000001,0,V141-$B$11/$B$9*((MAX(0,MIN(1,V141))^2/(MAX(0,MIN(1,V141))^2+(1-MAX(0,MIN(1,V141)))^2/$B$5))-(MAX(0,MIN(1,U141))^2/(MAX(0,MIN(1,U141))^2+(1-MAX(0,MIN(1,U141)))^2/$B$5))))</f>
        <v>0.86165983110961</v>
      </c>
      <c r="W142" s="16" t="n">
        <f aca="false">IF(ABS(W141-$B$11/$B$9*((MAX(0,MIN(1,W141))^2/(MAX(0,MIN(1,W141))^2+(1-MAX(0,MIN(1,W141)))^2/$B$5))-(MAX(0,MIN(1,V141))^2/(MAX(0,MIN(1,V141))^2+(1-MAX(0,MIN(1,V141)))^2/$B$5))))&lt;0.000000001,0,W141-$B$11/$B$9*((MAX(0,MIN(1,W141))^2/(MAX(0,MIN(1,W141))^2+(1-MAX(0,MIN(1,W141)))^2/$B$5))-(MAX(0,MIN(1,V141))^2/(MAX(0,MIN(1,V141))^2+(1-MAX(0,MIN(1,V141)))^2/$B$5))))</f>
        <v>0.852983906411805</v>
      </c>
      <c r="X142" s="16" t="n">
        <f aca="false">IF(ABS(X141-$B$11/$B$9*((MAX(0,MIN(1,X141))^2/(MAX(0,MIN(1,X141))^2+(1-MAX(0,MIN(1,X141)))^2/$B$5))-(MAX(0,MIN(1,W141))^2/(MAX(0,MIN(1,W141))^2+(1-MAX(0,MIN(1,W141)))^2/$B$5))))&lt;0.000000001,0,X141-$B$11/$B$9*((MAX(0,MIN(1,X141))^2/(MAX(0,MIN(1,X141))^2+(1-MAX(0,MIN(1,X141)))^2/$B$5))-(MAX(0,MIN(1,W141))^2/(MAX(0,MIN(1,W141))^2+(1-MAX(0,MIN(1,W141)))^2/$B$5))))</f>
        <v>0.844673466715503</v>
      </c>
      <c r="Y142" s="16" t="n">
        <f aca="false">IF(ABS(Y141-$B$11/$B$9*((MAX(0,MIN(1,Y141))^2/(MAX(0,MIN(1,Y141))^2+(1-MAX(0,MIN(1,Y141)))^2/$B$5))-(MAX(0,MIN(1,X141))^2/(MAX(0,MIN(1,X141))^2+(1-MAX(0,MIN(1,X141)))^2/$B$5))))&lt;0.000000001,0,Y141-$B$11/$B$9*((MAX(0,MIN(1,Y141))^2/(MAX(0,MIN(1,Y141))^2+(1-MAX(0,MIN(1,Y141)))^2/$B$5))-(MAX(0,MIN(1,X141))^2/(MAX(0,MIN(1,X141))^2+(1-MAX(0,MIN(1,X141)))^2/$B$5))))</f>
        <v>0.836693482927973</v>
      </c>
      <c r="Z142" s="16" t="n">
        <f aca="false">IF(ABS(Z141-$B$11/$B$9*((MAX(0,MIN(1,Z141))^2/(MAX(0,MIN(1,Z141))^2+(1-MAX(0,MIN(1,Z141)))^2/$B$5))-(MAX(0,MIN(1,Y141))^2/(MAX(0,MIN(1,Y141))^2+(1-MAX(0,MIN(1,Y141)))^2/$B$5))))&lt;0.000000001,0,Z141-$B$11/$B$9*((MAX(0,MIN(1,Z141))^2/(MAX(0,MIN(1,Z141))^2+(1-MAX(0,MIN(1,Z141)))^2/$B$5))-(MAX(0,MIN(1,Y141))^2/(MAX(0,MIN(1,Y141))^2+(1-MAX(0,MIN(1,Y141)))^2/$B$5))))</f>
        <v>0.829013944392336</v>
      </c>
      <c r="AA142" s="16" t="n">
        <f aca="false">IF(ABS(AA141-$B$11/$B$9*((MAX(0,MIN(1,AA141))^2/(MAX(0,MIN(1,AA141))^2+(1-MAX(0,MIN(1,AA141)))^2/$B$5))-(MAX(0,MIN(1,Z141))^2/(MAX(0,MIN(1,Z141))^2+(1-MAX(0,MIN(1,Z141)))^2/$B$5))))&lt;0.000000001,0,AA141-$B$11/$B$9*((MAX(0,MIN(1,AA141))^2/(MAX(0,MIN(1,AA141))^2+(1-MAX(0,MIN(1,AA141)))^2/$B$5))-(MAX(0,MIN(1,Z141))^2/(MAX(0,MIN(1,Z141))^2+(1-MAX(0,MIN(1,Z141)))^2/$B$5))))</f>
        <v>0.821608865087208</v>
      </c>
      <c r="AB142" s="16" t="n">
        <f aca="false">IF(ABS(AB141-$B$11/$B$9*((MAX(0,MIN(1,AB141))^2/(MAX(0,MIN(1,AB141))^2+(1-MAX(0,MIN(1,AB141)))^2/$B$5))-(MAX(0,MIN(1,AA141))^2/(MAX(0,MIN(1,AA141))^2+(1-MAX(0,MIN(1,AA141)))^2/$B$5))))&lt;0.000000001,0,AB141-$B$11/$B$9*((MAX(0,MIN(1,AB141))^2/(MAX(0,MIN(1,AB141))^2+(1-MAX(0,MIN(1,AB141)))^2/$B$5))-(MAX(0,MIN(1,AA141))^2/(MAX(0,MIN(1,AA141))^2+(1-MAX(0,MIN(1,AA141)))^2/$B$5))))</f>
        <v>0.814455540995933</v>
      </c>
      <c r="AC142" s="16" t="n">
        <f aca="false">IF(ABS(AC141-$B$11/$B$9*((MAX(0,MIN(1,AC141))^2/(MAX(0,MIN(1,AC141))^2+(1-MAX(0,MIN(1,AC141)))^2/$B$5))-(MAX(0,MIN(1,AB141))^2/(MAX(0,MIN(1,AB141))^2+(1-MAX(0,MIN(1,AB141)))^2/$B$5))))&lt;0.000000001,0,AC141-$B$11/$B$9*((MAX(0,MIN(1,AC141))^2/(MAX(0,MIN(1,AC141))^2+(1-MAX(0,MIN(1,AC141)))^2/$B$5))-(MAX(0,MIN(1,AB141))^2/(MAX(0,MIN(1,AB141))^2+(1-MAX(0,MIN(1,AB141)))^2/$B$5))))</f>
        <v>0.807533981742661</v>
      </c>
      <c r="AD142" s="16" t="n">
        <f aca="false">IF(ABS(AD141-$B$11/$B$9*((MAX(0,MIN(1,AD141))^2/(MAX(0,MIN(1,AD141))^2+(1-MAX(0,MIN(1,AD141)))^2/$B$5))-(MAX(0,MIN(1,AC141))^2/(MAX(0,MIN(1,AC141))^2+(1-MAX(0,MIN(1,AC141)))^2/$B$5))))&lt;0.000000001,0,AD141-$B$11/$B$9*((MAX(0,MIN(1,AD141))^2/(MAX(0,MIN(1,AD141))^2+(1-MAX(0,MIN(1,AD141)))^2/$B$5))-(MAX(0,MIN(1,AC141))^2/(MAX(0,MIN(1,AC141))^2+(1-MAX(0,MIN(1,AC141)))^2/$B$5))))</f>
        <v>0.800826466866638</v>
      </c>
      <c r="AE142" s="16" t="n">
        <f aca="false">IF(ABS(AE141-$B$11/$B$9*((MAX(0,MIN(1,AE141))^2/(MAX(0,MIN(1,AE141))^2+(1-MAX(0,MIN(1,AE141)))^2/$B$5))-(MAX(0,MIN(1,AD141))^2/(MAX(0,MIN(1,AD141))^2+(1-MAX(0,MIN(1,AD141)))^2/$B$5))))&lt;0.000000001,0,AE141-$B$11/$B$9*((MAX(0,MIN(1,AE141))^2/(MAX(0,MIN(1,AE141))^2+(1-MAX(0,MIN(1,AE141)))^2/$B$5))-(MAX(0,MIN(1,AD141))^2/(MAX(0,MIN(1,AD141))^2+(1-MAX(0,MIN(1,AD141)))^2/$B$5))))</f>
        <v>0.794317193540284</v>
      </c>
      <c r="AF142" s="16" t="n">
        <f aca="false">IF(ABS(AF141-$B$11/$B$9*((MAX(0,MIN(1,AF141))^2/(MAX(0,MIN(1,AF141))^2+(1-MAX(0,MIN(1,AF141)))^2/$B$5))-(MAX(0,MIN(1,AE141))^2/(MAX(0,MIN(1,AE141))^2+(1-MAX(0,MIN(1,AE141)))^2/$B$5))))&lt;0.000000001,0,AF141-$B$11/$B$9*((MAX(0,MIN(1,AF141))^2/(MAX(0,MIN(1,AF141))^2+(1-MAX(0,MIN(1,AF141)))^2/$B$5))-(MAX(0,MIN(1,AE141))^2/(MAX(0,MIN(1,AE141))^2+(1-MAX(0,MIN(1,AE141)))^2/$B$5))))</f>
        <v>0.787991992840697</v>
      </c>
    </row>
    <row r="143" customFormat="false" ht="15" hidden="false" customHeight="false" outlineLevel="0" collapsed="false">
      <c r="L143" s="0" t="n">
        <v>133</v>
      </c>
      <c r="M143" s="16" t="n">
        <f aca="false">IF(ABS(M142-$B$11/$B$9*((MAX(0,MIN(1,M142))^2/(MAX(0,MIN(1,M142))^2+(1-MAX(0,MIN(1,M142)))^2/$B$5))-(MAX(0,MIN(1,1))^2/(MAX(0,MIN(1,1))^2+(1-MAX(0,MIN(1,1)))^2/$B$5))))&lt;0.000000001,0,M142-$B$11/$B$9*((MAX(0,MIN(1,M142))^2/(MAX(0,MIN(1,M142))^2+(1-MAX(0,MIN(1,M142)))^2/$B$5))-(MAX(0,MIN(1,1))^2/(MAX(0,MIN(1,1))^2+(1-MAX(0,MIN(1,1)))^2/$B$5))))</f>
        <v>0.969584441403947</v>
      </c>
      <c r="N143" s="16" t="n">
        <f aca="false">IF(ABS(N142-$B$11/$B$9*((MAX(0,MIN(1,N142))^2/(MAX(0,MIN(1,N142))^2+(1-MAX(0,MIN(1,N142)))^2/$B$5))-(MAX(0,MIN(1,M142))^2/(MAX(0,MIN(1,M142))^2+(1-MAX(0,MIN(1,M142)))^2/$B$5))))&lt;0.000000001,0,N142-$B$11/$B$9*((MAX(0,MIN(1,N142))^2/(MAX(0,MIN(1,N142))^2+(1-MAX(0,MIN(1,N142)))^2/$B$5))-(MAX(0,MIN(1,M142))^2/(MAX(0,MIN(1,M142))^2+(1-MAX(0,MIN(1,M142)))^2/$B$5))))</f>
        <v>0.952690404456234</v>
      </c>
      <c r="O143" s="16" t="n">
        <f aca="false">IF(ABS(O142-$B$11/$B$9*((MAX(0,MIN(1,O142))^2/(MAX(0,MIN(1,O142))^2+(1-MAX(0,MIN(1,O142)))^2/$B$5))-(MAX(0,MIN(1,N142))^2/(MAX(0,MIN(1,N142))^2+(1-MAX(0,MIN(1,N142)))^2/$B$5))))&lt;0.000000001,0,O142-$B$11/$B$9*((MAX(0,MIN(1,O142))^2/(MAX(0,MIN(1,O142))^2+(1-MAX(0,MIN(1,O142)))^2/$B$5))-(MAX(0,MIN(1,N142))^2/(MAX(0,MIN(1,N142))^2+(1-MAX(0,MIN(1,N142)))^2/$B$5))))</f>
        <v>0.93811595352885</v>
      </c>
      <c r="P143" s="16" t="n">
        <f aca="false">IF(ABS(P142-$B$11/$B$9*((MAX(0,MIN(1,P142))^2/(MAX(0,MIN(1,P142))^2+(1-MAX(0,MIN(1,P142)))^2/$B$5))-(MAX(0,MIN(1,O142))^2/(MAX(0,MIN(1,O142))^2+(1-MAX(0,MIN(1,O142)))^2/$B$5))))&lt;0.000000001,0,P142-$B$11/$B$9*((MAX(0,MIN(1,P142))^2/(MAX(0,MIN(1,P142))^2+(1-MAX(0,MIN(1,P142)))^2/$B$5))-(MAX(0,MIN(1,O142))^2/(MAX(0,MIN(1,O142))^2+(1-MAX(0,MIN(1,O142)))^2/$B$5))))</f>
        <v>0.924952626972356</v>
      </c>
      <c r="Q143" s="16" t="n">
        <f aca="false">IF(ABS(Q142-$B$11/$B$9*((MAX(0,MIN(1,Q142))^2/(MAX(0,MIN(1,Q142))^2+(1-MAX(0,MIN(1,Q142)))^2/$B$5))-(MAX(0,MIN(1,P142))^2/(MAX(0,MIN(1,P142))^2+(1-MAX(0,MIN(1,P142)))^2/$B$5))))&lt;0.000000001,0,Q142-$B$11/$B$9*((MAX(0,MIN(1,Q142))^2/(MAX(0,MIN(1,Q142))^2+(1-MAX(0,MIN(1,Q142)))^2/$B$5))-(MAX(0,MIN(1,P142))^2/(MAX(0,MIN(1,P142))^2+(1-MAX(0,MIN(1,P142)))^2/$B$5))))</f>
        <v>0.912827992233275</v>
      </c>
      <c r="R143" s="16" t="n">
        <f aca="false">IF(ABS(R142-$B$11/$B$9*((MAX(0,MIN(1,R142))^2/(MAX(0,MIN(1,R142))^2+(1-MAX(0,MIN(1,R142)))^2/$B$5))-(MAX(0,MIN(1,Q142))^2/(MAX(0,MIN(1,Q142))^2+(1-MAX(0,MIN(1,Q142)))^2/$B$5))))&lt;0.000000001,0,R142-$B$11/$B$9*((MAX(0,MIN(1,R142))^2/(MAX(0,MIN(1,R142))^2+(1-MAX(0,MIN(1,R142)))^2/$B$5))-(MAX(0,MIN(1,Q142))^2/(MAX(0,MIN(1,Q142))^2+(1-MAX(0,MIN(1,Q142)))^2/$B$5))))</f>
        <v>0.901532031001688</v>
      </c>
      <c r="S143" s="16" t="n">
        <f aca="false">IF(ABS(S142-$B$11/$B$9*((MAX(0,MIN(1,S142))^2/(MAX(0,MIN(1,S142))^2+(1-MAX(0,MIN(1,S142)))^2/$B$5))-(MAX(0,MIN(1,R142))^2/(MAX(0,MIN(1,R142))^2+(1-MAX(0,MIN(1,R142)))^2/$B$5))))&lt;0.000000001,0,S142-$B$11/$B$9*((MAX(0,MIN(1,S142))^2/(MAX(0,MIN(1,S142))^2+(1-MAX(0,MIN(1,S142)))^2/$B$5))-(MAX(0,MIN(1,R142))^2/(MAX(0,MIN(1,R142))^2+(1-MAX(0,MIN(1,R142)))^2/$B$5))))</f>
        <v>0.890926294632413</v>
      </c>
      <c r="T143" s="16" t="n">
        <f aca="false">IF(ABS(T142-$B$11/$B$9*((MAX(0,MIN(1,T142))^2/(MAX(0,MIN(1,T142))^2+(1-MAX(0,MIN(1,T142)))^2/$B$5))-(MAX(0,MIN(1,S142))^2/(MAX(0,MIN(1,S142))^2+(1-MAX(0,MIN(1,S142)))^2/$B$5))))&lt;0.000000001,0,T142-$B$11/$B$9*((MAX(0,MIN(1,T142))^2/(MAX(0,MIN(1,T142))^2+(1-MAX(0,MIN(1,T142)))^2/$B$5))-(MAX(0,MIN(1,S142))^2/(MAX(0,MIN(1,S142))^2+(1-MAX(0,MIN(1,S142)))^2/$B$5))))</f>
        <v>0.880910928789995</v>
      </c>
      <c r="U143" s="16" t="n">
        <f aca="false">IF(ABS(U142-$B$11/$B$9*((MAX(0,MIN(1,U142))^2/(MAX(0,MIN(1,U142))^2+(1-MAX(0,MIN(1,U142)))^2/$B$5))-(MAX(0,MIN(1,T142))^2/(MAX(0,MIN(1,T142))^2+(1-MAX(0,MIN(1,T142)))^2/$B$5))))&lt;0.000000001,0,U142-$B$11/$B$9*((MAX(0,MIN(1,U142))^2/(MAX(0,MIN(1,U142))^2+(1-MAX(0,MIN(1,U142)))^2/$B$5))-(MAX(0,MIN(1,T142))^2/(MAX(0,MIN(1,T142))^2+(1-MAX(0,MIN(1,T142)))^2/$B$5))))</f>
        <v>0.87140970361631</v>
      </c>
      <c r="V143" s="16" t="n">
        <f aca="false">IF(ABS(V142-$B$11/$B$9*((MAX(0,MIN(1,V142))^2/(MAX(0,MIN(1,V142))^2+(1-MAX(0,MIN(1,V142)))^2/$B$5))-(MAX(0,MIN(1,U142))^2/(MAX(0,MIN(1,U142))^2+(1-MAX(0,MIN(1,U142)))^2/$B$5))))&lt;0.000000001,0,V142-$B$11/$B$9*((MAX(0,MIN(1,V142))^2/(MAX(0,MIN(1,V142))^2+(1-MAX(0,MIN(1,V142)))^2/$B$5))-(MAX(0,MIN(1,U142))^2/(MAX(0,MIN(1,U142))^2+(1-MAX(0,MIN(1,U142)))^2/$B$5))))</f>
        <v>0.862362141701887</v>
      </c>
      <c r="W143" s="16" t="n">
        <f aca="false">IF(ABS(W142-$B$11/$B$9*((MAX(0,MIN(1,W142))^2/(MAX(0,MIN(1,W142))^2+(1-MAX(0,MIN(1,W142)))^2/$B$5))-(MAX(0,MIN(1,V142))^2/(MAX(0,MIN(1,V142))^2+(1-MAX(0,MIN(1,V142)))^2/$B$5))))&lt;0.000000001,0,W142-$B$11/$B$9*((MAX(0,MIN(1,W142))^2/(MAX(0,MIN(1,W142))^2+(1-MAX(0,MIN(1,W142)))^2/$B$5))-(MAX(0,MIN(1,V142))^2/(MAX(0,MIN(1,V142))^2+(1-MAX(0,MIN(1,V142)))^2/$B$5))))</f>
        <v>0.853718923736489</v>
      </c>
      <c r="X143" s="16" t="n">
        <f aca="false">IF(ABS(X142-$B$11/$B$9*((MAX(0,MIN(1,X142))^2/(MAX(0,MIN(1,X142))^2+(1-MAX(0,MIN(1,X142)))^2/$B$5))-(MAX(0,MIN(1,W142))^2/(MAX(0,MIN(1,W142))^2+(1-MAX(0,MIN(1,W142)))^2/$B$5))))&lt;0.000000001,0,X142-$B$11/$B$9*((MAX(0,MIN(1,X142))^2/(MAX(0,MIN(1,X142))^2+(1-MAX(0,MIN(1,X142)))^2/$B$5))-(MAX(0,MIN(1,W142))^2/(MAX(0,MIN(1,W142))^2+(1-MAX(0,MIN(1,W142)))^2/$B$5))))</f>
        <v>0.845438992046348</v>
      </c>
      <c r="Y143" s="16" t="n">
        <f aca="false">IF(ABS(Y142-$B$11/$B$9*((MAX(0,MIN(1,Y142))^2/(MAX(0,MIN(1,Y142))^2+(1-MAX(0,MIN(1,Y142)))^2/$B$5))-(MAX(0,MIN(1,X142))^2/(MAX(0,MIN(1,X142))^2+(1-MAX(0,MIN(1,X142)))^2/$B$5))))&lt;0.000000001,0,Y142-$B$11/$B$9*((MAX(0,MIN(1,Y142))^2/(MAX(0,MIN(1,Y142))^2+(1-MAX(0,MIN(1,Y142)))^2/$B$5))-(MAX(0,MIN(1,X142))^2/(MAX(0,MIN(1,X142))^2+(1-MAX(0,MIN(1,X142)))^2/$B$5))))</f>
        <v>0.837487614045937</v>
      </c>
      <c r="Z143" s="16" t="n">
        <f aca="false">IF(ABS(Z142-$B$11/$B$9*((MAX(0,MIN(1,Z142))^2/(MAX(0,MIN(1,Z142))^2+(1-MAX(0,MIN(1,Z142)))^2/$B$5))-(MAX(0,MIN(1,Y142))^2/(MAX(0,MIN(1,Y142))^2+(1-MAX(0,MIN(1,Y142)))^2/$B$5))))&lt;0.000000001,0,Z142-$B$11/$B$9*((MAX(0,MIN(1,Z142))^2/(MAX(0,MIN(1,Z142))^2+(1-MAX(0,MIN(1,Z142)))^2/$B$5))-(MAX(0,MIN(1,Y142))^2/(MAX(0,MIN(1,Y142))^2+(1-MAX(0,MIN(1,Y142)))^2/$B$5))))</f>
        <v>0.829835026901506</v>
      </c>
      <c r="AA143" s="16" t="n">
        <f aca="false">IF(ABS(AA142-$B$11/$B$9*((MAX(0,MIN(1,AA142))^2/(MAX(0,MIN(1,AA142))^2+(1-MAX(0,MIN(1,AA142)))^2/$B$5))-(MAX(0,MIN(1,Z142))^2/(MAX(0,MIN(1,Z142))^2+(1-MAX(0,MIN(1,Z142)))^2/$B$5))))&lt;0.000000001,0,AA142-$B$11/$B$9*((MAX(0,MIN(1,AA142))^2/(MAX(0,MIN(1,AA142))^2+(1-MAX(0,MIN(1,AA142)))^2/$B$5))-(MAX(0,MIN(1,Z142))^2/(MAX(0,MIN(1,Z142))^2+(1-MAX(0,MIN(1,Z142)))^2/$B$5))))</f>
        <v>0.822455453949934</v>
      </c>
      <c r="AB143" s="16" t="n">
        <f aca="false">IF(ABS(AB142-$B$11/$B$9*((MAX(0,MIN(1,AB142))^2/(MAX(0,MIN(1,AB142))^2+(1-MAX(0,MIN(1,AB142)))^2/$B$5))-(MAX(0,MIN(1,AA142))^2/(MAX(0,MIN(1,AA142))^2+(1-MAX(0,MIN(1,AA142)))^2/$B$5))))&lt;0.000000001,0,AB142-$B$11/$B$9*((MAX(0,MIN(1,AB142))^2/(MAX(0,MIN(1,AB142))^2+(1-MAX(0,MIN(1,AB142)))^2/$B$5))-(MAX(0,MIN(1,AA142))^2/(MAX(0,MIN(1,AA142))^2+(1-MAX(0,MIN(1,AA142)))^2/$B$5))))</f>
        <v>0.815326369730726</v>
      </c>
      <c r="AC143" s="16" t="n">
        <f aca="false">IF(ABS(AC142-$B$11/$B$9*((MAX(0,MIN(1,AC142))^2/(MAX(0,MIN(1,AC142))^2+(1-MAX(0,MIN(1,AC142)))^2/$B$5))-(MAX(0,MIN(1,AB142))^2/(MAX(0,MIN(1,AB142))^2+(1-MAX(0,MIN(1,AB142)))^2/$B$5))))&lt;0.000000001,0,AC142-$B$11/$B$9*((MAX(0,MIN(1,AC142))^2/(MAX(0,MIN(1,AC142))^2+(1-MAX(0,MIN(1,AC142)))^2/$B$5))-(MAX(0,MIN(1,AB142))^2/(MAX(0,MIN(1,AB142))^2+(1-MAX(0,MIN(1,AB142)))^2/$B$5))))</f>
        <v>0.808427937480147</v>
      </c>
      <c r="AD143" s="16" t="n">
        <f aca="false">IF(ABS(AD142-$B$11/$B$9*((MAX(0,MIN(1,AD142))^2/(MAX(0,MIN(1,AD142))^2+(1-MAX(0,MIN(1,AD142)))^2/$B$5))-(MAX(0,MIN(1,AC142))^2/(MAX(0,MIN(1,AC142))^2+(1-MAX(0,MIN(1,AC142)))^2/$B$5))))&lt;0.000000001,0,AD142-$B$11/$B$9*((MAX(0,MIN(1,AD142))^2/(MAX(0,MIN(1,AD142))^2+(1-MAX(0,MIN(1,AD142)))^2/$B$5))-(MAX(0,MIN(1,AC142))^2/(MAX(0,MIN(1,AC142))^2+(1-MAX(0,MIN(1,AC142)))^2/$B$5))))</f>
        <v>0.80174256995818</v>
      </c>
      <c r="AE143" s="16" t="n">
        <f aca="false">IF(ABS(AE142-$B$11/$B$9*((MAX(0,MIN(1,AE142))^2/(MAX(0,MIN(1,AE142))^2+(1-MAX(0,MIN(1,AE142)))^2/$B$5))-(MAX(0,MIN(1,AD142))^2/(MAX(0,MIN(1,AD142))^2+(1-MAX(0,MIN(1,AD142)))^2/$B$5))))&lt;0.000000001,0,AE142-$B$11/$B$9*((MAX(0,MIN(1,AE142))^2/(MAX(0,MIN(1,AE142))^2+(1-MAX(0,MIN(1,AE142)))^2/$B$5))-(MAX(0,MIN(1,AD142))^2/(MAX(0,MIN(1,AD142))^2+(1-MAX(0,MIN(1,AD142)))^2/$B$5))))</f>
        <v>0.795254580755887</v>
      </c>
      <c r="AF143" s="16" t="n">
        <f aca="false">IF(ABS(AF142-$B$11/$B$9*((MAX(0,MIN(1,AF142))^2/(MAX(0,MIN(1,AF142))^2+(1-MAX(0,MIN(1,AF142)))^2/$B$5))-(MAX(0,MIN(1,AE142))^2/(MAX(0,MIN(1,AE142))^2+(1-MAX(0,MIN(1,AE142)))^2/$B$5))))&lt;0.000000001,0,AF142-$B$11/$B$9*((MAX(0,MIN(1,AF142))^2/(MAX(0,MIN(1,AF142))^2+(1-MAX(0,MIN(1,AF142)))^2/$B$5))-(MAX(0,MIN(1,AE142))^2/(MAX(0,MIN(1,AE142))^2+(1-MAX(0,MIN(1,AE142)))^2/$B$5))))</f>
        <v>0.788949903433159</v>
      </c>
    </row>
    <row r="144" customFormat="false" ht="15" hidden="false" customHeight="false" outlineLevel="0" collapsed="false">
      <c r="L144" s="0" t="n">
        <v>134</v>
      </c>
      <c r="M144" s="16" t="n">
        <f aca="false">IF(ABS(M143-$B$11/$B$9*((MAX(0,MIN(1,M143))^2/(MAX(0,MIN(1,M143))^2+(1-MAX(0,MIN(1,M143)))^2/$B$5))-(MAX(0,MIN(1,1))^2/(MAX(0,MIN(1,1))^2+(1-MAX(0,MIN(1,1)))^2/$B$5))))&lt;0.000000001,0,M143-$B$11/$B$9*((MAX(0,MIN(1,M143))^2/(MAX(0,MIN(1,M143))^2+(1-MAX(0,MIN(1,M143)))^2/$B$5))-(MAX(0,MIN(1,1))^2/(MAX(0,MIN(1,1))^2+(1-MAX(0,MIN(1,1)))^2/$B$5))))</f>
        <v>0.969773548785782</v>
      </c>
      <c r="N144" s="16" t="n">
        <f aca="false">IF(ABS(N143-$B$11/$B$9*((MAX(0,MIN(1,N143))^2/(MAX(0,MIN(1,N143))^2+(1-MAX(0,MIN(1,N143)))^2/$B$5))-(MAX(0,MIN(1,M143))^2/(MAX(0,MIN(1,M143))^2+(1-MAX(0,MIN(1,M143)))^2/$B$5))))&lt;0.000000001,0,N143-$B$11/$B$9*((MAX(0,MIN(1,N143))^2/(MAX(0,MIN(1,N143))^2+(1-MAX(0,MIN(1,N143)))^2/$B$5))-(MAX(0,MIN(1,M143))^2/(MAX(0,MIN(1,M143))^2+(1-MAX(0,MIN(1,M143)))^2/$B$5))))</f>
        <v>0.952974842371232</v>
      </c>
      <c r="O144" s="16" t="n">
        <f aca="false">IF(ABS(O143-$B$11/$B$9*((MAX(0,MIN(1,O143))^2/(MAX(0,MIN(1,O143))^2+(1-MAX(0,MIN(1,O143)))^2/$B$5))-(MAX(0,MIN(1,N143))^2/(MAX(0,MIN(1,N143))^2+(1-MAX(0,MIN(1,N143)))^2/$B$5))))&lt;0.000000001,0,O143-$B$11/$B$9*((MAX(0,MIN(1,O143))^2/(MAX(0,MIN(1,O143))^2+(1-MAX(0,MIN(1,O143)))^2/$B$5))-(MAX(0,MIN(1,N143))^2/(MAX(0,MIN(1,N143))^2+(1-MAX(0,MIN(1,N143)))^2/$B$5))))</f>
        <v>0.938477246328571</v>
      </c>
      <c r="P144" s="16" t="n">
        <f aca="false">IF(ABS(P143-$B$11/$B$9*((MAX(0,MIN(1,P143))^2/(MAX(0,MIN(1,P143))^2+(1-MAX(0,MIN(1,P143)))^2/$B$5))-(MAX(0,MIN(1,O143))^2/(MAX(0,MIN(1,O143))^2+(1-MAX(0,MIN(1,O143)))^2/$B$5))))&lt;0.000000001,0,P143-$B$11/$B$9*((MAX(0,MIN(1,P143))^2/(MAX(0,MIN(1,P143))^2+(1-MAX(0,MIN(1,P143)))^2/$B$5))-(MAX(0,MIN(1,O143))^2/(MAX(0,MIN(1,O143))^2+(1-MAX(0,MIN(1,O143)))^2/$B$5))))</f>
        <v>0.925379345203162</v>
      </c>
      <c r="Q144" s="16" t="n">
        <f aca="false">IF(ABS(Q143-$B$11/$B$9*((MAX(0,MIN(1,Q143))^2/(MAX(0,MIN(1,Q143))^2+(1-MAX(0,MIN(1,Q143)))^2/$B$5))-(MAX(0,MIN(1,P143))^2/(MAX(0,MIN(1,P143))^2+(1-MAX(0,MIN(1,P143)))^2/$B$5))))&lt;0.000000001,0,Q143-$B$11/$B$9*((MAX(0,MIN(1,Q143))^2/(MAX(0,MIN(1,Q143))^2+(1-MAX(0,MIN(1,Q143)))^2/$B$5))-(MAX(0,MIN(1,P143))^2/(MAX(0,MIN(1,P143))^2+(1-MAX(0,MIN(1,P143)))^2/$B$5))))</f>
        <v>0.913311864952221</v>
      </c>
      <c r="R144" s="16" t="n">
        <f aca="false">IF(ABS(R143-$B$11/$B$9*((MAX(0,MIN(1,R143))^2/(MAX(0,MIN(1,R143))^2+(1-MAX(0,MIN(1,R143)))^2/$B$5))-(MAX(0,MIN(1,Q143))^2/(MAX(0,MIN(1,Q143))^2+(1-MAX(0,MIN(1,Q143)))^2/$B$5))))&lt;0.000000001,0,R143-$B$11/$B$9*((MAX(0,MIN(1,R143))^2/(MAX(0,MIN(1,R143))^2+(1-MAX(0,MIN(1,R143)))^2/$B$5))-(MAX(0,MIN(1,Q143))^2/(MAX(0,MIN(1,Q143))^2+(1-MAX(0,MIN(1,Q143)))^2/$B$5))))</f>
        <v>0.902066663863425</v>
      </c>
      <c r="S144" s="16" t="n">
        <f aca="false">IF(ABS(S143-$B$11/$B$9*((MAX(0,MIN(1,S143))^2/(MAX(0,MIN(1,S143))^2+(1-MAX(0,MIN(1,S143)))^2/$B$5))-(MAX(0,MIN(1,R143))^2/(MAX(0,MIN(1,R143))^2+(1-MAX(0,MIN(1,R143)))^2/$B$5))))&lt;0.000000001,0,S143-$B$11/$B$9*((MAX(0,MIN(1,S143))^2/(MAX(0,MIN(1,S143))^2+(1-MAX(0,MIN(1,S143)))^2/$B$5))-(MAX(0,MIN(1,R143))^2/(MAX(0,MIN(1,R143))^2+(1-MAX(0,MIN(1,R143)))^2/$B$5))))</f>
        <v>0.891506560559911</v>
      </c>
      <c r="T144" s="16" t="n">
        <f aca="false">IF(ABS(T143-$B$11/$B$9*((MAX(0,MIN(1,T143))^2/(MAX(0,MIN(1,T143))^2+(1-MAX(0,MIN(1,T143)))^2/$B$5))-(MAX(0,MIN(1,S143))^2/(MAX(0,MIN(1,S143))^2+(1-MAX(0,MIN(1,S143)))^2/$B$5))))&lt;0.000000001,0,T143-$B$11/$B$9*((MAX(0,MIN(1,T143))^2/(MAX(0,MIN(1,T143))^2+(1-MAX(0,MIN(1,T143)))^2/$B$5))-(MAX(0,MIN(1,S143))^2/(MAX(0,MIN(1,S143))^2+(1-MAX(0,MIN(1,S143)))^2/$B$5))))</f>
        <v>0.881532619411474</v>
      </c>
      <c r="U144" s="16" t="n">
        <f aca="false">IF(ABS(U143-$B$11/$B$9*((MAX(0,MIN(1,U143))^2/(MAX(0,MIN(1,U143))^2+(1-MAX(0,MIN(1,U143)))^2/$B$5))-(MAX(0,MIN(1,T143))^2/(MAX(0,MIN(1,T143))^2+(1-MAX(0,MIN(1,T143)))^2/$B$5))))&lt;0.000000001,0,U143-$B$11/$B$9*((MAX(0,MIN(1,U143))^2/(MAX(0,MIN(1,U143))^2+(1-MAX(0,MIN(1,U143)))^2/$B$5))-(MAX(0,MIN(1,T143))^2/(MAX(0,MIN(1,T143))^2+(1-MAX(0,MIN(1,T143)))^2/$B$5))))</f>
        <v>0.872069306946856</v>
      </c>
      <c r="V144" s="16" t="n">
        <f aca="false">IF(ABS(V143-$B$11/$B$9*((MAX(0,MIN(1,V143))^2/(MAX(0,MIN(1,V143))^2+(1-MAX(0,MIN(1,V143)))^2/$B$5))-(MAX(0,MIN(1,U143))^2/(MAX(0,MIN(1,U143))^2+(1-MAX(0,MIN(1,U143)))^2/$B$5))))&lt;0.000000001,0,V143-$B$11/$B$9*((MAX(0,MIN(1,V143))^2/(MAX(0,MIN(1,V143))^2+(1-MAX(0,MIN(1,V143)))^2/$B$5))-(MAX(0,MIN(1,U143))^2/(MAX(0,MIN(1,U143))^2+(1-MAX(0,MIN(1,U143)))^2/$B$5))))</f>
        <v>0.863056690106178</v>
      </c>
      <c r="W144" s="16" t="n">
        <f aca="false">IF(ABS(W143-$B$11/$B$9*((MAX(0,MIN(1,W143))^2/(MAX(0,MIN(1,W143))^2+(1-MAX(0,MIN(1,W143)))^2/$B$5))-(MAX(0,MIN(1,V143))^2/(MAX(0,MIN(1,V143))^2+(1-MAX(0,MIN(1,V143)))^2/$B$5))))&lt;0.000000001,0,W143-$B$11/$B$9*((MAX(0,MIN(1,W143))^2/(MAX(0,MIN(1,W143))^2+(1-MAX(0,MIN(1,W143)))^2/$B$5))-(MAX(0,MIN(1,V143))^2/(MAX(0,MIN(1,V143))^2+(1-MAX(0,MIN(1,V143)))^2/$B$5))))</f>
        <v>0.854445884874693</v>
      </c>
      <c r="X144" s="16" t="n">
        <f aca="false">IF(ABS(X143-$B$11/$B$9*((MAX(0,MIN(1,X143))^2/(MAX(0,MIN(1,X143))^2+(1-MAX(0,MIN(1,X143)))^2/$B$5))-(MAX(0,MIN(1,W143))^2/(MAX(0,MIN(1,W143))^2+(1-MAX(0,MIN(1,W143)))^2/$B$5))))&lt;0.000000001,0,X143-$B$11/$B$9*((MAX(0,MIN(1,X143))^2/(MAX(0,MIN(1,X143))^2+(1-MAX(0,MIN(1,X143)))^2/$B$5))-(MAX(0,MIN(1,W143))^2/(MAX(0,MIN(1,W143))^2+(1-MAX(0,MIN(1,W143)))^2/$B$5))))</f>
        <v>0.846196187910186</v>
      </c>
      <c r="Y144" s="16" t="n">
        <f aca="false">IF(ABS(Y143-$B$11/$B$9*((MAX(0,MIN(1,Y143))^2/(MAX(0,MIN(1,Y143))^2+(1-MAX(0,MIN(1,Y143)))^2/$B$5))-(MAX(0,MIN(1,X143))^2/(MAX(0,MIN(1,X143))^2+(1-MAX(0,MIN(1,X143)))^2/$B$5))))&lt;0.000000001,0,Y143-$B$11/$B$9*((MAX(0,MIN(1,Y143))^2/(MAX(0,MIN(1,Y143))^2+(1-MAX(0,MIN(1,Y143)))^2/$B$5))-(MAX(0,MIN(1,X143))^2/(MAX(0,MIN(1,X143))^2+(1-MAX(0,MIN(1,X143)))^2/$B$5))))</f>
        <v>0.838273159266546</v>
      </c>
      <c r="Z144" s="16" t="n">
        <f aca="false">IF(ABS(Z143-$B$11/$B$9*((MAX(0,MIN(1,Z143))^2/(MAX(0,MIN(1,Z143))^2+(1-MAX(0,MIN(1,Z143)))^2/$B$5))-(MAX(0,MIN(1,Y143))^2/(MAX(0,MIN(1,Y143))^2+(1-MAX(0,MIN(1,Y143)))^2/$B$5))))&lt;0.000000001,0,Z143-$B$11/$B$9*((MAX(0,MIN(1,Z143))^2/(MAX(0,MIN(1,Z143))^2+(1-MAX(0,MIN(1,Z143)))^2/$B$5))-(MAX(0,MIN(1,Y143))^2/(MAX(0,MIN(1,Y143))^2+(1-MAX(0,MIN(1,Y143)))^2/$B$5))))</f>
        <v>0.830647280776093</v>
      </c>
      <c r="AA144" s="16" t="n">
        <f aca="false">IF(ABS(AA143-$B$11/$B$9*((MAX(0,MIN(1,AA143))^2/(MAX(0,MIN(1,AA143))^2+(1-MAX(0,MIN(1,AA143)))^2/$B$5))-(MAX(0,MIN(1,Z143))^2/(MAX(0,MIN(1,Z143))^2+(1-MAX(0,MIN(1,Z143)))^2/$B$5))))&lt;0.000000001,0,AA143-$B$11/$B$9*((MAX(0,MIN(1,AA143))^2/(MAX(0,MIN(1,AA143))^2+(1-MAX(0,MIN(1,AA143)))^2/$B$5))-(MAX(0,MIN(1,Z143))^2/(MAX(0,MIN(1,Z143))^2+(1-MAX(0,MIN(1,Z143)))^2/$B$5))))</f>
        <v>0.823292982520843</v>
      </c>
      <c r="AB144" s="16" t="n">
        <f aca="false">IF(ABS(AB143-$B$11/$B$9*((MAX(0,MIN(1,AB143))^2/(MAX(0,MIN(1,AB143))^2+(1-MAX(0,MIN(1,AB143)))^2/$B$5))-(MAX(0,MIN(1,AA143))^2/(MAX(0,MIN(1,AA143))^2+(1-MAX(0,MIN(1,AA143)))^2/$B$5))))&lt;0.000000001,0,AB143-$B$11/$B$9*((MAX(0,MIN(1,AB143))^2/(MAX(0,MIN(1,AB143))^2+(1-MAX(0,MIN(1,AB143)))^2/$B$5))-(MAX(0,MIN(1,AA143))^2/(MAX(0,MIN(1,AA143))^2+(1-MAX(0,MIN(1,AA143)))^2/$B$5))))</f>
        <v>0.816187915404272</v>
      </c>
      <c r="AC144" s="16" t="n">
        <f aca="false">IF(ABS(AC143-$B$11/$B$9*((MAX(0,MIN(1,AC143))^2/(MAX(0,MIN(1,AC143))^2+(1-MAX(0,MIN(1,AC143)))^2/$B$5))-(MAX(0,MIN(1,AB143))^2/(MAX(0,MIN(1,AB143))^2+(1-MAX(0,MIN(1,AB143)))^2/$B$5))))&lt;0.000000001,0,AC143-$B$11/$B$9*((MAX(0,MIN(1,AC143))^2/(MAX(0,MIN(1,AC143))^2+(1-MAX(0,MIN(1,AC143)))^2/$B$5))-(MAX(0,MIN(1,AB143))^2/(MAX(0,MIN(1,AB143))^2+(1-MAX(0,MIN(1,AB143)))^2/$B$5))))</f>
        <v>0.80931239441106</v>
      </c>
      <c r="AD144" s="16" t="n">
        <f aca="false">IF(ABS(AD143-$B$11/$B$9*((MAX(0,MIN(1,AD143))^2/(MAX(0,MIN(1,AD143))^2+(1-MAX(0,MIN(1,AD143)))^2/$B$5))-(MAX(0,MIN(1,AC143))^2/(MAX(0,MIN(1,AC143))^2+(1-MAX(0,MIN(1,AC143)))^2/$B$5))))&lt;0.000000001,0,AD143-$B$11/$B$9*((MAX(0,MIN(1,AD143))^2/(MAX(0,MIN(1,AD143))^2+(1-MAX(0,MIN(1,AD143)))^2/$B$5))-(MAX(0,MIN(1,AC143))^2/(MAX(0,MIN(1,AC143))^2+(1-MAX(0,MIN(1,AC143)))^2/$B$5))))</f>
        <v>0.802648963916013</v>
      </c>
      <c r="AE144" s="16" t="n">
        <f aca="false">IF(ABS(AE143-$B$11/$B$9*((MAX(0,MIN(1,AE143))^2/(MAX(0,MIN(1,AE143))^2+(1-MAX(0,MIN(1,AE143)))^2/$B$5))-(MAX(0,MIN(1,AD143))^2/(MAX(0,MIN(1,AD143))^2+(1-MAX(0,MIN(1,AD143)))^2/$B$5))))&lt;0.000000001,0,AE143-$B$11/$B$9*((MAX(0,MIN(1,AE143))^2/(MAX(0,MIN(1,AE143))^2+(1-MAX(0,MIN(1,AE143)))^2/$B$5))-(MAX(0,MIN(1,AD143))^2/(MAX(0,MIN(1,AD143))^2+(1-MAX(0,MIN(1,AD143)))^2/$B$5))))</f>
        <v>0.796182052525743</v>
      </c>
      <c r="AF144" s="16" t="n">
        <f aca="false">IF(ABS(AF143-$B$11/$B$9*((MAX(0,MIN(1,AF143))^2/(MAX(0,MIN(1,AF143))^2+(1-MAX(0,MIN(1,AF143)))^2/$B$5))-(MAX(0,MIN(1,AE143))^2/(MAX(0,MIN(1,AE143))^2+(1-MAX(0,MIN(1,AE143)))^2/$B$5))))&lt;0.000000001,0,AF143-$B$11/$B$9*((MAX(0,MIN(1,AF143))^2/(MAX(0,MIN(1,AF143))^2+(1-MAX(0,MIN(1,AF143)))^2/$B$5))-(MAX(0,MIN(1,AE143))^2/(MAX(0,MIN(1,AE143))^2+(1-MAX(0,MIN(1,AE143)))^2/$B$5))))</f>
        <v>0.789897695039192</v>
      </c>
    </row>
    <row r="145" customFormat="false" ht="15" hidden="false" customHeight="false" outlineLevel="0" collapsed="false">
      <c r="L145" s="0" t="n">
        <v>135</v>
      </c>
      <c r="M145" s="16" t="n">
        <f aca="false">IF(ABS(M144-$B$11/$B$9*((MAX(0,MIN(1,M144))^2/(MAX(0,MIN(1,M144))^2+(1-MAX(0,MIN(1,M144)))^2/$B$5))-(MAX(0,MIN(1,1))^2/(MAX(0,MIN(1,1))^2+(1-MAX(0,MIN(1,1)))^2/$B$5))))&lt;0.000000001,0,M144-$B$11/$B$9*((MAX(0,MIN(1,M144))^2/(MAX(0,MIN(1,M144))^2+(1-MAX(0,MIN(1,M144)))^2/$B$5))-(MAX(0,MIN(1,1))^2/(MAX(0,MIN(1,1))^2+(1-MAX(0,MIN(1,1)))^2/$B$5))))</f>
        <v>0.969960240286801</v>
      </c>
      <c r="N145" s="16" t="n">
        <f aca="false">IF(ABS(N144-$B$11/$B$9*((MAX(0,MIN(1,N144))^2/(MAX(0,MIN(1,N144))^2+(1-MAX(0,MIN(1,N144)))^2/$B$5))-(MAX(0,MIN(1,M144))^2/(MAX(0,MIN(1,M144))^2+(1-MAX(0,MIN(1,M144)))^2/$B$5))))&lt;0.000000001,0,N144-$B$11/$B$9*((MAX(0,MIN(1,N144))^2/(MAX(0,MIN(1,N144))^2+(1-MAX(0,MIN(1,N144)))^2/$B$5))-(MAX(0,MIN(1,M144))^2/(MAX(0,MIN(1,M144))^2+(1-MAX(0,MIN(1,M144)))^2/$B$5))))</f>
        <v>0.953255747114939</v>
      </c>
      <c r="O145" s="16" t="n">
        <f aca="false">IF(ABS(O144-$B$11/$B$9*((MAX(0,MIN(1,O144))^2/(MAX(0,MIN(1,O144))^2+(1-MAX(0,MIN(1,O144)))^2/$B$5))-(MAX(0,MIN(1,N144))^2/(MAX(0,MIN(1,N144))^2+(1-MAX(0,MIN(1,N144)))^2/$B$5))))&lt;0.000000001,0,O144-$B$11/$B$9*((MAX(0,MIN(1,O144))^2/(MAX(0,MIN(1,O144))^2+(1-MAX(0,MIN(1,O144)))^2/$B$5))-(MAX(0,MIN(1,N144))^2/(MAX(0,MIN(1,N144))^2+(1-MAX(0,MIN(1,N144)))^2/$B$5))))</f>
        <v>0.938834155715565</v>
      </c>
      <c r="P145" s="16" t="n">
        <f aca="false">IF(ABS(P144-$B$11/$B$9*((MAX(0,MIN(1,P144))^2/(MAX(0,MIN(1,P144))^2+(1-MAX(0,MIN(1,P144)))^2/$B$5))-(MAX(0,MIN(1,O144))^2/(MAX(0,MIN(1,O144))^2+(1-MAX(0,MIN(1,O144)))^2/$B$5))))&lt;0.000000001,0,P144-$B$11/$B$9*((MAX(0,MIN(1,P144))^2/(MAX(0,MIN(1,P144))^2+(1-MAX(0,MIN(1,P144)))^2/$B$5))-(MAX(0,MIN(1,O144))^2/(MAX(0,MIN(1,O144))^2+(1-MAX(0,MIN(1,O144)))^2/$B$5))))</f>
        <v>0.925800990372967</v>
      </c>
      <c r="Q145" s="16" t="n">
        <f aca="false">IF(ABS(Q144-$B$11/$B$9*((MAX(0,MIN(1,Q144))^2/(MAX(0,MIN(1,Q144))^2+(1-MAX(0,MIN(1,Q144)))^2/$B$5))-(MAX(0,MIN(1,P144))^2/(MAX(0,MIN(1,P144))^2+(1-MAX(0,MIN(1,P144)))^2/$B$5))))&lt;0.000000001,0,Q144-$B$11/$B$9*((MAX(0,MIN(1,Q144))^2/(MAX(0,MIN(1,Q144))^2+(1-MAX(0,MIN(1,Q144)))^2/$B$5))-(MAX(0,MIN(1,P144))^2/(MAX(0,MIN(1,P144))^2+(1-MAX(0,MIN(1,P144)))^2/$B$5))))</f>
        <v>0.913790086341157</v>
      </c>
      <c r="R145" s="16" t="n">
        <f aca="false">IF(ABS(R144-$B$11/$B$9*((MAX(0,MIN(1,R144))^2/(MAX(0,MIN(1,R144))^2+(1-MAX(0,MIN(1,R144)))^2/$B$5))-(MAX(0,MIN(1,Q144))^2/(MAX(0,MIN(1,Q144))^2+(1-MAX(0,MIN(1,Q144)))^2/$B$5))))&lt;0.000000001,0,R144-$B$11/$B$9*((MAX(0,MIN(1,R144))^2/(MAX(0,MIN(1,R144))^2+(1-MAX(0,MIN(1,R144)))^2/$B$5))-(MAX(0,MIN(1,Q144))^2/(MAX(0,MIN(1,Q144))^2+(1-MAX(0,MIN(1,Q144)))^2/$B$5))))</f>
        <v>0.902595149265083</v>
      </c>
      <c r="S145" s="16" t="n">
        <f aca="false">IF(ABS(S144-$B$11/$B$9*((MAX(0,MIN(1,S144))^2/(MAX(0,MIN(1,S144))^2+(1-MAX(0,MIN(1,S144)))^2/$B$5))-(MAX(0,MIN(1,R144))^2/(MAX(0,MIN(1,R144))^2+(1-MAX(0,MIN(1,R144)))^2/$B$5))))&lt;0.000000001,0,S144-$B$11/$B$9*((MAX(0,MIN(1,S144))^2/(MAX(0,MIN(1,S144))^2+(1-MAX(0,MIN(1,S144)))^2/$B$5))-(MAX(0,MIN(1,R144))^2/(MAX(0,MIN(1,R144))^2+(1-MAX(0,MIN(1,R144)))^2/$B$5))))</f>
        <v>0.892080245609743</v>
      </c>
      <c r="T145" s="16" t="n">
        <f aca="false">IF(ABS(T144-$B$11/$B$9*((MAX(0,MIN(1,T144))^2/(MAX(0,MIN(1,T144))^2+(1-MAX(0,MIN(1,T144)))^2/$B$5))-(MAX(0,MIN(1,S144))^2/(MAX(0,MIN(1,S144))^2+(1-MAX(0,MIN(1,S144)))^2/$B$5))))&lt;0.000000001,0,T144-$B$11/$B$9*((MAX(0,MIN(1,T144))^2/(MAX(0,MIN(1,T144))^2+(1-MAX(0,MIN(1,T144)))^2/$B$5))-(MAX(0,MIN(1,S144))^2/(MAX(0,MIN(1,S144))^2+(1-MAX(0,MIN(1,S144)))^2/$B$5))))</f>
        <v>0.882147344708085</v>
      </c>
      <c r="U145" s="16" t="n">
        <f aca="false">IF(ABS(U144-$B$11/$B$9*((MAX(0,MIN(1,U144))^2/(MAX(0,MIN(1,U144))^2+(1-MAX(0,MIN(1,U144)))^2/$B$5))-(MAX(0,MIN(1,T144))^2/(MAX(0,MIN(1,T144))^2+(1-MAX(0,MIN(1,T144)))^2/$B$5))))&lt;0.000000001,0,U144-$B$11/$B$9*((MAX(0,MIN(1,U144))^2/(MAX(0,MIN(1,U144))^2+(1-MAX(0,MIN(1,U144)))^2/$B$5))-(MAX(0,MIN(1,T144))^2/(MAX(0,MIN(1,T144))^2+(1-MAX(0,MIN(1,T144)))^2/$B$5))))</f>
        <v>0.872721599349865</v>
      </c>
      <c r="V145" s="16" t="n">
        <f aca="false">IF(ABS(V144-$B$11/$B$9*((MAX(0,MIN(1,V144))^2/(MAX(0,MIN(1,V144))^2+(1-MAX(0,MIN(1,V144)))^2/$B$5))-(MAX(0,MIN(1,U144))^2/(MAX(0,MIN(1,U144))^2+(1-MAX(0,MIN(1,U144)))^2/$B$5))))&lt;0.000000001,0,V144-$B$11/$B$9*((MAX(0,MIN(1,V144))^2/(MAX(0,MIN(1,V144))^2+(1-MAX(0,MIN(1,V144)))^2/$B$5))-(MAX(0,MIN(1,U144))^2/(MAX(0,MIN(1,U144))^2+(1-MAX(0,MIN(1,U144)))^2/$B$5))))</f>
        <v>0.863743613140753</v>
      </c>
      <c r="W145" s="16" t="n">
        <f aca="false">IF(ABS(W144-$B$11/$B$9*((MAX(0,MIN(1,W144))^2/(MAX(0,MIN(1,W144))^2+(1-MAX(0,MIN(1,W144)))^2/$B$5))-(MAX(0,MIN(1,V144))^2/(MAX(0,MIN(1,V144))^2+(1-MAX(0,MIN(1,V144)))^2/$B$5))))&lt;0.000000001,0,W144-$B$11/$B$9*((MAX(0,MIN(1,W144))^2/(MAX(0,MIN(1,W144))^2+(1-MAX(0,MIN(1,W144)))^2/$B$5))-(MAX(0,MIN(1,V144))^2/(MAX(0,MIN(1,V144))^2+(1-MAX(0,MIN(1,V144)))^2/$B$5))))</f>
        <v>0.855164931395246</v>
      </c>
      <c r="X145" s="16" t="n">
        <f aca="false">IF(ABS(X144-$B$11/$B$9*((MAX(0,MIN(1,X144))^2/(MAX(0,MIN(1,X144))^2+(1-MAX(0,MIN(1,X144)))^2/$B$5))-(MAX(0,MIN(1,W144))^2/(MAX(0,MIN(1,W144))^2+(1-MAX(0,MIN(1,W144)))^2/$B$5))))&lt;0.000000001,0,X144-$B$11/$B$9*((MAX(0,MIN(1,X144))^2/(MAX(0,MIN(1,X144))^2+(1-MAX(0,MIN(1,X144)))^2/$B$5))-(MAX(0,MIN(1,W144))^2/(MAX(0,MIN(1,W144))^2+(1-MAX(0,MIN(1,W144)))^2/$B$5))))</f>
        <v>0.846945200381681</v>
      </c>
      <c r="Y145" s="16" t="n">
        <f aca="false">IF(ABS(Y144-$B$11/$B$9*((MAX(0,MIN(1,Y144))^2/(MAX(0,MIN(1,Y144))^2+(1-MAX(0,MIN(1,Y144)))^2/$B$5))-(MAX(0,MIN(1,X144))^2/(MAX(0,MIN(1,X144))^2+(1-MAX(0,MIN(1,X144)))^2/$B$5))))&lt;0.000000001,0,Y144-$B$11/$B$9*((MAX(0,MIN(1,Y144))^2/(MAX(0,MIN(1,Y144))^2+(1-MAX(0,MIN(1,Y144)))^2/$B$5))-(MAX(0,MIN(1,X144))^2/(MAX(0,MIN(1,X144))^2+(1-MAX(0,MIN(1,X144)))^2/$B$5))))</f>
        <v>0.839050268995918</v>
      </c>
      <c r="Z145" s="16" t="n">
        <f aca="false">IF(ABS(Z144-$B$11/$B$9*((MAX(0,MIN(1,Z144))^2/(MAX(0,MIN(1,Z144))^2+(1-MAX(0,MIN(1,Z144)))^2/$B$5))-(MAX(0,MIN(1,Y144))^2/(MAX(0,MIN(1,Y144))^2+(1-MAX(0,MIN(1,Y144)))^2/$B$5))))&lt;0.000000001,0,Z144-$B$11/$B$9*((MAX(0,MIN(1,Z144))^2/(MAX(0,MIN(1,Z144))^2+(1-MAX(0,MIN(1,Z144)))^2/$B$5))-(MAX(0,MIN(1,Y144))^2/(MAX(0,MIN(1,Y144))^2+(1-MAX(0,MIN(1,Y144)))^2/$B$5))))</f>
        <v>0.831450860636304</v>
      </c>
      <c r="AA145" s="16" t="n">
        <f aca="false">IF(ABS(AA144-$B$11/$B$9*((MAX(0,MIN(1,AA144))^2/(MAX(0,MIN(1,AA144))^2+(1-MAX(0,MIN(1,AA144)))^2/$B$5))-(MAX(0,MIN(1,Z144))^2/(MAX(0,MIN(1,Z144))^2+(1-MAX(0,MIN(1,Z144)))^2/$B$5))))&lt;0.000000001,0,AA144-$B$11/$B$9*((MAX(0,MIN(1,AA144))^2/(MAX(0,MIN(1,AA144))^2+(1-MAX(0,MIN(1,AA144)))^2/$B$5))-(MAX(0,MIN(1,Z144))^2/(MAX(0,MIN(1,Z144))^2+(1-MAX(0,MIN(1,Z144)))^2/$B$5))))</f>
        <v>0.82412160956411</v>
      </c>
      <c r="AB145" s="16" t="n">
        <f aca="false">IF(ABS(AB144-$B$11/$B$9*((MAX(0,MIN(1,AB144))^2/(MAX(0,MIN(1,AB144))^2+(1-MAX(0,MIN(1,AB144)))^2/$B$5))-(MAX(0,MIN(1,AA144))^2/(MAX(0,MIN(1,AA144))^2+(1-MAX(0,MIN(1,AA144)))^2/$B$5))))&lt;0.000000001,0,AB144-$B$11/$B$9*((MAX(0,MIN(1,AB144))^2/(MAX(0,MIN(1,AB144))^2+(1-MAX(0,MIN(1,AB144)))^2/$B$5))-(MAX(0,MIN(1,AA144))^2/(MAX(0,MIN(1,AA144))^2+(1-MAX(0,MIN(1,AA144)))^2/$B$5))))</f>
        <v>0.817040340894684</v>
      </c>
      <c r="AC145" s="16" t="n">
        <f aca="false">IF(ABS(AC144-$B$11/$B$9*((MAX(0,MIN(1,AC144))^2/(MAX(0,MIN(1,AC144))^2+(1-MAX(0,MIN(1,AC144)))^2/$B$5))-(MAX(0,MIN(1,AB144))^2/(MAX(0,MIN(1,AB144))^2+(1-MAX(0,MIN(1,AB144)))^2/$B$5))))&lt;0.000000001,0,AC144-$B$11/$B$9*((MAX(0,MIN(1,AC144))^2/(MAX(0,MIN(1,AC144))^2+(1-MAX(0,MIN(1,AC144)))^2/$B$5))-(MAX(0,MIN(1,AB144))^2/(MAX(0,MIN(1,AB144))^2+(1-MAX(0,MIN(1,AB144)))^2/$B$5))))</f>
        <v>0.81018751953228</v>
      </c>
      <c r="AD145" s="16" t="n">
        <f aca="false">IF(ABS(AD144-$B$11/$B$9*((MAX(0,MIN(1,AD144))^2/(MAX(0,MIN(1,AD144))^2+(1-MAX(0,MIN(1,AD144)))^2/$B$5))-(MAX(0,MIN(1,AC144))^2/(MAX(0,MIN(1,AC144))^2+(1-MAX(0,MIN(1,AC144)))^2/$B$5))))&lt;0.000000001,0,AD144-$B$11/$B$9*((MAX(0,MIN(1,AD144))^2/(MAX(0,MIN(1,AD144))^2+(1-MAX(0,MIN(1,AD144)))^2/$B$5))-(MAX(0,MIN(1,AC144))^2/(MAX(0,MIN(1,AC144))^2+(1-MAX(0,MIN(1,AC144)))^2/$B$5))))</f>
        <v>0.803545819891726</v>
      </c>
      <c r="AE145" s="16" t="n">
        <f aca="false">IF(ABS(AE144-$B$11/$B$9*((MAX(0,MIN(1,AE144))^2/(MAX(0,MIN(1,AE144))^2+(1-MAX(0,MIN(1,AE144)))^2/$B$5))-(MAX(0,MIN(1,AD144))^2/(MAX(0,MIN(1,AD144))^2+(1-MAX(0,MIN(1,AD144)))^2/$B$5))))&lt;0.000000001,0,AE144-$B$11/$B$9*((MAX(0,MIN(1,AE144))^2/(MAX(0,MIN(1,AE144))^2+(1-MAX(0,MIN(1,AE144)))^2/$B$5))-(MAX(0,MIN(1,AD144))^2/(MAX(0,MIN(1,AD144))^2+(1-MAX(0,MIN(1,AD144)))^2/$B$5))))</f>
        <v>0.797099784220579</v>
      </c>
      <c r="AF145" s="16" t="n">
        <f aca="false">IF(ABS(AF144-$B$11/$B$9*((MAX(0,MIN(1,AF144))^2/(MAX(0,MIN(1,AF144))^2+(1-MAX(0,MIN(1,AF144)))^2/$B$5))-(MAX(0,MIN(1,AE144))^2/(MAX(0,MIN(1,AE144))^2+(1-MAX(0,MIN(1,AE144)))^2/$B$5))))&lt;0.000000001,0,AF144-$B$11/$B$9*((MAX(0,MIN(1,AF144))^2/(MAX(0,MIN(1,AF144))^2+(1-MAX(0,MIN(1,AF144)))^2/$B$5))-(MAX(0,MIN(1,AE144))^2/(MAX(0,MIN(1,AE144))^2+(1-MAX(0,MIN(1,AE144)))^2/$B$5))))</f>
        <v>0.790835547339918</v>
      </c>
    </row>
    <row r="146" customFormat="false" ht="15" hidden="false" customHeight="false" outlineLevel="0" collapsed="false">
      <c r="L146" s="0" t="n">
        <v>136</v>
      </c>
      <c r="M146" s="16" t="n">
        <f aca="false">IF(ABS(M145-$B$11/$B$9*((MAX(0,MIN(1,M145))^2/(MAX(0,MIN(1,M145))^2+(1-MAX(0,MIN(1,M145)))^2/$B$5))-(MAX(0,MIN(1,1))^2/(MAX(0,MIN(1,1))^2+(1-MAX(0,MIN(1,1)))^2/$B$5))))&lt;0.000000001,0,M145-$B$11/$B$9*((MAX(0,MIN(1,M145))^2/(MAX(0,MIN(1,M145))^2+(1-MAX(0,MIN(1,M145)))^2/$B$5))-(MAX(0,MIN(1,1))^2/(MAX(0,MIN(1,1))^2+(1-MAX(0,MIN(1,1)))^2/$B$5))))</f>
        <v>0.970144562898152</v>
      </c>
      <c r="N146" s="16" t="n">
        <f aca="false">IF(ABS(N145-$B$11/$B$9*((MAX(0,MIN(1,N145))^2/(MAX(0,MIN(1,N145))^2+(1-MAX(0,MIN(1,N145)))^2/$B$5))-(MAX(0,MIN(1,M145))^2/(MAX(0,MIN(1,M145))^2+(1-MAX(0,MIN(1,M145)))^2/$B$5))))&lt;0.000000001,0,N145-$B$11/$B$9*((MAX(0,MIN(1,N145))^2/(MAX(0,MIN(1,N145))^2+(1-MAX(0,MIN(1,N145)))^2/$B$5))-(MAX(0,MIN(1,M145))^2/(MAX(0,MIN(1,M145))^2+(1-MAX(0,MIN(1,M145)))^2/$B$5))))</f>
        <v>0.953533185817815</v>
      </c>
      <c r="O146" s="16" t="n">
        <f aca="false">IF(ABS(O145-$B$11/$B$9*((MAX(0,MIN(1,O145))^2/(MAX(0,MIN(1,O145))^2+(1-MAX(0,MIN(1,O145)))^2/$B$5))-(MAX(0,MIN(1,N145))^2/(MAX(0,MIN(1,N145))^2+(1-MAX(0,MIN(1,N145)))^2/$B$5))))&lt;0.000000001,0,O145-$B$11/$B$9*((MAX(0,MIN(1,O145))^2/(MAX(0,MIN(1,O145))^2+(1-MAX(0,MIN(1,O145)))^2/$B$5))-(MAX(0,MIN(1,N145))^2/(MAX(0,MIN(1,N145))^2+(1-MAX(0,MIN(1,N145)))^2/$B$5))))</f>
        <v>0.93918676343245</v>
      </c>
      <c r="P146" s="16" t="n">
        <f aca="false">IF(ABS(P145-$B$11/$B$9*((MAX(0,MIN(1,P145))^2/(MAX(0,MIN(1,P145))^2+(1-MAX(0,MIN(1,P145)))^2/$B$5))-(MAX(0,MIN(1,O145))^2/(MAX(0,MIN(1,O145))^2+(1-MAX(0,MIN(1,O145)))^2/$B$5))))&lt;0.000000001,0,P145-$B$11/$B$9*((MAX(0,MIN(1,P145))^2/(MAX(0,MIN(1,P145))^2+(1-MAX(0,MIN(1,P145)))^2/$B$5))-(MAX(0,MIN(1,O145))^2/(MAX(0,MIN(1,O145))^2+(1-MAX(0,MIN(1,O145)))^2/$B$5))))</f>
        <v>0.926217655648699</v>
      </c>
      <c r="Q146" s="16" t="n">
        <f aca="false">IF(ABS(Q145-$B$11/$B$9*((MAX(0,MIN(1,Q145))^2/(MAX(0,MIN(1,Q145))^2+(1-MAX(0,MIN(1,Q145)))^2/$B$5))-(MAX(0,MIN(1,P145))^2/(MAX(0,MIN(1,P145))^2+(1-MAX(0,MIN(1,P145)))^2/$B$5))))&lt;0.000000001,0,Q145-$B$11/$B$9*((MAX(0,MIN(1,Q145))^2/(MAX(0,MIN(1,Q145))^2+(1-MAX(0,MIN(1,Q145)))^2/$B$5))-(MAX(0,MIN(1,P145))^2/(MAX(0,MIN(1,P145))^2+(1-MAX(0,MIN(1,P145)))^2/$B$5))))</f>
        <v>0.91426275888587</v>
      </c>
      <c r="R146" s="16" t="n">
        <f aca="false">IF(ABS(R145-$B$11/$B$9*((MAX(0,MIN(1,R145))^2/(MAX(0,MIN(1,R145))^2+(1-MAX(0,MIN(1,R145)))^2/$B$5))-(MAX(0,MIN(1,Q145))^2/(MAX(0,MIN(1,Q145))^2+(1-MAX(0,MIN(1,Q145)))^2/$B$5))))&lt;0.000000001,0,R145-$B$11/$B$9*((MAX(0,MIN(1,R145))^2/(MAX(0,MIN(1,R145))^2+(1-MAX(0,MIN(1,R145)))^2/$B$5))-(MAX(0,MIN(1,Q145))^2/(MAX(0,MIN(1,Q145))^2+(1-MAX(0,MIN(1,Q145)))^2/$B$5))))</f>
        <v>0.903117597536441</v>
      </c>
      <c r="S146" s="16" t="n">
        <f aca="false">IF(ABS(S145-$B$11/$B$9*((MAX(0,MIN(1,S145))^2/(MAX(0,MIN(1,S145))^2+(1-MAX(0,MIN(1,S145)))^2/$B$5))-(MAX(0,MIN(1,R145))^2/(MAX(0,MIN(1,R145))^2+(1-MAX(0,MIN(1,R145)))^2/$B$5))))&lt;0.000000001,0,S145-$B$11/$B$9*((MAX(0,MIN(1,S145))^2/(MAX(0,MIN(1,S145))^2+(1-MAX(0,MIN(1,S145)))^2/$B$5))-(MAX(0,MIN(1,R145))^2/(MAX(0,MIN(1,R145))^2+(1-MAX(0,MIN(1,R145)))^2/$B$5))))</f>
        <v>0.892647466888239</v>
      </c>
      <c r="T146" s="16" t="n">
        <f aca="false">IF(ABS(T145-$B$11/$B$9*((MAX(0,MIN(1,T145))^2/(MAX(0,MIN(1,T145))^2+(1-MAX(0,MIN(1,T145)))^2/$B$5))-(MAX(0,MIN(1,S145))^2/(MAX(0,MIN(1,S145))^2+(1-MAX(0,MIN(1,S145)))^2/$B$5))))&lt;0.000000001,0,T145-$B$11/$B$9*((MAX(0,MIN(1,T145))^2/(MAX(0,MIN(1,T145))^2+(1-MAX(0,MIN(1,T145)))^2/$B$5))-(MAX(0,MIN(1,S145))^2/(MAX(0,MIN(1,S145))^2+(1-MAX(0,MIN(1,S145)))^2/$B$5))))</f>
        <v>0.88275522777481</v>
      </c>
      <c r="U146" s="16" t="n">
        <f aca="false">IF(ABS(U145-$B$11/$B$9*((MAX(0,MIN(1,U145))^2/(MAX(0,MIN(1,U145))^2+(1-MAX(0,MIN(1,U145)))^2/$B$5))-(MAX(0,MIN(1,T145))^2/(MAX(0,MIN(1,T145))^2+(1-MAX(0,MIN(1,T145)))^2/$B$5))))&lt;0.000000001,0,U145-$B$11/$B$9*((MAX(0,MIN(1,U145))^2/(MAX(0,MIN(1,U145))^2+(1-MAX(0,MIN(1,U145)))^2/$B$5))-(MAX(0,MIN(1,T145))^2/(MAX(0,MIN(1,T145))^2+(1-MAX(0,MIN(1,T145)))^2/$B$5))))</f>
        <v>0.873366709320937</v>
      </c>
      <c r="V146" s="16" t="n">
        <f aca="false">IF(ABS(V145-$B$11/$B$9*((MAX(0,MIN(1,V145))^2/(MAX(0,MIN(1,V145))^2+(1-MAX(0,MIN(1,V145)))^2/$B$5))-(MAX(0,MIN(1,U145))^2/(MAX(0,MIN(1,U145))^2+(1-MAX(0,MIN(1,U145)))^2/$B$5))))&lt;0.000000001,0,V145-$B$11/$B$9*((MAX(0,MIN(1,V145))^2/(MAX(0,MIN(1,V145))^2+(1-MAX(0,MIN(1,V145)))^2/$B$5))-(MAX(0,MIN(1,U145))^2/(MAX(0,MIN(1,U145))^2+(1-MAX(0,MIN(1,U145)))^2/$B$5))))</f>
        <v>0.864423044261245</v>
      </c>
      <c r="W146" s="16" t="n">
        <f aca="false">IF(ABS(W145-$B$11/$B$9*((MAX(0,MIN(1,W145))^2/(MAX(0,MIN(1,W145))^2+(1-MAX(0,MIN(1,W145)))^2/$B$5))-(MAX(0,MIN(1,V145))^2/(MAX(0,MIN(1,V145))^2+(1-MAX(0,MIN(1,V145)))^2/$B$5))))&lt;0.000000001,0,W145-$B$11/$B$9*((MAX(0,MIN(1,W145))^2/(MAX(0,MIN(1,W145))^2+(1-MAX(0,MIN(1,W145)))^2/$B$5))-(MAX(0,MIN(1,V145))^2/(MAX(0,MIN(1,V145))^2+(1-MAX(0,MIN(1,V145)))^2/$B$5))))</f>
        <v>0.855876201384895</v>
      </c>
      <c r="X146" s="16" t="n">
        <f aca="false">IF(ABS(X145-$B$11/$B$9*((MAX(0,MIN(1,X145))^2/(MAX(0,MIN(1,X145))^2+(1-MAX(0,MIN(1,X145)))^2/$B$5))-(MAX(0,MIN(1,W145))^2/(MAX(0,MIN(1,W145))^2+(1-MAX(0,MIN(1,W145)))^2/$B$5))))&lt;0.000000001,0,X145-$B$11/$B$9*((MAX(0,MIN(1,X145))^2/(MAX(0,MIN(1,X145))^2+(1-MAX(0,MIN(1,X145)))^2/$B$5))-(MAX(0,MIN(1,W145))^2/(MAX(0,MIN(1,W145))^2+(1-MAX(0,MIN(1,W145)))^2/$B$5))))</f>
        <v>0.847686171936339</v>
      </c>
      <c r="Y146" s="16" t="n">
        <f aca="false">IF(ABS(Y145-$B$11/$B$9*((MAX(0,MIN(1,Y145))^2/(MAX(0,MIN(1,Y145))^2+(1-MAX(0,MIN(1,Y145)))^2/$B$5))-(MAX(0,MIN(1,X145))^2/(MAX(0,MIN(1,X145))^2+(1-MAX(0,MIN(1,X145)))^2/$B$5))))&lt;0.000000001,0,Y145-$B$11/$B$9*((MAX(0,MIN(1,Y145))^2/(MAX(0,MIN(1,Y145))^2+(1-MAX(0,MIN(1,Y145)))^2/$B$5))-(MAX(0,MIN(1,X145))^2/(MAX(0,MIN(1,X145))^2+(1-MAX(0,MIN(1,X145)))^2/$B$5))))</f>
        <v>0.839819089924572</v>
      </c>
      <c r="Z146" s="16" t="n">
        <f aca="false">IF(ABS(Z145-$B$11/$B$9*((MAX(0,MIN(1,Z145))^2/(MAX(0,MIN(1,Z145))^2+(1-MAX(0,MIN(1,Z145)))^2/$B$5))-(MAX(0,MIN(1,Y145))^2/(MAX(0,MIN(1,Y145))^2+(1-MAX(0,MIN(1,Y145)))^2/$B$5))))&lt;0.000000001,0,Z145-$B$11/$B$9*((MAX(0,MIN(1,Z145))^2/(MAX(0,MIN(1,Z145))^2+(1-MAX(0,MIN(1,Z145)))^2/$B$5))-(MAX(0,MIN(1,Y145))^2/(MAX(0,MIN(1,Y145))^2+(1-MAX(0,MIN(1,Y145)))^2/$B$5))))</f>
        <v>0.832245917269475</v>
      </c>
      <c r="AA146" s="16" t="n">
        <f aca="false">IF(ABS(AA145-$B$11/$B$9*((MAX(0,MIN(1,AA145))^2/(MAX(0,MIN(1,AA145))^2+(1-MAX(0,MIN(1,AA145)))^2/$B$5))-(MAX(0,MIN(1,Z145))^2/(MAX(0,MIN(1,Z145))^2+(1-MAX(0,MIN(1,Z145)))^2/$B$5))))&lt;0.000000001,0,AA145-$B$11/$B$9*((MAX(0,MIN(1,AA145))^2/(MAX(0,MIN(1,AA145))^2+(1-MAX(0,MIN(1,AA145)))^2/$B$5))-(MAX(0,MIN(1,Z145))^2/(MAX(0,MIN(1,Z145))^2+(1-MAX(0,MIN(1,Z145)))^2/$B$5))))</f>
        <v>0.824941489891701</v>
      </c>
      <c r="AB146" s="16" t="n">
        <f aca="false">IF(ABS(AB145-$B$11/$B$9*((MAX(0,MIN(1,AB145))^2/(MAX(0,MIN(1,AB145))^2+(1-MAX(0,MIN(1,AB145)))^2/$B$5))-(MAX(0,MIN(1,AA145))^2/(MAX(0,MIN(1,AA145))^2+(1-MAX(0,MIN(1,AA145)))^2/$B$5))))&lt;0.000000001,0,AB145-$B$11/$B$9*((MAX(0,MIN(1,AB145))^2/(MAX(0,MIN(1,AB145))^2+(1-MAX(0,MIN(1,AB145)))^2/$B$5))-(MAX(0,MIN(1,AA145))^2/(MAX(0,MIN(1,AA145))^2+(1-MAX(0,MIN(1,AA145)))^2/$B$5))))</f>
        <v>0.817883805005334</v>
      </c>
      <c r="AC146" s="16" t="n">
        <f aca="false">IF(ABS(AC145-$B$11/$B$9*((MAX(0,MIN(1,AC145))^2/(MAX(0,MIN(1,AC145))^2+(1-MAX(0,MIN(1,AC145)))^2/$B$5))-(MAX(0,MIN(1,AB145))^2/(MAX(0,MIN(1,AB145))^2+(1-MAX(0,MIN(1,AB145)))^2/$B$5))))&lt;0.000000001,0,AC145-$B$11/$B$9*((MAX(0,MIN(1,AC145))^2/(MAX(0,MIN(1,AC145))^2+(1-MAX(0,MIN(1,AC145)))^2/$B$5))-(MAX(0,MIN(1,AB145))^2/(MAX(0,MIN(1,AB145))^2+(1-MAX(0,MIN(1,AB145)))^2/$B$5))))</f>
        <v>0.811053475639182</v>
      </c>
      <c r="AD146" s="16" t="n">
        <f aca="false">IF(ABS(AD145-$B$11/$B$9*((MAX(0,MIN(1,AD145))^2/(MAX(0,MIN(1,AD145))^2+(1-MAX(0,MIN(1,AD145)))^2/$B$5))-(MAX(0,MIN(1,AC145))^2/(MAX(0,MIN(1,AC145))^2+(1-MAX(0,MIN(1,AC145)))^2/$B$5))))&lt;0.000000001,0,AD145-$B$11/$B$9*((MAX(0,MIN(1,AD145))^2/(MAX(0,MIN(1,AD145))^2+(1-MAX(0,MIN(1,AD145)))^2/$B$5))-(MAX(0,MIN(1,AC145))^2/(MAX(0,MIN(1,AC145))^2+(1-MAX(0,MIN(1,AC145)))^2/$B$5))))</f>
        <v>0.804433304703379</v>
      </c>
      <c r="AE146" s="16" t="n">
        <f aca="false">IF(ABS(AE145-$B$11/$B$9*((MAX(0,MIN(1,AE145))^2/(MAX(0,MIN(1,AE145))^2+(1-MAX(0,MIN(1,AE145)))^2/$B$5))-(MAX(0,MIN(1,AD145))^2/(MAX(0,MIN(1,AD145))^2+(1-MAX(0,MIN(1,AD145)))^2/$B$5))))&lt;0.000000001,0,AE145-$B$11/$B$9*((MAX(0,MIN(1,AE145))^2/(MAX(0,MIN(1,AE145))^2+(1-MAX(0,MIN(1,AE145)))^2/$B$5))-(MAX(0,MIN(1,AD145))^2/(MAX(0,MIN(1,AD145))^2+(1-MAX(0,MIN(1,AD145)))^2/$B$5))))</f>
        <v>0.798007946739321</v>
      </c>
      <c r="AF146" s="16" t="n">
        <f aca="false">IF(ABS(AF145-$B$11/$B$9*((MAX(0,MIN(1,AF145))^2/(MAX(0,MIN(1,AF145))^2+(1-MAX(0,MIN(1,AF145)))^2/$B$5))-(MAX(0,MIN(1,AE145))^2/(MAX(0,MIN(1,AE145))^2+(1-MAX(0,MIN(1,AE145)))^2/$B$5))))&lt;0.000000001,0,AF145-$B$11/$B$9*((MAX(0,MIN(1,AF145))^2/(MAX(0,MIN(1,AF145))^2+(1-MAX(0,MIN(1,AF145)))^2/$B$5))-(MAX(0,MIN(1,AE145))^2/(MAX(0,MIN(1,AE145))^2+(1-MAX(0,MIN(1,AE145)))^2/$B$5))))</f>
        <v>0.791763635399086</v>
      </c>
    </row>
    <row r="147" customFormat="false" ht="15" hidden="false" customHeight="false" outlineLevel="0" collapsed="false">
      <c r="L147" s="0" t="n">
        <v>137</v>
      </c>
      <c r="M147" s="16" t="n">
        <f aca="false">IF(ABS(M146-$B$11/$B$9*((MAX(0,MIN(1,M146))^2/(MAX(0,MIN(1,M146))^2+(1-MAX(0,MIN(1,M146)))^2/$B$5))-(MAX(0,MIN(1,1))^2/(MAX(0,MIN(1,1))^2+(1-MAX(0,MIN(1,1)))^2/$B$5))))&lt;0.000000001,0,M146-$B$11/$B$9*((MAX(0,MIN(1,M146))^2/(MAX(0,MIN(1,M146))^2+(1-MAX(0,MIN(1,M146)))^2/$B$5))-(MAX(0,MIN(1,1))^2/(MAX(0,MIN(1,1))^2+(1-MAX(0,MIN(1,1)))^2/$B$5))))</f>
        <v>0.970326562381554</v>
      </c>
      <c r="N147" s="16" t="n">
        <f aca="false">IF(ABS(N146-$B$11/$B$9*((MAX(0,MIN(1,N146))^2/(MAX(0,MIN(1,N146))^2+(1-MAX(0,MIN(1,N146)))^2/$B$5))-(MAX(0,MIN(1,M146))^2/(MAX(0,MIN(1,M146))^2+(1-MAX(0,MIN(1,M146)))^2/$B$5))))&lt;0.000000001,0,N146-$B$11/$B$9*((MAX(0,MIN(1,N146))^2/(MAX(0,MIN(1,N146))^2+(1-MAX(0,MIN(1,N146)))^2/$B$5))-(MAX(0,MIN(1,M146))^2/(MAX(0,MIN(1,M146))^2+(1-MAX(0,MIN(1,M146)))^2/$B$5))))</f>
        <v>0.953807223888116</v>
      </c>
      <c r="O147" s="16" t="n">
        <f aca="false">IF(ABS(O146-$B$11/$B$9*((MAX(0,MIN(1,O146))^2/(MAX(0,MIN(1,O146))^2+(1-MAX(0,MIN(1,O146)))^2/$B$5))-(MAX(0,MIN(1,N146))^2/(MAX(0,MIN(1,N146))^2+(1-MAX(0,MIN(1,N146)))^2/$B$5))))&lt;0.000000001,0,O146-$B$11/$B$9*((MAX(0,MIN(1,O146))^2/(MAX(0,MIN(1,O146))^2+(1-MAX(0,MIN(1,O146)))^2/$B$5))-(MAX(0,MIN(1,N146))^2/(MAX(0,MIN(1,N146))^2+(1-MAX(0,MIN(1,N146)))^2/$B$5))))</f>
        <v>0.939535149155434</v>
      </c>
      <c r="P147" s="16" t="n">
        <f aca="false">IF(ABS(P146-$B$11/$B$9*((MAX(0,MIN(1,P146))^2/(MAX(0,MIN(1,P146))^2+(1-MAX(0,MIN(1,P146)))^2/$B$5))-(MAX(0,MIN(1,O146))^2/(MAX(0,MIN(1,O146))^2+(1-MAX(0,MIN(1,O146)))^2/$B$5))))&lt;0.000000001,0,P146-$B$11/$B$9*((MAX(0,MIN(1,P146))^2/(MAX(0,MIN(1,P146))^2+(1-MAX(0,MIN(1,P146)))^2/$B$5))-(MAX(0,MIN(1,O146))^2/(MAX(0,MIN(1,O146))^2+(1-MAX(0,MIN(1,O146)))^2/$B$5))))</f>
        <v>0.926629431868447</v>
      </c>
      <c r="Q147" s="16" t="n">
        <f aca="false">IF(ABS(Q146-$B$11/$B$9*((MAX(0,MIN(1,Q146))^2/(MAX(0,MIN(1,Q146))^2+(1-MAX(0,MIN(1,Q146)))^2/$B$5))-(MAX(0,MIN(1,P146))^2/(MAX(0,MIN(1,P146))^2+(1-MAX(0,MIN(1,P146)))^2/$B$5))))&lt;0.000000001,0,Q146-$B$11/$B$9*((MAX(0,MIN(1,Q146))^2/(MAX(0,MIN(1,Q146))^2+(1-MAX(0,MIN(1,Q146)))^2/$B$5))-(MAX(0,MIN(1,P146))^2/(MAX(0,MIN(1,P146))^2+(1-MAX(0,MIN(1,P146)))^2/$B$5))))</f>
        <v>0.914729982532179</v>
      </c>
      <c r="R147" s="16" t="n">
        <f aca="false">IF(ABS(R146-$B$11/$B$9*((MAX(0,MIN(1,R146))^2/(MAX(0,MIN(1,R146))^2+(1-MAX(0,MIN(1,R146)))^2/$B$5))-(MAX(0,MIN(1,Q146))^2/(MAX(0,MIN(1,Q146))^2+(1-MAX(0,MIN(1,Q146)))^2/$B$5))))&lt;0.000000001,0,R146-$B$11/$B$9*((MAX(0,MIN(1,R146))^2/(MAX(0,MIN(1,R146))^2+(1-MAX(0,MIN(1,R146)))^2/$B$5))-(MAX(0,MIN(1,Q146))^2/(MAX(0,MIN(1,Q146))^2+(1-MAX(0,MIN(1,Q146)))^2/$B$5))))</f>
        <v>0.903634116290207</v>
      </c>
      <c r="S147" s="16" t="n">
        <f aca="false">IF(ABS(S146-$B$11/$B$9*((MAX(0,MIN(1,S146))^2/(MAX(0,MIN(1,S146))^2+(1-MAX(0,MIN(1,S146)))^2/$B$5))-(MAX(0,MIN(1,R146))^2/(MAX(0,MIN(1,R146))^2+(1-MAX(0,MIN(1,R146)))^2/$B$5))))&lt;0.000000001,0,S146-$B$11/$B$9*((MAX(0,MIN(1,S146))^2/(MAX(0,MIN(1,S146))^2+(1-MAX(0,MIN(1,S146)))^2/$B$5))-(MAX(0,MIN(1,R146))^2/(MAX(0,MIN(1,R146))^2+(1-MAX(0,MIN(1,R146)))^2/$B$5))))</f>
        <v>0.893208338630717</v>
      </c>
      <c r="T147" s="16" t="n">
        <f aca="false">IF(ABS(T146-$B$11/$B$9*((MAX(0,MIN(1,T146))^2/(MAX(0,MIN(1,T146))^2+(1-MAX(0,MIN(1,T146)))^2/$B$5))-(MAX(0,MIN(1,S146))^2/(MAX(0,MIN(1,S146))^2+(1-MAX(0,MIN(1,S146)))^2/$B$5))))&lt;0.000000001,0,T146-$B$11/$B$9*((MAX(0,MIN(1,T146))^2/(MAX(0,MIN(1,T146))^2+(1-MAX(0,MIN(1,T146)))^2/$B$5))-(MAX(0,MIN(1,S146))^2/(MAX(0,MIN(1,S146))^2+(1-MAX(0,MIN(1,S146)))^2/$B$5))))</f>
        <v>0.883356388697638</v>
      </c>
      <c r="U147" s="16" t="n">
        <f aca="false">IF(ABS(U146-$B$11/$B$9*((MAX(0,MIN(1,U146))^2/(MAX(0,MIN(1,U146))^2+(1-MAX(0,MIN(1,U146)))^2/$B$5))-(MAX(0,MIN(1,T146))^2/(MAX(0,MIN(1,T146))^2+(1-MAX(0,MIN(1,T146)))^2/$B$5))))&lt;0.000000001,0,U146-$B$11/$B$9*((MAX(0,MIN(1,U146))^2/(MAX(0,MIN(1,U146))^2+(1-MAX(0,MIN(1,U146)))^2/$B$5))-(MAX(0,MIN(1,T146))^2/(MAX(0,MIN(1,T146))^2+(1-MAX(0,MIN(1,T146)))^2/$B$5))))</f>
        <v>0.874004762219609</v>
      </c>
      <c r="V147" s="16" t="n">
        <f aca="false">IF(ABS(V146-$B$11/$B$9*((MAX(0,MIN(1,V146))^2/(MAX(0,MIN(1,V146))^2+(1-MAX(0,MIN(1,V146)))^2/$B$5))-(MAX(0,MIN(1,U146))^2/(MAX(0,MIN(1,U146))^2+(1-MAX(0,MIN(1,U146)))^2/$B$5))))&lt;0.000000001,0,V146-$B$11/$B$9*((MAX(0,MIN(1,V146))^2/(MAX(0,MIN(1,V146))^2+(1-MAX(0,MIN(1,V146)))^2/$B$5))-(MAX(0,MIN(1,U146))^2/(MAX(0,MIN(1,U146))^2+(1-MAX(0,MIN(1,U146)))^2/$B$5))))</f>
        <v>0.865095113667414</v>
      </c>
      <c r="W147" s="16" t="n">
        <f aca="false">IF(ABS(W146-$B$11/$B$9*((MAX(0,MIN(1,W146))^2/(MAX(0,MIN(1,W146))^2+(1-MAX(0,MIN(1,W146)))^2/$B$5))-(MAX(0,MIN(1,V146))^2/(MAX(0,MIN(1,V146))^2+(1-MAX(0,MIN(1,V146)))^2/$B$5))))&lt;0.000000001,0,W146-$B$11/$B$9*((MAX(0,MIN(1,W146))^2/(MAX(0,MIN(1,W146))^2+(1-MAX(0,MIN(1,W146)))^2/$B$5))-(MAX(0,MIN(1,V146))^2/(MAX(0,MIN(1,V146))^2+(1-MAX(0,MIN(1,V146)))^2/$B$5))))</f>
        <v>0.856579829559248</v>
      </c>
      <c r="X147" s="16" t="n">
        <f aca="false">IF(ABS(X146-$B$11/$B$9*((MAX(0,MIN(1,X146))^2/(MAX(0,MIN(1,X146))^2+(1-MAX(0,MIN(1,X146)))^2/$B$5))-(MAX(0,MIN(1,W146))^2/(MAX(0,MIN(1,W146))^2+(1-MAX(0,MIN(1,W146)))^2/$B$5))))&lt;0.000000001,0,X146-$B$11/$B$9*((MAX(0,MIN(1,X146))^2/(MAX(0,MIN(1,X146))^2+(1-MAX(0,MIN(1,X146)))^2/$B$5))-(MAX(0,MIN(1,W146))^2/(MAX(0,MIN(1,W146))^2+(1-MAX(0,MIN(1,W146)))^2/$B$5))))</f>
        <v>0.848419241565693</v>
      </c>
      <c r="Y147" s="16" t="n">
        <f aca="false">IF(ABS(Y146-$B$11/$B$9*((MAX(0,MIN(1,Y146))^2/(MAX(0,MIN(1,Y146))^2+(1-MAX(0,MIN(1,Y146)))^2/$B$5))-(MAX(0,MIN(1,X146))^2/(MAX(0,MIN(1,X146))^2+(1-MAX(0,MIN(1,X146)))^2/$B$5))))&lt;0.000000001,0,Y146-$B$11/$B$9*((MAX(0,MIN(1,Y146))^2/(MAX(0,MIN(1,Y146))^2+(1-MAX(0,MIN(1,Y146)))^2/$B$5))-(MAX(0,MIN(1,X146))^2/(MAX(0,MIN(1,X146))^2+(1-MAX(0,MIN(1,X146)))^2/$B$5))))</f>
        <v>0.840579765146959</v>
      </c>
      <c r="Z147" s="16" t="n">
        <f aca="false">IF(ABS(Z146-$B$11/$B$9*((MAX(0,MIN(1,Z146))^2/(MAX(0,MIN(1,Z146))^2+(1-MAX(0,MIN(1,Z146)))^2/$B$5))-(MAX(0,MIN(1,Y146))^2/(MAX(0,MIN(1,Y146))^2+(1-MAX(0,MIN(1,Y146)))^2/$B$5))))&lt;0.000000001,0,Z146-$B$11/$B$9*((MAX(0,MIN(1,Z146))^2/(MAX(0,MIN(1,Z146))^2+(1-MAX(0,MIN(1,Z146)))^2/$B$5))-(MAX(0,MIN(1,Y146))^2/(MAX(0,MIN(1,Y146))^2+(1-MAX(0,MIN(1,Y146)))^2/$B$5))))</f>
        <v>0.833032597754136</v>
      </c>
      <c r="AA147" s="16" t="n">
        <f aca="false">IF(ABS(AA146-$B$11/$B$9*((MAX(0,MIN(1,AA146))^2/(MAX(0,MIN(1,AA146))^2+(1-MAX(0,MIN(1,AA146)))^2/$B$5))-(MAX(0,MIN(1,Z146))^2/(MAX(0,MIN(1,Z146))^2+(1-MAX(0,MIN(1,Z146)))^2/$B$5))))&lt;0.000000001,0,AA146-$B$11/$B$9*((MAX(0,MIN(1,AA146))^2/(MAX(0,MIN(1,AA146))^2+(1-MAX(0,MIN(1,AA146)))^2/$B$5))-(MAX(0,MIN(1,Z146))^2/(MAX(0,MIN(1,Z146))^2+(1-MAX(0,MIN(1,Z146)))^2/$B$5))))</f>
        <v>0.82575277449218</v>
      </c>
      <c r="AB147" s="16" t="n">
        <f aca="false">IF(ABS(AB146-$B$11/$B$9*((MAX(0,MIN(1,AB146))^2/(MAX(0,MIN(1,AB146))^2+(1-MAX(0,MIN(1,AB146)))^2/$B$5))-(MAX(0,MIN(1,AA146))^2/(MAX(0,MIN(1,AA146))^2+(1-MAX(0,MIN(1,AA146)))^2/$B$5))))&lt;0.000000001,0,AB146-$B$11/$B$9*((MAX(0,MIN(1,AB146))^2/(MAX(0,MIN(1,AB146))^2+(1-MAX(0,MIN(1,AB146)))^2/$B$5))-(MAX(0,MIN(1,AA146))^2/(MAX(0,MIN(1,AA146))^2+(1-MAX(0,MIN(1,AA146)))^2/$B$5))))</f>
        <v>0.818718462598674</v>
      </c>
      <c r="AC147" s="16" t="n">
        <f aca="false">IF(ABS(AC146-$B$11/$B$9*((MAX(0,MIN(1,AC146))^2/(MAX(0,MIN(1,AC146))^2+(1-MAX(0,MIN(1,AC146)))^2/$B$5))-(MAX(0,MIN(1,AB146))^2/(MAX(0,MIN(1,AB146))^2+(1-MAX(0,MIN(1,AB146)))^2/$B$5))))&lt;0.000000001,0,AC146-$B$11/$B$9*((MAX(0,MIN(1,AC146))^2/(MAX(0,MIN(1,AC146))^2+(1-MAX(0,MIN(1,AC146)))^2/$B$5))-(MAX(0,MIN(1,AB146))^2/(MAX(0,MIN(1,AB146))^2+(1-MAX(0,MIN(1,AB146)))^2/$B$5))))</f>
        <v>0.811910421464774</v>
      </c>
      <c r="AD147" s="16" t="n">
        <f aca="false">IF(ABS(AD146-$B$11/$B$9*((MAX(0,MIN(1,AD146))^2/(MAX(0,MIN(1,AD146))^2+(1-MAX(0,MIN(1,AD146)))^2/$B$5))-(MAX(0,MIN(1,AC146))^2/(MAX(0,MIN(1,AC146))^2+(1-MAX(0,MIN(1,AC146)))^2/$B$5))))&lt;0.000000001,0,AD146-$B$11/$B$9*((MAX(0,MIN(1,AD146))^2/(MAX(0,MIN(1,AD146))^2+(1-MAX(0,MIN(1,AD146)))^2/$B$5))-(MAX(0,MIN(1,AC146))^2/(MAX(0,MIN(1,AC146))^2+(1-MAX(0,MIN(1,AC146)))^2/$B$5))))</f>
        <v>0.805311580980343</v>
      </c>
      <c r="AE147" s="16" t="n">
        <f aca="false">IF(ABS(AE146-$B$11/$B$9*((MAX(0,MIN(1,AE146))^2/(MAX(0,MIN(1,AE146))^2+(1-MAX(0,MIN(1,AE146)))^2/$B$5))-(MAX(0,MIN(1,AD146))^2/(MAX(0,MIN(1,AD146))^2+(1-MAX(0,MIN(1,AD146)))^2/$B$5))))&lt;0.000000001,0,AE146-$B$11/$B$9*((MAX(0,MIN(1,AE146))^2/(MAX(0,MIN(1,AE146))^2+(1-MAX(0,MIN(1,AE146)))^2/$B$5))-(MAX(0,MIN(1,AD146))^2/(MAX(0,MIN(1,AD146))^2+(1-MAX(0,MIN(1,AD146)))^2/$B$5))))</f>
        <v>0.79890670666004</v>
      </c>
      <c r="AF147" s="16" t="n">
        <f aca="false">IF(ABS(AF146-$B$11/$B$9*((MAX(0,MIN(1,AF146))^2/(MAX(0,MIN(1,AF146))^2+(1-MAX(0,MIN(1,AF146)))^2/$B$5))-(MAX(0,MIN(1,AE146))^2/(MAX(0,MIN(1,AE146))^2+(1-MAX(0,MIN(1,AE146)))^2/$B$5))))&lt;0.000000001,0,AF146-$B$11/$B$9*((MAX(0,MIN(1,AF146))^2/(MAX(0,MIN(1,AF146))^2+(1-MAX(0,MIN(1,AF146)))^2/$B$5))-(MAX(0,MIN(1,AE146))^2/(MAX(0,MIN(1,AE146))^2+(1-MAX(0,MIN(1,AE146)))^2/$B$5))))</f>
        <v>0.792682129820608</v>
      </c>
    </row>
    <row r="148" customFormat="false" ht="15" hidden="false" customHeight="false" outlineLevel="0" collapsed="false">
      <c r="L148" s="0" t="n">
        <v>138</v>
      </c>
      <c r="M148" s="16" t="n">
        <f aca="false">IF(ABS(M147-$B$11/$B$9*((MAX(0,MIN(1,M147))^2/(MAX(0,MIN(1,M147))^2+(1-MAX(0,MIN(1,M147)))^2/$B$5))-(MAX(0,MIN(1,1))^2/(MAX(0,MIN(1,1))^2+(1-MAX(0,MIN(1,1)))^2/$B$5))))&lt;0.000000001,0,M147-$B$11/$B$9*((MAX(0,MIN(1,M147))^2/(MAX(0,MIN(1,M147))^2+(1-MAX(0,MIN(1,M147)))^2/$B$5))-(MAX(0,MIN(1,1))^2/(MAX(0,MIN(1,1))^2+(1-MAX(0,MIN(1,1)))^2/$B$5))))</f>
        <v>0.970506283309713</v>
      </c>
      <c r="N148" s="16" t="n">
        <f aca="false">IF(ABS(N147-$B$11/$B$9*((MAX(0,MIN(1,N147))^2/(MAX(0,MIN(1,N147))^2+(1-MAX(0,MIN(1,N147)))^2/$B$5))-(MAX(0,MIN(1,M147))^2/(MAX(0,MIN(1,M147))^2+(1-MAX(0,MIN(1,M147)))^2/$B$5))))&lt;0.000000001,0,N147-$B$11/$B$9*((MAX(0,MIN(1,N147))^2/(MAX(0,MIN(1,N147))^2+(1-MAX(0,MIN(1,N147)))^2/$B$5))-(MAX(0,MIN(1,M147))^2/(MAX(0,MIN(1,M147))^2+(1-MAX(0,MIN(1,M147)))^2/$B$5))))</f>
        <v>0.954077925067576</v>
      </c>
      <c r="O148" s="16" t="n">
        <f aca="false">IF(ABS(O147-$B$11/$B$9*((MAX(0,MIN(1,O147))^2/(MAX(0,MIN(1,O147))^2+(1-MAX(0,MIN(1,O147)))^2/$B$5))-(MAX(0,MIN(1,N147))^2/(MAX(0,MIN(1,N147))^2+(1-MAX(0,MIN(1,N147)))^2/$B$5))))&lt;0.000000001,0,O147-$B$11/$B$9*((MAX(0,MIN(1,O147))^2/(MAX(0,MIN(1,O147))^2+(1-MAX(0,MIN(1,O147)))^2/$B$5))-(MAX(0,MIN(1,N147))^2/(MAX(0,MIN(1,N147))^2+(1-MAX(0,MIN(1,N147)))^2/$B$5))))</f>
        <v>0.939879390560364</v>
      </c>
      <c r="P148" s="16" t="n">
        <f aca="false">IF(ABS(P147-$B$11/$B$9*((MAX(0,MIN(1,P147))^2/(MAX(0,MIN(1,P147))^2+(1-MAX(0,MIN(1,P147)))^2/$B$5))-(MAX(0,MIN(1,O147))^2/(MAX(0,MIN(1,O147))^2+(1-MAX(0,MIN(1,O147)))^2/$B$5))))&lt;0.000000001,0,P147-$B$11/$B$9*((MAX(0,MIN(1,P147))^2/(MAX(0,MIN(1,P147))^2+(1-MAX(0,MIN(1,P147)))^2/$B$5))-(MAX(0,MIN(1,O147))^2/(MAX(0,MIN(1,O147))^2+(1-MAX(0,MIN(1,O147)))^2/$B$5))))</f>
        <v>0.927036407615303</v>
      </c>
      <c r="Q148" s="16" t="n">
        <f aca="false">IF(ABS(Q147-$B$11/$B$9*((MAX(0,MIN(1,Q147))^2/(MAX(0,MIN(1,Q147))^2+(1-MAX(0,MIN(1,Q147)))^2/$B$5))-(MAX(0,MIN(1,P147))^2/(MAX(0,MIN(1,P147))^2+(1-MAX(0,MIN(1,P147)))^2/$B$5))))&lt;0.000000001,0,Q147-$B$11/$B$9*((MAX(0,MIN(1,Q147))^2/(MAX(0,MIN(1,Q147))^2+(1-MAX(0,MIN(1,Q147)))^2/$B$5))-(MAX(0,MIN(1,P147))^2/(MAX(0,MIN(1,P147))^2+(1-MAX(0,MIN(1,P147)))^2/$B$5))))</f>
        <v>0.915191854766052</v>
      </c>
      <c r="R148" s="16" t="n">
        <f aca="false">IF(ABS(R147-$B$11/$B$9*((MAX(0,MIN(1,R147))^2/(MAX(0,MIN(1,R147))^2+(1-MAX(0,MIN(1,R147)))^2/$B$5))-(MAX(0,MIN(1,Q147))^2/(MAX(0,MIN(1,Q147))^2+(1-MAX(0,MIN(1,Q147)))^2/$B$5))))&lt;0.000000001,0,R147-$B$11/$B$9*((MAX(0,MIN(1,R147))^2/(MAX(0,MIN(1,R147))^2+(1-MAX(0,MIN(1,R147)))^2/$B$5))-(MAX(0,MIN(1,Q147))^2/(MAX(0,MIN(1,Q147))^2+(1-MAX(0,MIN(1,Q147)))^2/$B$5))))</f>
        <v>0.904144810507429</v>
      </c>
      <c r="S148" s="16" t="n">
        <f aca="false">IF(ABS(S147-$B$11/$B$9*((MAX(0,MIN(1,S147))^2/(MAX(0,MIN(1,S147))^2+(1-MAX(0,MIN(1,S147)))^2/$B$5))-(MAX(0,MIN(1,R147))^2/(MAX(0,MIN(1,R147))^2+(1-MAX(0,MIN(1,R147)))^2/$B$5))))&lt;0.000000001,0,S147-$B$11/$B$9*((MAX(0,MIN(1,S147))^2/(MAX(0,MIN(1,S147))^2+(1-MAX(0,MIN(1,S147)))^2/$B$5))-(MAX(0,MIN(1,R147))^2/(MAX(0,MIN(1,R147))^2+(1-MAX(0,MIN(1,R147)))^2/$B$5))))</f>
        <v>0.893762972291617</v>
      </c>
      <c r="T148" s="16" t="n">
        <f aca="false">IF(ABS(T147-$B$11/$B$9*((MAX(0,MIN(1,T147))^2/(MAX(0,MIN(1,T147))^2+(1-MAX(0,MIN(1,T147)))^2/$B$5))-(MAX(0,MIN(1,S147))^2/(MAX(0,MIN(1,S147))^2+(1-MAX(0,MIN(1,S147)))^2/$B$5))))&lt;0.000000001,0,T147-$B$11/$B$9*((MAX(0,MIN(1,T147))^2/(MAX(0,MIN(1,T147))^2+(1-MAX(0,MIN(1,T147)))^2/$B$5))-(MAX(0,MIN(1,S147))^2/(MAX(0,MIN(1,S147))^2+(1-MAX(0,MIN(1,S147)))^2/$B$5))))</f>
        <v>0.883950944648025</v>
      </c>
      <c r="U148" s="16" t="n">
        <f aca="false">IF(ABS(U147-$B$11/$B$9*((MAX(0,MIN(1,U147))^2/(MAX(0,MIN(1,U147))^2+(1-MAX(0,MIN(1,U147)))^2/$B$5))-(MAX(0,MIN(1,T147))^2/(MAX(0,MIN(1,T147))^2+(1-MAX(0,MIN(1,T147)))^2/$B$5))))&lt;0.000000001,0,U147-$B$11/$B$9*((MAX(0,MIN(1,U147))^2/(MAX(0,MIN(1,U147))^2+(1-MAX(0,MIN(1,U147)))^2/$B$5))-(MAX(0,MIN(1,T147))^2/(MAX(0,MIN(1,T147))^2+(1-MAX(0,MIN(1,T147)))^2/$B$5))))</f>
        <v>0.874635880367926</v>
      </c>
      <c r="V148" s="16" t="n">
        <f aca="false">IF(ABS(V147-$B$11/$B$9*((MAX(0,MIN(1,V147))^2/(MAX(0,MIN(1,V147))^2+(1-MAX(0,MIN(1,V147)))^2/$B$5))-(MAX(0,MIN(1,U147))^2/(MAX(0,MIN(1,U147))^2+(1-MAX(0,MIN(1,U147)))^2/$B$5))))&lt;0.000000001,0,V147-$B$11/$B$9*((MAX(0,MIN(1,V147))^2/(MAX(0,MIN(1,V147))^2+(1-MAX(0,MIN(1,V147)))^2/$B$5))-(MAX(0,MIN(1,U147))^2/(MAX(0,MIN(1,U147))^2+(1-MAX(0,MIN(1,U147)))^2/$B$5))))</f>
        <v>0.865759948405741</v>
      </c>
      <c r="W148" s="16" t="n">
        <f aca="false">IF(ABS(W147-$B$11/$B$9*((MAX(0,MIN(1,W147))^2/(MAX(0,MIN(1,W147))^2+(1-MAX(0,MIN(1,W147)))^2/$B$5))-(MAX(0,MIN(1,V147))^2/(MAX(0,MIN(1,V147))^2+(1-MAX(0,MIN(1,V147)))^2/$B$5))))&lt;0.000000001,0,W147-$B$11/$B$9*((MAX(0,MIN(1,W147))^2/(MAX(0,MIN(1,W147))^2+(1-MAX(0,MIN(1,W147)))^2/$B$5))-(MAX(0,MIN(1,V147))^2/(MAX(0,MIN(1,V147))^2+(1-MAX(0,MIN(1,V147)))^2/$B$5))))</f>
        <v>0.857275947369356</v>
      </c>
      <c r="X148" s="16" t="n">
        <f aca="false">IF(ABS(X147-$B$11/$B$9*((MAX(0,MIN(1,X147))^2/(MAX(0,MIN(1,X147))^2+(1-MAX(0,MIN(1,X147)))^2/$B$5))-(MAX(0,MIN(1,W147))^2/(MAX(0,MIN(1,W147))^2+(1-MAX(0,MIN(1,W147)))^2/$B$5))))&lt;0.000000001,0,X147-$B$11/$B$9*((MAX(0,MIN(1,X147))^2/(MAX(0,MIN(1,X147))^2+(1-MAX(0,MIN(1,X147)))^2/$B$5))-(MAX(0,MIN(1,W147))^2/(MAX(0,MIN(1,W147))^2+(1-MAX(0,MIN(1,W147)))^2/$B$5))))</f>
        <v>0.849144544887926</v>
      </c>
      <c r="Y148" s="16" t="n">
        <f aca="false">IF(ABS(Y147-$B$11/$B$9*((MAX(0,MIN(1,Y147))^2/(MAX(0,MIN(1,Y147))^2+(1-MAX(0,MIN(1,Y147)))^2/$B$5))-(MAX(0,MIN(1,X147))^2/(MAX(0,MIN(1,X147))^2+(1-MAX(0,MIN(1,X147)))^2/$B$5))))&lt;0.000000001,0,Y147-$B$11/$B$9*((MAX(0,MIN(1,Y147))^2/(MAX(0,MIN(1,Y147))^2+(1-MAX(0,MIN(1,Y147)))^2/$B$5))-(MAX(0,MIN(1,X147))^2/(MAX(0,MIN(1,X147))^2+(1-MAX(0,MIN(1,X147)))^2/$B$5))))</f>
        <v>0.841332434276243</v>
      </c>
      <c r="Z148" s="16" t="n">
        <f aca="false">IF(ABS(Z147-$B$11/$B$9*((MAX(0,MIN(1,Z147))^2/(MAX(0,MIN(1,Z147))^2+(1-MAX(0,MIN(1,Z147)))^2/$B$5))-(MAX(0,MIN(1,Y147))^2/(MAX(0,MIN(1,Y147))^2+(1-MAX(0,MIN(1,Y147)))^2/$B$5))))&lt;0.000000001,0,Z147-$B$11/$B$9*((MAX(0,MIN(1,Z147))^2/(MAX(0,MIN(1,Z147))^2+(1-MAX(0,MIN(1,Z147)))^2/$B$5))-(MAX(0,MIN(1,Y147))^2/(MAX(0,MIN(1,Y147))^2+(1-MAX(0,MIN(1,Y147)))^2/$B$5))))</f>
        <v>0.833811045579094</v>
      </c>
      <c r="AA148" s="16" t="n">
        <f aca="false">IF(ABS(AA147-$B$11/$B$9*((MAX(0,MIN(1,AA147))^2/(MAX(0,MIN(1,AA147))^2+(1-MAX(0,MIN(1,AA147)))^2/$B$5))-(MAX(0,MIN(1,Z147))^2/(MAX(0,MIN(1,Z147))^2+(1-MAX(0,MIN(1,Z147)))^2/$B$5))))&lt;0.000000001,0,AA147-$B$11/$B$9*((MAX(0,MIN(1,AA147))^2/(MAX(0,MIN(1,AA147))^2+(1-MAX(0,MIN(1,AA147)))^2/$B$5))-(MAX(0,MIN(1,Z147))^2/(MAX(0,MIN(1,Z147))^2+(1-MAX(0,MIN(1,Z147)))^2/$B$5))))</f>
        <v>0.826555610654302</v>
      </c>
      <c r="AB148" s="16" t="n">
        <f aca="false">IF(ABS(AB147-$B$11/$B$9*((MAX(0,MIN(1,AB147))^2/(MAX(0,MIN(1,AB147))^2+(1-MAX(0,MIN(1,AB147)))^2/$B$5))-(MAX(0,MIN(1,AA147))^2/(MAX(0,MIN(1,AA147))^2+(1-MAX(0,MIN(1,AA147)))^2/$B$5))))&lt;0.000000001,0,AB147-$B$11/$B$9*((MAX(0,MIN(1,AB147))^2/(MAX(0,MIN(1,AB147))^2+(1-MAX(0,MIN(1,AB147)))^2/$B$5))-(MAX(0,MIN(1,AA147))^2/(MAX(0,MIN(1,AA147))^2+(1-MAX(0,MIN(1,AA147)))^2/$B$5))))</f>
        <v>0.819544464724576</v>
      </c>
      <c r="AC148" s="16" t="n">
        <f aca="false">IF(ABS(AC147-$B$11/$B$9*((MAX(0,MIN(1,AC147))^2/(MAX(0,MIN(1,AC147))^2+(1-MAX(0,MIN(1,AC147)))^2/$B$5))-(MAX(0,MIN(1,AB147))^2/(MAX(0,MIN(1,AB147))^2+(1-MAX(0,MIN(1,AB147)))^2/$B$5))))&lt;0.000000001,0,AC147-$B$11/$B$9*((MAX(0,MIN(1,AC147))^2/(MAX(0,MIN(1,AC147))^2+(1-MAX(0,MIN(1,AC147)))^2/$B$5))-(MAX(0,MIN(1,AB147))^2/(MAX(0,MIN(1,AB147))^2+(1-MAX(0,MIN(1,AB147)))^2/$B$5))))</f>
        <v>0.812758511813091</v>
      </c>
      <c r="AD148" s="16" t="n">
        <f aca="false">IF(ABS(AD147-$B$11/$B$9*((MAX(0,MIN(1,AD147))^2/(MAX(0,MIN(1,AD147))^2+(1-MAX(0,MIN(1,AD147)))^2/$B$5))-(MAX(0,MIN(1,AC147))^2/(MAX(0,MIN(1,AC147))^2+(1-MAX(0,MIN(1,AC147)))^2/$B$5))))&lt;0.000000001,0,AD147-$B$11/$B$9*((MAX(0,MIN(1,AD147))^2/(MAX(0,MIN(1,AD147))^2+(1-MAX(0,MIN(1,AD147)))^2/$B$5))-(MAX(0,MIN(1,AC147))^2/(MAX(0,MIN(1,AC147))^2+(1-MAX(0,MIN(1,AC147)))^2/$B$5))))</f>
        <v>0.80618080730208</v>
      </c>
      <c r="AE148" s="16" t="n">
        <f aca="false">IF(ABS(AE147-$B$11/$B$9*((MAX(0,MIN(1,AE147))^2/(MAX(0,MIN(1,AE147))^2+(1-MAX(0,MIN(1,AE147)))^2/$B$5))-(MAX(0,MIN(1,AD147))^2/(MAX(0,MIN(1,AD147))^2+(1-MAX(0,MIN(1,AD147)))^2/$B$5))))&lt;0.000000001,0,AE147-$B$11/$B$9*((MAX(0,MIN(1,AE147))^2/(MAX(0,MIN(1,AE147))^2+(1-MAX(0,MIN(1,AE147)))^2/$B$5))-(MAX(0,MIN(1,AD147))^2/(MAX(0,MIN(1,AD147))^2+(1-MAX(0,MIN(1,AD147)))^2/$B$5))))</f>
        <v>0.799796226384515</v>
      </c>
      <c r="AF148" s="16" t="n">
        <f aca="false">IF(ABS(AF147-$B$11/$B$9*((MAX(0,MIN(1,AF147))^2/(MAX(0,MIN(1,AF147))^2+(1-MAX(0,MIN(1,AF147)))^2/$B$5))-(MAX(0,MIN(1,AE147))^2/(MAX(0,MIN(1,AE147))^2+(1-MAX(0,MIN(1,AE147)))^2/$B$5))))&lt;0.000000001,0,AF147-$B$11/$B$9*((MAX(0,MIN(1,AF147))^2/(MAX(0,MIN(1,AF147))^2+(1-MAX(0,MIN(1,AF147)))^2/$B$5))-(MAX(0,MIN(1,AE147))^2/(MAX(0,MIN(1,AE147))^2+(1-MAX(0,MIN(1,AE147)))^2/$B$5))))</f>
        <v>0.793591196899351</v>
      </c>
    </row>
    <row r="149" customFormat="false" ht="15" hidden="false" customHeight="false" outlineLevel="0" collapsed="false">
      <c r="L149" s="0" t="n">
        <v>139</v>
      </c>
      <c r="M149" s="16" t="n">
        <f aca="false">IF(ABS(M148-$B$11/$B$9*((MAX(0,MIN(1,M148))^2/(MAX(0,MIN(1,M148))^2+(1-MAX(0,MIN(1,M148)))^2/$B$5))-(MAX(0,MIN(1,1))^2/(MAX(0,MIN(1,1))^2+(1-MAX(0,MIN(1,1)))^2/$B$5))))&lt;0.000000001,0,M148-$B$11/$B$9*((MAX(0,MIN(1,M148))^2/(MAX(0,MIN(1,M148))^2+(1-MAX(0,MIN(1,M148)))^2/$B$5))-(MAX(0,MIN(1,1))^2/(MAX(0,MIN(1,1))^2+(1-MAX(0,MIN(1,1)))^2/$B$5))))</f>
        <v>0.97068376910513</v>
      </c>
      <c r="N149" s="16" t="n">
        <f aca="false">IF(ABS(N148-$B$11/$B$9*((MAX(0,MIN(1,N148))^2/(MAX(0,MIN(1,N148))^2+(1-MAX(0,MIN(1,N148)))^2/$B$5))-(MAX(0,MIN(1,M148))^2/(MAX(0,MIN(1,M148))^2+(1-MAX(0,MIN(1,M148)))^2/$B$5))))&lt;0.000000001,0,N148-$B$11/$B$9*((MAX(0,MIN(1,N148))^2/(MAX(0,MIN(1,N148))^2+(1-MAX(0,MIN(1,N148)))^2/$B$5))-(MAX(0,MIN(1,M148))^2/(MAX(0,MIN(1,M148))^2+(1-MAX(0,MIN(1,M148)))^2/$B$5))))</f>
        <v>0.954345351484923</v>
      </c>
      <c r="O149" s="16" t="n">
        <f aca="false">IF(ABS(O148-$B$11/$B$9*((MAX(0,MIN(1,O148))^2/(MAX(0,MIN(1,O148))^2+(1-MAX(0,MIN(1,O148)))^2/$B$5))-(MAX(0,MIN(1,N148))^2/(MAX(0,MIN(1,N148))^2+(1-MAX(0,MIN(1,N148)))^2/$B$5))))&lt;0.000000001,0,O148-$B$11/$B$9*((MAX(0,MIN(1,O148))^2/(MAX(0,MIN(1,O148))^2+(1-MAX(0,MIN(1,O148)))^2/$B$5))-(MAX(0,MIN(1,N148))^2/(MAX(0,MIN(1,N148))^2+(1-MAX(0,MIN(1,N148)))^2/$B$5))))</f>
        <v>0.940219563386225</v>
      </c>
      <c r="P149" s="16" t="n">
        <f aca="false">IF(ABS(P148-$B$11/$B$9*((MAX(0,MIN(1,P148))^2/(MAX(0,MIN(1,P148))^2+(1-MAX(0,MIN(1,P148)))^2/$B$5))-(MAX(0,MIN(1,O148))^2/(MAX(0,MIN(1,O148))^2+(1-MAX(0,MIN(1,O148)))^2/$B$5))))&lt;0.000000001,0,P148-$B$11/$B$9*((MAX(0,MIN(1,P148))^2/(MAX(0,MIN(1,P148))^2+(1-MAX(0,MIN(1,P148)))^2/$B$5))-(MAX(0,MIN(1,O148))^2/(MAX(0,MIN(1,O148))^2+(1-MAX(0,MIN(1,O148)))^2/$B$5))))</f>
        <v>0.927438669288373</v>
      </c>
      <c r="Q149" s="16" t="n">
        <f aca="false">IF(ABS(Q148-$B$11/$B$9*((MAX(0,MIN(1,Q148))^2/(MAX(0,MIN(1,Q148))^2+(1-MAX(0,MIN(1,Q148)))^2/$B$5))-(MAX(0,MIN(1,P148))^2/(MAX(0,MIN(1,P148))^2+(1-MAX(0,MIN(1,P148)))^2/$B$5))))&lt;0.000000001,0,Q148-$B$11/$B$9*((MAX(0,MIN(1,Q148))^2/(MAX(0,MIN(1,Q148))^2+(1-MAX(0,MIN(1,Q148)))^2/$B$5))-(MAX(0,MIN(1,P148))^2/(MAX(0,MIN(1,P148))^2+(1-MAX(0,MIN(1,P148)))^2/$B$5))))</f>
        <v>0.915648470690635</v>
      </c>
      <c r="R149" s="16" t="n">
        <f aca="false">IF(ABS(R148-$B$11/$B$9*((MAX(0,MIN(1,R148))^2/(MAX(0,MIN(1,R148))^2+(1-MAX(0,MIN(1,R148)))^2/$B$5))-(MAX(0,MIN(1,Q148))^2/(MAX(0,MIN(1,Q148))^2+(1-MAX(0,MIN(1,Q148)))^2/$B$5))))&lt;0.000000001,0,R148-$B$11/$B$9*((MAX(0,MIN(1,R148))^2/(MAX(0,MIN(1,R148))^2+(1-MAX(0,MIN(1,R148)))^2/$B$5))-(MAX(0,MIN(1,Q148))^2/(MAX(0,MIN(1,Q148))^2+(1-MAX(0,MIN(1,Q148)))^2/$B$5))))</f>
        <v>0.904649782619652</v>
      </c>
      <c r="S149" s="16" t="n">
        <f aca="false">IF(ABS(S148-$B$11/$B$9*((MAX(0,MIN(1,S148))^2/(MAX(0,MIN(1,S148))^2+(1-MAX(0,MIN(1,S148)))^2/$B$5))-(MAX(0,MIN(1,R148))^2/(MAX(0,MIN(1,R148))^2+(1-MAX(0,MIN(1,R148)))^2/$B$5))))&lt;0.000000001,0,S148-$B$11/$B$9*((MAX(0,MIN(1,S148))^2/(MAX(0,MIN(1,S148))^2+(1-MAX(0,MIN(1,S148)))^2/$B$5))-(MAX(0,MIN(1,R148))^2/(MAX(0,MIN(1,R148))^2+(1-MAX(0,MIN(1,R148)))^2/$B$5))))</f>
        <v>0.894311476631166</v>
      </c>
      <c r="T149" s="16" t="n">
        <f aca="false">IF(ABS(T148-$B$11/$B$9*((MAX(0,MIN(1,T148))^2/(MAX(0,MIN(1,T148))^2+(1-MAX(0,MIN(1,T148)))^2/$B$5))-(MAX(0,MIN(1,S148))^2/(MAX(0,MIN(1,S148))^2+(1-MAX(0,MIN(1,S148)))^2/$B$5))))&lt;0.000000001,0,T148-$B$11/$B$9*((MAX(0,MIN(1,T148))^2/(MAX(0,MIN(1,T148))^2+(1-MAX(0,MIN(1,T148)))^2/$B$5))-(MAX(0,MIN(1,S148))^2/(MAX(0,MIN(1,S148))^2+(1-MAX(0,MIN(1,S148)))^2/$B$5))))</f>
        <v>0.884539009973728</v>
      </c>
      <c r="U149" s="16" t="n">
        <f aca="false">IF(ABS(U148-$B$11/$B$9*((MAX(0,MIN(1,U148))^2/(MAX(0,MIN(1,U148))^2+(1-MAX(0,MIN(1,U148)))^2/$B$5))-(MAX(0,MIN(1,T148))^2/(MAX(0,MIN(1,T148))^2+(1-MAX(0,MIN(1,T148)))^2/$B$5))))&lt;0.000000001,0,U148-$B$11/$B$9*((MAX(0,MIN(1,U148))^2/(MAX(0,MIN(1,U148))^2+(1-MAX(0,MIN(1,U148)))^2/$B$5))-(MAX(0,MIN(1,T148))^2/(MAX(0,MIN(1,T148))^2+(1-MAX(0,MIN(1,T148)))^2/$B$5))))</f>
        <v>0.875260183145223</v>
      </c>
      <c r="V149" s="16" t="n">
        <f aca="false">IF(ABS(V148-$B$11/$B$9*((MAX(0,MIN(1,V148))^2/(MAX(0,MIN(1,V148))^2+(1-MAX(0,MIN(1,V148)))^2/$B$5))-(MAX(0,MIN(1,U148))^2/(MAX(0,MIN(1,U148))^2+(1-MAX(0,MIN(1,U148)))^2/$B$5))))&lt;0.000000001,0,V148-$B$11/$B$9*((MAX(0,MIN(1,V148))^2/(MAX(0,MIN(1,V148))^2+(1-MAX(0,MIN(1,V148)))^2/$B$5))-(MAX(0,MIN(1,U148))^2/(MAX(0,MIN(1,U148))^2+(1-MAX(0,MIN(1,U148)))^2/$B$5))))</f>
        <v>0.866417672468038</v>
      </c>
      <c r="W149" s="16" t="n">
        <f aca="false">IF(ABS(W148-$B$11/$B$9*((MAX(0,MIN(1,W148))^2/(MAX(0,MIN(1,W148))^2+(1-MAX(0,MIN(1,W148)))^2/$B$5))-(MAX(0,MIN(1,V148))^2/(MAX(0,MIN(1,V148))^2+(1-MAX(0,MIN(1,V148)))^2/$B$5))))&lt;0.000000001,0,W148-$B$11/$B$9*((MAX(0,MIN(1,W148))^2/(MAX(0,MIN(1,W148))^2+(1-MAX(0,MIN(1,W148)))^2/$B$5))-(MAX(0,MIN(1,V148))^2/(MAX(0,MIN(1,V148))^2+(1-MAX(0,MIN(1,V148)))^2/$B$5))))</f>
        <v>0.857964683104151</v>
      </c>
      <c r="X149" s="16" t="n">
        <f aca="false">IF(ABS(X148-$B$11/$B$9*((MAX(0,MIN(1,X148))^2/(MAX(0,MIN(1,X148))^2+(1-MAX(0,MIN(1,X148)))^2/$B$5))-(MAX(0,MIN(1,W148))^2/(MAX(0,MIN(1,W148))^2+(1-MAX(0,MIN(1,W148)))^2/$B$5))))&lt;0.000000001,0,X148-$B$11/$B$9*((MAX(0,MIN(1,X148))^2/(MAX(0,MIN(1,X148))^2+(1-MAX(0,MIN(1,X148)))^2/$B$5))-(MAX(0,MIN(1,W148))^2/(MAX(0,MIN(1,W148))^2+(1-MAX(0,MIN(1,W148)))^2/$B$5))))</f>
        <v>0.849862214254172</v>
      </c>
      <c r="Y149" s="16" t="n">
        <f aca="false">IF(ABS(Y148-$B$11/$B$9*((MAX(0,MIN(1,Y148))^2/(MAX(0,MIN(1,Y148))^2+(1-MAX(0,MIN(1,Y148)))^2/$B$5))-(MAX(0,MIN(1,X148))^2/(MAX(0,MIN(1,X148))^2+(1-MAX(0,MIN(1,X148)))^2/$B$5))))&lt;0.000000001,0,Y148-$B$11/$B$9*((MAX(0,MIN(1,Y148))^2/(MAX(0,MIN(1,Y148))^2+(1-MAX(0,MIN(1,Y148)))^2/$B$5))-(MAX(0,MIN(1,X148))^2/(MAX(0,MIN(1,X148))^2+(1-MAX(0,MIN(1,X148)))^2/$B$5))))</f>
        <v>0.842077233554552</v>
      </c>
      <c r="Z149" s="16" t="n">
        <f aca="false">IF(ABS(Z148-$B$11/$B$9*((MAX(0,MIN(1,Z148))^2/(MAX(0,MIN(1,Z148))^2+(1-MAX(0,MIN(1,Z148)))^2/$B$5))-(MAX(0,MIN(1,Y148))^2/(MAX(0,MIN(1,Y148))^2+(1-MAX(0,MIN(1,Y148)))^2/$B$5))))&lt;0.000000001,0,Z148-$B$11/$B$9*((MAX(0,MIN(1,Z148))^2/(MAX(0,MIN(1,Z148))^2+(1-MAX(0,MIN(1,Z148)))^2/$B$5))-(MAX(0,MIN(1,Y148))^2/(MAX(0,MIN(1,Y148))^2+(1-MAX(0,MIN(1,Y148)))^2/$B$5))))</f>
        <v>0.834581400757781</v>
      </c>
      <c r="AA149" s="16" t="n">
        <f aca="false">IF(ABS(AA148-$B$11/$B$9*((MAX(0,MIN(1,AA148))^2/(MAX(0,MIN(1,AA148))^2+(1-MAX(0,MIN(1,AA148)))^2/$B$5))-(MAX(0,MIN(1,Z148))^2/(MAX(0,MIN(1,Z148))^2+(1-MAX(0,MIN(1,Z148)))^2/$B$5))))&lt;0.000000001,0,AA148-$B$11/$B$9*((MAX(0,MIN(1,AA148))^2/(MAX(0,MIN(1,AA148))^2+(1-MAX(0,MIN(1,AA148)))^2/$B$5))-(MAX(0,MIN(1,Z148))^2/(MAX(0,MIN(1,Z148))^2+(1-MAX(0,MIN(1,Z148)))^2/$B$5))))</f>
        <v>0.827350142085644</v>
      </c>
      <c r="AB149" s="16" t="n">
        <f aca="false">IF(ABS(AB148-$B$11/$B$9*((MAX(0,MIN(1,AB148))^2/(MAX(0,MIN(1,AB148))^2+(1-MAX(0,MIN(1,AB148)))^2/$B$5))-(MAX(0,MIN(1,AA148))^2/(MAX(0,MIN(1,AA148))^2+(1-MAX(0,MIN(1,AA148)))^2/$B$5))))&lt;0.000000001,0,AB148-$B$11/$B$9*((MAX(0,MIN(1,AB148))^2/(MAX(0,MIN(1,AB148))^2+(1-MAX(0,MIN(1,AB148)))^2/$B$5))-(MAX(0,MIN(1,AA148))^2/(MAX(0,MIN(1,AA148))^2+(1-MAX(0,MIN(1,AA148)))^2/$B$5))))</f>
        <v>0.820361958743487</v>
      </c>
      <c r="AC149" s="16" t="n">
        <f aca="false">IF(ABS(AC148-$B$11/$B$9*((MAX(0,MIN(1,AC148))^2/(MAX(0,MIN(1,AC148))^2+(1-MAX(0,MIN(1,AC148)))^2/$B$5))-(MAX(0,MIN(1,AB148))^2/(MAX(0,MIN(1,AB148))^2+(1-MAX(0,MIN(1,AB148)))^2/$B$5))))&lt;0.000000001,0,AC148-$B$11/$B$9*((MAX(0,MIN(1,AC148))^2/(MAX(0,MIN(1,AC148))^2+(1-MAX(0,MIN(1,AC148)))^2/$B$5))-(MAX(0,MIN(1,AB148))^2/(MAX(0,MIN(1,AB148))^2+(1-MAX(0,MIN(1,AB148)))^2/$B$5))))</f>
        <v>0.813597897687127</v>
      </c>
      <c r="AD149" s="16" t="n">
        <f aca="false">IF(ABS(AD148-$B$11/$B$9*((MAX(0,MIN(1,AD148))^2/(MAX(0,MIN(1,AD148))^2+(1-MAX(0,MIN(1,AD148)))^2/$B$5))-(MAX(0,MIN(1,AC148))^2/(MAX(0,MIN(1,AC148))^2+(1-MAX(0,MIN(1,AC148)))^2/$B$5))))&lt;0.000000001,0,AD148-$B$11/$B$9*((MAX(0,MIN(1,AD148))^2/(MAX(0,MIN(1,AD148))^2+(1-MAX(0,MIN(1,AD148)))^2/$B$5))-(MAX(0,MIN(1,AC148))^2/(MAX(0,MIN(1,AC148))^2+(1-MAX(0,MIN(1,AC148)))^2/$B$5))))</f>
        <v>0.80704113833117</v>
      </c>
      <c r="AE149" s="16" t="n">
        <f aca="false">IF(ABS(AE148-$B$11/$B$9*((MAX(0,MIN(1,AE148))^2/(MAX(0,MIN(1,AE148))^2+(1-MAX(0,MIN(1,AE148)))^2/$B$5))-(MAX(0,MIN(1,AD148))^2/(MAX(0,MIN(1,AD148))^2+(1-MAX(0,MIN(1,AD148)))^2/$B$5))))&lt;0.000000001,0,AE148-$B$11/$B$9*((MAX(0,MIN(1,AE148))^2/(MAX(0,MIN(1,AE148))^2+(1-MAX(0,MIN(1,AE148)))^2/$B$5))-(MAX(0,MIN(1,AD148))^2/(MAX(0,MIN(1,AD148))^2+(1-MAX(0,MIN(1,AD148)))^2/$B$5))))</f>
        <v>0.800676664276726</v>
      </c>
      <c r="AF149" s="16" t="n">
        <f aca="false">IF(ABS(AF148-$B$11/$B$9*((MAX(0,MIN(1,AF148))^2/(MAX(0,MIN(1,AF148))^2+(1-MAX(0,MIN(1,AF148)))^2/$B$5))-(MAX(0,MIN(1,AE148))^2/(MAX(0,MIN(1,AE148))^2+(1-MAX(0,MIN(1,AE148)))^2/$B$5))))&lt;0.000000001,0,AF148-$B$11/$B$9*((MAX(0,MIN(1,AF148))^2/(MAX(0,MIN(1,AF148))^2+(1-MAX(0,MIN(1,AF148)))^2/$B$5))-(MAX(0,MIN(1,AE148))^2/(MAX(0,MIN(1,AE148))^2+(1-MAX(0,MIN(1,AE148)))^2/$B$5))))</f>
        <v>0.794490998765514</v>
      </c>
    </row>
    <row r="150" customFormat="false" ht="15" hidden="false" customHeight="false" outlineLevel="0" collapsed="false">
      <c r="L150" s="0" t="n">
        <v>140</v>
      </c>
      <c r="M150" s="16" t="n">
        <f aca="false">IF(ABS(M149-$B$11/$B$9*((MAX(0,MIN(1,M149))^2/(MAX(0,MIN(1,M149))^2+(1-MAX(0,MIN(1,M149)))^2/$B$5))-(MAX(0,MIN(1,1))^2/(MAX(0,MIN(1,1))^2+(1-MAX(0,MIN(1,1)))^2/$B$5))))&lt;0.000000001,0,M149-$B$11/$B$9*((MAX(0,MIN(1,M149))^2/(MAX(0,MIN(1,M149))^2+(1-MAX(0,MIN(1,M149)))^2/$B$5))-(MAX(0,MIN(1,1))^2/(MAX(0,MIN(1,1))^2+(1-MAX(0,MIN(1,1)))^2/$B$5))))</f>
        <v>0.970859062077389</v>
      </c>
      <c r="N150" s="16" t="n">
        <f aca="false">IF(ABS(N149-$B$11/$B$9*((MAX(0,MIN(1,N149))^2/(MAX(0,MIN(1,N149))^2+(1-MAX(0,MIN(1,N149)))^2/$B$5))-(MAX(0,MIN(1,M149))^2/(MAX(0,MIN(1,M149))^2+(1-MAX(0,MIN(1,M149)))^2/$B$5))))&lt;0.000000001,0,N149-$B$11/$B$9*((MAX(0,MIN(1,N149))^2/(MAX(0,MIN(1,N149))^2+(1-MAX(0,MIN(1,N149)))^2/$B$5))-(MAX(0,MIN(1,M149))^2/(MAX(0,MIN(1,M149))^2+(1-MAX(0,MIN(1,M149)))^2/$B$5))))</f>
        <v>0.95460956370732</v>
      </c>
      <c r="O150" s="16" t="n">
        <f aca="false">IF(ABS(O149-$B$11/$B$9*((MAX(0,MIN(1,O149))^2/(MAX(0,MIN(1,O149))^2+(1-MAX(0,MIN(1,O149)))^2/$B$5))-(MAX(0,MIN(1,N149))^2/(MAX(0,MIN(1,N149))^2+(1-MAX(0,MIN(1,N149)))^2/$B$5))))&lt;0.000000001,0,O149-$B$11/$B$9*((MAX(0,MIN(1,O149))^2/(MAX(0,MIN(1,O149))^2+(1-MAX(0,MIN(1,O149)))^2/$B$5))-(MAX(0,MIN(1,N149))^2/(MAX(0,MIN(1,N149))^2+(1-MAX(0,MIN(1,N149)))^2/$B$5))))</f>
        <v>0.940555741496201</v>
      </c>
      <c r="P150" s="16" t="n">
        <f aca="false">IF(ABS(P149-$B$11/$B$9*((MAX(0,MIN(1,P149))^2/(MAX(0,MIN(1,P149))^2+(1-MAX(0,MIN(1,P149)))^2/$B$5))-(MAX(0,MIN(1,O149))^2/(MAX(0,MIN(1,O149))^2+(1-MAX(0,MIN(1,O149)))^2/$B$5))))&lt;0.000000001,0,P149-$B$11/$B$9*((MAX(0,MIN(1,P149))^2/(MAX(0,MIN(1,P149))^2+(1-MAX(0,MIN(1,P149)))^2/$B$5))-(MAX(0,MIN(1,O149))^2/(MAX(0,MIN(1,O149))^2+(1-MAX(0,MIN(1,O149)))^2/$B$5))))</f>
        <v>0.927836301171069</v>
      </c>
      <c r="Q150" s="16" t="n">
        <f aca="false">IF(ABS(Q149-$B$11/$B$9*((MAX(0,MIN(1,Q149))^2/(MAX(0,MIN(1,Q149))^2+(1-MAX(0,MIN(1,Q149)))^2/$B$5))-(MAX(0,MIN(1,P149))^2/(MAX(0,MIN(1,P149))^2+(1-MAX(0,MIN(1,P149)))^2/$B$5))))&lt;0.000000001,0,Q149-$B$11/$B$9*((MAX(0,MIN(1,Q149))^2/(MAX(0,MIN(1,Q149))^2+(1-MAX(0,MIN(1,Q149)))^2/$B$5))-(MAX(0,MIN(1,P149))^2/(MAX(0,MIN(1,P149))^2+(1-MAX(0,MIN(1,P149)))^2/$B$5))))</f>
        <v>0.916099923100363</v>
      </c>
      <c r="R150" s="16" t="n">
        <f aca="false">IF(ABS(R149-$B$11/$B$9*((MAX(0,MIN(1,R149))^2/(MAX(0,MIN(1,R149))^2+(1-MAX(0,MIN(1,R149)))^2/$B$5))-(MAX(0,MIN(1,Q149))^2/(MAX(0,MIN(1,Q149))^2+(1-MAX(0,MIN(1,Q149)))^2/$B$5))))&lt;0.000000001,0,R149-$B$11/$B$9*((MAX(0,MIN(1,R149))^2/(MAX(0,MIN(1,R149))^2+(1-MAX(0,MIN(1,R149)))^2/$B$5))-(MAX(0,MIN(1,Q149))^2/(MAX(0,MIN(1,Q149))^2+(1-MAX(0,MIN(1,Q149)))^2/$B$5))))</f>
        <v>0.905149132587932</v>
      </c>
      <c r="S150" s="16" t="n">
        <f aca="false">IF(ABS(S149-$B$11/$B$9*((MAX(0,MIN(1,S149))^2/(MAX(0,MIN(1,S149))^2+(1-MAX(0,MIN(1,S149)))^2/$B$5))-(MAX(0,MIN(1,R149))^2/(MAX(0,MIN(1,R149))^2+(1-MAX(0,MIN(1,R149)))^2/$B$5))))&lt;0.000000001,0,S149-$B$11/$B$9*((MAX(0,MIN(1,S149))^2/(MAX(0,MIN(1,S149))^2+(1-MAX(0,MIN(1,S149)))^2/$B$5))-(MAX(0,MIN(1,R149))^2/(MAX(0,MIN(1,R149))^2+(1-MAX(0,MIN(1,R149)))^2/$B$5))))</f>
        <v>0.894853957798758</v>
      </c>
      <c r="T150" s="16" t="n">
        <f aca="false">IF(ABS(T149-$B$11/$B$9*((MAX(0,MIN(1,T149))^2/(MAX(0,MIN(1,T149))^2+(1-MAX(0,MIN(1,T149)))^2/$B$5))-(MAX(0,MIN(1,S149))^2/(MAX(0,MIN(1,S149))^2+(1-MAX(0,MIN(1,S149)))^2/$B$5))))&lt;0.000000001,0,T149-$B$11/$B$9*((MAX(0,MIN(1,T149))^2/(MAX(0,MIN(1,T149))^2+(1-MAX(0,MIN(1,T149)))^2/$B$5))-(MAX(0,MIN(1,S149))^2/(MAX(0,MIN(1,S149))^2+(1-MAX(0,MIN(1,S149)))^2/$B$5))))</f>
        <v>0.885120696286166</v>
      </c>
      <c r="U150" s="16" t="n">
        <f aca="false">IF(ABS(U149-$B$11/$B$9*((MAX(0,MIN(1,U149))^2/(MAX(0,MIN(1,U149))^2+(1-MAX(0,MIN(1,U149)))^2/$B$5))-(MAX(0,MIN(1,T149))^2/(MAX(0,MIN(1,T149))^2+(1-MAX(0,MIN(1,T149)))^2/$B$5))))&lt;0.000000001,0,U149-$B$11/$B$9*((MAX(0,MIN(1,U149))^2/(MAX(0,MIN(1,U149))^2+(1-MAX(0,MIN(1,U149)))^2/$B$5))-(MAX(0,MIN(1,T149))^2/(MAX(0,MIN(1,T149))^2+(1-MAX(0,MIN(1,T149)))^2/$B$5))))</f>
        <v>0.87587778707927</v>
      </c>
      <c r="V150" s="16" t="n">
        <f aca="false">IF(ABS(V149-$B$11/$B$9*((MAX(0,MIN(1,V149))^2/(MAX(0,MIN(1,V149))^2+(1-MAX(0,MIN(1,V149)))^2/$B$5))-(MAX(0,MIN(1,U149))^2/(MAX(0,MIN(1,U149))^2+(1-MAX(0,MIN(1,U149)))^2/$B$5))))&lt;0.000000001,0,V149-$B$11/$B$9*((MAX(0,MIN(1,V149))^2/(MAX(0,MIN(1,V149))^2+(1-MAX(0,MIN(1,V149)))^2/$B$5))-(MAX(0,MIN(1,U149))^2/(MAX(0,MIN(1,U149))^2+(1-MAX(0,MIN(1,U149)))^2/$B$5))))</f>
        <v>0.867068406886278</v>
      </c>
      <c r="W150" s="16" t="n">
        <f aca="false">IF(ABS(W149-$B$11/$B$9*((MAX(0,MIN(1,W149))^2/(MAX(0,MIN(1,W149))^2+(1-MAX(0,MIN(1,W149)))^2/$B$5))-(MAX(0,MIN(1,V149))^2/(MAX(0,MIN(1,V149))^2+(1-MAX(0,MIN(1,V149)))^2/$B$5))))&lt;0.000000001,0,W149-$B$11/$B$9*((MAX(0,MIN(1,W149))^2/(MAX(0,MIN(1,W149))^2+(1-MAX(0,MIN(1,W149)))^2/$B$5))-(MAX(0,MIN(1,V149))^2/(MAX(0,MIN(1,V149))^2+(1-MAX(0,MIN(1,V149)))^2/$B$5))))</f>
        <v>0.858646161988919</v>
      </c>
      <c r="X150" s="16" t="n">
        <f aca="false">IF(ABS(X149-$B$11/$B$9*((MAX(0,MIN(1,X149))^2/(MAX(0,MIN(1,X149))^2+(1-MAX(0,MIN(1,X149)))^2/$B$5))-(MAX(0,MIN(1,W149))^2/(MAX(0,MIN(1,W149))^2+(1-MAX(0,MIN(1,W149)))^2/$B$5))))&lt;0.000000001,0,X149-$B$11/$B$9*((MAX(0,MIN(1,X149))^2/(MAX(0,MIN(1,X149))^2+(1-MAX(0,MIN(1,X149)))^2/$B$5))-(MAX(0,MIN(1,W149))^2/(MAX(0,MIN(1,W149))^2+(1-MAX(0,MIN(1,W149)))^2/$B$5))))</f>
        <v>0.850572378850668</v>
      </c>
      <c r="Y150" s="16" t="n">
        <f aca="false">IF(ABS(Y149-$B$11/$B$9*((MAX(0,MIN(1,Y149))^2/(MAX(0,MIN(1,Y149))^2+(1-MAX(0,MIN(1,Y149)))^2/$B$5))-(MAX(0,MIN(1,X149))^2/(MAX(0,MIN(1,X149))^2+(1-MAX(0,MIN(1,X149)))^2/$B$5))))&lt;0.000000001,0,Y149-$B$11/$B$9*((MAX(0,MIN(1,Y149))^2/(MAX(0,MIN(1,Y149))^2+(1-MAX(0,MIN(1,Y149)))^2/$B$5))-(MAX(0,MIN(1,X149))^2/(MAX(0,MIN(1,X149))^2+(1-MAX(0,MIN(1,X149)))^2/$B$5))))</f>
        <v>0.842814295958906</v>
      </c>
      <c r="Z150" s="16" t="n">
        <f aca="false">IF(ABS(Z149-$B$11/$B$9*((MAX(0,MIN(1,Z149))^2/(MAX(0,MIN(1,Z149))^2+(1-MAX(0,MIN(1,Z149)))^2/$B$5))-(MAX(0,MIN(1,Y149))^2/(MAX(0,MIN(1,Y149))^2+(1-MAX(0,MIN(1,Y149)))^2/$B$5))))&lt;0.000000001,0,Z149-$B$11/$B$9*((MAX(0,MIN(1,Z149))^2/(MAX(0,MIN(1,Z149))^2+(1-MAX(0,MIN(1,Z149)))^2/$B$5))-(MAX(0,MIN(1,Y149))^2/(MAX(0,MIN(1,Y149))^2+(1-MAX(0,MIN(1,Y149)))^2/$B$5))))</f>
        <v>0.835343799938087</v>
      </c>
      <c r="AA150" s="16" t="n">
        <f aca="false">IF(ABS(AA149-$B$11/$B$9*((MAX(0,MIN(1,AA149))^2/(MAX(0,MIN(1,AA149))^2+(1-MAX(0,MIN(1,AA149)))^2/$B$5))-(MAX(0,MIN(1,Z149))^2/(MAX(0,MIN(1,Z149))^2+(1-MAX(0,MIN(1,Z149)))^2/$B$5))))&lt;0.000000001,0,AA149-$B$11/$B$9*((MAX(0,MIN(1,AA149))^2/(MAX(0,MIN(1,AA149))^2+(1-MAX(0,MIN(1,AA149)))^2/$B$5))-(MAX(0,MIN(1,Z149))^2/(MAX(0,MIN(1,Z149))^2+(1-MAX(0,MIN(1,Z149)))^2/$B$5))))</f>
        <v>0.828136509026515</v>
      </c>
      <c r="AB150" s="16" t="n">
        <f aca="false">IF(ABS(AB149-$B$11/$B$9*((MAX(0,MIN(1,AB149))^2/(MAX(0,MIN(1,AB149))^2+(1-MAX(0,MIN(1,AB149)))^2/$B$5))-(MAX(0,MIN(1,AA149))^2/(MAX(0,MIN(1,AA149))^2+(1-MAX(0,MIN(1,AA149)))^2/$B$5))))&lt;0.000000001,0,AB149-$B$11/$B$9*((MAX(0,MIN(1,AB149))^2/(MAX(0,MIN(1,AB149))^2+(1-MAX(0,MIN(1,AB149)))^2/$B$5))-(MAX(0,MIN(1,AA149))^2/(MAX(0,MIN(1,AA149))^2+(1-MAX(0,MIN(1,AA149)))^2/$B$5))))</f>
        <v>0.821171088444616</v>
      </c>
      <c r="AC150" s="16" t="n">
        <f aca="false">IF(ABS(AC149-$B$11/$B$9*((MAX(0,MIN(1,AC149))^2/(MAX(0,MIN(1,AC149))^2+(1-MAX(0,MIN(1,AC149)))^2/$B$5))-(MAX(0,MIN(1,AB149))^2/(MAX(0,MIN(1,AB149))^2+(1-MAX(0,MIN(1,AB149)))^2/$B$5))))&lt;0.000000001,0,AC149-$B$11/$B$9*((MAX(0,MIN(1,AC149))^2/(MAX(0,MIN(1,AC149))^2+(1-MAX(0,MIN(1,AC149)))^2/$B$5))-(MAX(0,MIN(1,AB149))^2/(MAX(0,MIN(1,AB149))^2+(1-MAX(0,MIN(1,AB149)))^2/$B$5))))</f>
        <v>0.814428726411572</v>
      </c>
      <c r="AD150" s="16" t="n">
        <f aca="false">IF(ABS(AD149-$B$11/$B$9*((MAX(0,MIN(1,AD149))^2/(MAX(0,MIN(1,AD149))^2+(1-MAX(0,MIN(1,AD149)))^2/$B$5))-(MAX(0,MIN(1,AC149))^2/(MAX(0,MIN(1,AC149))^2+(1-MAX(0,MIN(1,AC149)))^2/$B$5))))&lt;0.000000001,0,AD149-$B$11/$B$9*((MAX(0,MIN(1,AD149))^2/(MAX(0,MIN(1,AD149))^2+(1-MAX(0,MIN(1,AD149)))^2/$B$5))-(MAX(0,MIN(1,AC149))^2/(MAX(0,MIN(1,AC149))^2+(1-MAX(0,MIN(1,AC149)))^2/$B$5))))</f>
        <v>0.807892724940889</v>
      </c>
      <c r="AE150" s="16" t="n">
        <f aca="false">IF(ABS(AE149-$B$11/$B$9*((MAX(0,MIN(1,AE149))^2/(MAX(0,MIN(1,AE149))^2+(1-MAX(0,MIN(1,AE149)))^2/$B$5))-(MAX(0,MIN(1,AD149))^2/(MAX(0,MIN(1,AD149))^2+(1-MAX(0,MIN(1,AD149)))^2/$B$5))))&lt;0.000000001,0,AE149-$B$11/$B$9*((MAX(0,MIN(1,AE149))^2/(MAX(0,MIN(1,AE149))^2+(1-MAX(0,MIN(1,AE149)))^2/$B$5))-(MAX(0,MIN(1,AD149))^2/(MAX(0,MIN(1,AD149))^2+(1-MAX(0,MIN(1,AD149)))^2/$B$5))))</f>
        <v>0.801548174795605</v>
      </c>
      <c r="AF150" s="16" t="n">
        <f aca="false">IF(ABS(AF149-$B$11/$B$9*((MAX(0,MIN(1,AF149))^2/(MAX(0,MIN(1,AF149))^2+(1-MAX(0,MIN(1,AF149)))^2/$B$5))-(MAX(0,MIN(1,AE149))^2/(MAX(0,MIN(1,AE149))^2+(1-MAX(0,MIN(1,AE149)))^2/$B$5))))&lt;0.000000001,0,AF149-$B$11/$B$9*((MAX(0,MIN(1,AF149))^2/(MAX(0,MIN(1,AF149))^2+(1-MAX(0,MIN(1,AF149)))^2/$B$5))-(MAX(0,MIN(1,AE149))^2/(MAX(0,MIN(1,AE149))^2+(1-MAX(0,MIN(1,AE149)))^2/$B$5))))</f>
        <v>0.795381693522939</v>
      </c>
    </row>
    <row r="151" customFormat="false" ht="15" hidden="false" customHeight="false" outlineLevel="0" collapsed="false">
      <c r="L151" s="0" t="n">
        <v>141</v>
      </c>
      <c r="M151" s="16" t="n">
        <f aca="false">IF(ABS(M150-$B$11/$B$9*((MAX(0,MIN(1,M150))^2/(MAX(0,MIN(1,M150))^2+(1-MAX(0,MIN(1,M150)))^2/$B$5))-(MAX(0,MIN(1,1))^2/(MAX(0,MIN(1,1))^2+(1-MAX(0,MIN(1,1)))^2/$B$5))))&lt;0.000000001,0,M150-$B$11/$B$9*((MAX(0,MIN(1,M150))^2/(MAX(0,MIN(1,M150))^2+(1-MAX(0,MIN(1,M150)))^2/$B$5))-(MAX(0,MIN(1,1))^2/(MAX(0,MIN(1,1))^2+(1-MAX(0,MIN(1,1)))^2/$B$5))))</f>
        <v>0.971032203458995</v>
      </c>
      <c r="N151" s="16" t="n">
        <f aca="false">IF(ABS(N150-$B$11/$B$9*((MAX(0,MIN(1,N150))^2/(MAX(0,MIN(1,N150))^2+(1-MAX(0,MIN(1,N150)))^2/$B$5))-(MAX(0,MIN(1,M150))^2/(MAX(0,MIN(1,M150))^2+(1-MAX(0,MIN(1,M150)))^2/$B$5))))&lt;0.000000001,0,N150-$B$11/$B$9*((MAX(0,MIN(1,N150))^2/(MAX(0,MIN(1,N150))^2+(1-MAX(0,MIN(1,N150)))^2/$B$5))-(MAX(0,MIN(1,M150))^2/(MAX(0,MIN(1,M150))^2+(1-MAX(0,MIN(1,M150)))^2/$B$5))))</f>
        <v>0.954870620789826</v>
      </c>
      <c r="O151" s="16" t="n">
        <f aca="false">IF(ABS(O150-$B$11/$B$9*((MAX(0,MIN(1,O150))^2/(MAX(0,MIN(1,O150))^2+(1-MAX(0,MIN(1,O150)))^2/$B$5))-(MAX(0,MIN(1,N150))^2/(MAX(0,MIN(1,N150))^2+(1-MAX(0,MIN(1,N150)))^2/$B$5))))&lt;0.000000001,0,O150-$B$11/$B$9*((MAX(0,MIN(1,O150))^2/(MAX(0,MIN(1,O150))^2+(1-MAX(0,MIN(1,O150)))^2/$B$5))-(MAX(0,MIN(1,N150))^2/(MAX(0,MIN(1,N150))^2+(1-MAX(0,MIN(1,N150)))^2/$B$5))))</f>
        <v>0.940887996936407</v>
      </c>
      <c r="P151" s="16" t="n">
        <f aca="false">IF(ABS(P150-$B$11/$B$9*((MAX(0,MIN(1,P150))^2/(MAX(0,MIN(1,P150))^2+(1-MAX(0,MIN(1,P150)))^2/$B$5))-(MAX(0,MIN(1,O150))^2/(MAX(0,MIN(1,O150))^2+(1-MAX(0,MIN(1,O150)))^2/$B$5))))&lt;0.000000001,0,P150-$B$11/$B$9*((MAX(0,MIN(1,P150))^2/(MAX(0,MIN(1,P150))^2+(1-MAX(0,MIN(1,P150)))^2/$B$5))-(MAX(0,MIN(1,O150))^2/(MAX(0,MIN(1,O150))^2+(1-MAX(0,MIN(1,O150)))^2/$B$5))))</f>
        <v>0.928229385496812</v>
      </c>
      <c r="Q151" s="16" t="n">
        <f aca="false">IF(ABS(Q150-$B$11/$B$9*((MAX(0,MIN(1,Q150))^2/(MAX(0,MIN(1,Q150))^2+(1-MAX(0,MIN(1,Q150)))^2/$B$5))-(MAX(0,MIN(1,P150))^2/(MAX(0,MIN(1,P150))^2+(1-MAX(0,MIN(1,P150)))^2/$B$5))))&lt;0.000000001,0,Q150-$B$11/$B$9*((MAX(0,MIN(1,Q150))^2/(MAX(0,MIN(1,Q150))^2+(1-MAX(0,MIN(1,Q150)))^2/$B$5))-(MAX(0,MIN(1,P150))^2/(MAX(0,MIN(1,P150))^2+(1-MAX(0,MIN(1,P150)))^2/$B$5))))</f>
        <v>0.916546302552261</v>
      </c>
      <c r="R151" s="16" t="n">
        <f aca="false">IF(ABS(R150-$B$11/$B$9*((MAX(0,MIN(1,R150))^2/(MAX(0,MIN(1,R150))^2+(1-MAX(0,MIN(1,R150)))^2/$B$5))-(MAX(0,MIN(1,Q150))^2/(MAX(0,MIN(1,Q150))^2+(1-MAX(0,MIN(1,Q150)))^2/$B$5))))&lt;0.000000001,0,R150-$B$11/$B$9*((MAX(0,MIN(1,R150))^2/(MAX(0,MIN(1,R150))^2+(1-MAX(0,MIN(1,R150)))^2/$B$5))-(MAX(0,MIN(1,Q150))^2/(MAX(0,MIN(1,Q150))^2+(1-MAX(0,MIN(1,Q150)))^2/$B$5))))</f>
        <v>0.905642957978879</v>
      </c>
      <c r="S151" s="16" t="n">
        <f aca="false">IF(ABS(S150-$B$11/$B$9*((MAX(0,MIN(1,S150))^2/(MAX(0,MIN(1,S150))^2+(1-MAX(0,MIN(1,S150)))^2/$B$5))-(MAX(0,MIN(1,R150))^2/(MAX(0,MIN(1,R150))^2+(1-MAX(0,MIN(1,R150)))^2/$B$5))))&lt;0.000000001,0,S150-$B$11/$B$9*((MAX(0,MIN(1,S150))^2/(MAX(0,MIN(1,S150))^2+(1-MAX(0,MIN(1,S150)))^2/$B$5))-(MAX(0,MIN(1,R150))^2/(MAX(0,MIN(1,R150))^2+(1-MAX(0,MIN(1,R150)))^2/$B$5))))</f>
        <v>0.895390519413167</v>
      </c>
      <c r="T151" s="16" t="n">
        <f aca="false">IF(ABS(T150-$B$11/$B$9*((MAX(0,MIN(1,T150))^2/(MAX(0,MIN(1,T150))^2+(1-MAX(0,MIN(1,T150)))^2/$B$5))-(MAX(0,MIN(1,S150))^2/(MAX(0,MIN(1,S150))^2+(1-MAX(0,MIN(1,S150)))^2/$B$5))))&lt;0.000000001,0,T150-$B$11/$B$9*((MAX(0,MIN(1,T150))^2/(MAX(0,MIN(1,T150))^2+(1-MAX(0,MIN(1,T150)))^2/$B$5))-(MAX(0,MIN(1,S150))^2/(MAX(0,MIN(1,S150))^2+(1-MAX(0,MIN(1,S150)))^2/$B$5))))</f>
        <v>0.885696112544482</v>
      </c>
      <c r="U151" s="16" t="n">
        <f aca="false">IF(ABS(U150-$B$11/$B$9*((MAX(0,MIN(1,U150))^2/(MAX(0,MIN(1,U150))^2+(1-MAX(0,MIN(1,U150)))^2/$B$5))-(MAX(0,MIN(1,T150))^2/(MAX(0,MIN(1,T150))^2+(1-MAX(0,MIN(1,T150)))^2/$B$5))))&lt;0.000000001,0,U150-$B$11/$B$9*((MAX(0,MIN(1,U150))^2/(MAX(0,MIN(1,U150))^2+(1-MAX(0,MIN(1,U150)))^2/$B$5))-(MAX(0,MIN(1,T150))^2/(MAX(0,MIN(1,T150))^2+(1-MAX(0,MIN(1,T150)))^2/$B$5))))</f>
        <v>0.87648880593396</v>
      </c>
      <c r="V151" s="16" t="n">
        <f aca="false">IF(ABS(V150-$B$11/$B$9*((MAX(0,MIN(1,V150))^2/(MAX(0,MIN(1,V150))^2+(1-MAX(0,MIN(1,V150)))^2/$B$5))-(MAX(0,MIN(1,U150))^2/(MAX(0,MIN(1,U150))^2+(1-MAX(0,MIN(1,U150)))^2/$B$5))))&lt;0.000000001,0,V150-$B$11/$B$9*((MAX(0,MIN(1,V150))^2/(MAX(0,MIN(1,V150))^2+(1-MAX(0,MIN(1,V150)))^2/$B$5))-(MAX(0,MIN(1,U150))^2/(MAX(0,MIN(1,U150))^2+(1-MAX(0,MIN(1,U150)))^2/$B$5))))</f>
        <v>0.8677122698238</v>
      </c>
      <c r="W151" s="16" t="n">
        <f aca="false">IF(ABS(W150-$B$11/$B$9*((MAX(0,MIN(1,W150))^2/(MAX(0,MIN(1,W150))^2+(1-MAX(0,MIN(1,W150)))^2/$B$5))-(MAX(0,MIN(1,V150))^2/(MAX(0,MIN(1,V150))^2+(1-MAX(0,MIN(1,V150)))^2/$B$5))))&lt;0.000000001,0,W150-$B$11/$B$9*((MAX(0,MIN(1,W150))^2/(MAX(0,MIN(1,W150))^2+(1-MAX(0,MIN(1,W150)))^2/$B$5))-(MAX(0,MIN(1,V150))^2/(MAX(0,MIN(1,V150))^2+(1-MAX(0,MIN(1,V150)))^2/$B$5))))</f>
        <v>0.859320506279998</v>
      </c>
      <c r="X151" s="16" t="n">
        <f aca="false">IF(ABS(X150-$B$11/$B$9*((MAX(0,MIN(1,X150))^2/(MAX(0,MIN(1,X150))^2+(1-MAX(0,MIN(1,X150)))^2/$B$5))-(MAX(0,MIN(1,W150))^2/(MAX(0,MIN(1,W150))^2+(1-MAX(0,MIN(1,W150)))^2/$B$5))))&lt;0.000000001,0,X150-$B$11/$B$9*((MAX(0,MIN(1,X150))^2/(MAX(0,MIN(1,X150))^2+(1-MAX(0,MIN(1,X150)))^2/$B$5))-(MAX(0,MIN(1,W150))^2/(MAX(0,MIN(1,W150))^2+(1-MAX(0,MIN(1,W150)))^2/$B$5))))</f>
        <v>0.851275164796979</v>
      </c>
      <c r="Y151" s="16" t="n">
        <f aca="false">IF(ABS(Y150-$B$11/$B$9*((MAX(0,MIN(1,Y150))^2/(MAX(0,MIN(1,Y150))^2+(1-MAX(0,MIN(1,Y150)))^2/$B$5))-(MAX(0,MIN(1,X150))^2/(MAX(0,MIN(1,X150))^2+(1-MAX(0,MIN(1,X150)))^2/$B$5))))&lt;0.000000001,0,Y150-$B$11/$B$9*((MAX(0,MIN(1,Y150))^2/(MAX(0,MIN(1,Y150))^2+(1-MAX(0,MIN(1,Y150)))^2/$B$5))-(MAX(0,MIN(1,X150))^2/(MAX(0,MIN(1,X150))^2+(1-MAX(0,MIN(1,X150)))^2/$B$5))))</f>
        <v>0.843543751303033</v>
      </c>
      <c r="Z151" s="16" t="n">
        <f aca="false">IF(ABS(Z150-$B$11/$B$9*((MAX(0,MIN(1,Z150))^2/(MAX(0,MIN(1,Z150))^2+(1-MAX(0,MIN(1,Z150)))^2/$B$5))-(MAX(0,MIN(1,Y150))^2/(MAX(0,MIN(1,Y150))^2+(1-MAX(0,MIN(1,Y150)))^2/$B$5))))&lt;0.000000001,0,Z150-$B$11/$B$9*((MAX(0,MIN(1,Z150))^2/(MAX(0,MIN(1,Z150))^2+(1-MAX(0,MIN(1,Z150)))^2/$B$5))-(MAX(0,MIN(1,Y150))^2/(MAX(0,MIN(1,Y150))^2+(1-MAX(0,MIN(1,Y150)))^2/$B$5))))</f>
        <v>0.83609837650789</v>
      </c>
      <c r="AA151" s="16" t="n">
        <f aca="false">IF(ABS(AA150-$B$11/$B$9*((MAX(0,MIN(1,AA150))^2/(MAX(0,MIN(1,AA150))^2+(1-MAX(0,MIN(1,AA150)))^2/$B$5))-(MAX(0,MIN(1,Z150))^2/(MAX(0,MIN(1,Z150))^2+(1-MAX(0,MIN(1,Z150)))^2/$B$5))))&lt;0.000000001,0,AA150-$B$11/$B$9*((MAX(0,MIN(1,AA150))^2/(MAX(0,MIN(1,AA150))^2+(1-MAX(0,MIN(1,AA150)))^2/$B$5))-(MAX(0,MIN(1,Z150))^2/(MAX(0,MIN(1,Z150))^2+(1-MAX(0,MIN(1,Z150)))^2/$B$5))))</f>
        <v>0.828914848359361</v>
      </c>
      <c r="AB151" s="16" t="n">
        <f aca="false">IF(ABS(AB150-$B$11/$B$9*((MAX(0,MIN(1,AB150))^2/(MAX(0,MIN(1,AB150))^2+(1-MAX(0,MIN(1,AB150)))^2/$B$5))-(MAX(0,MIN(1,AA150))^2/(MAX(0,MIN(1,AA150))^2+(1-MAX(0,MIN(1,AA150)))^2/$B$5))))&lt;0.000000001,0,AB150-$B$11/$B$9*((MAX(0,MIN(1,AB150))^2/(MAX(0,MIN(1,AB150))^2+(1-MAX(0,MIN(1,AB150)))^2/$B$5))-(MAX(0,MIN(1,AA150))^2/(MAX(0,MIN(1,AA150))^2+(1-MAX(0,MIN(1,AA150)))^2/$B$5))))</f>
        <v>0.821971994159423</v>
      </c>
      <c r="AC151" s="16" t="n">
        <f aca="false">IF(ABS(AC150-$B$11/$B$9*((MAX(0,MIN(1,AC150))^2/(MAX(0,MIN(1,AC150))^2+(1-MAX(0,MIN(1,AC150)))^2/$B$5))-(MAX(0,MIN(1,AB150))^2/(MAX(0,MIN(1,AB150))^2+(1-MAX(0,MIN(1,AB150)))^2/$B$5))))&lt;0.000000001,0,AC150-$B$11/$B$9*((MAX(0,MIN(1,AC150))^2/(MAX(0,MIN(1,AC150))^2+(1-MAX(0,MIN(1,AC150)))^2/$B$5))-(MAX(0,MIN(1,AB150))^2/(MAX(0,MIN(1,AB150))^2+(1-MAX(0,MIN(1,AB150)))^2/$B$5))))</f>
        <v>0.815251141750602</v>
      </c>
      <c r="AD151" s="16" t="n">
        <f aca="false">IF(ABS(AD150-$B$11/$B$9*((MAX(0,MIN(1,AD150))^2/(MAX(0,MIN(1,AD150))^2+(1-MAX(0,MIN(1,AD150)))^2/$B$5))-(MAX(0,MIN(1,AC150))^2/(MAX(0,MIN(1,AC150))^2+(1-MAX(0,MIN(1,AC150)))^2/$B$5))))&lt;0.000000001,0,AD150-$B$11/$B$9*((MAX(0,MIN(1,AD150))^2/(MAX(0,MIN(1,AD150))^2+(1-MAX(0,MIN(1,AD150)))^2/$B$5))-(MAX(0,MIN(1,AC150))^2/(MAX(0,MIN(1,AC150))^2+(1-MAX(0,MIN(1,AC150)))^2/$B$5))))</f>
        <v>0.808735714337584</v>
      </c>
      <c r="AE151" s="16" t="n">
        <f aca="false">IF(ABS(AE150-$B$11/$B$9*((MAX(0,MIN(1,AE150))^2/(MAX(0,MIN(1,AE150))^2+(1-MAX(0,MIN(1,AE150)))^2/$B$5))-(MAX(0,MIN(1,AD150))^2/(MAX(0,MIN(1,AD150))^2+(1-MAX(0,MIN(1,AD150)))^2/$B$5))))&lt;0.000000001,0,AE150-$B$11/$B$9*((MAX(0,MIN(1,AE150))^2/(MAX(0,MIN(1,AE150))^2+(1-MAX(0,MIN(1,AE150)))^2/$B$5))-(MAX(0,MIN(1,AD150))^2/(MAX(0,MIN(1,AD150))^2+(1-MAX(0,MIN(1,AD150)))^2/$B$5))))</f>
        <v>0.802410908622309</v>
      </c>
      <c r="AF151" s="16" t="n">
        <f aca="false">IF(ABS(AF150-$B$11/$B$9*((MAX(0,MIN(1,AF150))^2/(MAX(0,MIN(1,AF150))^2+(1-MAX(0,MIN(1,AF150)))^2/$B$5))-(MAX(0,MIN(1,AE150))^2/(MAX(0,MIN(1,AE150))^2+(1-MAX(0,MIN(1,AE150)))^2/$B$5))))&lt;0.000000001,0,AF150-$B$11/$B$9*((MAX(0,MIN(1,AF150))^2/(MAX(0,MIN(1,AF150))^2+(1-MAX(0,MIN(1,AF150)))^2/$B$5))-(MAX(0,MIN(1,AE150))^2/(MAX(0,MIN(1,AE150))^2+(1-MAX(0,MIN(1,AE150)))^2/$B$5))))</f>
        <v>0.796263435381643</v>
      </c>
    </row>
    <row r="152" customFormat="false" ht="15" hidden="false" customHeight="false" outlineLevel="0" collapsed="false">
      <c r="L152" s="0" t="n">
        <v>142</v>
      </c>
      <c r="M152" s="16" t="n">
        <f aca="false">IF(ABS(M151-$B$11/$B$9*((MAX(0,MIN(1,M151))^2/(MAX(0,MIN(1,M151))^2+(1-MAX(0,MIN(1,M151)))^2/$B$5))-(MAX(0,MIN(1,1))^2/(MAX(0,MIN(1,1))^2+(1-MAX(0,MIN(1,1)))^2/$B$5))))&lt;0.000000001,0,M151-$B$11/$B$9*((MAX(0,MIN(1,M151))^2/(MAX(0,MIN(1,M151))^2+(1-MAX(0,MIN(1,M151)))^2/$B$5))-(MAX(0,MIN(1,1))^2/(MAX(0,MIN(1,1))^2+(1-MAX(0,MIN(1,1)))^2/$B$5))))</f>
        <v>0.971203233439818</v>
      </c>
      <c r="N152" s="16" t="n">
        <f aca="false">IF(ABS(N151-$B$11/$B$9*((MAX(0,MIN(1,N151))^2/(MAX(0,MIN(1,N151))^2+(1-MAX(0,MIN(1,N151)))^2/$B$5))-(MAX(0,MIN(1,M151))^2/(MAX(0,MIN(1,M151))^2+(1-MAX(0,MIN(1,M151)))^2/$B$5))))&lt;0.000000001,0,N151-$B$11/$B$9*((MAX(0,MIN(1,N151))^2/(MAX(0,MIN(1,N151))^2+(1-MAX(0,MIN(1,N151)))^2/$B$5))-(MAX(0,MIN(1,M151))^2/(MAX(0,MIN(1,M151))^2+(1-MAX(0,MIN(1,M151)))^2/$B$5))))</f>
        <v>0.955128580322966</v>
      </c>
      <c r="O152" s="16" t="n">
        <f aca="false">IF(ABS(O151-$B$11/$B$9*((MAX(0,MIN(1,O151))^2/(MAX(0,MIN(1,O151))^2+(1-MAX(0,MIN(1,O151)))^2/$B$5))-(MAX(0,MIN(1,N151))^2/(MAX(0,MIN(1,N151))^2+(1-MAX(0,MIN(1,N151)))^2/$B$5))))&lt;0.000000001,0,O151-$B$11/$B$9*((MAX(0,MIN(1,O151))^2/(MAX(0,MIN(1,O151))^2+(1-MAX(0,MIN(1,O151)))^2/$B$5))-(MAX(0,MIN(1,N151))^2/(MAX(0,MIN(1,N151))^2+(1-MAX(0,MIN(1,N151)))^2/$B$5))))</f>
        <v>0.941216399992396</v>
      </c>
      <c r="P152" s="16" t="n">
        <f aca="false">IF(ABS(P151-$B$11/$B$9*((MAX(0,MIN(1,P151))^2/(MAX(0,MIN(1,P151))^2+(1-MAX(0,MIN(1,P151)))^2/$B$5))-(MAX(0,MIN(1,O151))^2/(MAX(0,MIN(1,O151))^2+(1-MAX(0,MIN(1,O151)))^2/$B$5))))&lt;0.000000001,0,P151-$B$11/$B$9*((MAX(0,MIN(1,P151))^2/(MAX(0,MIN(1,P151))^2+(1-MAX(0,MIN(1,P151)))^2/$B$5))-(MAX(0,MIN(1,O151))^2/(MAX(0,MIN(1,O151))^2+(1-MAX(0,MIN(1,O151)))^2/$B$5))))</f>
        <v>0.928618002512265</v>
      </c>
      <c r="Q152" s="16" t="n">
        <f aca="false">IF(ABS(Q151-$B$11/$B$9*((MAX(0,MIN(1,Q151))^2/(MAX(0,MIN(1,Q151))^2+(1-MAX(0,MIN(1,Q151)))^2/$B$5))-(MAX(0,MIN(1,P151))^2/(MAX(0,MIN(1,P151))^2+(1-MAX(0,MIN(1,P151)))^2/$B$5))))&lt;0.000000001,0,Q151-$B$11/$B$9*((MAX(0,MIN(1,Q151))^2/(MAX(0,MIN(1,Q151))^2+(1-MAX(0,MIN(1,Q151)))^2/$B$5))-(MAX(0,MIN(1,P151))^2/(MAX(0,MIN(1,P151))^2+(1-MAX(0,MIN(1,P151)))^2/$B$5))))</f>
        <v>0.916987697434569</v>
      </c>
      <c r="R152" s="16" t="n">
        <f aca="false">IF(ABS(R151-$B$11/$B$9*((MAX(0,MIN(1,R151))^2/(MAX(0,MIN(1,R151))^2+(1-MAX(0,MIN(1,R151)))^2/$B$5))-(MAX(0,MIN(1,Q151))^2/(MAX(0,MIN(1,Q151))^2+(1-MAX(0,MIN(1,Q151)))^2/$B$5))))&lt;0.000000001,0,R151-$B$11/$B$9*((MAX(0,MIN(1,R151))^2/(MAX(0,MIN(1,R151))^2+(1-MAX(0,MIN(1,R151)))^2/$B$5))-(MAX(0,MIN(1,Q151))^2/(MAX(0,MIN(1,Q151))^2+(1-MAX(0,MIN(1,Q151)))^2/$B$5))))</f>
        <v>0.90613135403784</v>
      </c>
      <c r="S152" s="16" t="n">
        <f aca="false">IF(ABS(S151-$B$11/$B$9*((MAX(0,MIN(1,S151))^2/(MAX(0,MIN(1,S151))^2+(1-MAX(0,MIN(1,S151)))^2/$B$5))-(MAX(0,MIN(1,R151))^2/(MAX(0,MIN(1,R151))^2+(1-MAX(0,MIN(1,R151)))^2/$B$5))))&lt;0.000000001,0,S151-$B$11/$B$9*((MAX(0,MIN(1,S151))^2/(MAX(0,MIN(1,S151))^2+(1-MAX(0,MIN(1,S151)))^2/$B$5))-(MAX(0,MIN(1,R151))^2/(MAX(0,MIN(1,R151))^2+(1-MAX(0,MIN(1,R151)))^2/$B$5))))</f>
        <v>0.895921262639761</v>
      </c>
      <c r="T152" s="16" t="n">
        <f aca="false">IF(ABS(T151-$B$11/$B$9*((MAX(0,MIN(1,T151))^2/(MAX(0,MIN(1,T151))^2+(1-MAX(0,MIN(1,T151)))^2/$B$5))-(MAX(0,MIN(1,S151))^2/(MAX(0,MIN(1,S151))^2+(1-MAX(0,MIN(1,S151)))^2/$B$5))))&lt;0.000000001,0,T151-$B$11/$B$9*((MAX(0,MIN(1,T151))^2/(MAX(0,MIN(1,T151))^2+(1-MAX(0,MIN(1,T151)))^2/$B$5))-(MAX(0,MIN(1,S151))^2/(MAX(0,MIN(1,S151))^2+(1-MAX(0,MIN(1,S151)))^2/$B$5))))</f>
        <v>0.886265365136436</v>
      </c>
      <c r="U152" s="16" t="n">
        <f aca="false">IF(ABS(U151-$B$11/$B$9*((MAX(0,MIN(1,U151))^2/(MAX(0,MIN(1,U151))^2+(1-MAX(0,MIN(1,U151)))^2/$B$5))-(MAX(0,MIN(1,T151))^2/(MAX(0,MIN(1,T151))^2+(1-MAX(0,MIN(1,T151)))^2/$B$5))))&lt;0.000000001,0,U151-$B$11/$B$9*((MAX(0,MIN(1,U151))^2/(MAX(0,MIN(1,U151))^2+(1-MAX(0,MIN(1,U151)))^2/$B$5))-(MAX(0,MIN(1,T151))^2/(MAX(0,MIN(1,T151))^2+(1-MAX(0,MIN(1,T151)))^2/$B$5))))</f>
        <v>0.877093350793684</v>
      </c>
      <c r="V152" s="16" t="n">
        <f aca="false">IF(ABS(V151-$B$11/$B$9*((MAX(0,MIN(1,V151))^2/(MAX(0,MIN(1,V151))^2+(1-MAX(0,MIN(1,V151)))^2/$B$5))-(MAX(0,MIN(1,U151))^2/(MAX(0,MIN(1,U151))^2+(1-MAX(0,MIN(1,U151)))^2/$B$5))))&lt;0.000000001,0,V151-$B$11/$B$9*((MAX(0,MIN(1,V151))^2/(MAX(0,MIN(1,V151))^2+(1-MAX(0,MIN(1,V151)))^2/$B$5))-(MAX(0,MIN(1,U151))^2/(MAX(0,MIN(1,U151))^2+(1-MAX(0,MIN(1,U151)))^2/$B$5))))</f>
        <v>0.868349376663064</v>
      </c>
      <c r="W152" s="16" t="n">
        <f aca="false">IF(ABS(W151-$B$11/$B$9*((MAX(0,MIN(1,W151))^2/(MAX(0,MIN(1,W151))^2+(1-MAX(0,MIN(1,W151)))^2/$B$5))-(MAX(0,MIN(1,V151))^2/(MAX(0,MIN(1,V151))^2+(1-MAX(0,MIN(1,V151)))^2/$B$5))))&lt;0.000000001,0,W151-$B$11/$B$9*((MAX(0,MIN(1,W151))^2/(MAX(0,MIN(1,W151))^2+(1-MAX(0,MIN(1,W151)))^2/$B$5))-(MAX(0,MIN(1,V151))^2/(MAX(0,MIN(1,V151))^2+(1-MAX(0,MIN(1,V151)))^2/$B$5))))</f>
        <v>0.859987835355873</v>
      </c>
      <c r="X152" s="16" t="n">
        <f aca="false">IF(ABS(X151-$B$11/$B$9*((MAX(0,MIN(1,X151))^2/(MAX(0,MIN(1,X151))^2+(1-MAX(0,MIN(1,X151)))^2/$B$5))-(MAX(0,MIN(1,W151))^2/(MAX(0,MIN(1,W151))^2+(1-MAX(0,MIN(1,W151)))^2/$B$5))))&lt;0.000000001,0,X151-$B$11/$B$9*((MAX(0,MIN(1,X151))^2/(MAX(0,MIN(1,X151))^2+(1-MAX(0,MIN(1,X151)))^2/$B$5))-(MAX(0,MIN(1,W151))^2/(MAX(0,MIN(1,W151))^2+(1-MAX(0,MIN(1,W151)))^2/$B$5))))</f>
        <v>0.851970695240448</v>
      </c>
      <c r="Y152" s="16" t="n">
        <f aca="false">IF(ABS(Y151-$B$11/$B$9*((MAX(0,MIN(1,Y151))^2/(MAX(0,MIN(1,Y151))^2+(1-MAX(0,MIN(1,Y151)))^2/$B$5))-(MAX(0,MIN(1,X151))^2/(MAX(0,MIN(1,X151))^2+(1-MAX(0,MIN(1,X151)))^2/$B$5))))&lt;0.000000001,0,Y151-$B$11/$B$9*((MAX(0,MIN(1,Y151))^2/(MAX(0,MIN(1,Y151))^2+(1-MAX(0,MIN(1,Y151)))^2/$B$5))-(MAX(0,MIN(1,X151))^2/(MAX(0,MIN(1,X151))^2+(1-MAX(0,MIN(1,X151)))^2/$B$5))))</f>
        <v>0.844265726335255</v>
      </c>
      <c r="Z152" s="16" t="n">
        <f aca="false">IF(ABS(Z151-$B$11/$B$9*((MAX(0,MIN(1,Z151))^2/(MAX(0,MIN(1,Z151))^2+(1-MAX(0,MIN(1,Z151)))^2/$B$5))-(MAX(0,MIN(1,Y151))^2/(MAX(0,MIN(1,Y151))^2+(1-MAX(0,MIN(1,Y151)))^2/$B$5))))&lt;0.000000001,0,Z151-$B$11/$B$9*((MAX(0,MIN(1,Z151))^2/(MAX(0,MIN(1,Z151))^2+(1-MAX(0,MIN(1,Z151)))^2/$B$5))-(MAX(0,MIN(1,Y151))^2/(MAX(0,MIN(1,Y151))^2+(1-MAX(0,MIN(1,Y151)))^2/$B$5))))</f>
        <v>0.836845260696489</v>
      </c>
      <c r="AA152" s="16" t="n">
        <f aca="false">IF(ABS(AA151-$B$11/$B$9*((MAX(0,MIN(1,AA151))^2/(MAX(0,MIN(1,AA151))^2+(1-MAX(0,MIN(1,AA151)))^2/$B$5))-(MAX(0,MIN(1,Z151))^2/(MAX(0,MIN(1,Z151))^2+(1-MAX(0,MIN(1,Z151)))^2/$B$5))))&lt;0.000000001,0,AA151-$B$11/$B$9*((MAX(0,MIN(1,AA151))^2/(MAX(0,MIN(1,AA151))^2+(1-MAX(0,MIN(1,AA151)))^2/$B$5))-(MAX(0,MIN(1,Z151))^2/(MAX(0,MIN(1,Z151))^2+(1-MAX(0,MIN(1,Z151)))^2/$B$5))))</f>
        <v>0.829685293713894</v>
      </c>
      <c r="AB152" s="16" t="n">
        <f aca="false">IF(ABS(AB151-$B$11/$B$9*((MAX(0,MIN(1,AB151))^2/(MAX(0,MIN(1,AB151))^2+(1-MAX(0,MIN(1,AB151)))^2/$B$5))-(MAX(0,MIN(1,AA151))^2/(MAX(0,MIN(1,AA151))^2+(1-MAX(0,MIN(1,AA151)))^2/$B$5))))&lt;0.000000001,0,AB151-$B$11/$B$9*((MAX(0,MIN(1,AB151))^2/(MAX(0,MIN(1,AB151))^2+(1-MAX(0,MIN(1,AB151)))^2/$B$5))-(MAX(0,MIN(1,AA151))^2/(MAX(0,MIN(1,AA151))^2+(1-MAX(0,MIN(1,AA151)))^2/$B$5))))</f>
        <v>0.822764812870616</v>
      </c>
      <c r="AC152" s="16" t="n">
        <f aca="false">IF(ABS(AC151-$B$11/$B$9*((MAX(0,MIN(1,AC151))^2/(MAX(0,MIN(1,AC151))^2+(1-MAX(0,MIN(1,AC151)))^2/$B$5))-(MAX(0,MIN(1,AB151))^2/(MAX(0,MIN(1,AB151))^2+(1-MAX(0,MIN(1,AB151)))^2/$B$5))))&lt;0.000000001,0,AC151-$B$11/$B$9*((MAX(0,MIN(1,AC151))^2/(MAX(0,MIN(1,AC151))^2+(1-MAX(0,MIN(1,AC151)))^2/$B$5))-(MAX(0,MIN(1,AB151))^2/(MAX(0,MIN(1,AB151))^2+(1-MAX(0,MIN(1,AB151)))^2/$B$5))))</f>
        <v>0.816065284020978</v>
      </c>
      <c r="AD152" s="16" t="n">
        <f aca="false">IF(ABS(AD151-$B$11/$B$9*((MAX(0,MIN(1,AD151))^2/(MAX(0,MIN(1,AD151))^2+(1-MAX(0,MIN(1,AD151)))^2/$B$5))-(MAX(0,MIN(1,AC151))^2/(MAX(0,MIN(1,AC151))^2+(1-MAX(0,MIN(1,AC151)))^2/$B$5))))&lt;0.000000001,0,AD151-$B$11/$B$9*((MAX(0,MIN(1,AD151))^2/(MAX(0,MIN(1,AD151))^2+(1-MAX(0,MIN(1,AD151)))^2/$B$5))-(MAX(0,MIN(1,AC151))^2/(MAX(0,MIN(1,AC151))^2+(1-MAX(0,MIN(1,AC151)))^2/$B$5))))</f>
        <v>0.809570250178114</v>
      </c>
      <c r="AE152" s="16" t="n">
        <f aca="false">IF(ABS(AE151-$B$11/$B$9*((MAX(0,MIN(1,AE151))^2/(MAX(0,MIN(1,AE151))^2+(1-MAX(0,MIN(1,AE151)))^2/$B$5))-(MAX(0,MIN(1,AD151))^2/(MAX(0,MIN(1,AD151))^2+(1-MAX(0,MIN(1,AD151)))^2/$B$5))))&lt;0.000000001,0,AE151-$B$11/$B$9*((MAX(0,MIN(1,AE151))^2/(MAX(0,MIN(1,AE151))^2+(1-MAX(0,MIN(1,AE151)))^2/$B$5))-(MAX(0,MIN(1,AD151))^2/(MAX(0,MIN(1,AD151))^2+(1-MAX(0,MIN(1,AD151)))^2/$B$5))))</f>
        <v>0.803265012782306</v>
      </c>
      <c r="AF152" s="16" t="n">
        <f aca="false">IF(ABS(AF151-$B$11/$B$9*((MAX(0,MIN(1,AF151))^2/(MAX(0,MIN(1,AF151))^2+(1-MAX(0,MIN(1,AF151)))^2/$B$5))-(MAX(0,MIN(1,AE151))^2/(MAX(0,MIN(1,AE151))^2+(1-MAX(0,MIN(1,AE151)))^2/$B$5))))&lt;0.000000001,0,AF151-$B$11/$B$9*((MAX(0,MIN(1,AF151))^2/(MAX(0,MIN(1,AF151))^2+(1-MAX(0,MIN(1,AF151)))^2/$B$5))-(MAX(0,MIN(1,AE151))^2/(MAX(0,MIN(1,AE151))^2+(1-MAX(0,MIN(1,AE151)))^2/$B$5))))</f>
        <v>0.79713637478489</v>
      </c>
    </row>
    <row r="153" customFormat="false" ht="15" hidden="false" customHeight="false" outlineLevel="0" collapsed="false">
      <c r="L153" s="0" t="n">
        <v>143</v>
      </c>
      <c r="M153" s="16" t="n">
        <f aca="false">IF(ABS(M152-$B$11/$B$9*((MAX(0,MIN(1,M152))^2/(MAX(0,MIN(1,M152))^2+(1-MAX(0,MIN(1,M152)))^2/$B$5))-(MAX(0,MIN(1,1))^2/(MAX(0,MIN(1,1))^2+(1-MAX(0,MIN(1,1)))^2/$B$5))))&lt;0.000000001,0,M152-$B$11/$B$9*((MAX(0,MIN(1,M152))^2/(MAX(0,MIN(1,M152))^2+(1-MAX(0,MIN(1,M152)))^2/$B$5))-(MAX(0,MIN(1,1))^2/(MAX(0,MIN(1,1))^2+(1-MAX(0,MIN(1,1)))^2/$B$5))))</f>
        <v>0.97137219120021</v>
      </c>
      <c r="N153" s="16" t="n">
        <f aca="false">IF(ABS(N152-$B$11/$B$9*((MAX(0,MIN(1,N152))^2/(MAX(0,MIN(1,N152))^2+(1-MAX(0,MIN(1,N152)))^2/$B$5))-(MAX(0,MIN(1,M152))^2/(MAX(0,MIN(1,M152))^2+(1-MAX(0,MIN(1,M152)))^2/$B$5))))&lt;0.000000001,0,N152-$B$11/$B$9*((MAX(0,MIN(1,N152))^2/(MAX(0,MIN(1,N152))^2+(1-MAX(0,MIN(1,N152)))^2/$B$5))-(MAX(0,MIN(1,M152))^2/(MAX(0,MIN(1,M152))^2+(1-MAX(0,MIN(1,M152)))^2/$B$5))))</f>
        <v>0.955383498478503</v>
      </c>
      <c r="O153" s="16" t="n">
        <f aca="false">IF(ABS(O152-$B$11/$B$9*((MAX(0,MIN(1,O152))^2/(MAX(0,MIN(1,O152))^2+(1-MAX(0,MIN(1,O152)))^2/$B$5))-(MAX(0,MIN(1,N152))^2/(MAX(0,MIN(1,N152))^2+(1-MAX(0,MIN(1,N152)))^2/$B$5))))&lt;0.000000001,0,O152-$B$11/$B$9*((MAX(0,MIN(1,O152))^2/(MAX(0,MIN(1,O152))^2+(1-MAX(0,MIN(1,O152)))^2/$B$5))-(MAX(0,MIN(1,N152))^2/(MAX(0,MIN(1,N152))^2+(1-MAX(0,MIN(1,N152)))^2/$B$5))))</f>
        <v>0.941541019243542</v>
      </c>
      <c r="P153" s="16" t="n">
        <f aca="false">IF(ABS(P152-$B$11/$B$9*((MAX(0,MIN(1,P152))^2/(MAX(0,MIN(1,P152))^2+(1-MAX(0,MIN(1,P152)))^2/$B$5))-(MAX(0,MIN(1,O152))^2/(MAX(0,MIN(1,O152))^2+(1-MAX(0,MIN(1,O152)))^2/$B$5))))&lt;0.000000001,0,P152-$B$11/$B$9*((MAX(0,MIN(1,P152))^2/(MAX(0,MIN(1,P152))^2+(1-MAX(0,MIN(1,P152)))^2/$B$5))-(MAX(0,MIN(1,O152))^2/(MAX(0,MIN(1,O152))^2+(1-MAX(0,MIN(1,O152)))^2/$B$5))))</f>
        <v>0.9290022305382</v>
      </c>
      <c r="Q153" s="16" t="n">
        <f aca="false">IF(ABS(Q152-$B$11/$B$9*((MAX(0,MIN(1,Q152))^2/(MAX(0,MIN(1,Q152))^2+(1-MAX(0,MIN(1,Q152)))^2/$B$5))-(MAX(0,MIN(1,P152))^2/(MAX(0,MIN(1,P152))^2+(1-MAX(0,MIN(1,P152)))^2/$B$5))))&lt;0.000000001,0,Q152-$B$11/$B$9*((MAX(0,MIN(1,Q152))^2/(MAX(0,MIN(1,Q152))^2+(1-MAX(0,MIN(1,Q152)))^2/$B$5))-(MAX(0,MIN(1,P152))^2/(MAX(0,MIN(1,P152))^2+(1-MAX(0,MIN(1,P152)))^2/$B$5))))</f>
        <v>0.917424194032812</v>
      </c>
      <c r="R153" s="16" t="n">
        <f aca="false">IF(ABS(R152-$B$11/$B$9*((MAX(0,MIN(1,R152))^2/(MAX(0,MIN(1,R152))^2+(1-MAX(0,MIN(1,R152)))^2/$B$5))-(MAX(0,MIN(1,Q152))^2/(MAX(0,MIN(1,Q152))^2+(1-MAX(0,MIN(1,Q152)))^2/$B$5))))&lt;0.000000001,0,R152-$B$11/$B$9*((MAX(0,MIN(1,R152))^2/(MAX(0,MIN(1,R152))^2+(1-MAX(0,MIN(1,R152)))^2/$B$5))-(MAX(0,MIN(1,Q152))^2/(MAX(0,MIN(1,Q152))^2+(1-MAX(0,MIN(1,Q152)))^2/$B$5))))</f>
        <v>0.906614413759364</v>
      </c>
      <c r="S153" s="16" t="n">
        <f aca="false">IF(ABS(S152-$B$11/$B$9*((MAX(0,MIN(1,S152))^2/(MAX(0,MIN(1,S152))^2+(1-MAX(0,MIN(1,S152)))^2/$B$5))-(MAX(0,MIN(1,R152))^2/(MAX(0,MIN(1,R152))^2+(1-MAX(0,MIN(1,R152)))^2/$B$5))))&lt;0.000000001,0,S152-$B$11/$B$9*((MAX(0,MIN(1,S152))^2/(MAX(0,MIN(1,S152))^2+(1-MAX(0,MIN(1,S152)))^2/$B$5))-(MAX(0,MIN(1,R152))^2/(MAX(0,MIN(1,R152))^2+(1-MAX(0,MIN(1,R152)))^2/$B$5))))</f>
        <v>0.89644628626484</v>
      </c>
      <c r="T153" s="16" t="n">
        <f aca="false">IF(ABS(T152-$B$11/$B$9*((MAX(0,MIN(1,T152))^2/(MAX(0,MIN(1,T152))^2+(1-MAX(0,MIN(1,T152)))^2/$B$5))-(MAX(0,MIN(1,S152))^2/(MAX(0,MIN(1,S152))^2+(1-MAX(0,MIN(1,S152)))^2/$B$5))))&lt;0.000000001,0,T152-$B$11/$B$9*((MAX(0,MIN(1,T152))^2/(MAX(0,MIN(1,T152))^2+(1-MAX(0,MIN(1,T152)))^2/$B$5))-(MAX(0,MIN(1,S152))^2/(MAX(0,MIN(1,S152))^2+(1-MAX(0,MIN(1,S152)))^2/$B$5))))</f>
        <v>0.886828557956283</v>
      </c>
      <c r="U153" s="16" t="n">
        <f aca="false">IF(ABS(U152-$B$11/$B$9*((MAX(0,MIN(1,U152))^2/(MAX(0,MIN(1,U152))^2+(1-MAX(0,MIN(1,U152)))^2/$B$5))-(MAX(0,MIN(1,T152))^2/(MAX(0,MIN(1,T152))^2+(1-MAX(0,MIN(1,T152)))^2/$B$5))))&lt;0.000000001,0,U152-$B$11/$B$9*((MAX(0,MIN(1,U152))^2/(MAX(0,MIN(1,U152))^2+(1-MAX(0,MIN(1,U152)))^2/$B$5))-(MAX(0,MIN(1,T152))^2/(MAX(0,MIN(1,T152))^2+(1-MAX(0,MIN(1,T152)))^2/$B$5))))</f>
        <v>0.877691530144556</v>
      </c>
      <c r="V153" s="16" t="n">
        <f aca="false">IF(ABS(V152-$B$11/$B$9*((MAX(0,MIN(1,V152))^2/(MAX(0,MIN(1,V152))^2+(1-MAX(0,MIN(1,V152)))^2/$B$5))-(MAX(0,MIN(1,U152))^2/(MAX(0,MIN(1,U152))^2+(1-MAX(0,MIN(1,U152)))^2/$B$5))))&lt;0.000000001,0,V152-$B$11/$B$9*((MAX(0,MIN(1,V152))^2/(MAX(0,MIN(1,V152))^2+(1-MAX(0,MIN(1,V152)))^2/$B$5))-(MAX(0,MIN(1,U152))^2/(MAX(0,MIN(1,U152))^2+(1-MAX(0,MIN(1,U152)))^2/$B$5))))</f>
        <v>0.868979840090106</v>
      </c>
      <c r="W153" s="16" t="n">
        <f aca="false">IF(ABS(W152-$B$11/$B$9*((MAX(0,MIN(1,W152))^2/(MAX(0,MIN(1,W152))^2+(1-MAX(0,MIN(1,W152)))^2/$B$5))-(MAX(0,MIN(1,V152))^2/(MAX(0,MIN(1,V152))^2+(1-MAX(0,MIN(1,V152)))^2/$B$5))))&lt;0.000000001,0,W152-$B$11/$B$9*((MAX(0,MIN(1,W152))^2/(MAX(0,MIN(1,W152))^2+(1-MAX(0,MIN(1,W152)))^2/$B$5))-(MAX(0,MIN(1,V152))^2/(MAX(0,MIN(1,V152))^2+(1-MAX(0,MIN(1,V152)))^2/$B$5))))</f>
        <v>0.860648265804825</v>
      </c>
      <c r="X153" s="16" t="n">
        <f aca="false">IF(ABS(X152-$B$11/$B$9*((MAX(0,MIN(1,X152))^2/(MAX(0,MIN(1,X152))^2+(1-MAX(0,MIN(1,X152)))^2/$B$5))-(MAX(0,MIN(1,W152))^2/(MAX(0,MIN(1,W152))^2+(1-MAX(0,MIN(1,W152)))^2/$B$5))))&lt;0.000000001,0,X152-$B$11/$B$9*((MAX(0,MIN(1,X152))^2/(MAX(0,MIN(1,X152))^2+(1-MAX(0,MIN(1,X152)))^2/$B$5))-(MAX(0,MIN(1,W152))^2/(MAX(0,MIN(1,W152))^2+(1-MAX(0,MIN(1,W152)))^2/$B$5))))</f>
        <v>0.852659090447065</v>
      </c>
      <c r="Y153" s="16" t="n">
        <f aca="false">IF(ABS(Y152-$B$11/$B$9*((MAX(0,MIN(1,Y152))^2/(MAX(0,MIN(1,Y152))^2+(1-MAX(0,MIN(1,Y152)))^2/$B$5))-(MAX(0,MIN(1,X152))^2/(MAX(0,MIN(1,X152))^2+(1-MAX(0,MIN(1,X152)))^2/$B$5))))&lt;0.000000001,0,Y152-$B$11/$B$9*((MAX(0,MIN(1,Y152))^2/(MAX(0,MIN(1,Y152))^2+(1-MAX(0,MIN(1,Y152)))^2/$B$5))-(MAX(0,MIN(1,X152))^2/(MAX(0,MIN(1,X152))^2+(1-MAX(0,MIN(1,X152)))^2/$B$5))))</f>
        <v>0.844980344832636</v>
      </c>
      <c r="Z153" s="16" t="n">
        <f aca="false">IF(ABS(Z152-$B$11/$B$9*((MAX(0,MIN(1,Z152))^2/(MAX(0,MIN(1,Z152))^2+(1-MAX(0,MIN(1,Z152)))^2/$B$5))-(MAX(0,MIN(1,Y152))^2/(MAX(0,MIN(1,Y152))^2+(1-MAX(0,MIN(1,Y152)))^2/$B$5))))&lt;0.000000001,0,Z152-$B$11/$B$9*((MAX(0,MIN(1,Z152))^2/(MAX(0,MIN(1,Z152))^2+(1-MAX(0,MIN(1,Z152)))^2/$B$5))-(MAX(0,MIN(1,Y152))^2/(MAX(0,MIN(1,Y152))^2+(1-MAX(0,MIN(1,Y152)))^2/$B$5))))</f>
        <v>0.837584579672132</v>
      </c>
      <c r="AA153" s="16" t="n">
        <f aca="false">IF(ABS(AA152-$B$11/$B$9*((MAX(0,MIN(1,AA152))^2/(MAX(0,MIN(1,AA152))^2+(1-MAX(0,MIN(1,AA152)))^2/$B$5))-(MAX(0,MIN(1,Z152))^2/(MAX(0,MIN(1,Z152))^2+(1-MAX(0,MIN(1,Z152)))^2/$B$5))))&lt;0.000000001,0,AA152-$B$11/$B$9*((MAX(0,MIN(1,AA152))^2/(MAX(0,MIN(1,AA152))^2+(1-MAX(0,MIN(1,AA152)))^2/$B$5))-(MAX(0,MIN(1,Z152))^2/(MAX(0,MIN(1,Z152))^2+(1-MAX(0,MIN(1,Z152)))^2/$B$5))))</f>
        <v>0.83044797556813</v>
      </c>
      <c r="AB153" s="16" t="n">
        <f aca="false">IF(ABS(AB152-$B$11/$B$9*((MAX(0,MIN(1,AB152))^2/(MAX(0,MIN(1,AB152))^2+(1-MAX(0,MIN(1,AB152)))^2/$B$5))-(MAX(0,MIN(1,AA152))^2/(MAX(0,MIN(1,AA152))^2+(1-MAX(0,MIN(1,AA152)))^2/$B$5))))&lt;0.000000001,0,AB152-$B$11/$B$9*((MAX(0,MIN(1,AB152))^2/(MAX(0,MIN(1,AB152))^2+(1-MAX(0,MIN(1,AB152)))^2/$B$5))-(MAX(0,MIN(1,AA152))^2/(MAX(0,MIN(1,AA152))^2+(1-MAX(0,MIN(1,AA152)))^2/$B$5))))</f>
        <v>0.823549678316882</v>
      </c>
      <c r="AC153" s="16" t="n">
        <f aca="false">IF(ABS(AC152-$B$11/$B$9*((MAX(0,MIN(1,AC152))^2/(MAX(0,MIN(1,AC152))^2+(1-MAX(0,MIN(1,AC152)))^2/$B$5))-(MAX(0,MIN(1,AB152))^2/(MAX(0,MIN(1,AB152))^2+(1-MAX(0,MIN(1,AB152)))^2/$B$5))))&lt;0.000000001,0,AC152-$B$11/$B$9*((MAX(0,MIN(1,AC152))^2/(MAX(0,MIN(1,AC152))^2+(1-MAX(0,MIN(1,AC152)))^2/$B$5))-(MAX(0,MIN(1,AB152))^2/(MAX(0,MIN(1,AB152))^2+(1-MAX(0,MIN(1,AB152)))^2/$B$5))))</f>
        <v>0.816871290200662</v>
      </c>
      <c r="AD153" s="16" t="n">
        <f aca="false">IF(ABS(AD152-$B$11/$B$9*((MAX(0,MIN(1,AD152))^2/(MAX(0,MIN(1,AD152))^2+(1-MAX(0,MIN(1,AD152)))^2/$B$5))-(MAX(0,MIN(1,AC152))^2/(MAX(0,MIN(1,AC152))^2+(1-MAX(0,MIN(1,AC152)))^2/$B$5))))&lt;0.000000001,0,AD152-$B$11/$B$9*((MAX(0,MIN(1,AD152))^2/(MAX(0,MIN(1,AD152))^2+(1-MAX(0,MIN(1,AD152)))^2/$B$5))-(MAX(0,MIN(1,AC152))^2/(MAX(0,MIN(1,AC152))^2+(1-MAX(0,MIN(1,AC152)))^2/$B$5))))</f>
        <v>0.8103964726826</v>
      </c>
      <c r="AE153" s="16" t="n">
        <f aca="false">IF(ABS(AE152-$B$11/$B$9*((MAX(0,MIN(1,AE152))^2/(MAX(0,MIN(1,AE152))^2+(1-MAX(0,MIN(1,AE152)))^2/$B$5))-(MAX(0,MIN(1,AD152))^2/(MAX(0,MIN(1,AD152))^2+(1-MAX(0,MIN(1,AD152)))^2/$B$5))))&lt;0.000000001,0,AE152-$B$11/$B$9*((MAX(0,MIN(1,AE152))^2/(MAX(0,MIN(1,AE152))^2+(1-MAX(0,MIN(1,AE152)))^2/$B$5))-(MAX(0,MIN(1,AD152))^2/(MAX(0,MIN(1,AD152))^2+(1-MAX(0,MIN(1,AD152)))^2/$B$5))))</f>
        <v>0.804110630762527</v>
      </c>
      <c r="AF153" s="16" t="n">
        <f aca="false">IF(ABS(AF152-$B$11/$B$9*((MAX(0,MIN(1,AF152))^2/(MAX(0,MIN(1,AF152))^2+(1-MAX(0,MIN(1,AF152)))^2/$B$5))-(MAX(0,MIN(1,AE152))^2/(MAX(0,MIN(1,AE152))^2+(1-MAX(0,MIN(1,AE152)))^2/$B$5))))&lt;0.000000001,0,AF152-$B$11/$B$9*((MAX(0,MIN(1,AF152))^2/(MAX(0,MIN(1,AF152))^2+(1-MAX(0,MIN(1,AF152)))^2/$B$5))-(MAX(0,MIN(1,AE152))^2/(MAX(0,MIN(1,AE152))^2+(1-MAX(0,MIN(1,AE152)))^2/$B$5))))</f>
        <v>0.798000658531043</v>
      </c>
    </row>
    <row r="154" customFormat="false" ht="15" hidden="false" customHeight="false" outlineLevel="0" collapsed="false">
      <c r="L154" s="0" t="n">
        <v>144</v>
      </c>
      <c r="M154" s="16" t="n">
        <f aca="false">IF(ABS(M153-$B$11/$B$9*((MAX(0,MIN(1,M153))^2/(MAX(0,MIN(1,M153))^2+(1-MAX(0,MIN(1,M153)))^2/$B$5))-(MAX(0,MIN(1,1))^2/(MAX(0,MIN(1,1))^2+(1-MAX(0,MIN(1,1)))^2/$B$5))))&lt;0.000000001,0,M153-$B$11/$B$9*((MAX(0,MIN(1,M153))^2/(MAX(0,MIN(1,M153))^2+(1-MAX(0,MIN(1,M153)))^2/$B$5))-(MAX(0,MIN(1,1))^2/(MAX(0,MIN(1,1))^2+(1-MAX(0,MIN(1,1)))^2/$B$5))))</f>
        <v>0.971539114942866</v>
      </c>
      <c r="N154" s="16" t="n">
        <f aca="false">IF(ABS(N153-$B$11/$B$9*((MAX(0,MIN(1,N153))^2/(MAX(0,MIN(1,N153))^2+(1-MAX(0,MIN(1,N153)))^2/$B$5))-(MAX(0,MIN(1,M153))^2/(MAX(0,MIN(1,M153))^2+(1-MAX(0,MIN(1,M153)))^2/$B$5))))&lt;0.000000001,0,N153-$B$11/$B$9*((MAX(0,MIN(1,N153))^2/(MAX(0,MIN(1,N153))^2+(1-MAX(0,MIN(1,N153)))^2/$B$5))-(MAX(0,MIN(1,M153))^2/(MAX(0,MIN(1,M153))^2+(1-MAX(0,MIN(1,M153)))^2/$B$5))))</f>
        <v>0.955635430053473</v>
      </c>
      <c r="O154" s="16" t="n">
        <f aca="false">IF(ABS(O153-$B$11/$B$9*((MAX(0,MIN(1,O153))^2/(MAX(0,MIN(1,O153))^2+(1-MAX(0,MIN(1,O153)))^2/$B$5))-(MAX(0,MIN(1,N153))^2/(MAX(0,MIN(1,N153))^2+(1-MAX(0,MIN(1,N153)))^2/$B$5))))&lt;0.000000001,0,O153-$B$11/$B$9*((MAX(0,MIN(1,O153))^2/(MAX(0,MIN(1,O153))^2+(1-MAX(0,MIN(1,O153)))^2/$B$5))-(MAX(0,MIN(1,N153))^2/(MAX(0,MIN(1,N153))^2+(1-MAX(0,MIN(1,N153)))^2/$B$5))))</f>
        <v>0.941861921615391</v>
      </c>
      <c r="P154" s="16" t="n">
        <f aca="false">IF(ABS(P153-$B$11/$B$9*((MAX(0,MIN(1,P153))^2/(MAX(0,MIN(1,P153))^2+(1-MAX(0,MIN(1,P153)))^2/$B$5))-(MAX(0,MIN(1,O153))^2/(MAX(0,MIN(1,O153))^2+(1-MAX(0,MIN(1,O153)))^2/$B$5))))&lt;0.000000001,0,P153-$B$11/$B$9*((MAX(0,MIN(1,P153))^2/(MAX(0,MIN(1,P153))^2+(1-MAX(0,MIN(1,P153)))^2/$B$5))-(MAX(0,MIN(1,O153))^2/(MAX(0,MIN(1,O153))^2+(1-MAX(0,MIN(1,O153)))^2/$B$5))))</f>
        <v>0.929382146028098</v>
      </c>
      <c r="Q154" s="16" t="n">
        <f aca="false">IF(ABS(Q153-$B$11/$B$9*((MAX(0,MIN(1,Q153))^2/(MAX(0,MIN(1,Q153))^2+(1-MAX(0,MIN(1,Q153)))^2/$B$5))-(MAX(0,MIN(1,P153))^2/(MAX(0,MIN(1,P153))^2+(1-MAX(0,MIN(1,P153)))^2/$B$5))))&lt;0.000000001,0,Q153-$B$11/$B$9*((MAX(0,MIN(1,Q153))^2/(MAX(0,MIN(1,Q153))^2+(1-MAX(0,MIN(1,Q153)))^2/$B$5))-(MAX(0,MIN(1,P153))^2/(MAX(0,MIN(1,P153))^2+(1-MAX(0,MIN(1,P153)))^2/$B$5))))</f>
        <v>0.91785587659342</v>
      </c>
      <c r="R154" s="16" t="n">
        <f aca="false">IF(ABS(R153-$B$11/$B$9*((MAX(0,MIN(1,R153))^2/(MAX(0,MIN(1,R153))^2+(1-MAX(0,MIN(1,R153)))^2/$B$5))-(MAX(0,MIN(1,Q153))^2/(MAX(0,MIN(1,Q153))^2+(1-MAX(0,MIN(1,Q153)))^2/$B$5))))&lt;0.000000001,0,R153-$B$11/$B$9*((MAX(0,MIN(1,R153))^2/(MAX(0,MIN(1,R153))^2+(1-MAX(0,MIN(1,R153)))^2/$B$5))-(MAX(0,MIN(1,Q153))^2/(MAX(0,MIN(1,Q153))^2+(1-MAX(0,MIN(1,Q153)))^2/$B$5))))</f>
        <v>0.907092227955049</v>
      </c>
      <c r="S154" s="16" t="n">
        <f aca="false">IF(ABS(S153-$B$11/$B$9*((MAX(0,MIN(1,S153))^2/(MAX(0,MIN(1,S153))^2+(1-MAX(0,MIN(1,S153)))^2/$B$5))-(MAX(0,MIN(1,R153))^2/(MAX(0,MIN(1,R153))^2+(1-MAX(0,MIN(1,R153)))^2/$B$5))))&lt;0.000000001,0,S153-$B$11/$B$9*((MAX(0,MIN(1,S153))^2/(MAX(0,MIN(1,S153))^2+(1-MAX(0,MIN(1,S153)))^2/$B$5))-(MAX(0,MIN(1,R153))^2/(MAX(0,MIN(1,R153))^2+(1-MAX(0,MIN(1,R153)))^2/$B$5))))</f>
        <v>0.896965686767213</v>
      </c>
      <c r="T154" s="16" t="n">
        <f aca="false">IF(ABS(T153-$B$11/$B$9*((MAX(0,MIN(1,T153))^2/(MAX(0,MIN(1,T153))^2+(1-MAX(0,MIN(1,T153)))^2/$B$5))-(MAX(0,MIN(1,S153))^2/(MAX(0,MIN(1,S153))^2+(1-MAX(0,MIN(1,S153)))^2/$B$5))))&lt;0.000000001,0,T153-$B$11/$B$9*((MAX(0,MIN(1,T153))^2/(MAX(0,MIN(1,T153))^2+(1-MAX(0,MIN(1,T153)))^2/$B$5))-(MAX(0,MIN(1,S153))^2/(MAX(0,MIN(1,S153))^2+(1-MAX(0,MIN(1,S153)))^2/$B$5))))</f>
        <v>0.887385792479764</v>
      </c>
      <c r="U154" s="16" t="n">
        <f aca="false">IF(ABS(U153-$B$11/$B$9*((MAX(0,MIN(1,U153))^2/(MAX(0,MIN(1,U153))^2+(1-MAX(0,MIN(1,U153)))^2/$B$5))-(MAX(0,MIN(1,T153))^2/(MAX(0,MIN(1,T153))^2+(1-MAX(0,MIN(1,T153)))^2/$B$5))))&lt;0.000000001,0,U153-$B$11/$B$9*((MAX(0,MIN(1,U153))^2/(MAX(0,MIN(1,U153))^2+(1-MAX(0,MIN(1,U153)))^2/$B$5))-(MAX(0,MIN(1,T153))^2/(MAX(0,MIN(1,T153))^2+(1-MAX(0,MIN(1,T153)))^2/$B$5))))</f>
        <v>0.878283449952607</v>
      </c>
      <c r="V154" s="16" t="n">
        <f aca="false">IF(ABS(V153-$B$11/$B$9*((MAX(0,MIN(1,V153))^2/(MAX(0,MIN(1,V153))^2+(1-MAX(0,MIN(1,V153)))^2/$B$5))-(MAX(0,MIN(1,U153))^2/(MAX(0,MIN(1,U153))^2+(1-MAX(0,MIN(1,U153)))^2/$B$5))))&lt;0.000000001,0,V153-$B$11/$B$9*((MAX(0,MIN(1,V153))^2/(MAX(0,MIN(1,V153))^2+(1-MAX(0,MIN(1,V153)))^2/$B$5))-(MAX(0,MIN(1,U153))^2/(MAX(0,MIN(1,U153))^2+(1-MAX(0,MIN(1,U153)))^2/$B$5))))</f>
        <v>0.869603770175837</v>
      </c>
      <c r="W154" s="16" t="n">
        <f aca="false">IF(ABS(W153-$B$11/$B$9*((MAX(0,MIN(1,W153))^2/(MAX(0,MIN(1,W153))^2+(1-MAX(0,MIN(1,W153)))^2/$B$5))-(MAX(0,MIN(1,V153))^2/(MAX(0,MIN(1,V153))^2+(1-MAX(0,MIN(1,V153)))^2/$B$5))))&lt;0.000000001,0,W153-$B$11/$B$9*((MAX(0,MIN(1,W153))^2/(MAX(0,MIN(1,W153))^2+(1-MAX(0,MIN(1,W153)))^2/$B$5))-(MAX(0,MIN(1,V153))^2/(MAX(0,MIN(1,V153))^2+(1-MAX(0,MIN(1,V153)))^2/$B$5))))</f>
        <v>0.8613019115093</v>
      </c>
      <c r="X154" s="16" t="n">
        <f aca="false">IF(ABS(X153-$B$11/$B$9*((MAX(0,MIN(1,X153))^2/(MAX(0,MIN(1,X153))^2+(1-MAX(0,MIN(1,X153)))^2/$B$5))-(MAX(0,MIN(1,W153))^2/(MAX(0,MIN(1,W153))^2+(1-MAX(0,MIN(1,W153)))^2/$B$5))))&lt;0.000000001,0,X153-$B$11/$B$9*((MAX(0,MIN(1,X153))^2/(MAX(0,MIN(1,X153))^2+(1-MAX(0,MIN(1,X153)))^2/$B$5))-(MAX(0,MIN(1,W153))^2/(MAX(0,MIN(1,W153))^2+(1-MAX(0,MIN(1,W153)))^2/$B$5))))</f>
        <v>0.85334046788891</v>
      </c>
      <c r="Y154" s="16" t="n">
        <f aca="false">IF(ABS(Y153-$B$11/$B$9*((MAX(0,MIN(1,Y153))^2/(MAX(0,MIN(1,Y153))^2+(1-MAX(0,MIN(1,Y153)))^2/$B$5))-(MAX(0,MIN(1,X153))^2/(MAX(0,MIN(1,X153))^2+(1-MAX(0,MIN(1,X153)))^2/$B$5))))&lt;0.000000001,0,Y153-$B$11/$B$9*((MAX(0,MIN(1,Y153))^2/(MAX(0,MIN(1,Y153))^2+(1-MAX(0,MIN(1,Y153)))^2/$B$5))-(MAX(0,MIN(1,X153))^2/(MAX(0,MIN(1,X153))^2+(1-MAX(0,MIN(1,X153)))^2/$B$5))))</f>
        <v>0.845687727691553</v>
      </c>
      <c r="Z154" s="16" t="n">
        <f aca="false">IF(ABS(Z153-$B$11/$B$9*((MAX(0,MIN(1,Z153))^2/(MAX(0,MIN(1,Z153))^2+(1-MAX(0,MIN(1,Z153)))^2/$B$5))-(MAX(0,MIN(1,Y153))^2/(MAX(0,MIN(1,Y153))^2+(1-MAX(0,MIN(1,Y153)))^2/$B$5))))&lt;0.000000001,0,Z153-$B$11/$B$9*((MAX(0,MIN(1,Z153))^2/(MAX(0,MIN(1,Z153))^2+(1-MAX(0,MIN(1,Z153)))^2/$B$5))-(MAX(0,MIN(1,Y153))^2/(MAX(0,MIN(1,Y153))^2+(1-MAX(0,MIN(1,Y153)))^2/$B$5))))</f>
        <v>0.838316457635807</v>
      </c>
      <c r="AA154" s="16" t="n">
        <f aca="false">IF(ABS(AA153-$B$11/$B$9*((MAX(0,MIN(1,AA153))^2/(MAX(0,MIN(1,AA153))^2+(1-MAX(0,MIN(1,AA153)))^2/$B$5))-(MAX(0,MIN(1,Z153))^2/(MAX(0,MIN(1,Z153))^2+(1-MAX(0,MIN(1,Z153)))^2/$B$5))))&lt;0.000000001,0,AA153-$B$11/$B$9*((MAX(0,MIN(1,AA153))^2/(MAX(0,MIN(1,AA153))^2+(1-MAX(0,MIN(1,AA153)))^2/$B$5))-(MAX(0,MIN(1,Z153))^2/(MAX(0,MIN(1,Z153))^2+(1-MAX(0,MIN(1,Z153)))^2/$B$5))))</f>
        <v>0.831203021345535</v>
      </c>
      <c r="AB154" s="16" t="n">
        <f aca="false">IF(ABS(AB153-$B$11/$B$9*((MAX(0,MIN(1,AB153))^2/(MAX(0,MIN(1,AB153))^2+(1-MAX(0,MIN(1,AB153)))^2/$B$5))-(MAX(0,MIN(1,AA153))^2/(MAX(0,MIN(1,AA153))^2+(1-MAX(0,MIN(1,AA153)))^2/$B$5))))&lt;0.000000001,0,AB153-$B$11/$B$9*((MAX(0,MIN(1,AB153))^2/(MAX(0,MIN(1,AB153))^2+(1-MAX(0,MIN(1,AB153)))^2/$B$5))-(MAX(0,MIN(1,AA153))^2/(MAX(0,MIN(1,AA153))^2+(1-MAX(0,MIN(1,AA153)))^2/$B$5))))</f>
        <v>0.824326721093536</v>
      </c>
      <c r="AC154" s="16" t="n">
        <f aca="false">IF(ABS(AC153-$B$11/$B$9*((MAX(0,MIN(1,AC153))^2/(MAX(0,MIN(1,AC153))^2+(1-MAX(0,MIN(1,AC153)))^2/$B$5))-(MAX(0,MIN(1,AB153))^2/(MAX(0,MIN(1,AB153))^2+(1-MAX(0,MIN(1,AB153)))^2/$B$5))))&lt;0.000000001,0,AC153-$B$11/$B$9*((MAX(0,MIN(1,AC153))^2/(MAX(0,MIN(1,AC153))^2+(1-MAX(0,MIN(1,AC153)))^2/$B$5))-(MAX(0,MIN(1,AB153))^2/(MAX(0,MIN(1,AB153))^2+(1-MAX(0,MIN(1,AB153)))^2/$B$5))))</f>
        <v>0.817669294033165</v>
      </c>
      <c r="AD154" s="16" t="n">
        <f aca="false">IF(ABS(AD153-$B$11/$B$9*((MAX(0,MIN(1,AD153))^2/(MAX(0,MIN(1,AD153))^2+(1-MAX(0,MIN(1,AD153)))^2/$B$5))-(MAX(0,MIN(1,AC153))^2/(MAX(0,MIN(1,AC153))^2+(1-MAX(0,MIN(1,AC153)))^2/$B$5))))&lt;0.000000001,0,AD153-$B$11/$B$9*((MAX(0,MIN(1,AD153))^2/(MAX(0,MIN(1,AD153))^2+(1-MAX(0,MIN(1,AD153)))^2/$B$5))-(MAX(0,MIN(1,AC153))^2/(MAX(0,MIN(1,AC153))^2+(1-MAX(0,MIN(1,AC153)))^2/$B$5))))</f>
        <v>0.811214518742691</v>
      </c>
      <c r="AE154" s="16" t="n">
        <f aca="false">IF(ABS(AE153-$B$11/$B$9*((MAX(0,MIN(1,AE153))^2/(MAX(0,MIN(1,AE153))^2+(1-MAX(0,MIN(1,AE153)))^2/$B$5))-(MAX(0,MIN(1,AD153))^2/(MAX(0,MIN(1,AD153))^2+(1-MAX(0,MIN(1,AD153)))^2/$B$5))))&lt;0.000000001,0,AE153-$B$11/$B$9*((MAX(0,MIN(1,AE153))^2/(MAX(0,MIN(1,AE153))^2+(1-MAX(0,MIN(1,AE153)))^2/$B$5))-(MAX(0,MIN(1,AD153))^2/(MAX(0,MIN(1,AD153))^2+(1-MAX(0,MIN(1,AD153)))^2/$B$5))))</f>
        <v>0.804947902623804</v>
      </c>
      <c r="AF154" s="16" t="n">
        <f aca="false">IF(ABS(AF153-$B$11/$B$9*((MAX(0,MIN(1,AF153))^2/(MAX(0,MIN(1,AF153))^2+(1-MAX(0,MIN(1,AF153)))^2/$B$5))-(MAX(0,MIN(1,AE153))^2/(MAX(0,MIN(1,AE153))^2+(1-MAX(0,MIN(1,AE153)))^2/$B$5))))&lt;0.000000001,0,AF153-$B$11/$B$9*((MAX(0,MIN(1,AF153))^2/(MAX(0,MIN(1,AF153))^2+(1-MAX(0,MIN(1,AF153)))^2/$B$5))-(MAX(0,MIN(1,AE153))^2/(MAX(0,MIN(1,AE153))^2+(1-MAX(0,MIN(1,AE153)))^2/$B$5))))</f>
        <v>0.798856429890487</v>
      </c>
    </row>
    <row r="155" customFormat="false" ht="15" hidden="false" customHeight="false" outlineLevel="0" collapsed="false">
      <c r="L155" s="0" t="n">
        <v>145</v>
      </c>
      <c r="M155" s="16" t="n">
        <f aca="false">IF(ABS(M154-$B$11/$B$9*((MAX(0,MIN(1,M154))^2/(MAX(0,MIN(1,M154))^2+(1-MAX(0,MIN(1,M154)))^2/$B$5))-(MAX(0,MIN(1,1))^2/(MAX(0,MIN(1,1))^2+(1-MAX(0,MIN(1,1)))^2/$B$5))))&lt;0.000000001,0,M154-$B$11/$B$9*((MAX(0,MIN(1,M154))^2/(MAX(0,MIN(1,M154))^2+(1-MAX(0,MIN(1,M154)))^2/$B$5))-(MAX(0,MIN(1,1))^2/(MAX(0,MIN(1,1))^2+(1-MAX(0,MIN(1,1)))^2/$B$5))))</f>
        <v>0.971704041923463</v>
      </c>
      <c r="N155" s="16" t="n">
        <f aca="false">IF(ABS(N154-$B$11/$B$9*((MAX(0,MIN(1,N154))^2/(MAX(0,MIN(1,N154))^2+(1-MAX(0,MIN(1,N154)))^2/$B$5))-(MAX(0,MIN(1,M154))^2/(MAX(0,MIN(1,M154))^2+(1-MAX(0,MIN(1,M154)))^2/$B$5))))&lt;0.000000001,0,N154-$B$11/$B$9*((MAX(0,MIN(1,N154))^2/(MAX(0,MIN(1,N154))^2+(1-MAX(0,MIN(1,N154)))^2/$B$5))-(MAX(0,MIN(1,M154))^2/(MAX(0,MIN(1,M154))^2+(1-MAX(0,MIN(1,M154)))^2/$B$5))))</f>
        <v>0.955884428512581</v>
      </c>
      <c r="O155" s="16" t="n">
        <f aca="false">IF(ABS(O154-$B$11/$B$9*((MAX(0,MIN(1,O154))^2/(MAX(0,MIN(1,O154))^2+(1-MAX(0,MIN(1,O154)))^2/$B$5))-(MAX(0,MIN(1,N154))^2/(MAX(0,MIN(1,N154))^2+(1-MAX(0,MIN(1,N154)))^2/$B$5))))&lt;0.000000001,0,O154-$B$11/$B$9*((MAX(0,MIN(1,O154))^2/(MAX(0,MIN(1,O154))^2+(1-MAX(0,MIN(1,O154)))^2/$B$5))-(MAX(0,MIN(1,N154))^2/(MAX(0,MIN(1,N154))^2+(1-MAX(0,MIN(1,N154)))^2/$B$5))))</f>
        <v>0.94217917243007</v>
      </c>
      <c r="P155" s="16" t="n">
        <f aca="false">IF(ABS(P154-$B$11/$B$9*((MAX(0,MIN(1,P154))^2/(MAX(0,MIN(1,P154))^2+(1-MAX(0,MIN(1,P154)))^2/$B$5))-(MAX(0,MIN(1,O154))^2/(MAX(0,MIN(1,O154))^2+(1-MAX(0,MIN(1,O154)))^2/$B$5))))&lt;0.000000001,0,P154-$B$11/$B$9*((MAX(0,MIN(1,P154))^2/(MAX(0,MIN(1,P154))^2+(1-MAX(0,MIN(1,P154)))^2/$B$5))-(MAX(0,MIN(1,O154))^2/(MAX(0,MIN(1,O154))^2+(1-MAX(0,MIN(1,O154)))^2/$B$5))))</f>
        <v>0.929757823624598</v>
      </c>
      <c r="Q155" s="16" t="n">
        <f aca="false">IF(ABS(Q154-$B$11/$B$9*((MAX(0,MIN(1,Q154))^2/(MAX(0,MIN(1,Q154))^2+(1-MAX(0,MIN(1,Q154)))^2/$B$5))-(MAX(0,MIN(1,P154))^2/(MAX(0,MIN(1,P154))^2+(1-MAX(0,MIN(1,P154)))^2/$B$5))))&lt;0.000000001,0,Q154-$B$11/$B$9*((MAX(0,MIN(1,Q154))^2/(MAX(0,MIN(1,Q154))^2+(1-MAX(0,MIN(1,Q154)))^2/$B$5))-(MAX(0,MIN(1,P154))^2/(MAX(0,MIN(1,P154))^2+(1-MAX(0,MIN(1,P154)))^2/$B$5))))</f>
        <v>0.918282827385012</v>
      </c>
      <c r="R155" s="16" t="n">
        <f aca="false">IF(ABS(R154-$B$11/$B$9*((MAX(0,MIN(1,R154))^2/(MAX(0,MIN(1,R154))^2+(1-MAX(0,MIN(1,R154)))^2/$B$5))-(MAX(0,MIN(1,Q154))^2/(MAX(0,MIN(1,Q154))^2+(1-MAX(0,MIN(1,Q154)))^2/$B$5))))&lt;0.000000001,0,R154-$B$11/$B$9*((MAX(0,MIN(1,R154))^2/(MAX(0,MIN(1,R154))^2+(1-MAX(0,MIN(1,R154)))^2/$B$5))-(MAX(0,MIN(1,Q154))^2/(MAX(0,MIN(1,Q154))^2+(1-MAX(0,MIN(1,Q154)))^2/$B$5))))</f>
        <v>0.907564885318916</v>
      </c>
      <c r="S155" s="16" t="n">
        <f aca="false">IF(ABS(S154-$B$11/$B$9*((MAX(0,MIN(1,S154))^2/(MAX(0,MIN(1,S154))^2+(1-MAX(0,MIN(1,S154)))^2/$B$5))-(MAX(0,MIN(1,R154))^2/(MAX(0,MIN(1,R154))^2+(1-MAX(0,MIN(1,R154)))^2/$B$5))))&lt;0.000000001,0,S154-$B$11/$B$9*((MAX(0,MIN(1,S154))^2/(MAX(0,MIN(1,S154))^2+(1-MAX(0,MIN(1,S154)))^2/$B$5))-(MAX(0,MIN(1,R154))^2/(MAX(0,MIN(1,R154))^2+(1-MAX(0,MIN(1,R154)))^2/$B$5))))</f>
        <v>0.897479558387157</v>
      </c>
      <c r="T155" s="16" t="n">
        <f aca="false">IF(ABS(T154-$B$11/$B$9*((MAX(0,MIN(1,T154))^2/(MAX(0,MIN(1,T154))^2+(1-MAX(0,MIN(1,T154)))^2/$B$5))-(MAX(0,MIN(1,S154))^2/(MAX(0,MIN(1,S154))^2+(1-MAX(0,MIN(1,S154)))^2/$B$5))))&lt;0.000000001,0,T154-$B$11/$B$9*((MAX(0,MIN(1,T154))^2/(MAX(0,MIN(1,T154))^2+(1-MAX(0,MIN(1,T154)))^2/$B$5))-(MAX(0,MIN(1,S154))^2/(MAX(0,MIN(1,S154))^2+(1-MAX(0,MIN(1,S154)))^2/$B$5))))</f>
        <v>0.887937167836337</v>
      </c>
      <c r="U155" s="16" t="n">
        <f aca="false">IF(ABS(U154-$B$11/$B$9*((MAX(0,MIN(1,U154))^2/(MAX(0,MIN(1,U154))^2+(1-MAX(0,MIN(1,U154)))^2/$B$5))-(MAX(0,MIN(1,T154))^2/(MAX(0,MIN(1,T154))^2+(1-MAX(0,MIN(1,T154)))^2/$B$5))))&lt;0.000000001,0,U154-$B$11/$B$9*((MAX(0,MIN(1,U154))^2/(MAX(0,MIN(1,U154))^2+(1-MAX(0,MIN(1,U154)))^2/$B$5))-(MAX(0,MIN(1,T154))^2/(MAX(0,MIN(1,T154))^2+(1-MAX(0,MIN(1,T154)))^2/$B$5))))</f>
        <v>0.878869213739104</v>
      </c>
      <c r="V155" s="16" t="n">
        <f aca="false">IF(ABS(V154-$B$11/$B$9*((MAX(0,MIN(1,V154))^2/(MAX(0,MIN(1,V154))^2+(1-MAX(0,MIN(1,V154)))^2/$B$5))-(MAX(0,MIN(1,U154))^2/(MAX(0,MIN(1,U154))^2+(1-MAX(0,MIN(1,U154)))^2/$B$5))))&lt;0.000000001,0,V154-$B$11/$B$9*((MAX(0,MIN(1,V154))^2/(MAX(0,MIN(1,V154))^2+(1-MAX(0,MIN(1,V154)))^2/$B$5))-(MAX(0,MIN(1,U154))^2/(MAX(0,MIN(1,U154))^2+(1-MAX(0,MIN(1,U154)))^2/$B$5))))</f>
        <v>0.870221274454338</v>
      </c>
      <c r="W155" s="16" t="n">
        <f aca="false">IF(ABS(W154-$B$11/$B$9*((MAX(0,MIN(1,W154))^2/(MAX(0,MIN(1,W154))^2+(1-MAX(0,MIN(1,W154)))^2/$B$5))-(MAX(0,MIN(1,V154))^2/(MAX(0,MIN(1,V154))^2+(1-MAX(0,MIN(1,V154)))^2/$B$5))))&lt;0.000000001,0,W154-$B$11/$B$9*((MAX(0,MIN(1,W154))^2/(MAX(0,MIN(1,W154))^2+(1-MAX(0,MIN(1,W154)))^2/$B$5))-(MAX(0,MIN(1,V154))^2/(MAX(0,MIN(1,V154))^2+(1-MAX(0,MIN(1,V154)))^2/$B$5))))</f>
        <v>0.861948883727131</v>
      </c>
      <c r="X155" s="16" t="n">
        <f aca="false">IF(ABS(X154-$B$11/$B$9*((MAX(0,MIN(1,X154))^2/(MAX(0,MIN(1,X154))^2+(1-MAX(0,MIN(1,X154)))^2/$B$5))-(MAX(0,MIN(1,W154))^2/(MAX(0,MIN(1,W154))^2+(1-MAX(0,MIN(1,W154)))^2/$B$5))))&lt;0.000000001,0,X154-$B$11/$B$9*((MAX(0,MIN(1,X154))^2/(MAX(0,MIN(1,X154))^2+(1-MAX(0,MIN(1,X154)))^2/$B$5))-(MAX(0,MIN(1,W154))^2/(MAX(0,MIN(1,W154))^2+(1-MAX(0,MIN(1,W154)))^2/$B$5))))</f>
        <v>0.854014942328315</v>
      </c>
      <c r="Y155" s="16" t="n">
        <f aca="false">IF(ABS(Y154-$B$11/$B$9*((MAX(0,MIN(1,Y154))^2/(MAX(0,MIN(1,Y154))^2+(1-MAX(0,MIN(1,Y154)))^2/$B$5))-(MAX(0,MIN(1,X154))^2/(MAX(0,MIN(1,X154))^2+(1-MAX(0,MIN(1,X154)))^2/$B$5))))&lt;0.000000001,0,Y154-$B$11/$B$9*((MAX(0,MIN(1,Y154))^2/(MAX(0,MIN(1,Y154))^2+(1-MAX(0,MIN(1,Y154)))^2/$B$5))-(MAX(0,MIN(1,X154))^2/(MAX(0,MIN(1,X154))^2+(1-MAX(0,MIN(1,X154)))^2/$B$5))))</f>
        <v>0.846387993014854</v>
      </c>
      <c r="Z155" s="16" t="n">
        <f aca="false">IF(ABS(Z154-$B$11/$B$9*((MAX(0,MIN(1,Z154))^2/(MAX(0,MIN(1,Z154))^2+(1-MAX(0,MIN(1,Z154)))^2/$B$5))-(MAX(0,MIN(1,Y154))^2/(MAX(0,MIN(1,Y154))^2+(1-MAX(0,MIN(1,Y154)))^2/$B$5))))&lt;0.000000001,0,Z154-$B$11/$B$9*((MAX(0,MIN(1,Z154))^2/(MAX(0,MIN(1,Z154))^2+(1-MAX(0,MIN(1,Z154)))^2/$B$5))-(MAX(0,MIN(1,Y154))^2/(MAX(0,MIN(1,Y154))^2+(1-MAX(0,MIN(1,Y154)))^2/$B$5))))</f>
        <v>0.839041015911478</v>
      </c>
      <c r="AA155" s="16" t="n">
        <f aca="false">IF(ABS(AA154-$B$11/$B$9*((MAX(0,MIN(1,AA154))^2/(MAX(0,MIN(1,AA154))^2+(1-MAX(0,MIN(1,AA154)))^2/$B$5))-(MAX(0,MIN(1,Z154))^2/(MAX(0,MIN(1,Z154))^2+(1-MAX(0,MIN(1,Z154)))^2/$B$5))))&lt;0.000000001,0,AA154-$B$11/$B$9*((MAX(0,MIN(1,AA154))^2/(MAX(0,MIN(1,AA154))^2+(1-MAX(0,MIN(1,AA154)))^2/$B$5))-(MAX(0,MIN(1,Z154))^2/(MAX(0,MIN(1,Z154))^2+(1-MAX(0,MIN(1,Z154)))^2/$B$5))))</f>
        <v>0.831950555508456</v>
      </c>
      <c r="AB155" s="16" t="n">
        <f aca="false">IF(ABS(AB154-$B$11/$B$9*((MAX(0,MIN(1,AB154))^2/(MAX(0,MIN(1,AB154))^2+(1-MAX(0,MIN(1,AB154)))^2/$B$5))-(MAX(0,MIN(1,AA154))^2/(MAX(0,MIN(1,AA154))^2+(1-MAX(0,MIN(1,AA154)))^2/$B$5))))&lt;0.000000001,0,AB154-$B$11/$B$9*((MAX(0,MIN(1,AB154))^2/(MAX(0,MIN(1,AB154))^2+(1-MAX(0,MIN(1,AB154)))^2/$B$5))-(MAX(0,MIN(1,AA154))^2/(MAX(0,MIN(1,AA154))^2+(1-MAX(0,MIN(1,AA154)))^2/$B$5))))</f>
        <v>0.825096068749298</v>
      </c>
      <c r="AC155" s="16" t="n">
        <f aca="false">IF(ABS(AC154-$B$11/$B$9*((MAX(0,MIN(1,AC154))^2/(MAX(0,MIN(1,AC154))^2+(1-MAX(0,MIN(1,AC154)))^2/$B$5))-(MAX(0,MIN(1,AB154))^2/(MAX(0,MIN(1,AB154))^2+(1-MAX(0,MIN(1,AB154)))^2/$B$5))))&lt;0.000000001,0,AC154-$B$11/$B$9*((MAX(0,MIN(1,AC154))^2/(MAX(0,MIN(1,AC154))^2+(1-MAX(0,MIN(1,AC154)))^2/$B$5))-(MAX(0,MIN(1,AB154))^2/(MAX(0,MIN(1,AB154))^2+(1-MAX(0,MIN(1,AB154)))^2/$B$5))))</f>
        <v>0.818459426127845</v>
      </c>
      <c r="AD155" s="16" t="n">
        <f aca="false">IF(ABS(AD154-$B$11/$B$9*((MAX(0,MIN(1,AD154))^2/(MAX(0,MIN(1,AD154))^2+(1-MAX(0,MIN(1,AD154)))^2/$B$5))-(MAX(0,MIN(1,AC154))^2/(MAX(0,MIN(1,AC154))^2+(1-MAX(0,MIN(1,AC154)))^2/$B$5))))&lt;0.000000001,0,AD154-$B$11/$B$9*((MAX(0,MIN(1,AD154))^2/(MAX(0,MIN(1,AD154))^2+(1-MAX(0,MIN(1,AD154)))^2/$B$5))-(MAX(0,MIN(1,AC154))^2/(MAX(0,MIN(1,AC154))^2+(1-MAX(0,MIN(1,AC154)))^2/$B$5))))</f>
        <v>0.812024522025586</v>
      </c>
      <c r="AE155" s="16" t="n">
        <f aca="false">IF(ABS(AE154-$B$11/$B$9*((MAX(0,MIN(1,AE154))^2/(MAX(0,MIN(1,AE154))^2+(1-MAX(0,MIN(1,AE154)))^2/$B$5))-(MAX(0,MIN(1,AD154))^2/(MAX(0,MIN(1,AD154))^2+(1-MAX(0,MIN(1,AD154)))^2/$B$5))))&lt;0.000000001,0,AE154-$B$11/$B$9*((MAX(0,MIN(1,AE154))^2/(MAX(0,MIN(1,AE154))^2+(1-MAX(0,MIN(1,AE154)))^2/$B$5))-(MAX(0,MIN(1,AD154))^2/(MAX(0,MIN(1,AD154))^2+(1-MAX(0,MIN(1,AD154)))^2/$B$5))))</f>
        <v>0.805776965108862</v>
      </c>
      <c r="AF155" s="16" t="n">
        <f aca="false">IF(ABS(AF154-$B$11/$B$9*((MAX(0,MIN(1,AF154))^2/(MAX(0,MIN(1,AF154))^2+(1-MAX(0,MIN(1,AF154)))^2/$B$5))-(MAX(0,MIN(1,AE154))^2/(MAX(0,MIN(1,AE154))^2+(1-MAX(0,MIN(1,AE154)))^2/$B$5))))&lt;0.000000001,0,AF154-$B$11/$B$9*((MAX(0,MIN(1,AF154))^2/(MAX(0,MIN(1,AF154))^2+(1-MAX(0,MIN(1,AF154)))^2/$B$5))-(MAX(0,MIN(1,AE154))^2/(MAX(0,MIN(1,AE154))^2+(1-MAX(0,MIN(1,AE154)))^2/$B$5))))</f>
        <v>0.799703828717841</v>
      </c>
    </row>
    <row r="156" customFormat="false" ht="15" hidden="false" customHeight="false" outlineLevel="0" collapsed="false">
      <c r="L156" s="0" t="n">
        <v>146</v>
      </c>
      <c r="M156" s="16" t="n">
        <f aca="false">IF(ABS(M155-$B$11/$B$9*((MAX(0,MIN(1,M155))^2/(MAX(0,MIN(1,M155))^2+(1-MAX(0,MIN(1,M155)))^2/$B$5))-(MAX(0,MIN(1,1))^2/(MAX(0,MIN(1,1))^2+(1-MAX(0,MIN(1,1)))^2/$B$5))))&lt;0.000000001,0,M155-$B$11/$B$9*((MAX(0,MIN(1,M155))^2/(MAX(0,MIN(1,M155))^2+(1-MAX(0,MIN(1,M155)))^2/$B$5))-(MAX(0,MIN(1,1))^2/(MAX(0,MIN(1,1))^2+(1-MAX(0,MIN(1,1)))^2/$B$5))))</f>
        <v>0.971867008480153</v>
      </c>
      <c r="N156" s="16" t="n">
        <f aca="false">IF(ABS(N155-$B$11/$B$9*((MAX(0,MIN(1,N155))^2/(MAX(0,MIN(1,N155))^2+(1-MAX(0,MIN(1,N155)))^2/$B$5))-(MAX(0,MIN(1,M155))^2/(MAX(0,MIN(1,M155))^2+(1-MAX(0,MIN(1,M155)))^2/$B$5))))&lt;0.000000001,0,N155-$B$11/$B$9*((MAX(0,MIN(1,N155))^2/(MAX(0,MIN(1,N155))^2+(1-MAX(0,MIN(1,N155)))^2/$B$5))-(MAX(0,MIN(1,M155))^2/(MAX(0,MIN(1,M155))^2+(1-MAX(0,MIN(1,M155)))^2/$B$5))))</f>
        <v>0.956130546029016</v>
      </c>
      <c r="O156" s="16" t="n">
        <f aca="false">IF(ABS(O155-$B$11/$B$9*((MAX(0,MIN(1,O155))^2/(MAX(0,MIN(1,O155))^2+(1-MAX(0,MIN(1,O155)))^2/$B$5))-(MAX(0,MIN(1,N155))^2/(MAX(0,MIN(1,N155))^2+(1-MAX(0,MIN(1,N155)))^2/$B$5))))&lt;0.000000001,0,O155-$B$11/$B$9*((MAX(0,MIN(1,O155))^2/(MAX(0,MIN(1,O155))^2+(1-MAX(0,MIN(1,O155)))^2/$B$5))-(MAX(0,MIN(1,N155))^2/(MAX(0,MIN(1,N155))^2+(1-MAX(0,MIN(1,N155)))^2/$B$5))))</f>
        <v>0.942492835454838</v>
      </c>
      <c r="P156" s="16" t="n">
        <f aca="false">IF(ABS(P155-$B$11/$B$9*((MAX(0,MIN(1,P155))^2/(MAX(0,MIN(1,P155))^2+(1-MAX(0,MIN(1,P155)))^2/$B$5))-(MAX(0,MIN(1,O155))^2/(MAX(0,MIN(1,O155))^2+(1-MAX(0,MIN(1,O155)))^2/$B$5))))&lt;0.000000001,0,P155-$B$11/$B$9*((MAX(0,MIN(1,P155))^2/(MAX(0,MIN(1,P155))^2+(1-MAX(0,MIN(1,P155)))^2/$B$5))-(MAX(0,MIN(1,O155))^2/(MAX(0,MIN(1,O155))^2+(1-MAX(0,MIN(1,O155)))^2/$B$5))))</f>
        <v>0.930129336213865</v>
      </c>
      <c r="Q156" s="16" t="n">
        <f aca="false">IF(ABS(Q155-$B$11/$B$9*((MAX(0,MIN(1,Q155))^2/(MAX(0,MIN(1,Q155))^2+(1-MAX(0,MIN(1,Q155)))^2/$B$5))-(MAX(0,MIN(1,P155))^2/(MAX(0,MIN(1,P155))^2+(1-MAX(0,MIN(1,P155)))^2/$B$5))))&lt;0.000000001,0,Q155-$B$11/$B$9*((MAX(0,MIN(1,Q155))^2/(MAX(0,MIN(1,Q155))^2+(1-MAX(0,MIN(1,Q155)))^2/$B$5))-(MAX(0,MIN(1,P155))^2/(MAX(0,MIN(1,P155))^2+(1-MAX(0,MIN(1,P155)))^2/$B$5))))</f>
        <v>0.918705126757437</v>
      </c>
      <c r="R156" s="16" t="n">
        <f aca="false">IF(ABS(R155-$B$11/$B$9*((MAX(0,MIN(1,R155))^2/(MAX(0,MIN(1,R155))^2+(1-MAX(0,MIN(1,R155)))^2/$B$5))-(MAX(0,MIN(1,Q155))^2/(MAX(0,MIN(1,Q155))^2+(1-MAX(0,MIN(1,Q155)))^2/$B$5))))&lt;0.000000001,0,R155-$B$11/$B$9*((MAX(0,MIN(1,R155))^2/(MAX(0,MIN(1,R155))^2+(1-MAX(0,MIN(1,R155)))^2/$B$5))-(MAX(0,MIN(1,Q155))^2/(MAX(0,MIN(1,Q155))^2+(1-MAX(0,MIN(1,Q155)))^2/$B$5))))</f>
        <v>0.908032472490378</v>
      </c>
      <c r="S156" s="16" t="n">
        <f aca="false">IF(ABS(S155-$B$11/$B$9*((MAX(0,MIN(1,S155))^2/(MAX(0,MIN(1,S155))^2+(1-MAX(0,MIN(1,S155)))^2/$B$5))-(MAX(0,MIN(1,R155))^2/(MAX(0,MIN(1,R155))^2+(1-MAX(0,MIN(1,R155)))^2/$B$5))))&lt;0.000000001,0,S155-$B$11/$B$9*((MAX(0,MIN(1,S155))^2/(MAX(0,MIN(1,S155))^2+(1-MAX(0,MIN(1,S155)))^2/$B$5))-(MAX(0,MIN(1,R155))^2/(MAX(0,MIN(1,R155))^2+(1-MAX(0,MIN(1,R155)))^2/$B$5))))</f>
        <v>0.897987993192854</v>
      </c>
      <c r="T156" s="16" t="n">
        <f aca="false">IF(ABS(T155-$B$11/$B$9*((MAX(0,MIN(1,T155))^2/(MAX(0,MIN(1,T155))^2+(1-MAX(0,MIN(1,T155)))^2/$B$5))-(MAX(0,MIN(1,S155))^2/(MAX(0,MIN(1,S155))^2+(1-MAX(0,MIN(1,S155)))^2/$B$5))))&lt;0.000000001,0,T155-$B$11/$B$9*((MAX(0,MIN(1,T155))^2/(MAX(0,MIN(1,T155))^2+(1-MAX(0,MIN(1,T155)))^2/$B$5))-(MAX(0,MIN(1,S155))^2/(MAX(0,MIN(1,S155))^2+(1-MAX(0,MIN(1,S155)))^2/$B$5))))</f>
        <v>0.888482780878767</v>
      </c>
      <c r="U156" s="16" t="n">
        <f aca="false">IF(ABS(U155-$B$11/$B$9*((MAX(0,MIN(1,U155))^2/(MAX(0,MIN(1,U155))^2+(1-MAX(0,MIN(1,U155)))^2/$B$5))-(MAX(0,MIN(1,T155))^2/(MAX(0,MIN(1,T155))^2+(1-MAX(0,MIN(1,T155)))^2/$B$5))))&lt;0.000000001,0,U155-$B$11/$B$9*((MAX(0,MIN(1,U155))^2/(MAX(0,MIN(1,U155))^2+(1-MAX(0,MIN(1,U155)))^2/$B$5))-(MAX(0,MIN(1,T155))^2/(MAX(0,MIN(1,T155))^2+(1-MAX(0,MIN(1,T155)))^2/$B$5))))</f>
        <v>0.879448922653102</v>
      </c>
      <c r="V156" s="16" t="n">
        <f aca="false">IF(ABS(V155-$B$11/$B$9*((MAX(0,MIN(1,V155))^2/(MAX(0,MIN(1,V155))^2+(1-MAX(0,MIN(1,V155)))^2/$B$5))-(MAX(0,MIN(1,U155))^2/(MAX(0,MIN(1,U155))^2+(1-MAX(0,MIN(1,U155)))^2/$B$5))))&lt;0.000000001,0,V155-$B$11/$B$9*((MAX(0,MIN(1,V155))^2/(MAX(0,MIN(1,V155))^2+(1-MAX(0,MIN(1,V155)))^2/$B$5))-(MAX(0,MIN(1,U155))^2/(MAX(0,MIN(1,U155))^2+(1-MAX(0,MIN(1,U155)))^2/$B$5))))</f>
        <v>0.870832457998267</v>
      </c>
      <c r="W156" s="16" t="n">
        <f aca="false">IF(ABS(W155-$B$11/$B$9*((MAX(0,MIN(1,W155))^2/(MAX(0,MIN(1,W155))^2+(1-MAX(0,MIN(1,W155)))^2/$B$5))-(MAX(0,MIN(1,V155))^2/(MAX(0,MIN(1,V155))^2+(1-MAX(0,MIN(1,V155)))^2/$B$5))))&lt;0.000000001,0,W155-$B$11/$B$9*((MAX(0,MIN(1,W155))^2/(MAX(0,MIN(1,W155))^2+(1-MAX(0,MIN(1,W155)))^2/$B$5))-(MAX(0,MIN(1,V155))^2/(MAX(0,MIN(1,V155))^2+(1-MAX(0,MIN(1,V155)))^2/$B$5))))</f>
        <v>0.862589291169763</v>
      </c>
      <c r="X156" s="16" t="n">
        <f aca="false">IF(ABS(X155-$B$11/$B$9*((MAX(0,MIN(1,X155))^2/(MAX(0,MIN(1,X155))^2+(1-MAX(0,MIN(1,X155)))^2/$B$5))-(MAX(0,MIN(1,W155))^2/(MAX(0,MIN(1,W155))^2+(1-MAX(0,MIN(1,W155)))^2/$B$5))))&lt;0.000000001,0,X155-$B$11/$B$9*((MAX(0,MIN(1,X155))^2/(MAX(0,MIN(1,X155))^2+(1-MAX(0,MIN(1,X155)))^2/$B$5))-(MAX(0,MIN(1,W155))^2/(MAX(0,MIN(1,W155))^2+(1-MAX(0,MIN(1,W155)))^2/$B$5))))</f>
        <v>0.854682625898909</v>
      </c>
      <c r="Y156" s="16" t="n">
        <f aca="false">IF(ABS(Y155-$B$11/$B$9*((MAX(0,MIN(1,Y155))^2/(MAX(0,MIN(1,Y155))^2+(1-MAX(0,MIN(1,Y155)))^2/$B$5))-(MAX(0,MIN(1,X155))^2/(MAX(0,MIN(1,X155))^2+(1-MAX(0,MIN(1,X155)))^2/$B$5))))&lt;0.000000001,0,Y155-$B$11/$B$9*((MAX(0,MIN(1,Y155))^2/(MAX(0,MIN(1,Y155))^2+(1-MAX(0,MIN(1,Y155)))^2/$B$5))-(MAX(0,MIN(1,X155))^2/(MAX(0,MIN(1,X155))^2+(1-MAX(0,MIN(1,X155)))^2/$B$5))))</f>
        <v>0.847081256195758</v>
      </c>
      <c r="Z156" s="16" t="n">
        <f aca="false">IF(ABS(Z155-$B$11/$B$9*((MAX(0,MIN(1,Z155))^2/(MAX(0,MIN(1,Z155))^2+(1-MAX(0,MIN(1,Z155)))^2/$B$5))-(MAX(0,MIN(1,Y155))^2/(MAX(0,MIN(1,Y155))^2+(1-MAX(0,MIN(1,Y155)))^2/$B$5))))&lt;0.000000001,0,Z155-$B$11/$B$9*((MAX(0,MIN(1,Z155))^2/(MAX(0,MIN(1,Z155))^2+(1-MAX(0,MIN(1,Z155)))^2/$B$5))-(MAX(0,MIN(1,Y155))^2/(MAX(0,MIN(1,Y155))^2+(1-MAX(0,MIN(1,Y155)))^2/$B$5))))</f>
        <v>0.839758373032928</v>
      </c>
      <c r="AA156" s="16" t="n">
        <f aca="false">IF(ABS(AA155-$B$11/$B$9*((MAX(0,MIN(1,AA155))^2/(MAX(0,MIN(1,AA155))^2+(1-MAX(0,MIN(1,AA155)))^2/$B$5))-(MAX(0,MIN(1,Z155))^2/(MAX(0,MIN(1,Z155))^2+(1-MAX(0,MIN(1,Z155)))^2/$B$5))))&lt;0.000000001,0,AA155-$B$11/$B$9*((MAX(0,MIN(1,AA155))^2/(MAX(0,MIN(1,AA155))^2+(1-MAX(0,MIN(1,AA155)))^2/$B$5))-(MAX(0,MIN(1,Z155))^2/(MAX(0,MIN(1,Z155))^2+(1-MAX(0,MIN(1,Z155)))^2/$B$5))))</f>
        <v>0.832690699648009</v>
      </c>
      <c r="AB156" s="16" t="n">
        <f aca="false">IF(ABS(AB155-$B$11/$B$9*((MAX(0,MIN(1,AB155))^2/(MAX(0,MIN(1,AB155))^2+(1-MAX(0,MIN(1,AB155)))^2/$B$5))-(MAX(0,MIN(1,AA155))^2/(MAX(0,MIN(1,AA155))^2+(1-MAX(0,MIN(1,AA155)))^2/$B$5))))&lt;0.000000001,0,AB155-$B$11/$B$9*((MAX(0,MIN(1,AB155))^2/(MAX(0,MIN(1,AB155))^2+(1-MAX(0,MIN(1,AB155)))^2/$B$5))-(MAX(0,MIN(1,AA155))^2/(MAX(0,MIN(1,AA155))^2+(1-MAX(0,MIN(1,AA155)))^2/$B$5))))</f>
        <v>0.825857845879362</v>
      </c>
      <c r="AC156" s="16" t="n">
        <f aca="false">IF(ABS(AC155-$B$11/$B$9*((MAX(0,MIN(1,AC155))^2/(MAX(0,MIN(1,AC155))^2+(1-MAX(0,MIN(1,AC155)))^2/$B$5))-(MAX(0,MIN(1,AB155))^2/(MAX(0,MIN(1,AB155))^2+(1-MAX(0,MIN(1,AB155)))^2/$B$5))))&lt;0.000000001,0,AC155-$B$11/$B$9*((MAX(0,MIN(1,AC155))^2/(MAX(0,MIN(1,AC155))^2+(1-MAX(0,MIN(1,AC155)))^2/$B$5))-(MAX(0,MIN(1,AB155))^2/(MAX(0,MIN(1,AB155))^2+(1-MAX(0,MIN(1,AB155)))^2/$B$5))))</f>
        <v>0.819241814056318</v>
      </c>
      <c r="AD156" s="16" t="n">
        <f aca="false">IF(ABS(AD155-$B$11/$B$9*((MAX(0,MIN(1,AD155))^2/(MAX(0,MIN(1,AD155))^2+(1-MAX(0,MIN(1,AD155)))^2/$B$5))-(MAX(0,MIN(1,AC155))^2/(MAX(0,MIN(1,AC155))^2+(1-MAX(0,MIN(1,AC155)))^2/$B$5))))&lt;0.000000001,0,AD155-$B$11/$B$9*((MAX(0,MIN(1,AD155))^2/(MAX(0,MIN(1,AD155))^2+(1-MAX(0,MIN(1,AD155)))^2/$B$5))-(MAX(0,MIN(1,AC155))^2/(MAX(0,MIN(1,AC155))^2+(1-MAX(0,MIN(1,AC155)))^2/$B$5))))</f>
        <v>0.812826613073993</v>
      </c>
      <c r="AE156" s="16" t="n">
        <f aca="false">IF(ABS(AE155-$B$11/$B$9*((MAX(0,MIN(1,AE155))^2/(MAX(0,MIN(1,AE155))^2+(1-MAX(0,MIN(1,AE155)))^2/$B$5))-(MAX(0,MIN(1,AD155))^2/(MAX(0,MIN(1,AD155))^2+(1-MAX(0,MIN(1,AD155)))^2/$B$5))))&lt;0.000000001,0,AE155-$B$11/$B$9*((MAX(0,MIN(1,AE155))^2/(MAX(0,MIN(1,AE155))^2+(1-MAX(0,MIN(1,AE155)))^2/$B$5))-(MAX(0,MIN(1,AD155))^2/(MAX(0,MIN(1,AD155))^2+(1-MAX(0,MIN(1,AD155)))^2/$B$5))))</f>
        <v>0.806597951746029</v>
      </c>
      <c r="AF156" s="16" t="n">
        <f aca="false">IF(ABS(AF155-$B$11/$B$9*((MAX(0,MIN(1,AF155))^2/(MAX(0,MIN(1,AF155))^2+(1-MAX(0,MIN(1,AF155)))^2/$B$5))-(MAX(0,MIN(1,AE155))^2/(MAX(0,MIN(1,AE155))^2+(1-MAX(0,MIN(1,AE155)))^2/$B$5))))&lt;0.000000001,0,AF155-$B$11/$B$9*((MAX(0,MIN(1,AF155))^2/(MAX(0,MIN(1,AF155))^2+(1-MAX(0,MIN(1,AF155)))^2/$B$5))-(MAX(0,MIN(1,AE155))^2/(MAX(0,MIN(1,AE155))^2+(1-MAX(0,MIN(1,AE155)))^2/$B$5))))</f>
        <v>0.800542991559696</v>
      </c>
    </row>
    <row r="157" customFormat="false" ht="15" hidden="false" customHeight="false" outlineLevel="0" collapsed="false">
      <c r="L157" s="0" t="n">
        <v>147</v>
      </c>
      <c r="M157" s="16" t="n">
        <f aca="false">IF(ABS(M156-$B$11/$B$9*((MAX(0,MIN(1,M156))^2/(MAX(0,MIN(1,M156))^2+(1-MAX(0,MIN(1,M156)))^2/$B$5))-(MAX(0,MIN(1,1))^2/(MAX(0,MIN(1,1))^2+(1-MAX(0,MIN(1,1)))^2/$B$5))))&lt;0.000000001,0,M156-$B$11/$B$9*((MAX(0,MIN(1,M156))^2/(MAX(0,MIN(1,M156))^2+(1-MAX(0,MIN(1,M156)))^2/$B$5))-(MAX(0,MIN(1,1))^2/(MAX(0,MIN(1,1))^2+(1-MAX(0,MIN(1,1)))^2/$B$5))))</f>
        <v>0.97202805006195</v>
      </c>
      <c r="N157" s="16" t="n">
        <f aca="false">IF(ABS(N156-$B$11/$B$9*((MAX(0,MIN(1,N156))^2/(MAX(0,MIN(1,N156))^2+(1-MAX(0,MIN(1,N156)))^2/$B$5))-(MAX(0,MIN(1,M156))^2/(MAX(0,MIN(1,M156))^2+(1-MAX(0,MIN(1,M156)))^2/$B$5))))&lt;0.000000001,0,N156-$B$11/$B$9*((MAX(0,MIN(1,N156))^2/(MAX(0,MIN(1,N156))^2+(1-MAX(0,MIN(1,N156)))^2/$B$5))-(MAX(0,MIN(1,M156))^2/(MAX(0,MIN(1,M156))^2+(1-MAX(0,MIN(1,M156)))^2/$B$5))))</f>
        <v>0.956373833523757</v>
      </c>
      <c r="O157" s="16" t="n">
        <f aca="false">IF(ABS(O156-$B$11/$B$9*((MAX(0,MIN(1,O156))^2/(MAX(0,MIN(1,O156))^2+(1-MAX(0,MIN(1,O156)))^2/$B$5))-(MAX(0,MIN(1,N156))^2/(MAX(0,MIN(1,N156))^2+(1-MAX(0,MIN(1,N156)))^2/$B$5))))&lt;0.000000001,0,O156-$B$11/$B$9*((MAX(0,MIN(1,O156))^2/(MAX(0,MIN(1,O156))^2+(1-MAX(0,MIN(1,O156)))^2/$B$5))-(MAX(0,MIN(1,N156))^2/(MAX(0,MIN(1,N156))^2+(1-MAX(0,MIN(1,N156)))^2/$B$5))))</f>
        <v>0.942802972948858</v>
      </c>
      <c r="P157" s="16" t="n">
        <f aca="false">IF(ABS(P156-$B$11/$B$9*((MAX(0,MIN(1,P156))^2/(MAX(0,MIN(1,P156))^2+(1-MAX(0,MIN(1,P156)))^2/$B$5))-(MAX(0,MIN(1,O156))^2/(MAX(0,MIN(1,O156))^2+(1-MAX(0,MIN(1,O156)))^2/$B$5))))&lt;0.000000001,0,P156-$B$11/$B$9*((MAX(0,MIN(1,P156))^2/(MAX(0,MIN(1,P156))^2+(1-MAX(0,MIN(1,P156)))^2/$B$5))-(MAX(0,MIN(1,O156))^2/(MAX(0,MIN(1,O156))^2+(1-MAX(0,MIN(1,O156)))^2/$B$5))))</f>
        <v>0.930496754977994</v>
      </c>
      <c r="Q157" s="16" t="n">
        <f aca="false">IF(ABS(Q156-$B$11/$B$9*((MAX(0,MIN(1,Q156))^2/(MAX(0,MIN(1,Q156))^2+(1-MAX(0,MIN(1,Q156)))^2/$B$5))-(MAX(0,MIN(1,P156))^2/(MAX(0,MIN(1,P156))^2+(1-MAX(0,MIN(1,P156)))^2/$B$5))))&lt;0.000000001,0,Q156-$B$11/$B$9*((MAX(0,MIN(1,Q156))^2/(MAX(0,MIN(1,Q156))^2+(1-MAX(0,MIN(1,Q156)))^2/$B$5))-(MAX(0,MIN(1,P156))^2/(MAX(0,MIN(1,P156))^2+(1-MAX(0,MIN(1,P156)))^2/$B$5))))</f>
        <v>0.919122853198677</v>
      </c>
      <c r="R157" s="16" t="n">
        <f aca="false">IF(ABS(R156-$B$11/$B$9*((MAX(0,MIN(1,R156))^2/(MAX(0,MIN(1,R156))^2+(1-MAX(0,MIN(1,R156)))^2/$B$5))-(MAX(0,MIN(1,Q156))^2/(MAX(0,MIN(1,Q156))^2+(1-MAX(0,MIN(1,Q156)))^2/$B$5))))&lt;0.000000001,0,R156-$B$11/$B$9*((MAX(0,MIN(1,R156))^2/(MAX(0,MIN(1,R156))^2+(1-MAX(0,MIN(1,R156)))^2/$B$5))-(MAX(0,MIN(1,Q156))^2/(MAX(0,MIN(1,Q156))^2+(1-MAX(0,MIN(1,Q156)))^2/$B$5))))</f>
        <v>0.908495074114943</v>
      </c>
      <c r="S157" s="16" t="n">
        <f aca="false">IF(ABS(S156-$B$11/$B$9*((MAX(0,MIN(1,S156))^2/(MAX(0,MIN(1,S156))^2+(1-MAX(0,MIN(1,S156)))^2/$B$5))-(MAX(0,MIN(1,R156))^2/(MAX(0,MIN(1,R156))^2+(1-MAX(0,MIN(1,R156)))^2/$B$5))))&lt;0.000000001,0,S156-$B$11/$B$9*((MAX(0,MIN(1,S156))^2/(MAX(0,MIN(1,S156))^2+(1-MAX(0,MIN(1,S156)))^2/$B$5))-(MAX(0,MIN(1,R156))^2/(MAX(0,MIN(1,R156))^2+(1-MAX(0,MIN(1,R156)))^2/$B$5))))</f>
        <v>0.898491081144421</v>
      </c>
      <c r="T157" s="16" t="n">
        <f aca="false">IF(ABS(T156-$B$11/$B$9*((MAX(0,MIN(1,T156))^2/(MAX(0,MIN(1,T156))^2+(1-MAX(0,MIN(1,T156)))^2/$B$5))-(MAX(0,MIN(1,S156))^2/(MAX(0,MIN(1,S156))^2+(1-MAX(0,MIN(1,S156)))^2/$B$5))))&lt;0.000000001,0,T156-$B$11/$B$9*((MAX(0,MIN(1,T156))^2/(MAX(0,MIN(1,T156))^2+(1-MAX(0,MIN(1,T156)))^2/$B$5))-(MAX(0,MIN(1,S156))^2/(MAX(0,MIN(1,S156))^2+(1-MAX(0,MIN(1,S156)))^2/$B$5))))</f>
        <v>0.889022726250199</v>
      </c>
      <c r="U157" s="16" t="n">
        <f aca="false">IF(ABS(U156-$B$11/$B$9*((MAX(0,MIN(1,U156))^2/(MAX(0,MIN(1,U156))^2+(1-MAX(0,MIN(1,U156)))^2/$B$5))-(MAX(0,MIN(1,T156))^2/(MAX(0,MIN(1,T156))^2+(1-MAX(0,MIN(1,T156)))^2/$B$5))))&lt;0.000000001,0,U156-$B$11/$B$9*((MAX(0,MIN(1,U156))^2/(MAX(0,MIN(1,U156))^2+(1-MAX(0,MIN(1,U156)))^2/$B$5))-(MAX(0,MIN(1,T156))^2/(MAX(0,MIN(1,T156))^2+(1-MAX(0,MIN(1,T156)))^2/$B$5))))</f>
        <v>0.880022675541362</v>
      </c>
      <c r="V157" s="16" t="n">
        <f aca="false">IF(ABS(V156-$B$11/$B$9*((MAX(0,MIN(1,V156))^2/(MAX(0,MIN(1,V156))^2+(1-MAX(0,MIN(1,V156)))^2/$B$5))-(MAX(0,MIN(1,U156))^2/(MAX(0,MIN(1,U156))^2+(1-MAX(0,MIN(1,U156)))^2/$B$5))))&lt;0.000000001,0,V156-$B$11/$B$9*((MAX(0,MIN(1,V156))^2/(MAX(0,MIN(1,V156))^2+(1-MAX(0,MIN(1,V156)))^2/$B$5))-(MAX(0,MIN(1,U156))^2/(MAX(0,MIN(1,U156))^2+(1-MAX(0,MIN(1,U156)))^2/$B$5))))</f>
        <v>0.871437423491521</v>
      </c>
      <c r="W157" s="16" t="n">
        <f aca="false">IF(ABS(W156-$B$11/$B$9*((MAX(0,MIN(1,W156))^2/(MAX(0,MIN(1,W156))^2+(1-MAX(0,MIN(1,W156)))^2/$B$5))-(MAX(0,MIN(1,V156))^2/(MAX(0,MIN(1,V156))^2+(1-MAX(0,MIN(1,V156)))^2/$B$5))))&lt;0.000000001,0,W156-$B$11/$B$9*((MAX(0,MIN(1,W156))^2/(MAX(0,MIN(1,W156))^2+(1-MAX(0,MIN(1,W156)))^2/$B$5))-(MAX(0,MIN(1,V156))^2/(MAX(0,MIN(1,V156))^2+(1-MAX(0,MIN(1,V156)))^2/$B$5))))</f>
        <v>0.863223240077604</v>
      </c>
      <c r="X157" s="16" t="n">
        <f aca="false">IF(ABS(X156-$B$11/$B$9*((MAX(0,MIN(1,X156))^2/(MAX(0,MIN(1,X156))^2+(1-MAX(0,MIN(1,X156)))^2/$B$5))-(MAX(0,MIN(1,W156))^2/(MAX(0,MIN(1,W156))^2+(1-MAX(0,MIN(1,W156)))^2/$B$5))))&lt;0.000000001,0,X156-$B$11/$B$9*((MAX(0,MIN(1,X156))^2/(MAX(0,MIN(1,X156))^2+(1-MAX(0,MIN(1,X156)))^2/$B$5))-(MAX(0,MIN(1,W156))^2/(MAX(0,MIN(1,W156))^2+(1-MAX(0,MIN(1,W156)))^2/$B$5))))</f>
        <v>0.855343628183669</v>
      </c>
      <c r="Y157" s="16" t="n">
        <f aca="false">IF(ABS(Y156-$B$11/$B$9*((MAX(0,MIN(1,Y156))^2/(MAX(0,MIN(1,Y156))^2+(1-MAX(0,MIN(1,Y156)))^2/$B$5))-(MAX(0,MIN(1,X156))^2/(MAX(0,MIN(1,X156))^2+(1-MAX(0,MIN(1,X156)))^2/$B$5))))&lt;0.000000001,0,Y156-$B$11/$B$9*((MAX(0,MIN(1,Y156))^2/(MAX(0,MIN(1,Y156))^2+(1-MAX(0,MIN(1,Y156)))^2/$B$5))-(MAX(0,MIN(1,X156))^2/(MAX(0,MIN(1,X156))^2+(1-MAX(0,MIN(1,X156)))^2/$B$5))))</f>
        <v>0.847767629998647</v>
      </c>
      <c r="Z157" s="16" t="n">
        <f aca="false">IF(ABS(Z156-$B$11/$B$9*((MAX(0,MIN(1,Z156))^2/(MAX(0,MIN(1,Z156))^2+(1-MAX(0,MIN(1,Z156)))^2/$B$5))-(MAX(0,MIN(1,Y156))^2/(MAX(0,MIN(1,Y156))^2+(1-MAX(0,MIN(1,Y156)))^2/$B$5))))&lt;0.000000001,0,Z156-$B$11/$B$9*((MAX(0,MIN(1,Z156))^2/(MAX(0,MIN(1,Z156))^2+(1-MAX(0,MIN(1,Z156)))^2/$B$5))-(MAX(0,MIN(1,Y156))^2/(MAX(0,MIN(1,Y156))^2+(1-MAX(0,MIN(1,Y156)))^2/$B$5))))</f>
        <v>0.840468644827354</v>
      </c>
      <c r="AA157" s="16" t="n">
        <f aca="false">IF(ABS(AA156-$B$11/$B$9*((MAX(0,MIN(1,AA156))^2/(MAX(0,MIN(1,AA156))^2+(1-MAX(0,MIN(1,AA156)))^2/$B$5))-(MAX(0,MIN(1,Z156))^2/(MAX(0,MIN(1,Z156))^2+(1-MAX(0,MIN(1,Z156)))^2/$B$5))))&lt;0.000000001,0,AA156-$B$11/$B$9*((MAX(0,MIN(1,AA156))^2/(MAX(0,MIN(1,AA156))^2+(1-MAX(0,MIN(1,AA156)))^2/$B$5))-(MAX(0,MIN(1,Z156))^2/(MAX(0,MIN(1,Z156))^2+(1-MAX(0,MIN(1,Z156)))^2/$B$5))))</f>
        <v>0.833423572570578</v>
      </c>
      <c r="AB157" s="16" t="n">
        <f aca="false">IF(ABS(AB156-$B$11/$B$9*((MAX(0,MIN(1,AB156))^2/(MAX(0,MIN(1,AB156))^2+(1-MAX(0,MIN(1,AB156)))^2/$B$5))-(MAX(0,MIN(1,AA156))^2/(MAX(0,MIN(1,AA156))^2+(1-MAX(0,MIN(1,AA156)))^2/$B$5))))&lt;0.000000001,0,AB156-$B$11/$B$9*((MAX(0,MIN(1,AB156))^2/(MAX(0,MIN(1,AB156))^2+(1-MAX(0,MIN(1,AB156)))^2/$B$5))-(MAX(0,MIN(1,AA156))^2/(MAX(0,MIN(1,AA156))^2+(1-MAX(0,MIN(1,AA156)))^2/$B$5))))</f>
        <v>0.826612174214931</v>
      </c>
      <c r="AC157" s="16" t="n">
        <f aca="false">IF(ABS(AC156-$B$11/$B$9*((MAX(0,MIN(1,AC156))^2/(MAX(0,MIN(1,AC156))^2+(1-MAX(0,MIN(1,AC156)))^2/$B$5))-(MAX(0,MIN(1,AB156))^2/(MAX(0,MIN(1,AB156))^2+(1-MAX(0,MIN(1,AB156)))^2/$B$5))))&lt;0.000000001,0,AC156-$B$11/$B$9*((MAX(0,MIN(1,AC156))^2/(MAX(0,MIN(1,AC156))^2+(1-MAX(0,MIN(1,AC156)))^2/$B$5))-(MAX(0,MIN(1,AB156))^2/(MAX(0,MIN(1,AB156))^2+(1-MAX(0,MIN(1,AB156)))^2/$B$5))))</f>
        <v>0.820016582445193</v>
      </c>
      <c r="AD157" s="16" t="n">
        <f aca="false">IF(ABS(AD156-$B$11/$B$9*((MAX(0,MIN(1,AD156))^2/(MAX(0,MIN(1,AD156))^2+(1-MAX(0,MIN(1,AD156)))^2/$B$5))-(MAX(0,MIN(1,AC156))^2/(MAX(0,MIN(1,AC156))^2+(1-MAX(0,MIN(1,AC156)))^2/$B$5))))&lt;0.000000001,0,AD156-$B$11/$B$9*((MAX(0,MIN(1,AD156))^2/(MAX(0,MIN(1,AD156))^2+(1-MAX(0,MIN(1,AD156)))^2/$B$5))-(MAX(0,MIN(1,AC156))^2/(MAX(0,MIN(1,AC156))^2+(1-MAX(0,MIN(1,AC156)))^2/$B$5))))</f>
        <v>0.813620919402217</v>
      </c>
      <c r="AE157" s="16" t="n">
        <f aca="false">IF(ABS(AE156-$B$11/$B$9*((MAX(0,MIN(1,AE156))^2/(MAX(0,MIN(1,AE156))^2+(1-MAX(0,MIN(1,AE156)))^2/$B$5))-(MAX(0,MIN(1,AD156))^2/(MAX(0,MIN(1,AD156))^2+(1-MAX(0,MIN(1,AD156)))^2/$B$5))))&lt;0.000000001,0,AE156-$B$11/$B$9*((MAX(0,MIN(1,AE156))^2/(MAX(0,MIN(1,AE156))^2+(1-MAX(0,MIN(1,AE156)))^2/$B$5))-(MAX(0,MIN(1,AD156))^2/(MAX(0,MIN(1,AD156))^2+(1-MAX(0,MIN(1,AD156)))^2/$B$5))))</f>
        <v>0.807410992948916</v>
      </c>
      <c r="AF157" s="16" t="n">
        <f aca="false">IF(ABS(AF156-$B$11/$B$9*((MAX(0,MIN(1,AF156))^2/(MAX(0,MIN(1,AF156))^2+(1-MAX(0,MIN(1,AF156)))^2/$B$5))-(MAX(0,MIN(1,AE156))^2/(MAX(0,MIN(1,AE156))^2+(1-MAX(0,MIN(1,AE156)))^2/$B$5))))&lt;0.000000001,0,AF156-$B$11/$B$9*((MAX(0,MIN(1,AF156))^2/(MAX(0,MIN(1,AF156))^2+(1-MAX(0,MIN(1,AF156)))^2/$B$5))-(MAX(0,MIN(1,AE156))^2/(MAX(0,MIN(1,AE156))^2+(1-MAX(0,MIN(1,AE156)))^2/$B$5))))</f>
        <v>0.8013740517581</v>
      </c>
    </row>
    <row r="158" customFormat="false" ht="15" hidden="false" customHeight="false" outlineLevel="0" collapsed="false">
      <c r="L158" s="0" t="n">
        <v>148</v>
      </c>
      <c r="M158" s="16" t="n">
        <f aca="false">IF(ABS(M157-$B$11/$B$9*((MAX(0,MIN(1,M157))^2/(MAX(0,MIN(1,M157))^2+(1-MAX(0,MIN(1,M157)))^2/$B$5))-(MAX(0,MIN(1,1))^2/(MAX(0,MIN(1,1))^2+(1-MAX(0,MIN(1,1)))^2/$B$5))))&lt;0.000000001,0,M157-$B$11/$B$9*((MAX(0,MIN(1,M157))^2/(MAX(0,MIN(1,M157))^2+(1-MAX(0,MIN(1,M157)))^2/$B$5))-(MAX(0,MIN(1,1))^2/(MAX(0,MIN(1,1))^2+(1-MAX(0,MIN(1,1)))^2/$B$5))))</f>
        <v>0.97218720125605</v>
      </c>
      <c r="N158" s="16" t="n">
        <f aca="false">IF(ABS(N157-$B$11/$B$9*((MAX(0,MIN(1,N157))^2/(MAX(0,MIN(1,N157))^2+(1-MAX(0,MIN(1,N157)))^2/$B$5))-(MAX(0,MIN(1,M157))^2/(MAX(0,MIN(1,M157))^2+(1-MAX(0,MIN(1,M157)))^2/$B$5))))&lt;0.000000001,0,N157-$B$11/$B$9*((MAX(0,MIN(1,N157))^2/(MAX(0,MIN(1,N157))^2+(1-MAX(0,MIN(1,N157)))^2/$B$5))-(MAX(0,MIN(1,M157))^2/(MAX(0,MIN(1,M157))^2+(1-MAX(0,MIN(1,M157)))^2/$B$5))))</f>
        <v>0.95661434070344</v>
      </c>
      <c r="O158" s="16" t="n">
        <f aca="false">IF(ABS(O157-$B$11/$B$9*((MAX(0,MIN(1,O157))^2/(MAX(0,MIN(1,O157))^2+(1-MAX(0,MIN(1,O157)))^2/$B$5))-(MAX(0,MIN(1,N157))^2/(MAX(0,MIN(1,N157))^2+(1-MAX(0,MIN(1,N157)))^2/$B$5))))&lt;0.000000001,0,O157-$B$11/$B$9*((MAX(0,MIN(1,O157))^2/(MAX(0,MIN(1,O157))^2+(1-MAX(0,MIN(1,O157)))^2/$B$5))-(MAX(0,MIN(1,N157))^2/(MAX(0,MIN(1,N157))^2+(1-MAX(0,MIN(1,N157)))^2/$B$5))))</f>
        <v>0.943109645708267</v>
      </c>
      <c r="P158" s="16" t="n">
        <f aca="false">IF(ABS(P157-$B$11/$B$9*((MAX(0,MIN(1,P157))^2/(MAX(0,MIN(1,P157))^2+(1-MAX(0,MIN(1,P157)))^2/$B$5))-(MAX(0,MIN(1,O157))^2/(MAX(0,MIN(1,O157))^2+(1-MAX(0,MIN(1,O157)))^2/$B$5))))&lt;0.000000001,0,P157-$B$11/$B$9*((MAX(0,MIN(1,P157))^2/(MAX(0,MIN(1,P157))^2+(1-MAX(0,MIN(1,P157)))^2/$B$5))-(MAX(0,MIN(1,O157))^2/(MAX(0,MIN(1,O157))^2+(1-MAX(0,MIN(1,O157)))^2/$B$5))))</f>
        <v>0.9308601494455</v>
      </c>
      <c r="Q158" s="16" t="n">
        <f aca="false">IF(ABS(Q157-$B$11/$B$9*((MAX(0,MIN(1,Q157))^2/(MAX(0,MIN(1,Q157))^2+(1-MAX(0,MIN(1,Q157)))^2/$B$5))-(MAX(0,MIN(1,P157))^2/(MAX(0,MIN(1,P157))^2+(1-MAX(0,MIN(1,P157)))^2/$B$5))))&lt;0.000000001,0,Q157-$B$11/$B$9*((MAX(0,MIN(1,Q157))^2/(MAX(0,MIN(1,Q157))^2+(1-MAX(0,MIN(1,Q157)))^2/$B$5))-(MAX(0,MIN(1,P157))^2/(MAX(0,MIN(1,P157))^2+(1-MAX(0,MIN(1,P157)))^2/$B$5))))</f>
        <v>0.9195360833897</v>
      </c>
      <c r="R158" s="16" t="n">
        <f aca="false">IF(ABS(R157-$B$11/$B$9*((MAX(0,MIN(1,R157))^2/(MAX(0,MIN(1,R157))^2+(1-MAX(0,MIN(1,R157)))^2/$B$5))-(MAX(0,MIN(1,Q157))^2/(MAX(0,MIN(1,Q157))^2+(1-MAX(0,MIN(1,Q157)))^2/$B$5))))&lt;0.000000001,0,R157-$B$11/$B$9*((MAX(0,MIN(1,R157))^2/(MAX(0,MIN(1,R157))^2+(1-MAX(0,MIN(1,R157)))^2/$B$5))-(MAX(0,MIN(1,Q157))^2/(MAX(0,MIN(1,Q157))^2+(1-MAX(0,MIN(1,Q157)))^2/$B$5))))</f>
        <v>0.908952772902728</v>
      </c>
      <c r="S158" s="16" t="n">
        <f aca="false">IF(ABS(S157-$B$11/$B$9*((MAX(0,MIN(1,S157))^2/(MAX(0,MIN(1,S157))^2+(1-MAX(0,MIN(1,S157)))^2/$B$5))-(MAX(0,MIN(1,R157))^2/(MAX(0,MIN(1,R157))^2+(1-MAX(0,MIN(1,R157)))^2/$B$5))))&lt;0.000000001,0,S157-$B$11/$B$9*((MAX(0,MIN(1,S157))^2/(MAX(0,MIN(1,S157))^2+(1-MAX(0,MIN(1,S157)))^2/$B$5))-(MAX(0,MIN(1,R157))^2/(MAX(0,MIN(1,R157))^2+(1-MAX(0,MIN(1,R157)))^2/$B$5))))</f>
        <v>0.898988910155642</v>
      </c>
      <c r="T158" s="16" t="n">
        <f aca="false">IF(ABS(T157-$B$11/$B$9*((MAX(0,MIN(1,T157))^2/(MAX(0,MIN(1,T157))^2+(1-MAX(0,MIN(1,T157)))^2/$B$5))-(MAX(0,MIN(1,S157))^2/(MAX(0,MIN(1,S157))^2+(1-MAX(0,MIN(1,S157)))^2/$B$5))))&lt;0.000000001,0,T157-$B$11/$B$9*((MAX(0,MIN(1,T157))^2/(MAX(0,MIN(1,T157))^2+(1-MAX(0,MIN(1,T157)))^2/$B$5))-(MAX(0,MIN(1,S157))^2/(MAX(0,MIN(1,S157))^2+(1-MAX(0,MIN(1,S157)))^2/$B$5))))</f>
        <v>0.889557096448797</v>
      </c>
      <c r="U158" s="16" t="n">
        <f aca="false">IF(ABS(U157-$B$11/$B$9*((MAX(0,MIN(1,U157))^2/(MAX(0,MIN(1,U157))^2+(1-MAX(0,MIN(1,U157)))^2/$B$5))-(MAX(0,MIN(1,T157))^2/(MAX(0,MIN(1,T157))^2+(1-MAX(0,MIN(1,T157)))^2/$B$5))))&lt;0.000000001,0,U157-$B$11/$B$9*((MAX(0,MIN(1,U157))^2/(MAX(0,MIN(1,U157))^2+(1-MAX(0,MIN(1,U157)))^2/$B$5))-(MAX(0,MIN(1,T157))^2/(MAX(0,MIN(1,T157))^2+(1-MAX(0,MIN(1,T157)))^2/$B$5))))</f>
        <v>0.880590569015738</v>
      </c>
      <c r="V158" s="16" t="n">
        <f aca="false">IF(ABS(V157-$B$11/$B$9*((MAX(0,MIN(1,V157))^2/(MAX(0,MIN(1,V157))^2+(1-MAX(0,MIN(1,V157)))^2/$B$5))-(MAX(0,MIN(1,U157))^2/(MAX(0,MIN(1,U157))^2+(1-MAX(0,MIN(1,U157)))^2/$B$5))))&lt;0.000000001,0,V157-$B$11/$B$9*((MAX(0,MIN(1,V157))^2/(MAX(0,MIN(1,V157))^2+(1-MAX(0,MIN(1,V157)))^2/$B$5))-(MAX(0,MIN(1,U157))^2/(MAX(0,MIN(1,U157))^2+(1-MAX(0,MIN(1,U157)))^2/$B$5))))</f>
        <v>0.872036271299259</v>
      </c>
      <c r="W158" s="16" t="n">
        <f aca="false">IF(ABS(W157-$B$11/$B$9*((MAX(0,MIN(1,W157))^2/(MAX(0,MIN(1,W157))^2+(1-MAX(0,MIN(1,W157)))^2/$B$5))-(MAX(0,MIN(1,V157))^2/(MAX(0,MIN(1,V157))^2+(1-MAX(0,MIN(1,V157)))^2/$B$5))))&lt;0.000000001,0,W157-$B$11/$B$9*((MAX(0,MIN(1,W157))^2/(MAX(0,MIN(1,W157))^2+(1-MAX(0,MIN(1,W157)))^2/$B$5))-(MAX(0,MIN(1,V157))^2/(MAX(0,MIN(1,V157))^2+(1-MAX(0,MIN(1,V157)))^2/$B$5))))</f>
        <v>0.863850834292641</v>
      </c>
      <c r="X158" s="16" t="n">
        <f aca="false">IF(ABS(X157-$B$11/$B$9*((MAX(0,MIN(1,X157))^2/(MAX(0,MIN(1,X157))^2+(1-MAX(0,MIN(1,X157)))^2/$B$5))-(MAX(0,MIN(1,W157))^2/(MAX(0,MIN(1,W157))^2+(1-MAX(0,MIN(1,W157)))^2/$B$5))))&lt;0.000000001,0,X157-$B$11/$B$9*((MAX(0,MIN(1,X157))^2/(MAX(0,MIN(1,X157))^2+(1-MAX(0,MIN(1,X157)))^2/$B$5))-(MAX(0,MIN(1,W157))^2/(MAX(0,MIN(1,W157))^2+(1-MAX(0,MIN(1,W157)))^2/$B$5))))</f>
        <v>0.855998056290109</v>
      </c>
      <c r="Y158" s="16" t="n">
        <f aca="false">IF(ABS(Y157-$B$11/$B$9*((MAX(0,MIN(1,Y157))^2/(MAX(0,MIN(1,Y157))^2+(1-MAX(0,MIN(1,Y157)))^2/$B$5))-(MAX(0,MIN(1,X157))^2/(MAX(0,MIN(1,X157))^2+(1-MAX(0,MIN(1,X157)))^2/$B$5))))&lt;0.000000001,0,Y157-$B$11/$B$9*((MAX(0,MIN(1,Y157))^2/(MAX(0,MIN(1,Y157))^2+(1-MAX(0,MIN(1,Y157)))^2/$B$5))-(MAX(0,MIN(1,X157))^2/(MAX(0,MIN(1,X157))^2+(1-MAX(0,MIN(1,X157)))^2/$B$5))))</f>
        <v>0.848447224636872</v>
      </c>
      <c r="Z158" s="16" t="n">
        <f aca="false">IF(ABS(Z157-$B$11/$B$9*((MAX(0,MIN(1,Z157))^2/(MAX(0,MIN(1,Z157))^2+(1-MAX(0,MIN(1,Z157)))^2/$B$5))-(MAX(0,MIN(1,Y157))^2/(MAX(0,MIN(1,Y157))^2+(1-MAX(0,MIN(1,Y157)))^2/$B$5))))&lt;0.000000001,0,Z157-$B$11/$B$9*((MAX(0,MIN(1,Z157))^2/(MAX(0,MIN(1,Z157))^2+(1-MAX(0,MIN(1,Z157)))^2/$B$5))-(MAX(0,MIN(1,Y157))^2/(MAX(0,MIN(1,Y157))^2+(1-MAX(0,MIN(1,Y157)))^2/$B$5))))</f>
        <v>0.841171944495859</v>
      </c>
      <c r="AA158" s="16" t="n">
        <f aca="false">IF(ABS(AA157-$B$11/$B$9*((MAX(0,MIN(1,AA157))^2/(MAX(0,MIN(1,AA157))^2+(1-MAX(0,MIN(1,AA157)))^2/$B$5))-(MAX(0,MIN(1,Z157))^2/(MAX(0,MIN(1,Z157))^2+(1-MAX(0,MIN(1,Z157)))^2/$B$5))))&lt;0.000000001,0,AA157-$B$11/$B$9*((MAX(0,MIN(1,AA157))^2/(MAX(0,MIN(1,AA157))^2+(1-MAX(0,MIN(1,AA157)))^2/$B$5))-(MAX(0,MIN(1,Z157))^2/(MAX(0,MIN(1,Z157))^2+(1-MAX(0,MIN(1,Z157)))^2/$B$5))))</f>
        <v>0.834149290381091</v>
      </c>
      <c r="AB158" s="16" t="n">
        <f aca="false">IF(ABS(AB157-$B$11/$B$9*((MAX(0,MIN(1,AB157))^2/(MAX(0,MIN(1,AB157))^2+(1-MAX(0,MIN(1,AB157)))^2/$B$5))-(MAX(0,MIN(1,AA157))^2/(MAX(0,MIN(1,AA157))^2+(1-MAX(0,MIN(1,AA157)))^2/$B$5))))&lt;0.000000001,0,AB157-$B$11/$B$9*((MAX(0,MIN(1,AB157))^2/(MAX(0,MIN(1,AB157))^2+(1-MAX(0,MIN(1,AB157)))^2/$B$5))-(MAX(0,MIN(1,AA157))^2/(MAX(0,MIN(1,AA157))^2+(1-MAX(0,MIN(1,AA157)))^2/$B$5))))</f>
        <v>0.827359172709387</v>
      </c>
      <c r="AC158" s="16" t="n">
        <f aca="false">IF(ABS(AC157-$B$11/$B$9*((MAX(0,MIN(1,AC157))^2/(MAX(0,MIN(1,AC157))^2+(1-MAX(0,MIN(1,AC157)))^2/$B$5))-(MAX(0,MIN(1,AB157))^2/(MAX(0,MIN(1,AB157))^2+(1-MAX(0,MIN(1,AB157)))^2/$B$5))))&lt;0.000000001,0,AC157-$B$11/$B$9*((MAX(0,MIN(1,AC157))^2/(MAX(0,MIN(1,AC157))^2+(1-MAX(0,MIN(1,AC157)))^2/$B$5))-(MAX(0,MIN(1,AB157))^2/(MAX(0,MIN(1,AB157))^2+(1-MAX(0,MIN(1,AB157)))^2/$B$5))))</f>
        <v>0.820783853065263</v>
      </c>
      <c r="AD158" s="16" t="n">
        <f aca="false">IF(ABS(AD157-$B$11/$B$9*((MAX(0,MIN(1,AD157))^2/(MAX(0,MIN(1,AD157))^2+(1-MAX(0,MIN(1,AD157)))^2/$B$5))-(MAX(0,MIN(1,AC157))^2/(MAX(0,MIN(1,AC157))^2+(1-MAX(0,MIN(1,AC157)))^2/$B$5))))&lt;0.000000001,0,AD157-$B$11/$B$9*((MAX(0,MIN(1,AD157))^2/(MAX(0,MIN(1,AD157))^2+(1-MAX(0,MIN(1,AD157)))^2/$B$5))-(MAX(0,MIN(1,AC157))^2/(MAX(0,MIN(1,AC157))^2+(1-MAX(0,MIN(1,AC157)))^2/$B$5))))</f>
        <v>0.814407565588574</v>
      </c>
      <c r="AE158" s="16" t="n">
        <f aca="false">IF(ABS(AE157-$B$11/$B$9*((MAX(0,MIN(1,AE157))^2/(MAX(0,MIN(1,AE157))^2+(1-MAX(0,MIN(1,AE157)))^2/$B$5))-(MAX(0,MIN(1,AD157))^2/(MAX(0,MIN(1,AD157))^2+(1-MAX(0,MIN(1,AD157)))^2/$B$5))))&lt;0.000000001,0,AE157-$B$11/$B$9*((MAX(0,MIN(1,AE157))^2/(MAX(0,MIN(1,AE157))^2+(1-MAX(0,MIN(1,AE157)))^2/$B$5))-(MAX(0,MIN(1,AD157))^2/(MAX(0,MIN(1,AD157))^2+(1-MAX(0,MIN(1,AD157)))^2/$B$5))))</f>
        <v>0.808216216112215</v>
      </c>
      <c r="AF158" s="16" t="n">
        <f aca="false">IF(ABS(AF157-$B$11/$B$9*((MAX(0,MIN(1,AF157))^2/(MAX(0,MIN(1,AF157))^2+(1-MAX(0,MIN(1,AF157)))^2/$B$5))-(MAX(0,MIN(1,AE157))^2/(MAX(0,MIN(1,AE157))^2+(1-MAX(0,MIN(1,AE157)))^2/$B$5))))&lt;0.000000001,0,AF157-$B$11/$B$9*((MAX(0,MIN(1,AF157))^2/(MAX(0,MIN(1,AF157))^2+(1-MAX(0,MIN(1,AF157)))^2/$B$5))-(MAX(0,MIN(1,AE157))^2/(MAX(0,MIN(1,AE157))^2+(1-MAX(0,MIN(1,AE157)))^2/$B$5))))</f>
        <v>0.802197139549981</v>
      </c>
    </row>
    <row r="159" customFormat="false" ht="15" hidden="false" customHeight="false" outlineLevel="0" collapsed="false">
      <c r="L159" s="0" t="n">
        <v>149</v>
      </c>
      <c r="M159" s="16" t="n">
        <f aca="false">IF(ABS(M158-$B$11/$B$9*((MAX(0,MIN(1,M158))^2/(MAX(0,MIN(1,M158))^2+(1-MAX(0,MIN(1,M158)))^2/$B$5))-(MAX(0,MIN(1,1))^2/(MAX(0,MIN(1,1))^2+(1-MAX(0,MIN(1,1)))^2/$B$5))))&lt;0.000000001,0,M158-$B$11/$B$9*((MAX(0,MIN(1,M158))^2/(MAX(0,MIN(1,M158))^2+(1-MAX(0,MIN(1,M158)))^2/$B$5))-(MAX(0,MIN(1,1))^2/(MAX(0,MIN(1,1))^2+(1-MAX(0,MIN(1,1)))^2/$B$5))))</f>
        <v>0.972344495814159</v>
      </c>
      <c r="N159" s="16" t="n">
        <f aca="false">IF(ABS(N158-$B$11/$B$9*((MAX(0,MIN(1,N158))^2/(MAX(0,MIN(1,N158))^2+(1-MAX(0,MIN(1,N158)))^2/$B$5))-(MAX(0,MIN(1,M158))^2/(MAX(0,MIN(1,M158))^2+(1-MAX(0,MIN(1,M158)))^2/$B$5))))&lt;0.000000001,0,N158-$B$11/$B$9*((MAX(0,MIN(1,N158))^2/(MAX(0,MIN(1,N158))^2+(1-MAX(0,MIN(1,N158)))^2/$B$5))-(MAX(0,MIN(1,M158))^2/(MAX(0,MIN(1,M158))^2+(1-MAX(0,MIN(1,M158)))^2/$B$5))))</f>
        <v>0.956852116096839</v>
      </c>
      <c r="O159" s="16" t="n">
        <f aca="false">IF(ABS(O158-$B$11/$B$9*((MAX(0,MIN(1,O158))^2/(MAX(0,MIN(1,O158))^2+(1-MAX(0,MIN(1,O158)))^2/$B$5))-(MAX(0,MIN(1,N158))^2/(MAX(0,MIN(1,N158))^2+(1-MAX(0,MIN(1,N158)))^2/$B$5))))&lt;0.000000001,0,O158-$B$11/$B$9*((MAX(0,MIN(1,O158))^2/(MAX(0,MIN(1,O158))^2+(1-MAX(0,MIN(1,O158)))^2/$B$5))-(MAX(0,MIN(1,N158))^2/(MAX(0,MIN(1,N158))^2+(1-MAX(0,MIN(1,N158)))^2/$B$5))))</f>
        <v>0.943412913109622</v>
      </c>
      <c r="P159" s="16" t="n">
        <f aca="false">IF(ABS(P158-$B$11/$B$9*((MAX(0,MIN(1,P158))^2/(MAX(0,MIN(1,P158))^2+(1-MAX(0,MIN(1,P158)))^2/$B$5))-(MAX(0,MIN(1,O158))^2/(MAX(0,MIN(1,O158))^2+(1-MAX(0,MIN(1,O158)))^2/$B$5))))&lt;0.000000001,0,P158-$B$11/$B$9*((MAX(0,MIN(1,P158))^2/(MAX(0,MIN(1,P158))^2+(1-MAX(0,MIN(1,P158)))^2/$B$5))-(MAX(0,MIN(1,O158))^2/(MAX(0,MIN(1,O158))^2+(1-MAX(0,MIN(1,O158)))^2/$B$5))))</f>
        <v>0.931219587540015</v>
      </c>
      <c r="Q159" s="16" t="n">
        <f aca="false">IF(ABS(Q158-$B$11/$B$9*((MAX(0,MIN(1,Q158))^2/(MAX(0,MIN(1,Q158))^2+(1-MAX(0,MIN(1,Q158)))^2/$B$5))-(MAX(0,MIN(1,P158))^2/(MAX(0,MIN(1,P158))^2+(1-MAX(0,MIN(1,P158)))^2/$B$5))))&lt;0.000000001,0,Q158-$B$11/$B$9*((MAX(0,MIN(1,Q158))^2/(MAX(0,MIN(1,Q158))^2+(1-MAX(0,MIN(1,Q158)))^2/$B$5))-(MAX(0,MIN(1,P158))^2/(MAX(0,MIN(1,P158))^2+(1-MAX(0,MIN(1,P158)))^2/$B$5))))</f>
        <v>0.919944892257347</v>
      </c>
      <c r="R159" s="16" t="n">
        <f aca="false">IF(ABS(R158-$B$11/$B$9*((MAX(0,MIN(1,R158))^2/(MAX(0,MIN(1,R158))^2+(1-MAX(0,MIN(1,R158)))^2/$B$5))-(MAX(0,MIN(1,Q158))^2/(MAX(0,MIN(1,Q158))^2+(1-MAX(0,MIN(1,Q158)))^2/$B$5))))&lt;0.000000001,0,R158-$B$11/$B$9*((MAX(0,MIN(1,R158))^2/(MAX(0,MIN(1,R158))^2+(1-MAX(0,MIN(1,R158)))^2/$B$5))-(MAX(0,MIN(1,Q158))^2/(MAX(0,MIN(1,Q158))^2+(1-MAX(0,MIN(1,Q158)))^2/$B$5))))</f>
        <v>0.909405649684877</v>
      </c>
      <c r="S159" s="16" t="n">
        <f aca="false">IF(ABS(S158-$B$11/$B$9*((MAX(0,MIN(1,S158))^2/(MAX(0,MIN(1,S158))^2+(1-MAX(0,MIN(1,S158)))^2/$B$5))-(MAX(0,MIN(1,R158))^2/(MAX(0,MIN(1,R158))^2+(1-MAX(0,MIN(1,R158)))^2/$B$5))))&lt;0.000000001,0,S158-$B$11/$B$9*((MAX(0,MIN(1,S158))^2/(MAX(0,MIN(1,S158))^2+(1-MAX(0,MIN(1,S158)))^2/$B$5))-(MAX(0,MIN(1,R158))^2/(MAX(0,MIN(1,R158))^2+(1-MAX(0,MIN(1,R158)))^2/$B$5))))</f>
        <v>0.899481566153484</v>
      </c>
      <c r="T159" s="16" t="n">
        <f aca="false">IF(ABS(T158-$B$11/$B$9*((MAX(0,MIN(1,T158))^2/(MAX(0,MIN(1,T158))^2+(1-MAX(0,MIN(1,T158)))^2/$B$5))-(MAX(0,MIN(1,S158))^2/(MAX(0,MIN(1,S158))^2+(1-MAX(0,MIN(1,S158)))^2/$B$5))))&lt;0.000000001,0,T158-$B$11/$B$9*((MAX(0,MIN(1,T158))^2/(MAX(0,MIN(1,T158))^2+(1-MAX(0,MIN(1,T158)))^2/$B$5))-(MAX(0,MIN(1,S158))^2/(MAX(0,MIN(1,S158))^2+(1-MAX(0,MIN(1,S158)))^2/$B$5))))</f>
        <v>0.890085981890092</v>
      </c>
      <c r="U159" s="16" t="n">
        <f aca="false">IF(ABS(U158-$B$11/$B$9*((MAX(0,MIN(1,U158))^2/(MAX(0,MIN(1,U158))^2+(1-MAX(0,MIN(1,U158)))^2/$B$5))-(MAX(0,MIN(1,T158))^2/(MAX(0,MIN(1,T158))^2+(1-MAX(0,MIN(1,T158)))^2/$B$5))))&lt;0.000000001,0,U158-$B$11/$B$9*((MAX(0,MIN(1,U158))^2/(MAX(0,MIN(1,U158))^2+(1-MAX(0,MIN(1,U158)))^2/$B$5))-(MAX(0,MIN(1,T158))^2/(MAX(0,MIN(1,T158))^2+(1-MAX(0,MIN(1,T158)))^2/$B$5))))</f>
        <v>0.881152697518149</v>
      </c>
      <c r="V159" s="16" t="n">
        <f aca="false">IF(ABS(V158-$B$11/$B$9*((MAX(0,MIN(1,V158))^2/(MAX(0,MIN(1,V158))^2+(1-MAX(0,MIN(1,V158)))^2/$B$5))-(MAX(0,MIN(1,U158))^2/(MAX(0,MIN(1,U158))^2+(1-MAX(0,MIN(1,U158)))^2/$B$5))))&lt;0.000000001,0,V158-$B$11/$B$9*((MAX(0,MIN(1,V158))^2/(MAX(0,MIN(1,V158))^2+(1-MAX(0,MIN(1,V158)))^2/$B$5))-(MAX(0,MIN(1,U158))^2/(MAX(0,MIN(1,U158))^2+(1-MAX(0,MIN(1,U158)))^2/$B$5))))</f>
        <v>0.8726290995354</v>
      </c>
      <c r="W159" s="16" t="n">
        <f aca="false">IF(ABS(W158-$B$11/$B$9*((MAX(0,MIN(1,W158))^2/(MAX(0,MIN(1,W158))^2+(1-MAX(0,MIN(1,W158)))^2/$B$5))-(MAX(0,MIN(1,V158))^2/(MAX(0,MIN(1,V158))^2+(1-MAX(0,MIN(1,V158)))^2/$B$5))))&lt;0.000000001,0,W158-$B$11/$B$9*((MAX(0,MIN(1,W158))^2/(MAX(0,MIN(1,W158))^2+(1-MAX(0,MIN(1,W158)))^2/$B$5))-(MAX(0,MIN(1,V158))^2/(MAX(0,MIN(1,V158))^2+(1-MAX(0,MIN(1,V158)))^2/$B$5))))</f>
        <v>0.864472175328421</v>
      </c>
      <c r="X159" s="16" t="n">
        <f aca="false">IF(ABS(X158-$B$11/$B$9*((MAX(0,MIN(1,X158))^2/(MAX(0,MIN(1,X158))^2+(1-MAX(0,MIN(1,X158)))^2/$B$5))-(MAX(0,MIN(1,W158))^2/(MAX(0,MIN(1,W158))^2+(1-MAX(0,MIN(1,W158)))^2/$B$5))))&lt;0.000000001,0,X158-$B$11/$B$9*((MAX(0,MIN(1,X158))^2/(MAX(0,MIN(1,X158))^2+(1-MAX(0,MIN(1,X158)))^2/$B$5))-(MAX(0,MIN(1,W158))^2/(MAX(0,MIN(1,W158))^2+(1-MAX(0,MIN(1,W158)))^2/$B$5))))</f>
        <v>0.856646014922749</v>
      </c>
      <c r="Y159" s="16" t="n">
        <f aca="false">IF(ABS(Y158-$B$11/$B$9*((MAX(0,MIN(1,Y158))^2/(MAX(0,MIN(1,Y158))^2+(1-MAX(0,MIN(1,Y158)))^2/$B$5))-(MAX(0,MIN(1,X158))^2/(MAX(0,MIN(1,X158))^2+(1-MAX(0,MIN(1,X158)))^2/$B$5))))&lt;0.000000001,0,Y158-$B$11/$B$9*((MAX(0,MIN(1,Y158))^2/(MAX(0,MIN(1,Y158))^2+(1-MAX(0,MIN(1,Y158)))^2/$B$5))-(MAX(0,MIN(1,X158))^2/(MAX(0,MIN(1,X158))^2+(1-MAX(0,MIN(1,X158)))^2/$B$5))))</f>
        <v>0.849120147847726</v>
      </c>
      <c r="Z159" s="16" t="n">
        <f aca="false">IF(ABS(Z158-$B$11/$B$9*((MAX(0,MIN(1,Z158))^2/(MAX(0,MIN(1,Z158))^2+(1-MAX(0,MIN(1,Z158)))^2/$B$5))-(MAX(0,MIN(1,Y158))^2/(MAX(0,MIN(1,Y158))^2+(1-MAX(0,MIN(1,Y158)))^2/$B$5))))&lt;0.000000001,0,Z158-$B$11/$B$9*((MAX(0,MIN(1,Z158))^2/(MAX(0,MIN(1,Z158))^2+(1-MAX(0,MIN(1,Z158)))^2/$B$5))-(MAX(0,MIN(1,Y158))^2/(MAX(0,MIN(1,Y158))^2+(1-MAX(0,MIN(1,Y158)))^2/$B$5))))</f>
        <v>0.841868382690987</v>
      </c>
      <c r="AA159" s="16" t="n">
        <f aca="false">IF(ABS(AA158-$B$11/$B$9*((MAX(0,MIN(1,AA158))^2/(MAX(0,MIN(1,AA158))^2+(1-MAX(0,MIN(1,AA158)))^2/$B$5))-(MAX(0,MIN(1,Z158))^2/(MAX(0,MIN(1,Z158))^2+(1-MAX(0,MIN(1,Z158)))^2/$B$5))))&lt;0.000000001,0,AA158-$B$11/$B$9*((MAX(0,MIN(1,AA158))^2/(MAX(0,MIN(1,AA158))^2+(1-MAX(0,MIN(1,AA158)))^2/$B$5))-(MAX(0,MIN(1,Z158))^2/(MAX(0,MIN(1,Z158))^2+(1-MAX(0,MIN(1,Z158)))^2/$B$5))))</f>
        <v>0.834867966563198</v>
      </c>
      <c r="AB159" s="16" t="n">
        <f aca="false">IF(ABS(AB158-$B$11/$B$9*((MAX(0,MIN(1,AB158))^2/(MAX(0,MIN(1,AB158))^2+(1-MAX(0,MIN(1,AB158)))^2/$B$5))-(MAX(0,MIN(1,AA158))^2/(MAX(0,MIN(1,AA158))^2+(1-MAX(0,MIN(1,AA158)))^2/$B$5))))&lt;0.000000001,0,AB158-$B$11/$B$9*((MAX(0,MIN(1,AB158))^2/(MAX(0,MIN(1,AB158))^2+(1-MAX(0,MIN(1,AB158)))^2/$B$5))-(MAX(0,MIN(1,AA158))^2/(MAX(0,MIN(1,AA158))^2+(1-MAX(0,MIN(1,AA158)))^2/$B$5))))</f>
        <v>0.828098957621229</v>
      </c>
      <c r="AC159" s="16" t="n">
        <f aca="false">IF(ABS(AC158-$B$11/$B$9*((MAX(0,MIN(1,AC158))^2/(MAX(0,MIN(1,AC158))^2+(1-MAX(0,MIN(1,AC158)))^2/$B$5))-(MAX(0,MIN(1,AB158))^2/(MAX(0,MIN(1,AB158))^2+(1-MAX(0,MIN(1,AB158)))^2/$B$5))))&lt;0.000000001,0,AC158-$B$11/$B$9*((MAX(0,MIN(1,AC158))^2/(MAX(0,MIN(1,AC158))^2+(1-MAX(0,MIN(1,AC158)))^2/$B$5))-(MAX(0,MIN(1,AB158))^2/(MAX(0,MIN(1,AB158))^2+(1-MAX(0,MIN(1,AB158)))^2/$B$5))))</f>
        <v>0.821543744917354</v>
      </c>
      <c r="AD159" s="16" t="n">
        <f aca="false">IF(ABS(AD158-$B$11/$B$9*((MAX(0,MIN(1,AD158))^2/(MAX(0,MIN(1,AD158))^2+(1-MAX(0,MIN(1,AD158)))^2/$B$5))-(MAX(0,MIN(1,AC158))^2/(MAX(0,MIN(1,AC158))^2+(1-MAX(0,MIN(1,AC158)))^2/$B$5))))&lt;0.000000001,0,AD158-$B$11/$B$9*((MAX(0,MIN(1,AD158))^2/(MAX(0,MIN(1,AD158))^2+(1-MAX(0,MIN(1,AD158)))^2/$B$5))-(MAX(0,MIN(1,AC158))^2/(MAX(0,MIN(1,AC158))^2+(1-MAX(0,MIN(1,AC158)))^2/$B$5))))</f>
        <v>0.815186673364276</v>
      </c>
      <c r="AE159" s="16" t="n">
        <f aca="false">IF(ABS(AE158-$B$11/$B$9*((MAX(0,MIN(1,AE158))^2/(MAX(0,MIN(1,AE158))^2+(1-MAX(0,MIN(1,AE158)))^2/$B$5))-(MAX(0,MIN(1,AD158))^2/(MAX(0,MIN(1,AD158))^2+(1-MAX(0,MIN(1,AD158)))^2/$B$5))))&lt;0.000000001,0,AE158-$B$11/$B$9*((MAX(0,MIN(1,AE158))^2/(MAX(0,MIN(1,AE158))^2+(1-MAX(0,MIN(1,AE158)))^2/$B$5))-(MAX(0,MIN(1,AD158))^2/(MAX(0,MIN(1,AD158))^2+(1-MAX(0,MIN(1,AD158)))^2/$B$5))))</f>
        <v>0.809013745703828</v>
      </c>
      <c r="AF159" s="16" t="n">
        <f aca="false">IF(ABS(AF158-$B$11/$B$9*((MAX(0,MIN(1,AF158))^2/(MAX(0,MIN(1,AF158))^2+(1-MAX(0,MIN(1,AF158)))^2/$B$5))-(MAX(0,MIN(1,AE158))^2/(MAX(0,MIN(1,AE158))^2+(1-MAX(0,MIN(1,AE158)))^2/$B$5))))&lt;0.000000001,0,AF158-$B$11/$B$9*((MAX(0,MIN(1,AF158))^2/(MAX(0,MIN(1,AF158))^2+(1-MAX(0,MIN(1,AF158)))^2/$B$5))-(MAX(0,MIN(1,AE158))^2/(MAX(0,MIN(1,AE158))^2+(1-MAX(0,MIN(1,AE158)))^2/$B$5))))</f>
        <v>0.803012382162716</v>
      </c>
    </row>
    <row r="160" customFormat="false" ht="15" hidden="false" customHeight="false" outlineLevel="0" collapsed="false">
      <c r="L160" s="0" t="n">
        <v>150</v>
      </c>
      <c r="M160" s="16" t="n">
        <f aca="false">IF(ABS(M159-$B$11/$B$9*((MAX(0,MIN(1,M159))^2/(MAX(0,MIN(1,M159))^2+(1-MAX(0,MIN(1,M159)))^2/$B$5))-(MAX(0,MIN(1,1))^2/(MAX(0,MIN(1,1))^2+(1-MAX(0,MIN(1,1)))^2/$B$5))))&lt;0.000000001,0,M159-$B$11/$B$9*((MAX(0,MIN(1,M159))^2/(MAX(0,MIN(1,M159))^2+(1-MAX(0,MIN(1,M159)))^2/$B$5))-(MAX(0,MIN(1,1))^2/(MAX(0,MIN(1,1))^2+(1-MAX(0,MIN(1,1)))^2/$B$5))))</f>
        <v>0.972499966677837</v>
      </c>
      <c r="N160" s="16" t="n">
        <f aca="false">IF(ABS(N159-$B$11/$B$9*((MAX(0,MIN(1,N159))^2/(MAX(0,MIN(1,N159))^2+(1-MAX(0,MIN(1,N159)))^2/$B$5))-(MAX(0,MIN(1,M159))^2/(MAX(0,MIN(1,M159))^2+(1-MAX(0,MIN(1,M159)))^2/$B$5))))&lt;0.000000001,0,N159-$B$11/$B$9*((MAX(0,MIN(1,N159))^2/(MAX(0,MIN(1,N159))^2+(1-MAX(0,MIN(1,N159)))^2/$B$5))-(MAX(0,MIN(1,M159))^2/(MAX(0,MIN(1,M159))^2+(1-MAX(0,MIN(1,M159)))^2/$B$5))))</f>
        <v>0.957087207090027</v>
      </c>
      <c r="O160" s="16" t="n">
        <f aca="false">IF(ABS(O159-$B$11/$B$9*((MAX(0,MIN(1,O159))^2/(MAX(0,MIN(1,O159))^2+(1-MAX(0,MIN(1,O159)))^2/$B$5))-(MAX(0,MIN(1,N159))^2/(MAX(0,MIN(1,N159))^2+(1-MAX(0,MIN(1,N159)))^2/$B$5))))&lt;0.000000001,0,O159-$B$11/$B$9*((MAX(0,MIN(1,O159))^2/(MAX(0,MIN(1,O159))^2+(1-MAX(0,MIN(1,O159)))^2/$B$5))-(MAX(0,MIN(1,N159))^2/(MAX(0,MIN(1,N159))^2+(1-MAX(0,MIN(1,N159)))^2/$B$5))))</f>
        <v>0.943712833151782</v>
      </c>
      <c r="P160" s="16" t="n">
        <f aca="false">IF(ABS(P159-$B$11/$B$9*((MAX(0,MIN(1,P159))^2/(MAX(0,MIN(1,P159))^2+(1-MAX(0,MIN(1,P159)))^2/$B$5))-(MAX(0,MIN(1,O159))^2/(MAX(0,MIN(1,O159))^2+(1-MAX(0,MIN(1,O159)))^2/$B$5))))&lt;0.000000001,0,P159-$B$11/$B$9*((MAX(0,MIN(1,P159))^2/(MAX(0,MIN(1,P159))^2+(1-MAX(0,MIN(1,P159)))^2/$B$5))-(MAX(0,MIN(1,O159))^2/(MAX(0,MIN(1,O159))^2+(1-MAX(0,MIN(1,O159)))^2/$B$5))))</f>
        <v>0.93157513562723</v>
      </c>
      <c r="Q160" s="16" t="n">
        <f aca="false">IF(ABS(Q159-$B$11/$B$9*((MAX(0,MIN(1,Q159))^2/(MAX(0,MIN(1,Q159))^2+(1-MAX(0,MIN(1,Q159)))^2/$B$5))-(MAX(0,MIN(1,P159))^2/(MAX(0,MIN(1,P159))^2+(1-MAX(0,MIN(1,P159)))^2/$B$5))))&lt;0.000000001,0,Q159-$B$11/$B$9*((MAX(0,MIN(1,Q159))^2/(MAX(0,MIN(1,Q159))^2+(1-MAX(0,MIN(1,Q159)))^2/$B$5))-(MAX(0,MIN(1,P159))^2/(MAX(0,MIN(1,P159))^2+(1-MAX(0,MIN(1,P159)))^2/$B$5))))</f>
        <v>0.920349353025339</v>
      </c>
      <c r="R160" s="16" t="n">
        <f aca="false">IF(ABS(R159-$B$11/$B$9*((MAX(0,MIN(1,R159))^2/(MAX(0,MIN(1,R159))^2+(1-MAX(0,MIN(1,R159)))^2/$B$5))-(MAX(0,MIN(1,Q159))^2/(MAX(0,MIN(1,Q159))^2+(1-MAX(0,MIN(1,Q159)))^2/$B$5))))&lt;0.000000001,0,R159-$B$11/$B$9*((MAX(0,MIN(1,R159))^2/(MAX(0,MIN(1,R159))^2+(1-MAX(0,MIN(1,R159)))^2/$B$5))-(MAX(0,MIN(1,Q159))^2/(MAX(0,MIN(1,Q159))^2+(1-MAX(0,MIN(1,Q159)))^2/$B$5))))</f>
        <v>0.909853783467984</v>
      </c>
      <c r="S160" s="16" t="n">
        <f aca="false">IF(ABS(S159-$B$11/$B$9*((MAX(0,MIN(1,S159))^2/(MAX(0,MIN(1,S159))^2+(1-MAX(0,MIN(1,S159)))^2/$B$5))-(MAX(0,MIN(1,R159))^2/(MAX(0,MIN(1,R159))^2+(1-MAX(0,MIN(1,R159)))^2/$B$5))))&lt;0.000000001,0,S159-$B$11/$B$9*((MAX(0,MIN(1,S159))^2/(MAX(0,MIN(1,S159))^2+(1-MAX(0,MIN(1,S159)))^2/$B$5))-(MAX(0,MIN(1,R159))^2/(MAX(0,MIN(1,R159))^2+(1-MAX(0,MIN(1,R159)))^2/$B$5))))</f>
        <v>0.899969133135508</v>
      </c>
      <c r="T160" s="16" t="n">
        <f aca="false">IF(ABS(T159-$B$11/$B$9*((MAX(0,MIN(1,T159))^2/(MAX(0,MIN(1,T159))^2+(1-MAX(0,MIN(1,T159)))^2/$B$5))-(MAX(0,MIN(1,S159))^2/(MAX(0,MIN(1,S159))^2+(1-MAX(0,MIN(1,S159)))^2/$B$5))))&lt;0.000000001,0,T159-$B$11/$B$9*((MAX(0,MIN(1,T159))^2/(MAX(0,MIN(1,T159))^2+(1-MAX(0,MIN(1,T159)))^2/$B$5))-(MAX(0,MIN(1,S159))^2/(MAX(0,MIN(1,S159))^2+(1-MAX(0,MIN(1,S159)))^2/$B$5))))</f>
        <v>0.890609470967093</v>
      </c>
      <c r="U160" s="16" t="n">
        <f aca="false">IF(ABS(U159-$B$11/$B$9*((MAX(0,MIN(1,U159))^2/(MAX(0,MIN(1,U159))^2+(1-MAX(0,MIN(1,U159)))^2/$B$5))-(MAX(0,MIN(1,T159))^2/(MAX(0,MIN(1,T159))^2+(1-MAX(0,MIN(1,T159)))^2/$B$5))))&lt;0.000000001,0,U159-$B$11/$B$9*((MAX(0,MIN(1,U159))^2/(MAX(0,MIN(1,U159))^2+(1-MAX(0,MIN(1,U159)))^2/$B$5))-(MAX(0,MIN(1,T159))^2/(MAX(0,MIN(1,T159))^2+(1-MAX(0,MIN(1,T159)))^2/$B$5))))</f>
        <v>0.881709153383239</v>
      </c>
      <c r="V160" s="16" t="n">
        <f aca="false">IF(ABS(V159-$B$11/$B$9*((MAX(0,MIN(1,V159))^2/(MAX(0,MIN(1,V159))^2+(1-MAX(0,MIN(1,V159)))^2/$B$5))-(MAX(0,MIN(1,U159))^2/(MAX(0,MIN(1,U159))^2+(1-MAX(0,MIN(1,U159)))^2/$B$5))))&lt;0.000000001,0,V159-$B$11/$B$9*((MAX(0,MIN(1,V159))^2/(MAX(0,MIN(1,V159))^2+(1-MAX(0,MIN(1,V159)))^2/$B$5))-(MAX(0,MIN(1,U159))^2/(MAX(0,MIN(1,U159))^2+(1-MAX(0,MIN(1,U159)))^2/$B$5))))</f>
        <v>0.873216004127718</v>
      </c>
      <c r="W160" s="16" t="n">
        <f aca="false">IF(ABS(W159-$B$11/$B$9*((MAX(0,MIN(1,W159))^2/(MAX(0,MIN(1,W159))^2+(1-MAX(0,MIN(1,W159)))^2/$B$5))-(MAX(0,MIN(1,V159))^2/(MAX(0,MIN(1,V159))^2+(1-MAX(0,MIN(1,V159)))^2/$B$5))))&lt;0.000000001,0,W159-$B$11/$B$9*((MAX(0,MIN(1,W159))^2/(MAX(0,MIN(1,W159))^2+(1-MAX(0,MIN(1,W159)))^2/$B$5))-(MAX(0,MIN(1,V159))^2/(MAX(0,MIN(1,V159))^2+(1-MAX(0,MIN(1,V159)))^2/$B$5))))</f>
        <v>0.865087362437522</v>
      </c>
      <c r="X160" s="16" t="n">
        <f aca="false">IF(ABS(X159-$B$11/$B$9*((MAX(0,MIN(1,X159))^2/(MAX(0,MIN(1,X159))^2+(1-MAX(0,MIN(1,X159)))^2/$B$5))-(MAX(0,MIN(1,W159))^2/(MAX(0,MIN(1,W159))^2+(1-MAX(0,MIN(1,W159)))^2/$B$5))))&lt;0.000000001,0,X159-$B$11/$B$9*((MAX(0,MIN(1,X159))^2/(MAX(0,MIN(1,X159))^2+(1-MAX(0,MIN(1,X159)))^2/$B$5))-(MAX(0,MIN(1,W159))^2/(MAX(0,MIN(1,W159))^2+(1-MAX(0,MIN(1,W159)))^2/$B$5))))</f>
        <v>0.857287606452957</v>
      </c>
      <c r="Y160" s="16" t="n">
        <f aca="false">IF(ABS(Y159-$B$11/$B$9*((MAX(0,MIN(1,Y159))^2/(MAX(0,MIN(1,Y159))^2+(1-MAX(0,MIN(1,Y159)))^2/$B$5))-(MAX(0,MIN(1,X159))^2/(MAX(0,MIN(1,X159))^2+(1-MAX(0,MIN(1,X159)))^2/$B$5))))&lt;0.000000001,0,Y159-$B$11/$B$9*((MAX(0,MIN(1,Y159))^2/(MAX(0,MIN(1,Y159))^2+(1-MAX(0,MIN(1,Y159)))^2/$B$5))-(MAX(0,MIN(1,X159))^2/(MAX(0,MIN(1,X159))^2+(1-MAX(0,MIN(1,X159)))^2/$B$5))))</f>
        <v>0.84978650496469</v>
      </c>
      <c r="Z160" s="16" t="n">
        <f aca="false">IF(ABS(Z159-$B$11/$B$9*((MAX(0,MIN(1,Z159))^2/(MAX(0,MIN(1,Z159))^2+(1-MAX(0,MIN(1,Z159)))^2/$B$5))-(MAX(0,MIN(1,Y159))^2/(MAX(0,MIN(1,Y159))^2+(1-MAX(0,MIN(1,Y159)))^2/$B$5))))&lt;0.000000001,0,Z159-$B$11/$B$9*((MAX(0,MIN(1,Z159))^2/(MAX(0,MIN(1,Z159))^2+(1-MAX(0,MIN(1,Z159)))^2/$B$5))-(MAX(0,MIN(1,Y159))^2/(MAX(0,MIN(1,Y159))^2+(1-MAX(0,MIN(1,Y159)))^2/$B$5))))</f>
        <v>0.842558067591424</v>
      </c>
      <c r="AA160" s="16" t="n">
        <f aca="false">IF(ABS(AA159-$B$11/$B$9*((MAX(0,MIN(1,AA159))^2/(MAX(0,MIN(1,AA159))^2+(1-MAX(0,MIN(1,AA159)))^2/$B$5))-(MAX(0,MIN(1,Z159))^2/(MAX(0,MIN(1,Z159))^2+(1-MAX(0,MIN(1,Z159)))^2/$B$5))))&lt;0.000000001,0,AA159-$B$11/$B$9*((MAX(0,MIN(1,AA159))^2/(MAX(0,MIN(1,AA159))^2+(1-MAX(0,MIN(1,AA159)))^2/$B$5))-(MAX(0,MIN(1,Z159))^2/(MAX(0,MIN(1,Z159))^2+(1-MAX(0,MIN(1,Z159)))^2/$B$5))))</f>
        <v>0.835579712056513</v>
      </c>
      <c r="AB160" s="16" t="n">
        <f aca="false">IF(ABS(AB159-$B$11/$B$9*((MAX(0,MIN(1,AB159))^2/(MAX(0,MIN(1,AB159))^2+(1-MAX(0,MIN(1,AB159)))^2/$B$5))-(MAX(0,MIN(1,AA159))^2/(MAX(0,MIN(1,AA159))^2+(1-MAX(0,MIN(1,AA159)))^2/$B$5))))&lt;0.000000001,0,AB159-$B$11/$B$9*((MAX(0,MIN(1,AB159))^2/(MAX(0,MIN(1,AB159))^2+(1-MAX(0,MIN(1,AB159)))^2/$B$5))-(MAX(0,MIN(1,AA159))^2/(MAX(0,MIN(1,AA159))^2+(1-MAX(0,MIN(1,AA159)))^2/$B$5))))</f>
        <v>0.828831642593952</v>
      </c>
      <c r="AC160" s="16" t="n">
        <f aca="false">IF(ABS(AC159-$B$11/$B$9*((MAX(0,MIN(1,AC159))^2/(MAX(0,MIN(1,AC159))^2+(1-MAX(0,MIN(1,AC159)))^2/$B$5))-(MAX(0,MIN(1,AB159))^2/(MAX(0,MIN(1,AB159))^2+(1-MAX(0,MIN(1,AB159)))^2/$B$5))))&lt;0.000000001,0,AC159-$B$11/$B$9*((MAX(0,MIN(1,AC159))^2/(MAX(0,MIN(1,AC159))^2+(1-MAX(0,MIN(1,AC159)))^2/$B$5))-(MAX(0,MIN(1,AB159))^2/(MAX(0,MIN(1,AB159))^2+(1-MAX(0,MIN(1,AB159)))^2/$B$5))))</f>
        <v>0.822296374314948</v>
      </c>
      <c r="AD160" s="16" t="n">
        <f aca="false">IF(ABS(AD159-$B$11/$B$9*((MAX(0,MIN(1,AD159))^2/(MAX(0,MIN(1,AD159))^2+(1-MAX(0,MIN(1,AD159)))^2/$B$5))-(MAX(0,MIN(1,AC159))^2/(MAX(0,MIN(1,AC159))^2+(1-MAX(0,MIN(1,AC159)))^2/$B$5))))&lt;0.000000001,0,AD159-$B$11/$B$9*((MAX(0,MIN(1,AD159))^2/(MAX(0,MIN(1,AD159))^2+(1-MAX(0,MIN(1,AD159)))^2/$B$5))-(MAX(0,MIN(1,AC159))^2/(MAX(0,MIN(1,AC159))^2+(1-MAX(0,MIN(1,AC159)))^2/$B$5))))</f>
        <v>0.815958361698973</v>
      </c>
      <c r="AE160" s="16" t="n">
        <f aca="false">IF(ABS(AE159-$B$11/$B$9*((MAX(0,MIN(1,AE159))^2/(MAX(0,MIN(1,AE159))^2+(1-MAX(0,MIN(1,AE159)))^2/$B$5))-(MAX(0,MIN(1,AD159))^2/(MAX(0,MIN(1,AD159))^2+(1-MAX(0,MIN(1,AD159)))^2/$B$5))))&lt;0.000000001,0,AE159-$B$11/$B$9*((MAX(0,MIN(1,AE159))^2/(MAX(0,MIN(1,AE159))^2+(1-MAX(0,MIN(1,AE159)))^2/$B$5))-(MAX(0,MIN(1,AD159))^2/(MAX(0,MIN(1,AD159))^2+(1-MAX(0,MIN(1,AD159)))^2/$B$5))))</f>
        <v>0.809803703353475</v>
      </c>
      <c r="AF160" s="16" t="n">
        <f aca="false">IF(ABS(AF159-$B$11/$B$9*((MAX(0,MIN(1,AF159))^2/(MAX(0,MIN(1,AF159))^2+(1-MAX(0,MIN(1,AF159)))^2/$B$5))-(MAX(0,MIN(1,AE159))^2/(MAX(0,MIN(1,AE159))^2+(1-MAX(0,MIN(1,AE159)))^2/$B$5))))&lt;0.000000001,0,AF159-$B$11/$B$9*((MAX(0,MIN(1,AF159))^2/(MAX(0,MIN(1,AF159))^2+(1-MAX(0,MIN(1,AF159)))^2/$B$5))-(MAX(0,MIN(1,AE159))^2/(MAX(0,MIN(1,AE159))^2+(1-MAX(0,MIN(1,AE159)))^2/$B$5))))</f>
        <v>0.803819903906003</v>
      </c>
    </row>
    <row r="161" customFormat="false" ht="15" hidden="false" customHeight="false" outlineLevel="0" collapsed="false">
      <c r="L161" s="0" t="n">
        <v>151</v>
      </c>
      <c r="M161" s="16" t="n">
        <f aca="false">IF(ABS(M160-$B$11/$B$9*((MAX(0,MIN(1,M160))^2/(MAX(0,MIN(1,M160))^2+(1-MAX(0,MIN(1,M160)))^2/$B$5))-(MAX(0,MIN(1,1))^2/(MAX(0,MIN(1,1))^2+(1-MAX(0,MIN(1,1)))^2/$B$5))))&lt;0.000000001,0,M160-$B$11/$B$9*((MAX(0,MIN(1,M160))^2/(MAX(0,MIN(1,M160))^2+(1-MAX(0,MIN(1,M160)))^2/$B$5))-(MAX(0,MIN(1,1))^2/(MAX(0,MIN(1,1))^2+(1-MAX(0,MIN(1,1)))^2/$B$5))))</f>
        <v>0.972653646002926</v>
      </c>
      <c r="N161" s="16" t="n">
        <f aca="false">IF(ABS(N160-$B$11/$B$9*((MAX(0,MIN(1,N160))^2/(MAX(0,MIN(1,N160))^2+(1-MAX(0,MIN(1,N160)))^2/$B$5))-(MAX(0,MIN(1,M160))^2/(MAX(0,MIN(1,M160))^2+(1-MAX(0,MIN(1,M160)))^2/$B$5))))&lt;0.000000001,0,N160-$B$11/$B$9*((MAX(0,MIN(1,N160))^2/(MAX(0,MIN(1,N160))^2+(1-MAX(0,MIN(1,N160)))^2/$B$5))-(MAX(0,MIN(1,M160))^2/(MAX(0,MIN(1,M160))^2+(1-MAX(0,MIN(1,M160)))^2/$B$5))))</f>
        <v>0.957319659960274</v>
      </c>
      <c r="O161" s="16" t="n">
        <f aca="false">IF(ABS(O160-$B$11/$B$9*((MAX(0,MIN(1,O160))^2/(MAX(0,MIN(1,O160))^2+(1-MAX(0,MIN(1,O160)))^2/$B$5))-(MAX(0,MIN(1,N160))^2/(MAX(0,MIN(1,N160))^2+(1-MAX(0,MIN(1,N160)))^2/$B$5))))&lt;0.000000001,0,O160-$B$11/$B$9*((MAX(0,MIN(1,O160))^2/(MAX(0,MIN(1,O160))^2+(1-MAX(0,MIN(1,O160)))^2/$B$5))-(MAX(0,MIN(1,N160))^2/(MAX(0,MIN(1,N160))^2+(1-MAX(0,MIN(1,N160)))^2/$B$5))))</f>
        <v>0.944009462496295</v>
      </c>
      <c r="P161" s="16" t="n">
        <f aca="false">IF(ABS(P160-$B$11/$B$9*((MAX(0,MIN(1,P160))^2/(MAX(0,MIN(1,P160))^2+(1-MAX(0,MIN(1,P160)))^2/$B$5))-(MAX(0,MIN(1,O160))^2/(MAX(0,MIN(1,O160))^2+(1-MAX(0,MIN(1,O160)))^2/$B$5))))&lt;0.000000001,0,P160-$B$11/$B$9*((MAX(0,MIN(1,P160))^2/(MAX(0,MIN(1,P160))^2+(1-MAX(0,MIN(1,P160)))^2/$B$5))-(MAX(0,MIN(1,O160))^2/(MAX(0,MIN(1,O160))^2+(1-MAX(0,MIN(1,O160)))^2/$B$5))))</f>
        <v>0.931926858560181</v>
      </c>
      <c r="Q161" s="16" t="n">
        <f aca="false">IF(ABS(Q160-$B$11/$B$9*((MAX(0,MIN(1,Q160))^2/(MAX(0,MIN(1,Q160))^2+(1-MAX(0,MIN(1,Q160)))^2/$B$5))-(MAX(0,MIN(1,P160))^2/(MAX(0,MIN(1,P160))^2+(1-MAX(0,MIN(1,P160)))^2/$B$5))))&lt;0.000000001,0,Q160-$B$11/$B$9*((MAX(0,MIN(1,Q160))^2/(MAX(0,MIN(1,Q160))^2+(1-MAX(0,MIN(1,Q160)))^2/$B$5))-(MAX(0,MIN(1,P160))^2/(MAX(0,MIN(1,P160))^2+(1-MAX(0,MIN(1,P160)))^2/$B$5))))</f>
        <v>0.920749537263482</v>
      </c>
      <c r="R161" s="16" t="n">
        <f aca="false">IF(ABS(R160-$B$11/$B$9*((MAX(0,MIN(1,R160))^2/(MAX(0,MIN(1,R160))^2+(1-MAX(0,MIN(1,R160)))^2/$B$5))-(MAX(0,MIN(1,Q160))^2/(MAX(0,MIN(1,Q160))^2+(1-MAX(0,MIN(1,Q160)))^2/$B$5))))&lt;0.000000001,0,R160-$B$11/$B$9*((MAX(0,MIN(1,R160))^2/(MAX(0,MIN(1,R160))^2+(1-MAX(0,MIN(1,R160)))^2/$B$5))-(MAX(0,MIN(1,Q160))^2/(MAX(0,MIN(1,Q160))^2+(1-MAX(0,MIN(1,Q160)))^2/$B$5))))</f>
        <v>0.910297251486594</v>
      </c>
      <c r="S161" s="16" t="n">
        <f aca="false">IF(ABS(S160-$B$11/$B$9*((MAX(0,MIN(1,S160))^2/(MAX(0,MIN(1,S160))^2+(1-MAX(0,MIN(1,S160)))^2/$B$5))-(MAX(0,MIN(1,R160))^2/(MAX(0,MIN(1,R160))^2+(1-MAX(0,MIN(1,R160)))^2/$B$5))))&lt;0.000000001,0,S160-$B$11/$B$9*((MAX(0,MIN(1,S160))^2/(MAX(0,MIN(1,S160))^2+(1-MAX(0,MIN(1,S160)))^2/$B$5))-(MAX(0,MIN(1,R160))^2/(MAX(0,MIN(1,R160))^2+(1-MAX(0,MIN(1,R160)))^2/$B$5))))</f>
        <v>0.900451693225252</v>
      </c>
      <c r="T161" s="16" t="n">
        <f aca="false">IF(ABS(T160-$B$11/$B$9*((MAX(0,MIN(1,T160))^2/(MAX(0,MIN(1,T160))^2+(1-MAX(0,MIN(1,T160)))^2/$B$5))-(MAX(0,MIN(1,S160))^2/(MAX(0,MIN(1,S160))^2+(1-MAX(0,MIN(1,S160)))^2/$B$5))))&lt;0.000000001,0,T160-$B$11/$B$9*((MAX(0,MIN(1,T160))^2/(MAX(0,MIN(1,T160))^2+(1-MAX(0,MIN(1,T160)))^2/$B$5))-(MAX(0,MIN(1,S160))^2/(MAX(0,MIN(1,S160))^2+(1-MAX(0,MIN(1,S160)))^2/$B$5))))</f>
        <v>0.891127650108291</v>
      </c>
      <c r="U161" s="16" t="n">
        <f aca="false">IF(ABS(U160-$B$11/$B$9*((MAX(0,MIN(1,U160))^2/(MAX(0,MIN(1,U160))^2+(1-MAX(0,MIN(1,U160)))^2/$B$5))-(MAX(0,MIN(1,T160))^2/(MAX(0,MIN(1,T160))^2+(1-MAX(0,MIN(1,T160)))^2/$B$5))))&lt;0.000000001,0,U160-$B$11/$B$9*((MAX(0,MIN(1,U160))^2/(MAX(0,MIN(1,U160))^2+(1-MAX(0,MIN(1,U160)))^2/$B$5))-(MAX(0,MIN(1,T160))^2/(MAX(0,MIN(1,T160))^2+(1-MAX(0,MIN(1,T160)))^2/$B$5))))</f>
        <v>0.882260026898812</v>
      </c>
      <c r="V161" s="16" t="n">
        <f aca="false">IF(ABS(V160-$B$11/$B$9*((MAX(0,MIN(1,V160))^2/(MAX(0,MIN(1,V160))^2+(1-MAX(0,MIN(1,V160)))^2/$B$5))-(MAX(0,MIN(1,U160))^2/(MAX(0,MIN(1,U160))^2+(1-MAX(0,MIN(1,U160)))^2/$B$5))))&lt;0.000000001,0,V160-$B$11/$B$9*((MAX(0,MIN(1,V160))^2/(MAX(0,MIN(1,V160))^2+(1-MAX(0,MIN(1,V160)))^2/$B$5))-(MAX(0,MIN(1,U160))^2/(MAX(0,MIN(1,U160))^2+(1-MAX(0,MIN(1,U160)))^2/$B$5))))</f>
        <v>0.873797078880619</v>
      </c>
      <c r="W161" s="16" t="n">
        <f aca="false">IF(ABS(W160-$B$11/$B$9*((MAX(0,MIN(1,W160))^2/(MAX(0,MIN(1,W160))^2+(1-MAX(0,MIN(1,W160)))^2/$B$5))-(MAX(0,MIN(1,V160))^2/(MAX(0,MIN(1,V160))^2+(1-MAX(0,MIN(1,V160)))^2/$B$5))))&lt;0.000000001,0,W160-$B$11/$B$9*((MAX(0,MIN(1,W160))^2/(MAX(0,MIN(1,W160))^2+(1-MAX(0,MIN(1,W160)))^2/$B$5))-(MAX(0,MIN(1,V160))^2/(MAX(0,MIN(1,V160))^2+(1-MAX(0,MIN(1,V160)))^2/$B$5))))</f>
        <v>0.865696492676624</v>
      </c>
      <c r="X161" s="16" t="n">
        <f aca="false">IF(ABS(X160-$B$11/$B$9*((MAX(0,MIN(1,X160))^2/(MAX(0,MIN(1,X160))^2+(1-MAX(0,MIN(1,X160)))^2/$B$5))-(MAX(0,MIN(1,W160))^2/(MAX(0,MIN(1,W160))^2+(1-MAX(0,MIN(1,W160)))^2/$B$5))))&lt;0.000000001,0,X160-$B$11/$B$9*((MAX(0,MIN(1,X160))^2/(MAX(0,MIN(1,X160))^2+(1-MAX(0,MIN(1,X160)))^2/$B$5))-(MAX(0,MIN(1,W160))^2/(MAX(0,MIN(1,W160))^2+(1-MAX(0,MIN(1,W160)))^2/$B$5))))</f>
        <v>0.857922930986293</v>
      </c>
      <c r="Y161" s="16" t="n">
        <f aca="false">IF(ABS(Y160-$B$11/$B$9*((MAX(0,MIN(1,Y160))^2/(MAX(0,MIN(1,Y160))^2+(1-MAX(0,MIN(1,Y160)))^2/$B$5))-(MAX(0,MIN(1,X160))^2/(MAX(0,MIN(1,X160))^2+(1-MAX(0,MIN(1,X160)))^2/$B$5))))&lt;0.000000001,0,Y160-$B$11/$B$9*((MAX(0,MIN(1,Y160))^2/(MAX(0,MIN(1,Y160))^2+(1-MAX(0,MIN(1,Y160)))^2/$B$5))-(MAX(0,MIN(1,X160))^2/(MAX(0,MIN(1,X160))^2+(1-MAX(0,MIN(1,X160)))^2/$B$5))))</f>
        <v>0.850446398987073</v>
      </c>
      <c r="Z161" s="16" t="n">
        <f aca="false">IF(ABS(Z160-$B$11/$B$9*((MAX(0,MIN(1,Z160))^2/(MAX(0,MIN(1,Z160))^2+(1-MAX(0,MIN(1,Z160)))^2/$B$5))-(MAX(0,MIN(1,Y160))^2/(MAX(0,MIN(1,Y160))^2+(1-MAX(0,MIN(1,Y160)))^2/$B$5))))&lt;0.000000001,0,Z160-$B$11/$B$9*((MAX(0,MIN(1,Z160))^2/(MAX(0,MIN(1,Z160))^2+(1-MAX(0,MIN(1,Z160)))^2/$B$5))-(MAX(0,MIN(1,Y160))^2/(MAX(0,MIN(1,Y160))^2+(1-MAX(0,MIN(1,Y160)))^2/$B$5))))</f>
        <v>0.843241104973992</v>
      </c>
      <c r="AA161" s="16" t="n">
        <f aca="false">IF(ABS(AA160-$B$11/$B$9*((MAX(0,MIN(1,AA160))^2/(MAX(0,MIN(1,AA160))^2+(1-MAX(0,MIN(1,AA160)))^2/$B$5))-(MAX(0,MIN(1,Z160))^2/(MAX(0,MIN(1,Z160))^2+(1-MAX(0,MIN(1,Z160)))^2/$B$5))))&lt;0.000000001,0,AA160-$B$11/$B$9*((MAX(0,MIN(1,AA160))^2/(MAX(0,MIN(1,AA160))^2+(1-MAX(0,MIN(1,AA160)))^2/$B$5))-(MAX(0,MIN(1,Z160))^2/(MAX(0,MIN(1,Z160))^2+(1-MAX(0,MIN(1,Z160)))^2/$B$5))))</f>
        <v>0.836284635331021</v>
      </c>
      <c r="AB161" s="16" t="n">
        <f aca="false">IF(ABS(AB160-$B$11/$B$9*((MAX(0,MIN(1,AB160))^2/(MAX(0,MIN(1,AB160))^2+(1-MAX(0,MIN(1,AB160)))^2/$B$5))-(MAX(0,MIN(1,AA160))^2/(MAX(0,MIN(1,AA160))^2+(1-MAX(0,MIN(1,AA160)))^2/$B$5))))&lt;0.000000001,0,AB160-$B$11/$B$9*((MAX(0,MIN(1,AB160))^2/(MAX(0,MIN(1,AB160))^2+(1-MAX(0,MIN(1,AB160)))^2/$B$5))-(MAX(0,MIN(1,AA160))^2/(MAX(0,MIN(1,AA160))^2+(1-MAX(0,MIN(1,AA160)))^2/$B$5))))</f>
        <v>0.829557338732967</v>
      </c>
      <c r="AC161" s="16" t="n">
        <f aca="false">IF(ABS(AC160-$B$11/$B$9*((MAX(0,MIN(1,AC160))^2/(MAX(0,MIN(1,AC160))^2+(1-MAX(0,MIN(1,AC160)))^2/$B$5))-(MAX(0,MIN(1,AB160))^2/(MAX(0,MIN(1,AB160))^2+(1-MAX(0,MIN(1,AB160)))^2/$B$5))))&lt;0.000000001,0,AC160-$B$11/$B$9*((MAX(0,MIN(1,AC160))^2/(MAX(0,MIN(1,AC160))^2+(1-MAX(0,MIN(1,AC160)))^2/$B$5))-(MAX(0,MIN(1,AB160))^2/(MAX(0,MIN(1,AB160))^2+(1-MAX(0,MIN(1,AB160)))^2/$B$5))))</f>
        <v>0.823041854963751</v>
      </c>
      <c r="AD161" s="16" t="n">
        <f aca="false">IF(ABS(AD160-$B$11/$B$9*((MAX(0,MIN(1,AD160))^2/(MAX(0,MIN(1,AD160))^2+(1-MAX(0,MIN(1,AD160)))^2/$B$5))-(MAX(0,MIN(1,AC160))^2/(MAX(0,MIN(1,AC160))^2+(1-MAX(0,MIN(1,AC160)))^2/$B$5))))&lt;0.000000001,0,AD160-$B$11/$B$9*((MAX(0,MIN(1,AD160))^2/(MAX(0,MIN(1,AD160))^2+(1-MAX(0,MIN(1,AD160)))^2/$B$5))-(MAX(0,MIN(1,AC160))^2/(MAX(0,MIN(1,AC160))^2+(1-MAX(0,MIN(1,AC160)))^2/$B$5))))</f>
        <v>0.81672274688308</v>
      </c>
      <c r="AE161" s="16" t="n">
        <f aca="false">IF(ABS(AE160-$B$11/$B$9*((MAX(0,MIN(1,AE160))^2/(MAX(0,MIN(1,AE160))^2+(1-MAX(0,MIN(1,AE160)))^2/$B$5))-(MAX(0,MIN(1,AD160))^2/(MAX(0,MIN(1,AD160))^2+(1-MAX(0,MIN(1,AD160)))^2/$B$5))))&lt;0.000000001,0,AE160-$B$11/$B$9*((MAX(0,MIN(1,AE160))^2/(MAX(0,MIN(1,AE160))^2+(1-MAX(0,MIN(1,AE160)))^2/$B$5))-(MAX(0,MIN(1,AD160))^2/(MAX(0,MIN(1,AD160))^2+(1-MAX(0,MIN(1,AD160)))^2/$B$5))))</f>
        <v>0.810586207937957</v>
      </c>
      <c r="AF161" s="16" t="n">
        <f aca="false">IF(ABS(AF160-$B$11/$B$9*((MAX(0,MIN(1,AF160))^2/(MAX(0,MIN(1,AF160))^2+(1-MAX(0,MIN(1,AF160)))^2/$B$5))-(MAX(0,MIN(1,AE160))^2/(MAX(0,MIN(1,AE160))^2+(1-MAX(0,MIN(1,AE160)))^2/$B$5))))&lt;0.000000001,0,AF160-$B$11/$B$9*((MAX(0,MIN(1,AF160))^2/(MAX(0,MIN(1,AF160))^2+(1-MAX(0,MIN(1,AF160)))^2/$B$5))-(MAX(0,MIN(1,AE160))^2/(MAX(0,MIN(1,AE160))^2+(1-MAX(0,MIN(1,AE160)))^2/$B$5))))</f>
        <v>0.804619826260241</v>
      </c>
    </row>
    <row r="162" customFormat="false" ht="15" hidden="false" customHeight="false" outlineLevel="0" collapsed="false">
      <c r="L162" s="0" t="n">
        <v>152</v>
      </c>
      <c r="M162" s="16" t="n">
        <f aca="false">IF(ABS(M161-$B$11/$B$9*((MAX(0,MIN(1,M161))^2/(MAX(0,MIN(1,M161))^2+(1-MAX(0,MIN(1,M161)))^2/$B$5))-(MAX(0,MIN(1,1))^2/(MAX(0,MIN(1,1))^2+(1-MAX(0,MIN(1,1)))^2/$B$5))))&lt;0.000000001,0,M161-$B$11/$B$9*((MAX(0,MIN(1,M161))^2/(MAX(0,MIN(1,M161))^2+(1-MAX(0,MIN(1,M161)))^2/$B$5))-(MAX(0,MIN(1,1))^2/(MAX(0,MIN(1,1))^2+(1-MAX(0,MIN(1,1)))^2/$B$5))))</f>
        <v>0.972805565183086</v>
      </c>
      <c r="N162" s="16" t="n">
        <f aca="false">IF(ABS(N161-$B$11/$B$9*((MAX(0,MIN(1,N161))^2/(MAX(0,MIN(1,N161))^2+(1-MAX(0,MIN(1,N161)))^2/$B$5))-(MAX(0,MIN(1,M161))^2/(MAX(0,MIN(1,M161))^2+(1-MAX(0,MIN(1,M161)))^2/$B$5))))&lt;0.000000001,0,N161-$B$11/$B$9*((MAX(0,MIN(1,N161))^2/(MAX(0,MIN(1,N161))^2+(1-MAX(0,MIN(1,N161)))^2/$B$5))-(MAX(0,MIN(1,M161))^2/(MAX(0,MIN(1,M161))^2+(1-MAX(0,MIN(1,M161)))^2/$B$5))))</f>
        <v>0.957549519908729</v>
      </c>
      <c r="O162" s="16" t="n">
        <f aca="false">IF(ABS(O161-$B$11/$B$9*((MAX(0,MIN(1,O161))^2/(MAX(0,MIN(1,O161))^2+(1-MAX(0,MIN(1,O161)))^2/$B$5))-(MAX(0,MIN(1,N161))^2/(MAX(0,MIN(1,N161))^2+(1-MAX(0,MIN(1,N161)))^2/$B$5))))&lt;0.000000001,0,O161-$B$11/$B$9*((MAX(0,MIN(1,O161))^2/(MAX(0,MIN(1,O161))^2+(1-MAX(0,MIN(1,O161)))^2/$B$5))-(MAX(0,MIN(1,N161))^2/(MAX(0,MIN(1,N161))^2+(1-MAX(0,MIN(1,N161)))^2/$B$5))))</f>
        <v>0.944302856506358</v>
      </c>
      <c r="P162" s="16" t="n">
        <f aca="false">IF(ABS(P161-$B$11/$B$9*((MAX(0,MIN(1,P161))^2/(MAX(0,MIN(1,P161))^2+(1-MAX(0,MIN(1,P161)))^2/$B$5))-(MAX(0,MIN(1,O161))^2/(MAX(0,MIN(1,O161))^2+(1-MAX(0,MIN(1,O161)))^2/$B$5))))&lt;0.000000001,0,P161-$B$11/$B$9*((MAX(0,MIN(1,P161))^2/(MAX(0,MIN(1,P161))^2+(1-MAX(0,MIN(1,P161)))^2/$B$5))-(MAX(0,MIN(1,O161))^2/(MAX(0,MIN(1,O161))^2+(1-MAX(0,MIN(1,O161)))^2/$B$5))))</f>
        <v>0.932274819722942</v>
      </c>
      <c r="Q162" s="16" t="n">
        <f aca="false">IF(ABS(Q161-$B$11/$B$9*((MAX(0,MIN(1,Q161))^2/(MAX(0,MIN(1,Q161))^2+(1-MAX(0,MIN(1,Q161)))^2/$B$5))-(MAX(0,MIN(1,P161))^2/(MAX(0,MIN(1,P161))^2+(1-MAX(0,MIN(1,P161)))^2/$B$5))))&lt;0.000000001,0,Q161-$B$11/$B$9*((MAX(0,MIN(1,Q161))^2/(MAX(0,MIN(1,Q161))^2+(1-MAX(0,MIN(1,Q161)))^2/$B$5))-(MAX(0,MIN(1,P161))^2/(MAX(0,MIN(1,P161))^2+(1-MAX(0,MIN(1,P161)))^2/$B$5))))</f>
        <v>0.921145514935144</v>
      </c>
      <c r="R162" s="16" t="n">
        <f aca="false">IF(ABS(R161-$B$11/$B$9*((MAX(0,MIN(1,R161))^2/(MAX(0,MIN(1,R161))^2+(1-MAX(0,MIN(1,R161)))^2/$B$5))-(MAX(0,MIN(1,Q161))^2/(MAX(0,MIN(1,Q161))^2+(1-MAX(0,MIN(1,Q161)))^2/$B$5))))&lt;0.000000001,0,R161-$B$11/$B$9*((MAX(0,MIN(1,R161))^2/(MAX(0,MIN(1,R161))^2+(1-MAX(0,MIN(1,R161)))^2/$B$5))-(MAX(0,MIN(1,Q161))^2/(MAX(0,MIN(1,Q161))^2+(1-MAX(0,MIN(1,Q161)))^2/$B$5))))</f>
        <v>0.910736129253858</v>
      </c>
      <c r="S162" s="16" t="n">
        <f aca="false">IF(ABS(S161-$B$11/$B$9*((MAX(0,MIN(1,S161))^2/(MAX(0,MIN(1,S161))^2+(1-MAX(0,MIN(1,S161)))^2/$B$5))-(MAX(0,MIN(1,R161))^2/(MAX(0,MIN(1,R161))^2+(1-MAX(0,MIN(1,R161)))^2/$B$5))))&lt;0.000000001,0,S161-$B$11/$B$9*((MAX(0,MIN(1,S161))^2/(MAX(0,MIN(1,S161))^2+(1-MAX(0,MIN(1,S161)))^2/$B$5))-(MAX(0,MIN(1,R161))^2/(MAX(0,MIN(1,R161))^2+(1-MAX(0,MIN(1,R161)))^2/$B$5))))</f>
        <v>0.900929326725674</v>
      </c>
      <c r="T162" s="16" t="n">
        <f aca="false">IF(ABS(T161-$B$11/$B$9*((MAX(0,MIN(1,T161))^2/(MAX(0,MIN(1,T161))^2+(1-MAX(0,MIN(1,T161)))^2/$B$5))-(MAX(0,MIN(1,S161))^2/(MAX(0,MIN(1,S161))^2+(1-MAX(0,MIN(1,S161)))^2/$B$5))))&lt;0.000000001,0,T161-$B$11/$B$9*((MAX(0,MIN(1,T161))^2/(MAX(0,MIN(1,T161))^2+(1-MAX(0,MIN(1,T161)))^2/$B$5))-(MAX(0,MIN(1,S161))^2/(MAX(0,MIN(1,S161))^2+(1-MAX(0,MIN(1,S161)))^2/$B$5))))</f>
        <v>0.891640603833619</v>
      </c>
      <c r="U162" s="16" t="n">
        <f aca="false">IF(ABS(U161-$B$11/$B$9*((MAX(0,MIN(1,U161))^2/(MAX(0,MIN(1,U161))^2+(1-MAX(0,MIN(1,U161)))^2/$B$5))-(MAX(0,MIN(1,T161))^2/(MAX(0,MIN(1,T161))^2+(1-MAX(0,MIN(1,T161)))^2/$B$5))))&lt;0.000000001,0,U161-$B$11/$B$9*((MAX(0,MIN(1,U161))^2/(MAX(0,MIN(1,U161))^2+(1-MAX(0,MIN(1,U161)))^2/$B$5))-(MAX(0,MIN(1,T161))^2/(MAX(0,MIN(1,T161))^2+(1-MAX(0,MIN(1,T161)))^2/$B$5))))</f>
        <v>0.88280540636415</v>
      </c>
      <c r="V162" s="16" t="n">
        <f aca="false">IF(ABS(V161-$B$11/$B$9*((MAX(0,MIN(1,V161))^2/(MAX(0,MIN(1,V161))^2+(1-MAX(0,MIN(1,V161)))^2/$B$5))-(MAX(0,MIN(1,U161))^2/(MAX(0,MIN(1,U161))^2+(1-MAX(0,MIN(1,U161)))^2/$B$5))))&lt;0.000000001,0,V161-$B$11/$B$9*((MAX(0,MIN(1,V161))^2/(MAX(0,MIN(1,V161))^2+(1-MAX(0,MIN(1,V161)))^2/$B$5))-(MAX(0,MIN(1,U161))^2/(MAX(0,MIN(1,U161))^2+(1-MAX(0,MIN(1,U161)))^2/$B$5))))</f>
        <v>0.874372415535706</v>
      </c>
      <c r="W162" s="16" t="n">
        <f aca="false">IF(ABS(W161-$B$11/$B$9*((MAX(0,MIN(1,W161))^2/(MAX(0,MIN(1,W161))^2+(1-MAX(0,MIN(1,W161)))^2/$B$5))-(MAX(0,MIN(1,V161))^2/(MAX(0,MIN(1,V161))^2+(1-MAX(0,MIN(1,V161)))^2/$B$5))))&lt;0.000000001,0,W161-$B$11/$B$9*((MAX(0,MIN(1,W161))^2/(MAX(0,MIN(1,W161))^2+(1-MAX(0,MIN(1,W161)))^2/$B$5))-(MAX(0,MIN(1,V161))^2/(MAX(0,MIN(1,V161))^2+(1-MAX(0,MIN(1,V161)))^2/$B$5))))</f>
        <v>0.866299660969269</v>
      </c>
      <c r="X162" s="16" t="n">
        <f aca="false">IF(ABS(X161-$B$11/$B$9*((MAX(0,MIN(1,X161))^2/(MAX(0,MIN(1,X161))^2+(1-MAX(0,MIN(1,X161)))^2/$B$5))-(MAX(0,MIN(1,W161))^2/(MAX(0,MIN(1,W161))^2+(1-MAX(0,MIN(1,W161)))^2/$B$5))))&lt;0.000000001,0,X161-$B$11/$B$9*((MAX(0,MIN(1,X161))^2/(MAX(0,MIN(1,X161))^2+(1-MAX(0,MIN(1,X161)))^2/$B$5))-(MAX(0,MIN(1,W161))^2/(MAX(0,MIN(1,W161))^2+(1-MAX(0,MIN(1,W161)))^2/$B$5))))</f>
        <v>0.858552086427463</v>
      </c>
      <c r="Y162" s="16" t="n">
        <f aca="false">IF(ABS(Y161-$B$11/$B$9*((MAX(0,MIN(1,Y161))^2/(MAX(0,MIN(1,Y161))^2+(1-MAX(0,MIN(1,Y161)))^2/$B$5))-(MAX(0,MIN(1,X161))^2/(MAX(0,MIN(1,X161))^2+(1-MAX(0,MIN(1,X161)))^2/$B$5))))&lt;0.000000001,0,Y161-$B$11/$B$9*((MAX(0,MIN(1,Y161))^2/(MAX(0,MIN(1,Y161))^2+(1-MAX(0,MIN(1,Y161)))^2/$B$5))-(MAX(0,MIN(1,X161))^2/(MAX(0,MIN(1,X161))^2+(1-MAX(0,MIN(1,X161)))^2/$B$5))))</f>
        <v>0.851099930647169</v>
      </c>
      <c r="Z162" s="16" t="n">
        <f aca="false">IF(ABS(Z161-$B$11/$B$9*((MAX(0,MIN(1,Z161))^2/(MAX(0,MIN(1,Z161))^2+(1-MAX(0,MIN(1,Z161)))^2/$B$5))-(MAX(0,MIN(1,Y161))^2/(MAX(0,MIN(1,Y161))^2+(1-MAX(0,MIN(1,Y161)))^2/$B$5))))&lt;0.000000001,0,Z161-$B$11/$B$9*((MAX(0,MIN(1,Z161))^2/(MAX(0,MIN(1,Z161))^2+(1-MAX(0,MIN(1,Z161)))^2/$B$5))-(MAX(0,MIN(1,Y161))^2/(MAX(0,MIN(1,Y161))^2+(1-MAX(0,MIN(1,Y161)))^2/$B$5))))</f>
        <v>0.843917598283047</v>
      </c>
      <c r="AA162" s="16" t="n">
        <f aca="false">IF(ABS(AA161-$B$11/$B$9*((MAX(0,MIN(1,AA161))^2/(MAX(0,MIN(1,AA161))^2+(1-MAX(0,MIN(1,AA161)))^2/$B$5))-(MAX(0,MIN(1,Z161))^2/(MAX(0,MIN(1,Z161))^2+(1-MAX(0,MIN(1,Z161)))^2/$B$5))))&lt;0.000000001,0,AA161-$B$11/$B$9*((MAX(0,MIN(1,AA161))^2/(MAX(0,MIN(1,AA161))^2+(1-MAX(0,MIN(1,AA161)))^2/$B$5))-(MAX(0,MIN(1,Z161))^2/(MAX(0,MIN(1,Z161))^2+(1-MAX(0,MIN(1,Z161)))^2/$B$5))))</f>
        <v>0.836982842458798</v>
      </c>
      <c r="AB162" s="16" t="n">
        <f aca="false">IF(ABS(AB161-$B$11/$B$9*((MAX(0,MIN(1,AB161))^2/(MAX(0,MIN(1,AB161))^2+(1-MAX(0,MIN(1,AB161)))^2/$B$5))-(MAX(0,MIN(1,AA161))^2/(MAX(0,MIN(1,AA161))^2+(1-MAX(0,MIN(1,AA161)))^2/$B$5))))&lt;0.000000001,0,AB161-$B$11/$B$9*((MAX(0,MIN(1,AB161))^2/(MAX(0,MIN(1,AB161))^2+(1-MAX(0,MIN(1,AB161)))^2/$B$5))-(MAX(0,MIN(1,AA161))^2/(MAX(0,MIN(1,AA161))^2+(1-MAX(0,MIN(1,AA161)))^2/$B$5))))</f>
        <v>0.830276154679732</v>
      </c>
      <c r="AC162" s="16" t="n">
        <f aca="false">IF(ABS(AC161-$B$11/$B$9*((MAX(0,MIN(1,AC161))^2/(MAX(0,MIN(1,AC161))^2+(1-MAX(0,MIN(1,AC161)))^2/$B$5))-(MAX(0,MIN(1,AB161))^2/(MAX(0,MIN(1,AB161))^2+(1-MAX(0,MIN(1,AB161)))^2/$B$5))))&lt;0.000000001,0,AC161-$B$11/$B$9*((MAX(0,MIN(1,AC161))^2/(MAX(0,MIN(1,AC161))^2+(1-MAX(0,MIN(1,AC161)))^2/$B$5))-(MAX(0,MIN(1,AB161))^2/(MAX(0,MIN(1,AB161))^2+(1-MAX(0,MIN(1,AB161)))^2/$B$5))))</f>
        <v>0.823780298038323</v>
      </c>
      <c r="AD162" s="16" t="n">
        <f aca="false">IF(ABS(AD161-$B$11/$B$9*((MAX(0,MIN(1,AD161))^2/(MAX(0,MIN(1,AD161))^2+(1-MAX(0,MIN(1,AD161)))^2/$B$5))-(MAX(0,MIN(1,AC161))^2/(MAX(0,MIN(1,AC161))^2+(1-MAX(0,MIN(1,AC161)))^2/$B$5))))&lt;0.000000001,0,AD161-$B$11/$B$9*((MAX(0,MIN(1,AD161))^2/(MAX(0,MIN(1,AD161))^2+(1-MAX(0,MIN(1,AD161)))^2/$B$5))-(MAX(0,MIN(1,AC161))^2/(MAX(0,MIN(1,AC161))^2+(1-MAX(0,MIN(1,AC161)))^2/$B$5))))</f>
        <v>0.817479942607054</v>
      </c>
      <c r="AE162" s="16" t="n">
        <f aca="false">IF(ABS(AE161-$B$11/$B$9*((MAX(0,MIN(1,AE161))^2/(MAX(0,MIN(1,AE161))^2+(1-MAX(0,MIN(1,AE161)))^2/$B$5))-(MAX(0,MIN(1,AD161))^2/(MAX(0,MIN(1,AD161))^2+(1-MAX(0,MIN(1,AD161)))^2/$B$5))))&lt;0.000000001,0,AE161-$B$11/$B$9*((MAX(0,MIN(1,AE161))^2/(MAX(0,MIN(1,AE161))^2+(1-MAX(0,MIN(1,AE161)))^2/$B$5))-(MAX(0,MIN(1,AD161))^2/(MAX(0,MIN(1,AD161))^2+(1-MAX(0,MIN(1,AD161)))^2/$B$5))))</f>
        <v>0.811361375663219</v>
      </c>
      <c r="AF162" s="16" t="n">
        <f aca="false">IF(ABS(AF161-$B$11/$B$9*((MAX(0,MIN(1,AF161))^2/(MAX(0,MIN(1,AF161))^2+(1-MAX(0,MIN(1,AF161)))^2/$B$5))-(MAX(0,MIN(1,AE161))^2/(MAX(0,MIN(1,AE161))^2+(1-MAX(0,MIN(1,AE161)))^2/$B$5))))&lt;0.000000001,0,AF161-$B$11/$B$9*((MAX(0,MIN(1,AF161))^2/(MAX(0,MIN(1,AF161))^2+(1-MAX(0,MIN(1,AF161)))^2/$B$5))-(MAX(0,MIN(1,AE161))^2/(MAX(0,MIN(1,AE161))^2+(1-MAX(0,MIN(1,AE161)))^2/$B$5))))</f>
        <v>0.805412267961543</v>
      </c>
    </row>
    <row r="163" customFormat="false" ht="15" hidden="false" customHeight="false" outlineLevel="0" collapsed="false">
      <c r="L163" s="0" t="n">
        <v>153</v>
      </c>
      <c r="M163" s="16" t="n">
        <f aca="false">IF(ABS(M162-$B$11/$B$9*((MAX(0,MIN(1,M162))^2/(MAX(0,MIN(1,M162))^2+(1-MAX(0,MIN(1,M162)))^2/$B$5))-(MAX(0,MIN(1,1))^2/(MAX(0,MIN(1,1))^2+(1-MAX(0,MIN(1,1)))^2/$B$5))))&lt;0.000000001,0,M162-$B$11/$B$9*((MAX(0,MIN(1,M162))^2/(MAX(0,MIN(1,M162))^2+(1-MAX(0,MIN(1,M162)))^2/$B$5))-(MAX(0,MIN(1,1))^2/(MAX(0,MIN(1,1))^2+(1-MAX(0,MIN(1,1)))^2/$B$5))))</f>
        <v>0.972955754872493</v>
      </c>
      <c r="N163" s="16" t="n">
        <f aca="false">IF(ABS(N162-$B$11/$B$9*((MAX(0,MIN(1,N162))^2/(MAX(0,MIN(1,N162))^2+(1-MAX(0,MIN(1,N162)))^2/$B$5))-(MAX(0,MIN(1,M162))^2/(MAX(0,MIN(1,M162))^2+(1-MAX(0,MIN(1,M162)))^2/$B$5))))&lt;0.000000001,0,N162-$B$11/$B$9*((MAX(0,MIN(1,N162))^2/(MAX(0,MIN(1,N162))^2+(1-MAX(0,MIN(1,N162)))^2/$B$5))-(MAX(0,MIN(1,M162))^2/(MAX(0,MIN(1,M162))^2+(1-MAX(0,MIN(1,M162)))^2/$B$5))))</f>
        <v>0.957776831091939</v>
      </c>
      <c r="O163" s="16" t="n">
        <f aca="false">IF(ABS(O162-$B$11/$B$9*((MAX(0,MIN(1,O162))^2/(MAX(0,MIN(1,O162))^2+(1-MAX(0,MIN(1,O162)))^2/$B$5))-(MAX(0,MIN(1,N162))^2/(MAX(0,MIN(1,N162))^2+(1-MAX(0,MIN(1,N162)))^2/$B$5))))&lt;0.000000001,0,O162-$B$11/$B$9*((MAX(0,MIN(1,O162))^2/(MAX(0,MIN(1,O162))^2+(1-MAX(0,MIN(1,O162)))^2/$B$5))-(MAX(0,MIN(1,N162))^2/(MAX(0,MIN(1,N162))^2+(1-MAX(0,MIN(1,N162)))^2/$B$5))))</f>
        <v>0.944593069284401</v>
      </c>
      <c r="P163" s="16" t="n">
        <f aca="false">IF(ABS(P162-$B$11/$B$9*((MAX(0,MIN(1,P162))^2/(MAX(0,MIN(1,P162))^2+(1-MAX(0,MIN(1,P162)))^2/$B$5))-(MAX(0,MIN(1,O162))^2/(MAX(0,MIN(1,O162))^2+(1-MAX(0,MIN(1,O162)))^2/$B$5))))&lt;0.000000001,0,P162-$B$11/$B$9*((MAX(0,MIN(1,P162))^2/(MAX(0,MIN(1,P162))^2+(1-MAX(0,MIN(1,P162)))^2/$B$5))-(MAX(0,MIN(1,O162))^2/(MAX(0,MIN(1,O162))^2+(1-MAX(0,MIN(1,O162)))^2/$B$5))))</f>
        <v>0.932619081072778</v>
      </c>
      <c r="Q163" s="16" t="n">
        <f aca="false">IF(ABS(Q162-$B$11/$B$9*((MAX(0,MIN(1,Q162))^2/(MAX(0,MIN(1,Q162))^2+(1-MAX(0,MIN(1,Q162)))^2/$B$5))-(MAX(0,MIN(1,P162))^2/(MAX(0,MIN(1,P162))^2+(1-MAX(0,MIN(1,P162)))^2/$B$5))))&lt;0.000000001,0,Q162-$B$11/$B$9*((MAX(0,MIN(1,Q162))^2/(MAX(0,MIN(1,Q162))^2+(1-MAX(0,MIN(1,Q162)))^2/$B$5))-(MAX(0,MIN(1,P162))^2/(MAX(0,MIN(1,P162))^2+(1-MAX(0,MIN(1,P162)))^2/$B$5))))</f>
        <v>0.921537354443082</v>
      </c>
      <c r="R163" s="16" t="n">
        <f aca="false">IF(ABS(R162-$B$11/$B$9*((MAX(0,MIN(1,R162))^2/(MAX(0,MIN(1,R162))^2+(1-MAX(0,MIN(1,R162)))^2/$B$5))-(MAX(0,MIN(1,Q162))^2/(MAX(0,MIN(1,Q162))^2+(1-MAX(0,MIN(1,Q162)))^2/$B$5))))&lt;0.000000001,0,R162-$B$11/$B$9*((MAX(0,MIN(1,R162))^2/(MAX(0,MIN(1,R162))^2+(1-MAX(0,MIN(1,R162)))^2/$B$5))-(MAX(0,MIN(1,Q162))^2/(MAX(0,MIN(1,Q162))^2+(1-MAX(0,MIN(1,Q162)))^2/$B$5))))</f>
        <v>0.911170490610437</v>
      </c>
      <c r="S163" s="16" t="n">
        <f aca="false">IF(ABS(S162-$B$11/$B$9*((MAX(0,MIN(1,S162))^2/(MAX(0,MIN(1,S162))^2+(1-MAX(0,MIN(1,S162)))^2/$B$5))-(MAX(0,MIN(1,R162))^2/(MAX(0,MIN(1,R162))^2+(1-MAX(0,MIN(1,R162)))^2/$B$5))))&lt;0.000000001,0,S162-$B$11/$B$9*((MAX(0,MIN(1,S162))^2/(MAX(0,MIN(1,S162))^2+(1-MAX(0,MIN(1,S162)))^2/$B$5))-(MAX(0,MIN(1,R162))^2/(MAX(0,MIN(1,R162))^2+(1-MAX(0,MIN(1,R162)))^2/$B$5))))</f>
        <v>0.901402112170738</v>
      </c>
      <c r="T163" s="16" t="n">
        <f aca="false">IF(ABS(T162-$B$11/$B$9*((MAX(0,MIN(1,T162))^2/(MAX(0,MIN(1,T162))^2+(1-MAX(0,MIN(1,T162)))^2/$B$5))-(MAX(0,MIN(1,S162))^2/(MAX(0,MIN(1,S162))^2+(1-MAX(0,MIN(1,S162)))^2/$B$5))))&lt;0.000000001,0,T162-$B$11/$B$9*((MAX(0,MIN(1,T162))^2/(MAX(0,MIN(1,T162))^2+(1-MAX(0,MIN(1,T162)))^2/$B$5))-(MAX(0,MIN(1,S162))^2/(MAX(0,MIN(1,S162))^2+(1-MAX(0,MIN(1,S162)))^2/$B$5))))</f>
        <v>0.892148414808469</v>
      </c>
      <c r="U163" s="16" t="n">
        <f aca="false">IF(ABS(U162-$B$11/$B$9*((MAX(0,MIN(1,U162))^2/(MAX(0,MIN(1,U162))^2+(1-MAX(0,MIN(1,U162)))^2/$B$5))-(MAX(0,MIN(1,T162))^2/(MAX(0,MIN(1,T162))^2+(1-MAX(0,MIN(1,T162)))^2/$B$5))))&lt;0.000000001,0,U162-$B$11/$B$9*((MAX(0,MIN(1,U162))^2/(MAX(0,MIN(1,U162))^2+(1-MAX(0,MIN(1,U162)))^2/$B$5))-(MAX(0,MIN(1,T162))^2/(MAX(0,MIN(1,T162))^2+(1-MAX(0,MIN(1,T162)))^2/$B$5))))</f>
        <v>0.883345378146292</v>
      </c>
      <c r="V163" s="16" t="n">
        <f aca="false">IF(ABS(V162-$B$11/$B$9*((MAX(0,MIN(1,V162))^2/(MAX(0,MIN(1,V162))^2+(1-MAX(0,MIN(1,V162)))^2/$B$5))-(MAX(0,MIN(1,U162))^2/(MAX(0,MIN(1,U162))^2+(1-MAX(0,MIN(1,U162)))^2/$B$5))))&lt;0.000000001,0,V162-$B$11/$B$9*((MAX(0,MIN(1,V162))^2/(MAX(0,MIN(1,V162))^2+(1-MAX(0,MIN(1,V162)))^2/$B$5))-(MAX(0,MIN(1,U162))^2/(MAX(0,MIN(1,U162))^2+(1-MAX(0,MIN(1,U162)))^2/$B$5))))</f>
        <v>0.874942103830221</v>
      </c>
      <c r="W163" s="16" t="n">
        <f aca="false">IF(ABS(W162-$B$11/$B$9*((MAX(0,MIN(1,W162))^2/(MAX(0,MIN(1,W162))^2+(1-MAX(0,MIN(1,W162)))^2/$B$5))-(MAX(0,MIN(1,V162))^2/(MAX(0,MIN(1,V162))^2+(1-MAX(0,MIN(1,V162)))^2/$B$5))))&lt;0.000000001,0,W162-$B$11/$B$9*((MAX(0,MIN(1,W162))^2/(MAX(0,MIN(1,W162))^2+(1-MAX(0,MIN(1,W162)))^2/$B$5))-(MAX(0,MIN(1,V162))^2/(MAX(0,MIN(1,V162))^2+(1-MAX(0,MIN(1,V162)))^2/$B$5))))</f>
        <v>0.866896960166422</v>
      </c>
      <c r="X163" s="16" t="n">
        <f aca="false">IF(ABS(X162-$B$11/$B$9*((MAX(0,MIN(1,X162))^2/(MAX(0,MIN(1,X162))^2+(1-MAX(0,MIN(1,X162)))^2/$B$5))-(MAX(0,MIN(1,W162))^2/(MAX(0,MIN(1,W162))^2+(1-MAX(0,MIN(1,W162)))^2/$B$5))))&lt;0.000000001,0,X162-$B$11/$B$9*((MAX(0,MIN(1,X162))^2/(MAX(0,MIN(1,X162))^2+(1-MAX(0,MIN(1,X162)))^2/$B$5))-(MAX(0,MIN(1,W162))^2/(MAX(0,MIN(1,W162))^2+(1-MAX(0,MIN(1,W162)))^2/$B$5))))</f>
        <v>0.859175168542969</v>
      </c>
      <c r="Y163" s="16" t="n">
        <f aca="false">IF(ABS(Y162-$B$11/$B$9*((MAX(0,MIN(1,Y162))^2/(MAX(0,MIN(1,Y162))^2+(1-MAX(0,MIN(1,Y162)))^2/$B$5))-(MAX(0,MIN(1,X162))^2/(MAX(0,MIN(1,X162))^2+(1-MAX(0,MIN(1,X162)))^2/$B$5))))&lt;0.000000001,0,Y162-$B$11/$B$9*((MAX(0,MIN(1,Y162))^2/(MAX(0,MIN(1,Y162))^2+(1-MAX(0,MIN(1,Y162)))^2/$B$5))-(MAX(0,MIN(1,X162))^2/(MAX(0,MIN(1,X162))^2+(1-MAX(0,MIN(1,X162)))^2/$B$5))))</f>
        <v>0.851747198475026</v>
      </c>
      <c r="Z163" s="16" t="n">
        <f aca="false">IF(ABS(Z162-$B$11/$B$9*((MAX(0,MIN(1,Z162))^2/(MAX(0,MIN(1,Z162))^2+(1-MAX(0,MIN(1,Z162)))^2/$B$5))-(MAX(0,MIN(1,Y162))^2/(MAX(0,MIN(1,Y162))^2+(1-MAX(0,MIN(1,Y162)))^2/$B$5))))&lt;0.000000001,0,Z162-$B$11/$B$9*((MAX(0,MIN(1,Z162))^2/(MAX(0,MIN(1,Z162))^2+(1-MAX(0,MIN(1,Z162)))^2/$B$5))-(MAX(0,MIN(1,Y162))^2/(MAX(0,MIN(1,Y162))^2+(1-MAX(0,MIN(1,Y162)))^2/$B$5))))</f>
        <v>0.844587648697404</v>
      </c>
      <c r="AA163" s="16" t="n">
        <f aca="false">IF(ABS(AA162-$B$11/$B$9*((MAX(0,MIN(1,AA162))^2/(MAX(0,MIN(1,AA162))^2+(1-MAX(0,MIN(1,AA162)))^2/$B$5))-(MAX(0,MIN(1,Z162))^2/(MAX(0,MIN(1,Z162))^2+(1-MAX(0,MIN(1,Z162)))^2/$B$5))))&lt;0.000000001,0,AA162-$B$11/$B$9*((MAX(0,MIN(1,AA162))^2/(MAX(0,MIN(1,AA162))^2+(1-MAX(0,MIN(1,AA162)))^2/$B$5))-(MAX(0,MIN(1,Z162))^2/(MAX(0,MIN(1,Z162))^2+(1-MAX(0,MIN(1,Z162)))^2/$B$5))))</f>
        <v>0.837674437183148</v>
      </c>
      <c r="AB163" s="16" t="n">
        <f aca="false">IF(ABS(AB162-$B$11/$B$9*((MAX(0,MIN(1,AB162))^2/(MAX(0,MIN(1,AB162))^2+(1-MAX(0,MIN(1,AB162)))^2/$B$5))-(MAX(0,MIN(1,AA162))^2/(MAX(0,MIN(1,AA162))^2+(1-MAX(0,MIN(1,AA162)))^2/$B$5))))&lt;0.000000001,0,AB162-$B$11/$B$9*((MAX(0,MIN(1,AB162))^2/(MAX(0,MIN(1,AB162))^2+(1-MAX(0,MIN(1,AB162)))^2/$B$5))-(MAX(0,MIN(1,AA162))^2/(MAX(0,MIN(1,AA162))^2+(1-MAX(0,MIN(1,AA162)))^2/$B$5))))</f>
        <v>0.830988196683177</v>
      </c>
      <c r="AC163" s="16" t="n">
        <f aca="false">IF(ABS(AC162-$B$11/$B$9*((MAX(0,MIN(1,AC162))^2/(MAX(0,MIN(1,AC162))^2+(1-MAX(0,MIN(1,AC162)))^2/$B$5))-(MAX(0,MIN(1,AB162))^2/(MAX(0,MIN(1,AB162))^2+(1-MAX(0,MIN(1,AB162)))^2/$B$5))))&lt;0.000000001,0,AC162-$B$11/$B$9*((MAX(0,MIN(1,AC162))^2/(MAX(0,MIN(1,AC162))^2+(1-MAX(0,MIN(1,AC162)))^2/$B$5))-(MAX(0,MIN(1,AB162))^2/(MAX(0,MIN(1,AB162))^2+(1-MAX(0,MIN(1,AB162)))^2/$B$5))))</f>
        <v>0.824511812255909</v>
      </c>
      <c r="AD163" s="16" t="n">
        <f aca="false">IF(ABS(AD162-$B$11/$B$9*((MAX(0,MIN(1,AD162))^2/(MAX(0,MIN(1,AD162))^2+(1-MAX(0,MIN(1,AD162)))^2/$B$5))-(MAX(0,MIN(1,AC162))^2/(MAX(0,MIN(1,AC162))^2+(1-MAX(0,MIN(1,AC162)))^2/$B$5))))&lt;0.000000001,0,AD162-$B$11/$B$9*((MAX(0,MIN(1,AD162))^2/(MAX(0,MIN(1,AD162))^2+(1-MAX(0,MIN(1,AD162)))^2/$B$5))-(MAX(0,MIN(1,AC162))^2/(MAX(0,MIN(1,AC162))^2+(1-MAX(0,MIN(1,AC162)))^2/$B$5))))</f>
        <v>0.818230060037744</v>
      </c>
      <c r="AE163" s="16" t="n">
        <f aca="false">IF(ABS(AE162-$B$11/$B$9*((MAX(0,MIN(1,AE162))^2/(MAX(0,MIN(1,AE162))^2+(1-MAX(0,MIN(1,AE162)))^2/$B$5))-(MAX(0,MIN(1,AD162))^2/(MAX(0,MIN(1,AD162))^2+(1-MAX(0,MIN(1,AD162)))^2/$B$5))))&lt;0.000000001,0,AE162-$B$11/$B$9*((MAX(0,MIN(1,AE162))^2/(MAX(0,MIN(1,AE162))^2+(1-MAX(0,MIN(1,AE162)))^2/$B$5))-(MAX(0,MIN(1,AD162))^2/(MAX(0,MIN(1,AD162))^2+(1-MAX(0,MIN(1,AD162)))^2/$B$5))))</f>
        <v>0.812129320143355</v>
      </c>
      <c r="AF163" s="16" t="n">
        <f aca="false">IF(ABS(AF162-$B$11/$B$9*((MAX(0,MIN(1,AF162))^2/(MAX(0,MIN(1,AF162))^2+(1-MAX(0,MIN(1,AF162)))^2/$B$5))-(MAX(0,MIN(1,AE162))^2/(MAX(0,MIN(1,AE162))^2+(1-MAX(0,MIN(1,AE162)))^2/$B$5))))&lt;0.000000001,0,AF162-$B$11/$B$9*((MAX(0,MIN(1,AF162))^2/(MAX(0,MIN(1,AF162))^2+(1-MAX(0,MIN(1,AF162)))^2/$B$5))-(MAX(0,MIN(1,AE162))^2/(MAX(0,MIN(1,AE162))^2+(1-MAX(0,MIN(1,AE162)))^2/$B$5))))</f>
        <v>0.806197345083565</v>
      </c>
    </row>
    <row r="164" customFormat="false" ht="15" hidden="false" customHeight="false" outlineLevel="0" collapsed="false">
      <c r="L164" s="0" t="n">
        <v>154</v>
      </c>
      <c r="M164" s="16" t="n">
        <f aca="false">IF(ABS(M163-$B$11/$B$9*((MAX(0,MIN(1,M163))^2/(MAX(0,MIN(1,M163))^2+(1-MAX(0,MIN(1,M163)))^2/$B$5))-(MAX(0,MIN(1,1))^2/(MAX(0,MIN(1,1))^2+(1-MAX(0,MIN(1,1)))^2/$B$5))))&lt;0.000000001,0,M163-$B$11/$B$9*((MAX(0,MIN(1,M163))^2/(MAX(0,MIN(1,M163))^2+(1-MAX(0,MIN(1,M163)))^2/$B$5))-(MAX(0,MIN(1,1))^2/(MAX(0,MIN(1,1))^2+(1-MAX(0,MIN(1,1)))^2/$B$5))))</f>
        <v>0.97310424500771</v>
      </c>
      <c r="N164" s="16" t="n">
        <f aca="false">IF(ABS(N163-$B$11/$B$9*((MAX(0,MIN(1,N163))^2/(MAX(0,MIN(1,N163))^2+(1-MAX(0,MIN(1,N163)))^2/$B$5))-(MAX(0,MIN(1,M163))^2/(MAX(0,MIN(1,M163))^2+(1-MAX(0,MIN(1,M163)))^2/$B$5))))&lt;0.000000001,0,N163-$B$11/$B$9*((MAX(0,MIN(1,N163))^2/(MAX(0,MIN(1,N163))^2+(1-MAX(0,MIN(1,N163)))^2/$B$5))-(MAX(0,MIN(1,M163))^2/(MAX(0,MIN(1,M163))^2+(1-MAX(0,MIN(1,M163)))^2/$B$5))))</f>
        <v>0.958001636652258</v>
      </c>
      <c r="O164" s="16" t="n">
        <f aca="false">IF(ABS(O163-$B$11/$B$9*((MAX(0,MIN(1,O163))^2/(MAX(0,MIN(1,O163))^2+(1-MAX(0,MIN(1,O163)))^2/$B$5))-(MAX(0,MIN(1,N163))^2/(MAX(0,MIN(1,N163))^2+(1-MAX(0,MIN(1,N163)))^2/$B$5))))&lt;0.000000001,0,O163-$B$11/$B$9*((MAX(0,MIN(1,O163))^2/(MAX(0,MIN(1,O163))^2+(1-MAX(0,MIN(1,O163)))^2/$B$5))-(MAX(0,MIN(1,N163))^2/(MAX(0,MIN(1,N163))^2+(1-MAX(0,MIN(1,N163)))^2/$B$5))))</f>
        <v>0.944880153708355</v>
      </c>
      <c r="P164" s="16" t="n">
        <f aca="false">IF(ABS(P163-$B$11/$B$9*((MAX(0,MIN(1,P163))^2/(MAX(0,MIN(1,P163))^2+(1-MAX(0,MIN(1,P163)))^2/$B$5))-(MAX(0,MIN(1,O163))^2/(MAX(0,MIN(1,O163))^2+(1-MAX(0,MIN(1,O163)))^2/$B$5))))&lt;0.000000001,0,P163-$B$11/$B$9*((MAX(0,MIN(1,P163))^2/(MAX(0,MIN(1,P163))^2+(1-MAX(0,MIN(1,P163)))^2/$B$5))-(MAX(0,MIN(1,O163))^2/(MAX(0,MIN(1,O163))^2+(1-MAX(0,MIN(1,O163)))^2/$B$5))))</f>
        <v>0.932959703180843</v>
      </c>
      <c r="Q164" s="16" t="n">
        <f aca="false">IF(ABS(Q163-$B$11/$B$9*((MAX(0,MIN(1,Q163))^2/(MAX(0,MIN(1,Q163))^2+(1-MAX(0,MIN(1,Q163)))^2/$B$5))-(MAX(0,MIN(1,P163))^2/(MAX(0,MIN(1,P163))^2+(1-MAX(0,MIN(1,P163)))^2/$B$5))))&lt;0.000000001,0,Q163-$B$11/$B$9*((MAX(0,MIN(1,Q163))^2/(MAX(0,MIN(1,Q163))^2+(1-MAX(0,MIN(1,Q163)))^2/$B$5))-(MAX(0,MIN(1,P163))^2/(MAX(0,MIN(1,P163))^2+(1-MAX(0,MIN(1,P163)))^2/$B$5))))</f>
        <v>0.921925122673671</v>
      </c>
      <c r="R164" s="16" t="n">
        <f aca="false">IF(ABS(R163-$B$11/$B$9*((MAX(0,MIN(1,R163))^2/(MAX(0,MIN(1,R163))^2+(1-MAX(0,MIN(1,R163)))^2/$B$5))-(MAX(0,MIN(1,Q163))^2/(MAX(0,MIN(1,Q163))^2+(1-MAX(0,MIN(1,Q163)))^2/$B$5))))&lt;0.000000001,0,R163-$B$11/$B$9*((MAX(0,MIN(1,R163))^2/(MAX(0,MIN(1,R163))^2+(1-MAX(0,MIN(1,R163)))^2/$B$5))-(MAX(0,MIN(1,Q163))^2/(MAX(0,MIN(1,Q163))^2+(1-MAX(0,MIN(1,Q163)))^2/$B$5))))</f>
        <v>0.911600407771704</v>
      </c>
      <c r="S164" s="16" t="n">
        <f aca="false">IF(ABS(S163-$B$11/$B$9*((MAX(0,MIN(1,S163))^2/(MAX(0,MIN(1,S163))^2+(1-MAX(0,MIN(1,S163)))^2/$B$5))-(MAX(0,MIN(1,R163))^2/(MAX(0,MIN(1,R163))^2+(1-MAX(0,MIN(1,R163)))^2/$B$5))))&lt;0.000000001,0,S163-$B$11/$B$9*((MAX(0,MIN(1,S163))^2/(MAX(0,MIN(1,S163))^2+(1-MAX(0,MIN(1,S163)))^2/$B$5))-(MAX(0,MIN(1,R163))^2/(MAX(0,MIN(1,R163))^2+(1-MAX(0,MIN(1,R163)))^2/$B$5))))</f>
        <v>0.901870126375214</v>
      </c>
      <c r="T164" s="16" t="n">
        <f aca="false">IF(ABS(T163-$B$11/$B$9*((MAX(0,MIN(1,T163))^2/(MAX(0,MIN(1,T163))^2+(1-MAX(0,MIN(1,T163)))^2/$B$5))-(MAX(0,MIN(1,S163))^2/(MAX(0,MIN(1,S163))^2+(1-MAX(0,MIN(1,S163)))^2/$B$5))))&lt;0.000000001,0,T163-$B$11/$B$9*((MAX(0,MIN(1,T163))^2/(MAX(0,MIN(1,T163))^2+(1-MAX(0,MIN(1,T163)))^2/$B$5))-(MAX(0,MIN(1,S163))^2/(MAX(0,MIN(1,S163))^2+(1-MAX(0,MIN(1,S163)))^2/$B$5))))</f>
        <v>0.892651163895838</v>
      </c>
      <c r="U164" s="16" t="n">
        <f aca="false">IF(ABS(U163-$B$11/$B$9*((MAX(0,MIN(1,U163))^2/(MAX(0,MIN(1,U163))^2+(1-MAX(0,MIN(1,U163)))^2/$B$5))-(MAX(0,MIN(1,T163))^2/(MAX(0,MIN(1,T163))^2+(1-MAX(0,MIN(1,T163)))^2/$B$5))))&lt;0.000000001,0,U163-$B$11/$B$9*((MAX(0,MIN(1,U163))^2/(MAX(0,MIN(1,U163))^2+(1-MAX(0,MIN(1,U163)))^2/$B$5))-(MAX(0,MIN(1,T163))^2/(MAX(0,MIN(1,T163))^2+(1-MAX(0,MIN(1,T163)))^2/$B$5))))</f>
        <v>0.883880026734365</v>
      </c>
      <c r="V164" s="16" t="n">
        <f aca="false">IF(ABS(V163-$B$11/$B$9*((MAX(0,MIN(1,V163))^2/(MAX(0,MIN(1,V163))^2+(1-MAX(0,MIN(1,V163)))^2/$B$5))-(MAX(0,MIN(1,U163))^2/(MAX(0,MIN(1,U163))^2+(1-MAX(0,MIN(1,U163)))^2/$B$5))))&lt;0.000000001,0,V163-$B$11/$B$9*((MAX(0,MIN(1,V163))^2/(MAX(0,MIN(1,V163))^2+(1-MAX(0,MIN(1,V163)))^2/$B$5))-(MAX(0,MIN(1,U163))^2/(MAX(0,MIN(1,U163))^2+(1-MAX(0,MIN(1,U163)))^2/$B$5))))</f>
        <v>0.875506231553464</v>
      </c>
      <c r="W164" s="16" t="n">
        <f aca="false">IF(ABS(W163-$B$11/$B$9*((MAX(0,MIN(1,W163))^2/(MAX(0,MIN(1,W163))^2+(1-MAX(0,MIN(1,W163)))^2/$B$5))-(MAX(0,MIN(1,V163))^2/(MAX(0,MIN(1,V163))^2+(1-MAX(0,MIN(1,V163)))^2/$B$5))))&lt;0.000000001,0,W163-$B$11/$B$9*((MAX(0,MIN(1,W163))^2/(MAX(0,MIN(1,W163))^2+(1-MAX(0,MIN(1,W163)))^2/$B$5))-(MAX(0,MIN(1,V163))^2/(MAX(0,MIN(1,V163))^2+(1-MAX(0,MIN(1,V163)))^2/$B$5))))</f>
        <v>0.867488481104909</v>
      </c>
      <c r="X164" s="16" t="n">
        <f aca="false">IF(ABS(X163-$B$11/$B$9*((MAX(0,MIN(1,X163))^2/(MAX(0,MIN(1,X163))^2+(1-MAX(0,MIN(1,X163)))^2/$B$5))-(MAX(0,MIN(1,W163))^2/(MAX(0,MIN(1,W163))^2+(1-MAX(0,MIN(1,W163)))^2/$B$5))))&lt;0.000000001,0,X163-$B$11/$B$9*((MAX(0,MIN(1,X163))^2/(MAX(0,MIN(1,X163))^2+(1-MAX(0,MIN(1,X163)))^2/$B$5))-(MAX(0,MIN(1,W163))^2/(MAX(0,MIN(1,W163))^2+(1-MAX(0,MIN(1,W163)))^2/$B$5))))</f>
        <v>0.859792271021569</v>
      </c>
      <c r="Y164" s="16" t="n">
        <f aca="false">IF(ABS(Y163-$B$11/$B$9*((MAX(0,MIN(1,Y163))^2/(MAX(0,MIN(1,Y163))^2+(1-MAX(0,MIN(1,Y163)))^2/$B$5))-(MAX(0,MIN(1,X163))^2/(MAX(0,MIN(1,X163))^2+(1-MAX(0,MIN(1,X163)))^2/$B$5))))&lt;0.000000001,0,Y163-$B$11/$B$9*((MAX(0,MIN(1,Y163))^2/(MAX(0,MIN(1,Y163))^2+(1-MAX(0,MIN(1,Y163)))^2/$B$5))-(MAX(0,MIN(1,X163))^2/(MAX(0,MIN(1,X163))^2+(1-MAX(0,MIN(1,X163)))^2/$B$5))))</f>
        <v>0.852388298860925</v>
      </c>
      <c r="Z164" s="16" t="n">
        <f aca="false">IF(ABS(Z163-$B$11/$B$9*((MAX(0,MIN(1,Z163))^2/(MAX(0,MIN(1,Z163))^2+(1-MAX(0,MIN(1,Z163)))^2/$B$5))-(MAX(0,MIN(1,Y163))^2/(MAX(0,MIN(1,Y163))^2+(1-MAX(0,MIN(1,Y163)))^2/$B$5))))&lt;0.000000001,0,Z163-$B$11/$B$9*((MAX(0,MIN(1,Z163))^2/(MAX(0,MIN(1,Z163))^2+(1-MAX(0,MIN(1,Z163)))^2/$B$5))-(MAX(0,MIN(1,Y163))^2/(MAX(0,MIN(1,Y163))^2+(1-MAX(0,MIN(1,Y163)))^2/$B$5))))</f>
        <v>0.845251355194878</v>
      </c>
      <c r="AA164" s="16" t="n">
        <f aca="false">IF(ABS(AA163-$B$11/$B$9*((MAX(0,MIN(1,AA163))^2/(MAX(0,MIN(1,AA163))^2+(1-MAX(0,MIN(1,AA163)))^2/$B$5))-(MAX(0,MIN(1,Z163))^2/(MAX(0,MIN(1,Z163))^2+(1-MAX(0,MIN(1,Z163)))^2/$B$5))))&lt;0.000000001,0,AA163-$B$11/$B$9*((MAX(0,MIN(1,AA163))^2/(MAX(0,MIN(1,AA163))^2+(1-MAX(0,MIN(1,AA163)))^2/$B$5))-(MAX(0,MIN(1,Z163))^2/(MAX(0,MIN(1,Z163))^2+(1-MAX(0,MIN(1,Z163)))^2/$B$5))))</f>
        <v>0.838359520985268</v>
      </c>
      <c r="AB164" s="16" t="n">
        <f aca="false">IF(ABS(AB163-$B$11/$B$9*((MAX(0,MIN(1,AB163))^2/(MAX(0,MIN(1,AB163))^2+(1-MAX(0,MIN(1,AB163)))^2/$B$5))-(MAX(0,MIN(1,AA163))^2/(MAX(0,MIN(1,AA163))^2+(1-MAX(0,MIN(1,AA163)))^2/$B$5))))&lt;0.000000001,0,AB163-$B$11/$B$9*((MAX(0,MIN(1,AB163))^2/(MAX(0,MIN(1,AB163))^2+(1-MAX(0,MIN(1,AB163)))^2/$B$5))-(MAX(0,MIN(1,AA163))^2/(MAX(0,MIN(1,AA163))^2+(1-MAX(0,MIN(1,AA163)))^2/$B$5))))</f>
        <v>0.831693568668575</v>
      </c>
      <c r="AC164" s="16" t="n">
        <f aca="false">IF(ABS(AC163-$B$11/$B$9*((MAX(0,MIN(1,AC163))^2/(MAX(0,MIN(1,AC163))^2+(1-MAX(0,MIN(1,AC163)))^2/$B$5))-(MAX(0,MIN(1,AB163))^2/(MAX(0,MIN(1,AB163))^2+(1-MAX(0,MIN(1,AB163)))^2/$B$5))))&lt;0.000000001,0,AC163-$B$11/$B$9*((MAX(0,MIN(1,AC163))^2/(MAX(0,MIN(1,AC163))^2+(1-MAX(0,MIN(1,AC163)))^2/$B$5))-(MAX(0,MIN(1,AB163))^2/(MAX(0,MIN(1,AB163))^2+(1-MAX(0,MIN(1,AB163)))^2/$B$5))))</f>
        <v>0.825236503947601</v>
      </c>
      <c r="AD164" s="16" t="n">
        <f aca="false">IF(ABS(AD163-$B$11/$B$9*((MAX(0,MIN(1,AD163))^2/(MAX(0,MIN(1,AD163))^2+(1-MAX(0,MIN(1,AD163)))^2/$B$5))-(MAX(0,MIN(1,AC163))^2/(MAX(0,MIN(1,AC163))^2+(1-MAX(0,MIN(1,AC163)))^2/$B$5))))&lt;0.000000001,0,AD163-$B$11/$B$9*((MAX(0,MIN(1,AD163))^2/(MAX(0,MIN(1,AD163))^2+(1-MAX(0,MIN(1,AD163)))^2/$B$5))-(MAX(0,MIN(1,AC163))^2/(MAX(0,MIN(1,AC163))^2+(1-MAX(0,MIN(1,AC163)))^2/$B$5))))</f>
        <v>0.81897320789195</v>
      </c>
      <c r="AE164" s="16" t="n">
        <f aca="false">IF(ABS(AE163-$B$11/$B$9*((MAX(0,MIN(1,AE163))^2/(MAX(0,MIN(1,AE163))^2+(1-MAX(0,MIN(1,AE163)))^2/$B$5))-(MAX(0,MIN(1,AD163))^2/(MAX(0,MIN(1,AD163))^2+(1-MAX(0,MIN(1,AD163)))^2/$B$5))))&lt;0.000000001,0,AE163-$B$11/$B$9*((MAX(0,MIN(1,AE163))^2/(MAX(0,MIN(1,AE163))^2+(1-MAX(0,MIN(1,AE163)))^2/$B$5))-(MAX(0,MIN(1,AD163))^2/(MAX(0,MIN(1,AD163))^2+(1-MAX(0,MIN(1,AD163)))^2/$B$5))))</f>
        <v>0.812890152476704</v>
      </c>
      <c r="AF164" s="16" t="n">
        <f aca="false">IF(ABS(AF163-$B$11/$B$9*((MAX(0,MIN(1,AF163))^2/(MAX(0,MIN(1,AF163))^2+(1-MAX(0,MIN(1,AF163)))^2/$B$5))-(MAX(0,MIN(1,AE163))^2/(MAX(0,MIN(1,AE163))^2+(1-MAX(0,MIN(1,AE163)))^2/$B$5))))&lt;0.000000001,0,AF163-$B$11/$B$9*((MAX(0,MIN(1,AF163))^2/(MAX(0,MIN(1,AF163))^2+(1-MAX(0,MIN(1,AF163)))^2/$B$5))-(MAX(0,MIN(1,AE163))^2/(MAX(0,MIN(1,AE163))^2+(1-MAX(0,MIN(1,AE163)))^2/$B$5))))</f>
        <v>0.806975171116279</v>
      </c>
    </row>
    <row r="165" customFormat="false" ht="15" hidden="false" customHeight="false" outlineLevel="0" collapsed="false">
      <c r="L165" s="0" t="n">
        <v>155</v>
      </c>
      <c r="M165" s="16" t="n">
        <f aca="false">IF(ABS(M164-$B$11/$B$9*((MAX(0,MIN(1,M164))^2/(MAX(0,MIN(1,M164))^2+(1-MAX(0,MIN(1,M164)))^2/$B$5))-(MAX(0,MIN(1,1))^2/(MAX(0,MIN(1,1))^2+(1-MAX(0,MIN(1,1)))^2/$B$5))))&lt;0.000000001,0,M164-$B$11/$B$9*((MAX(0,MIN(1,M164))^2/(MAX(0,MIN(1,M164))^2+(1-MAX(0,MIN(1,M164)))^2/$B$5))-(MAX(0,MIN(1,1))^2/(MAX(0,MIN(1,1))^2+(1-MAX(0,MIN(1,1)))^2/$B$5))))</f>
        <v>0.973251064828791</v>
      </c>
      <c r="N165" s="16" t="n">
        <f aca="false">IF(ABS(N164-$B$11/$B$9*((MAX(0,MIN(1,N164))^2/(MAX(0,MIN(1,N164))^2+(1-MAX(0,MIN(1,N164)))^2/$B$5))-(MAX(0,MIN(1,M164))^2/(MAX(0,MIN(1,M164))^2+(1-MAX(0,MIN(1,M164)))^2/$B$5))))&lt;0.000000001,0,N164-$B$11/$B$9*((MAX(0,MIN(1,N164))^2/(MAX(0,MIN(1,N164))^2+(1-MAX(0,MIN(1,N164)))^2/$B$5))-(MAX(0,MIN(1,M164))^2/(MAX(0,MIN(1,M164))^2+(1-MAX(0,MIN(1,M164)))^2/$B$5))))</f>
        <v>0.95822397874719</v>
      </c>
      <c r="O165" s="16" t="n">
        <f aca="false">IF(ABS(O164-$B$11/$B$9*((MAX(0,MIN(1,O164))^2/(MAX(0,MIN(1,O164))^2+(1-MAX(0,MIN(1,O164)))^2/$B$5))-(MAX(0,MIN(1,N164))^2/(MAX(0,MIN(1,N164))^2+(1-MAX(0,MIN(1,N164)))^2/$B$5))))&lt;0.000000001,0,O164-$B$11/$B$9*((MAX(0,MIN(1,O164))^2/(MAX(0,MIN(1,O164))^2+(1-MAX(0,MIN(1,O164)))^2/$B$5))-(MAX(0,MIN(1,N164))^2/(MAX(0,MIN(1,N164))^2+(1-MAX(0,MIN(1,N164)))^2/$B$5))))</f>
        <v>0.945164161466666</v>
      </c>
      <c r="P165" s="16" t="n">
        <f aca="false">IF(ABS(P164-$B$11/$B$9*((MAX(0,MIN(1,P164))^2/(MAX(0,MIN(1,P164))^2+(1-MAX(0,MIN(1,P164)))^2/$B$5))-(MAX(0,MIN(1,O164))^2/(MAX(0,MIN(1,O164))^2+(1-MAX(0,MIN(1,O164)))^2/$B$5))))&lt;0.000000001,0,P164-$B$11/$B$9*((MAX(0,MIN(1,P164))^2/(MAX(0,MIN(1,P164))^2+(1-MAX(0,MIN(1,P164)))^2/$B$5))-(MAX(0,MIN(1,O164))^2/(MAX(0,MIN(1,O164))^2+(1-MAX(0,MIN(1,O164)))^2/$B$5))))</f>
        <v>0.933296745271469</v>
      </c>
      <c r="Q165" s="16" t="n">
        <f aca="false">IF(ABS(Q164-$B$11/$B$9*((MAX(0,MIN(1,Q164))^2/(MAX(0,MIN(1,Q164))^2+(1-MAX(0,MIN(1,Q164)))^2/$B$5))-(MAX(0,MIN(1,P164))^2/(MAX(0,MIN(1,P164))^2+(1-MAX(0,MIN(1,P164)))^2/$B$5))))&lt;0.000000001,0,Q164-$B$11/$B$9*((MAX(0,MIN(1,Q164))^2/(MAX(0,MIN(1,Q164))^2+(1-MAX(0,MIN(1,Q164)))^2/$B$5))-(MAX(0,MIN(1,P164))^2/(MAX(0,MIN(1,P164))^2+(1-MAX(0,MIN(1,P164)))^2/$B$5))))</f>
        <v>0.92230888503962</v>
      </c>
      <c r="R165" s="16" t="n">
        <f aca="false">IF(ABS(R164-$B$11/$B$9*((MAX(0,MIN(1,R164))^2/(MAX(0,MIN(1,R164))^2+(1-MAX(0,MIN(1,R164)))^2/$B$5))-(MAX(0,MIN(1,Q164))^2/(MAX(0,MIN(1,Q164))^2+(1-MAX(0,MIN(1,Q164)))^2/$B$5))))&lt;0.000000001,0,R164-$B$11/$B$9*((MAX(0,MIN(1,R164))^2/(MAX(0,MIN(1,R164))^2+(1-MAX(0,MIN(1,R164)))^2/$B$5))-(MAX(0,MIN(1,Q164))^2/(MAX(0,MIN(1,Q164))^2+(1-MAX(0,MIN(1,Q164)))^2/$B$5))))</f>
        <v>0.912025951373328</v>
      </c>
      <c r="S165" s="16" t="n">
        <f aca="false">IF(ABS(S164-$B$11/$B$9*((MAX(0,MIN(1,S164))^2/(MAX(0,MIN(1,S164))^2+(1-MAX(0,MIN(1,S164)))^2/$B$5))-(MAX(0,MIN(1,R164))^2/(MAX(0,MIN(1,R164))^2+(1-MAX(0,MIN(1,R164)))^2/$B$5))))&lt;0.000000001,0,S164-$B$11/$B$9*((MAX(0,MIN(1,S164))^2/(MAX(0,MIN(1,S164))^2+(1-MAX(0,MIN(1,S164)))^2/$B$5))-(MAX(0,MIN(1,R164))^2/(MAX(0,MIN(1,R164))^2+(1-MAX(0,MIN(1,R164)))^2/$B$5))))</f>
        <v>0.902333444482766</v>
      </c>
      <c r="T165" s="16" t="n">
        <f aca="false">IF(ABS(T164-$B$11/$B$9*((MAX(0,MIN(1,T164))^2/(MAX(0,MIN(1,T164))^2+(1-MAX(0,MIN(1,T164)))^2/$B$5))-(MAX(0,MIN(1,S164))^2/(MAX(0,MIN(1,S164))^2+(1-MAX(0,MIN(1,S164)))^2/$B$5))))&lt;0.000000001,0,T164-$B$11/$B$9*((MAX(0,MIN(1,T164))^2/(MAX(0,MIN(1,T164))^2+(1-MAX(0,MIN(1,T164)))^2/$B$5))-(MAX(0,MIN(1,S164))^2/(MAX(0,MIN(1,S164))^2+(1-MAX(0,MIN(1,S164)))^2/$B$5))))</f>
        <v>0.893148930206681</v>
      </c>
      <c r="U165" s="16" t="n">
        <f aca="false">IF(ABS(U164-$B$11/$B$9*((MAX(0,MIN(1,U164))^2/(MAX(0,MIN(1,U164))^2+(1-MAX(0,MIN(1,U164)))^2/$B$5))-(MAX(0,MIN(1,T164))^2/(MAX(0,MIN(1,T164))^2+(1-MAX(0,MIN(1,T164)))^2/$B$5))))&lt;0.000000001,0,U164-$B$11/$B$9*((MAX(0,MIN(1,U164))^2/(MAX(0,MIN(1,U164))^2+(1-MAX(0,MIN(1,U164)))^2/$B$5))-(MAX(0,MIN(1,T164))^2/(MAX(0,MIN(1,T164))^2+(1-MAX(0,MIN(1,T164)))^2/$B$5))))</f>
        <v>0.884409434792038</v>
      </c>
      <c r="V165" s="16" t="n">
        <f aca="false">IF(ABS(V164-$B$11/$B$9*((MAX(0,MIN(1,V164))^2/(MAX(0,MIN(1,V164))^2+(1-MAX(0,MIN(1,V164)))^2/$B$5))-(MAX(0,MIN(1,U164))^2/(MAX(0,MIN(1,U164))^2+(1-MAX(0,MIN(1,U164)))^2/$B$5))))&lt;0.000000001,0,V164-$B$11/$B$9*((MAX(0,MIN(1,V164))^2/(MAX(0,MIN(1,V164))^2+(1-MAX(0,MIN(1,V164)))^2/$B$5))-(MAX(0,MIN(1,U164))^2/(MAX(0,MIN(1,U164))^2+(1-MAX(0,MIN(1,U164)))^2/$B$5))))</f>
        <v>0.876064884601248</v>
      </c>
      <c r="W165" s="16" t="n">
        <f aca="false">IF(ABS(W164-$B$11/$B$9*((MAX(0,MIN(1,W164))^2/(MAX(0,MIN(1,W164))^2+(1-MAX(0,MIN(1,W164)))^2/$B$5))-(MAX(0,MIN(1,V164))^2/(MAX(0,MIN(1,V164))^2+(1-MAX(0,MIN(1,V164)))^2/$B$5))))&lt;0.000000001,0,W164-$B$11/$B$9*((MAX(0,MIN(1,W164))^2/(MAX(0,MIN(1,W164))^2+(1-MAX(0,MIN(1,W164)))^2/$B$5))-(MAX(0,MIN(1,V164))^2/(MAX(0,MIN(1,V164))^2+(1-MAX(0,MIN(1,V164)))^2/$B$5))))</f>
        <v>0.868074312663837</v>
      </c>
      <c r="X165" s="16" t="n">
        <f aca="false">IF(ABS(X164-$B$11/$B$9*((MAX(0,MIN(1,X164))^2/(MAX(0,MIN(1,X164))^2+(1-MAX(0,MIN(1,X164)))^2/$B$5))-(MAX(0,MIN(1,W164))^2/(MAX(0,MIN(1,W164))^2+(1-MAX(0,MIN(1,W164)))^2/$B$5))))&lt;0.000000001,0,X164-$B$11/$B$9*((MAX(0,MIN(1,X164))^2/(MAX(0,MIN(1,X164))^2+(1-MAX(0,MIN(1,X164)))^2/$B$5))-(MAX(0,MIN(1,W164))^2/(MAX(0,MIN(1,W164))^2+(1-MAX(0,MIN(1,W164)))^2/$B$5))))</f>
        <v>0.860403485532626</v>
      </c>
      <c r="Y165" s="16" t="n">
        <f aca="false">IF(ABS(Y164-$B$11/$B$9*((MAX(0,MIN(1,Y164))^2/(MAX(0,MIN(1,Y164))^2+(1-MAX(0,MIN(1,Y164)))^2/$B$5))-(MAX(0,MIN(1,X164))^2/(MAX(0,MIN(1,X164))^2+(1-MAX(0,MIN(1,X164)))^2/$B$5))))&lt;0.000000001,0,Y164-$B$11/$B$9*((MAX(0,MIN(1,Y164))^2/(MAX(0,MIN(1,Y164))^2+(1-MAX(0,MIN(1,Y164)))^2/$B$5))-(MAX(0,MIN(1,X164))^2/(MAX(0,MIN(1,X164))^2+(1-MAX(0,MIN(1,X164)))^2/$B$5))))</f>
        <v>0.85302332611568</v>
      </c>
      <c r="Z165" s="16" t="n">
        <f aca="false">IF(ABS(Z164-$B$11/$B$9*((MAX(0,MIN(1,Z164))^2/(MAX(0,MIN(1,Z164))^2+(1-MAX(0,MIN(1,Z164)))^2/$B$5))-(MAX(0,MIN(1,Y164))^2/(MAX(0,MIN(1,Y164))^2+(1-MAX(0,MIN(1,Y164)))^2/$B$5))))&lt;0.000000001,0,Z164-$B$11/$B$9*((MAX(0,MIN(1,Z164))^2/(MAX(0,MIN(1,Z164))^2+(1-MAX(0,MIN(1,Z164)))^2/$B$5))-(MAX(0,MIN(1,Y164))^2/(MAX(0,MIN(1,Y164))^2+(1-MAX(0,MIN(1,Y164)))^2/$B$5))))</f>
        <v>0.845908814614565</v>
      </c>
      <c r="AA165" s="16" t="n">
        <f aca="false">IF(ABS(AA164-$B$11/$B$9*((MAX(0,MIN(1,AA164))^2/(MAX(0,MIN(1,AA164))^2+(1-MAX(0,MIN(1,AA164)))^2/$B$5))-(MAX(0,MIN(1,Z164))^2/(MAX(0,MIN(1,Z164))^2+(1-MAX(0,MIN(1,Z164)))^2/$B$5))))&lt;0.000000001,0,AA164-$B$11/$B$9*((MAX(0,MIN(1,AA164))^2/(MAX(0,MIN(1,AA164))^2+(1-MAX(0,MIN(1,AA164)))^2/$B$5))-(MAX(0,MIN(1,Z164))^2/(MAX(0,MIN(1,Z164))^2+(1-MAX(0,MIN(1,Z164)))^2/$B$5))))</f>
        <v>0.839038193148553</v>
      </c>
      <c r="AB165" s="16" t="n">
        <f aca="false">IF(ABS(AB164-$B$11/$B$9*((MAX(0,MIN(1,AB164))^2/(MAX(0,MIN(1,AB164))^2+(1-MAX(0,MIN(1,AB164)))^2/$B$5))-(MAX(0,MIN(1,AA164))^2/(MAX(0,MIN(1,AA164))^2+(1-MAX(0,MIN(1,AA164)))^2/$B$5))))&lt;0.000000001,0,AB164-$B$11/$B$9*((MAX(0,MIN(1,AB164))^2/(MAX(0,MIN(1,AB164))^2+(1-MAX(0,MIN(1,AB164)))^2/$B$5))-(MAX(0,MIN(1,AA164))^2/(MAX(0,MIN(1,AA164))^2+(1-MAX(0,MIN(1,AA164)))^2/$B$5))))</f>
        <v>0.832392372303941</v>
      </c>
      <c r="AC165" s="16" t="n">
        <f aca="false">IF(ABS(AC164-$B$11/$B$9*((MAX(0,MIN(1,AC164))^2/(MAX(0,MIN(1,AC164))^2+(1-MAX(0,MIN(1,AC164)))^2/$B$5))-(MAX(0,MIN(1,AB164))^2/(MAX(0,MIN(1,AB164))^2+(1-MAX(0,MIN(1,AB164)))^2/$B$5))))&lt;0.000000001,0,AC164-$B$11/$B$9*((MAX(0,MIN(1,AC164))^2/(MAX(0,MIN(1,AC164))^2+(1-MAX(0,MIN(1,AC164)))^2/$B$5))-(MAX(0,MIN(1,AB164))^2/(MAX(0,MIN(1,AB164))^2+(1-MAX(0,MIN(1,AB164)))^2/$B$5))))</f>
        <v>0.825954477126923</v>
      </c>
      <c r="AD165" s="16" t="n">
        <f aca="false">IF(ABS(AD164-$B$11/$B$9*((MAX(0,MIN(1,AD164))^2/(MAX(0,MIN(1,AD164))^2+(1-MAX(0,MIN(1,AD164)))^2/$B$5))-(MAX(0,MIN(1,AC164))^2/(MAX(0,MIN(1,AC164))^2+(1-MAX(0,MIN(1,AC164)))^2/$B$5))))&lt;0.000000001,0,AD164-$B$11/$B$9*((MAX(0,MIN(1,AD164))^2/(MAX(0,MIN(1,AD164))^2+(1-MAX(0,MIN(1,AD164)))^2/$B$5))-(MAX(0,MIN(1,AC164))^2/(MAX(0,MIN(1,AC164))^2+(1-MAX(0,MIN(1,AC164)))^2/$B$5))))</f>
        <v>0.81970949250731</v>
      </c>
      <c r="AE165" s="16" t="n">
        <f aca="false">IF(ABS(AE164-$B$11/$B$9*((MAX(0,MIN(1,AE164))^2/(MAX(0,MIN(1,AE164))^2+(1-MAX(0,MIN(1,AE164)))^2/$B$5))-(MAX(0,MIN(1,AD164))^2/(MAX(0,MIN(1,AD164))^2+(1-MAX(0,MIN(1,AD164)))^2/$B$5))))&lt;0.000000001,0,AE164-$B$11/$B$9*((MAX(0,MIN(1,AE164))^2/(MAX(0,MIN(1,AE164))^2+(1-MAX(0,MIN(1,AE164)))^2/$B$5))-(MAX(0,MIN(1,AD164))^2/(MAX(0,MIN(1,AD164))^2+(1-MAX(0,MIN(1,AD164)))^2/$B$5))))</f>
        <v>0.813643981319151</v>
      </c>
      <c r="AF165" s="16" t="n">
        <f aca="false">IF(ABS(AF164-$B$11/$B$9*((MAX(0,MIN(1,AF164))^2/(MAX(0,MIN(1,AF164))^2+(1-MAX(0,MIN(1,AF164)))^2/$B$5))-(MAX(0,MIN(1,AE164))^2/(MAX(0,MIN(1,AE164))^2+(1-MAX(0,MIN(1,AE164)))^2/$B$5))))&lt;0.000000001,0,AF164-$B$11/$B$9*((MAX(0,MIN(1,AF164))^2/(MAX(0,MIN(1,AF164))^2+(1-MAX(0,MIN(1,AF164)))^2/$B$5))-(MAX(0,MIN(1,AE164))^2/(MAX(0,MIN(1,AE164))^2+(1-MAX(0,MIN(1,AE164)))^2/$B$5))))</f>
        <v>0.807745857041829</v>
      </c>
    </row>
    <row r="166" customFormat="false" ht="15" hidden="false" customHeight="false" outlineLevel="0" collapsed="false">
      <c r="L166" s="0" t="n">
        <v>156</v>
      </c>
      <c r="M166" s="16" t="n">
        <f aca="false">IF(ABS(M165-$B$11/$B$9*((MAX(0,MIN(1,M165))^2/(MAX(0,MIN(1,M165))^2+(1-MAX(0,MIN(1,M165)))^2/$B$5))-(MAX(0,MIN(1,1))^2/(MAX(0,MIN(1,1))^2+(1-MAX(0,MIN(1,1)))^2/$B$5))))&lt;0.000000001,0,M165-$B$11/$B$9*((MAX(0,MIN(1,M165))^2/(MAX(0,MIN(1,M165))^2+(1-MAX(0,MIN(1,M165)))^2/$B$5))-(MAX(0,MIN(1,1))^2/(MAX(0,MIN(1,1))^2+(1-MAX(0,MIN(1,1)))^2/$B$5))))</f>
        <v>0.97339624289963</v>
      </c>
      <c r="N166" s="16" t="n">
        <f aca="false">IF(ABS(N165-$B$11/$B$9*((MAX(0,MIN(1,N165))^2/(MAX(0,MIN(1,N165))^2+(1-MAX(0,MIN(1,N165)))^2/$B$5))-(MAX(0,MIN(1,M165))^2/(MAX(0,MIN(1,M165))^2+(1-MAX(0,MIN(1,M165)))^2/$B$5))))&lt;0.000000001,0,N165-$B$11/$B$9*((MAX(0,MIN(1,N165))^2/(MAX(0,MIN(1,N165))^2+(1-MAX(0,MIN(1,N165)))^2/$B$5))-(MAX(0,MIN(1,M165))^2/(MAX(0,MIN(1,M165))^2+(1-MAX(0,MIN(1,M165)))^2/$B$5))))</f>
        <v>0.958443898577698</v>
      </c>
      <c r="O166" s="16" t="n">
        <f aca="false">IF(ABS(O165-$B$11/$B$9*((MAX(0,MIN(1,O165))^2/(MAX(0,MIN(1,O165))^2+(1-MAX(0,MIN(1,O165)))^2/$B$5))-(MAX(0,MIN(1,N165))^2/(MAX(0,MIN(1,N165))^2+(1-MAX(0,MIN(1,N165)))^2/$B$5))))&lt;0.000000001,0,O165-$B$11/$B$9*((MAX(0,MIN(1,O165))^2/(MAX(0,MIN(1,O165))^2+(1-MAX(0,MIN(1,O165)))^2/$B$5))-(MAX(0,MIN(1,N165))^2/(MAX(0,MIN(1,N165))^2+(1-MAX(0,MIN(1,N165)))^2/$B$5))))</f>
        <v>0.945445143092087</v>
      </c>
      <c r="P166" s="16" t="n">
        <f aca="false">IF(ABS(P165-$B$11/$B$9*((MAX(0,MIN(1,P165))^2/(MAX(0,MIN(1,P165))^2+(1-MAX(0,MIN(1,P165)))^2/$B$5))-(MAX(0,MIN(1,O165))^2/(MAX(0,MIN(1,O165))^2+(1-MAX(0,MIN(1,O165)))^2/$B$5))))&lt;0.000000001,0,P165-$B$11/$B$9*((MAX(0,MIN(1,P165))^2/(MAX(0,MIN(1,P165))^2+(1-MAX(0,MIN(1,P165)))^2/$B$5))-(MAX(0,MIN(1,O165))^2/(MAX(0,MIN(1,O165))^2+(1-MAX(0,MIN(1,O165)))^2/$B$5))))</f>
        <v>0.933630265260096</v>
      </c>
      <c r="Q166" s="16" t="n">
        <f aca="false">IF(ABS(Q165-$B$11/$B$9*((MAX(0,MIN(1,Q165))^2/(MAX(0,MIN(1,Q165))^2+(1-MAX(0,MIN(1,Q165)))^2/$B$5))-(MAX(0,MIN(1,P165))^2/(MAX(0,MIN(1,P165))^2+(1-MAX(0,MIN(1,P165)))^2/$B$5))))&lt;0.000000001,0,Q165-$B$11/$B$9*((MAX(0,MIN(1,Q165))^2/(MAX(0,MIN(1,Q165))^2+(1-MAX(0,MIN(1,Q165)))^2/$B$5))-(MAX(0,MIN(1,P165))^2/(MAX(0,MIN(1,P165))^2+(1-MAX(0,MIN(1,P165)))^2/$B$5))))</f>
        <v>0.922688705521223</v>
      </c>
      <c r="R166" s="16" t="n">
        <f aca="false">IF(ABS(R165-$B$11/$B$9*((MAX(0,MIN(1,R165))^2/(MAX(0,MIN(1,R165))^2+(1-MAX(0,MIN(1,R165)))^2/$B$5))-(MAX(0,MIN(1,Q165))^2/(MAX(0,MIN(1,Q165))^2+(1-MAX(0,MIN(1,Q165)))^2/$B$5))))&lt;0.000000001,0,R165-$B$11/$B$9*((MAX(0,MIN(1,R165))^2/(MAX(0,MIN(1,R165))^2+(1-MAX(0,MIN(1,R165)))^2/$B$5))-(MAX(0,MIN(1,Q165))^2/(MAX(0,MIN(1,Q165))^2+(1-MAX(0,MIN(1,Q165)))^2/$B$5))))</f>
        <v>0.912447190515304</v>
      </c>
      <c r="S166" s="16" t="n">
        <f aca="false">IF(ABS(S165-$B$11/$B$9*((MAX(0,MIN(1,S165))^2/(MAX(0,MIN(1,S165))^2+(1-MAX(0,MIN(1,S165)))^2/$B$5))-(MAX(0,MIN(1,R165))^2/(MAX(0,MIN(1,R165))^2+(1-MAX(0,MIN(1,R165)))^2/$B$5))))&lt;0.000000001,0,S165-$B$11/$B$9*((MAX(0,MIN(1,S165))^2/(MAX(0,MIN(1,S165))^2+(1-MAX(0,MIN(1,S165)))^2/$B$5))-(MAX(0,MIN(1,R165))^2/(MAX(0,MIN(1,R165))^2+(1-MAX(0,MIN(1,R165)))^2/$B$5))))</f>
        <v>0.902792140012404</v>
      </c>
      <c r="T166" s="16" t="n">
        <f aca="false">IF(ABS(T165-$B$11/$B$9*((MAX(0,MIN(1,T165))^2/(MAX(0,MIN(1,T165))^2+(1-MAX(0,MIN(1,T165)))^2/$B$5))-(MAX(0,MIN(1,S165))^2/(MAX(0,MIN(1,S165))^2+(1-MAX(0,MIN(1,S165)))^2/$B$5))))&lt;0.000000001,0,T165-$B$11/$B$9*((MAX(0,MIN(1,T165))^2/(MAX(0,MIN(1,T165))^2+(1-MAX(0,MIN(1,T165)))^2/$B$5))-(MAX(0,MIN(1,S165))^2/(MAX(0,MIN(1,S165))^2+(1-MAX(0,MIN(1,S165)))^2/$B$5))))</f>
        <v>0.893641791148542</v>
      </c>
      <c r="U166" s="16" t="n">
        <f aca="false">IF(ABS(U165-$B$11/$B$9*((MAX(0,MIN(1,U165))^2/(MAX(0,MIN(1,U165))^2+(1-MAX(0,MIN(1,U165)))^2/$B$5))-(MAX(0,MIN(1,T165))^2/(MAX(0,MIN(1,T165))^2+(1-MAX(0,MIN(1,T165)))^2/$B$5))))&lt;0.000000001,0,U165-$B$11/$B$9*((MAX(0,MIN(1,U165))^2/(MAX(0,MIN(1,U165))^2+(1-MAX(0,MIN(1,U165)))^2/$B$5))-(MAX(0,MIN(1,T165))^2/(MAX(0,MIN(1,T165))^2+(1-MAX(0,MIN(1,T165)))^2/$B$5))))</f>
        <v>0.884933683208186</v>
      </c>
      <c r="V166" s="16" t="n">
        <f aca="false">IF(ABS(V165-$B$11/$B$9*((MAX(0,MIN(1,V165))^2/(MAX(0,MIN(1,V165))^2+(1-MAX(0,MIN(1,V165)))^2/$B$5))-(MAX(0,MIN(1,U165))^2/(MAX(0,MIN(1,U165))^2+(1-MAX(0,MIN(1,U165)))^2/$B$5))))&lt;0.000000001,0,V165-$B$11/$B$9*((MAX(0,MIN(1,V165))^2/(MAX(0,MIN(1,V165))^2+(1-MAX(0,MIN(1,V165)))^2/$B$5))-(MAX(0,MIN(1,U165))^2/(MAX(0,MIN(1,U165))^2+(1-MAX(0,MIN(1,U165)))^2/$B$5))))</f>
        <v>0.876618147028501</v>
      </c>
      <c r="W166" s="16" t="n">
        <f aca="false">IF(ABS(W165-$B$11/$B$9*((MAX(0,MIN(1,W165))^2/(MAX(0,MIN(1,W165))^2+(1-MAX(0,MIN(1,W165)))^2/$B$5))-(MAX(0,MIN(1,V165))^2/(MAX(0,MIN(1,V165))^2+(1-MAX(0,MIN(1,V165)))^2/$B$5))))&lt;0.000000001,0,W165-$B$11/$B$9*((MAX(0,MIN(1,W165))^2/(MAX(0,MIN(1,W165))^2+(1-MAX(0,MIN(1,W165)))^2/$B$5))-(MAX(0,MIN(1,V165))^2/(MAX(0,MIN(1,V165))^2+(1-MAX(0,MIN(1,V165)))^2/$B$5))))</f>
        <v>0.868654541819068</v>
      </c>
      <c r="X166" s="16" t="n">
        <f aca="false">IF(ABS(X165-$B$11/$B$9*((MAX(0,MIN(1,X165))^2/(MAX(0,MIN(1,X165))^2+(1-MAX(0,MIN(1,X165)))^2/$B$5))-(MAX(0,MIN(1,W165))^2/(MAX(0,MIN(1,W165))^2+(1-MAX(0,MIN(1,W165)))^2/$B$5))))&lt;0.000000001,0,X165-$B$11/$B$9*((MAX(0,MIN(1,X165))^2/(MAX(0,MIN(1,X165))^2+(1-MAX(0,MIN(1,X165)))^2/$B$5))-(MAX(0,MIN(1,W165))^2/(MAX(0,MIN(1,W165))^2+(1-MAX(0,MIN(1,W165)))^2/$B$5))))</f>
        <v>0.861008901782445</v>
      </c>
      <c r="Y166" s="16" t="n">
        <f aca="false">IF(ABS(Y165-$B$11/$B$9*((MAX(0,MIN(1,Y165))^2/(MAX(0,MIN(1,Y165))^2+(1-MAX(0,MIN(1,Y165)))^2/$B$5))-(MAX(0,MIN(1,X165))^2/(MAX(0,MIN(1,X165))^2+(1-MAX(0,MIN(1,X165)))^2/$B$5))))&lt;0.000000001,0,Y165-$B$11/$B$9*((MAX(0,MIN(1,Y165))^2/(MAX(0,MIN(1,Y165))^2+(1-MAX(0,MIN(1,Y165)))^2/$B$5))-(MAX(0,MIN(1,X165))^2/(MAX(0,MIN(1,X165))^2+(1-MAX(0,MIN(1,X165)))^2/$B$5))))</f>
        <v>0.853652372528835</v>
      </c>
      <c r="Z166" s="16" t="n">
        <f aca="false">IF(ABS(Z165-$B$11/$B$9*((MAX(0,MIN(1,Z165))^2/(MAX(0,MIN(1,Z165))^2+(1-MAX(0,MIN(1,Z165)))^2/$B$5))-(MAX(0,MIN(1,Y165))^2/(MAX(0,MIN(1,Y165))^2+(1-MAX(0,MIN(1,Y165)))^2/$B$5))))&lt;0.000000001,0,Z165-$B$11/$B$9*((MAX(0,MIN(1,Z165))^2/(MAX(0,MIN(1,Z165))^2+(1-MAX(0,MIN(1,Z165)))^2/$B$5))-(MAX(0,MIN(1,Y165))^2/(MAX(0,MIN(1,Y165))^2+(1-MAX(0,MIN(1,Y165)))^2/$B$5))))</f>
        <v>0.846560121716931</v>
      </c>
      <c r="AA166" s="16" t="n">
        <f aca="false">IF(ABS(AA165-$B$11/$B$9*((MAX(0,MIN(1,AA165))^2/(MAX(0,MIN(1,AA165))^2+(1-MAX(0,MIN(1,AA165)))^2/$B$5))-(MAX(0,MIN(1,Z165))^2/(MAX(0,MIN(1,Z165))^2+(1-MAX(0,MIN(1,Z165)))^2/$B$5))))&lt;0.000000001,0,AA165-$B$11/$B$9*((MAX(0,MIN(1,AA165))^2/(MAX(0,MIN(1,AA165))^2+(1-MAX(0,MIN(1,AA165)))^2/$B$5))-(MAX(0,MIN(1,Z165))^2/(MAX(0,MIN(1,Z165))^2+(1-MAX(0,MIN(1,Z165)))^2/$B$5))))</f>
        <v>0.839710550820637</v>
      </c>
      <c r="AB166" s="16" t="n">
        <f aca="false">IF(ABS(AB165-$B$11/$B$9*((MAX(0,MIN(1,AB165))^2/(MAX(0,MIN(1,AB165))^2+(1-MAX(0,MIN(1,AB165)))^2/$B$5))-(MAX(0,MIN(1,AA165))^2/(MAX(0,MIN(1,AA165))^2+(1-MAX(0,MIN(1,AA165)))^2/$B$5))))&lt;0.000000001,0,AB165-$B$11/$B$9*((MAX(0,MIN(1,AB165))^2/(MAX(0,MIN(1,AB165))^2+(1-MAX(0,MIN(1,AB165)))^2/$B$5))-(MAX(0,MIN(1,AA165))^2/(MAX(0,MIN(1,AA165))^2+(1-MAX(0,MIN(1,AA165)))^2/$B$5))))</f>
        <v>0.833084707064087</v>
      </c>
      <c r="AC166" s="16" t="n">
        <f aca="false">IF(ABS(AC165-$B$11/$B$9*((MAX(0,MIN(1,AC165))^2/(MAX(0,MIN(1,AC165))^2+(1-MAX(0,MIN(1,AC165)))^2/$B$5))-(MAX(0,MIN(1,AB165))^2/(MAX(0,MIN(1,AB165))^2+(1-MAX(0,MIN(1,AB165)))^2/$B$5))))&lt;0.000000001,0,AC165-$B$11/$B$9*((MAX(0,MIN(1,AC165))^2/(MAX(0,MIN(1,AC165))^2+(1-MAX(0,MIN(1,AC165)))^2/$B$5))-(MAX(0,MIN(1,AB165))^2/(MAX(0,MIN(1,AB165))^2+(1-MAX(0,MIN(1,AB165)))^2/$B$5))))</f>
        <v>0.826665833555983</v>
      </c>
      <c r="AD166" s="16" t="n">
        <f aca="false">IF(ABS(AD165-$B$11/$B$9*((MAX(0,MIN(1,AD165))^2/(MAX(0,MIN(1,AD165))^2+(1-MAX(0,MIN(1,AD165)))^2/$B$5))-(MAX(0,MIN(1,AC165))^2/(MAX(0,MIN(1,AC165))^2+(1-MAX(0,MIN(1,AC165)))^2/$B$5))))&lt;0.000000001,0,AD165-$B$11/$B$9*((MAX(0,MIN(1,AD165))^2/(MAX(0,MIN(1,AD165))^2+(1-MAX(0,MIN(1,AD165)))^2/$B$5))-(MAX(0,MIN(1,AC165))^2/(MAX(0,MIN(1,AC165))^2+(1-MAX(0,MIN(1,AC165)))^2/$B$5))))</f>
        <v>0.820439017910636</v>
      </c>
      <c r="AE166" s="16" t="n">
        <f aca="false">IF(ABS(AE165-$B$11/$B$9*((MAX(0,MIN(1,AE165))^2/(MAX(0,MIN(1,AE165))^2+(1-MAX(0,MIN(1,AE165)))^2/$B$5))-(MAX(0,MIN(1,AD165))^2/(MAX(0,MIN(1,AD165))^2+(1-MAX(0,MIN(1,AD165)))^2/$B$5))))&lt;0.000000001,0,AE165-$B$11/$B$9*((MAX(0,MIN(1,AE165))^2/(MAX(0,MIN(1,AE165))^2+(1-MAX(0,MIN(1,AE165)))^2/$B$5))-(MAX(0,MIN(1,AD165))^2/(MAX(0,MIN(1,AD165))^2+(1-MAX(0,MIN(1,AD165)))^2/$B$5))))</f>
        <v>0.814390912954768</v>
      </c>
      <c r="AF166" s="16" t="n">
        <f aca="false">IF(ABS(AF165-$B$11/$B$9*((MAX(0,MIN(1,AF165))^2/(MAX(0,MIN(1,AF165))^2+(1-MAX(0,MIN(1,AF165)))^2/$B$5))-(MAX(0,MIN(1,AE165))^2/(MAX(0,MIN(1,AE165))^2+(1-MAX(0,MIN(1,AE165)))^2/$B$5))))&lt;0.000000001,0,AF165-$B$11/$B$9*((MAX(0,MIN(1,AF165))^2/(MAX(0,MIN(1,AF165))^2+(1-MAX(0,MIN(1,AF165)))^2/$B$5))-(MAX(0,MIN(1,AE165))^2/(MAX(0,MIN(1,AE165))^2+(1-MAX(0,MIN(1,AE165)))^2/$B$5))))</f>
        <v>0.808509511407612</v>
      </c>
    </row>
    <row r="167" customFormat="false" ht="15" hidden="false" customHeight="false" outlineLevel="0" collapsed="false">
      <c r="L167" s="0" t="n">
        <v>157</v>
      </c>
      <c r="M167" s="16" t="n">
        <f aca="false">IF(ABS(M166-$B$11/$B$9*((MAX(0,MIN(1,M166))^2/(MAX(0,MIN(1,M166))^2+(1-MAX(0,MIN(1,M166)))^2/$B$5))-(MAX(0,MIN(1,1))^2/(MAX(0,MIN(1,1))^2+(1-MAX(0,MIN(1,1)))^2/$B$5))))&lt;0.000000001,0,M166-$B$11/$B$9*((MAX(0,MIN(1,M166))^2/(MAX(0,MIN(1,M166))^2+(1-MAX(0,MIN(1,M166)))^2/$B$5))-(MAX(0,MIN(1,1))^2/(MAX(0,MIN(1,1))^2+(1-MAX(0,MIN(1,1)))^2/$B$5))))</f>
        <v>0.973539807127604</v>
      </c>
      <c r="N167" s="16" t="n">
        <f aca="false">IF(ABS(N166-$B$11/$B$9*((MAX(0,MIN(1,N166))^2/(MAX(0,MIN(1,N166))^2+(1-MAX(0,MIN(1,N166)))^2/$B$5))-(MAX(0,MIN(1,M166))^2/(MAX(0,MIN(1,M166))^2+(1-MAX(0,MIN(1,M166)))^2/$B$5))))&lt;0.000000001,0,N166-$B$11/$B$9*((MAX(0,MIN(1,N166))^2/(MAX(0,MIN(1,N166))^2+(1-MAX(0,MIN(1,N166)))^2/$B$5))-(MAX(0,MIN(1,M166))^2/(MAX(0,MIN(1,M166))^2+(1-MAX(0,MIN(1,M166)))^2/$B$5))))</f>
        <v>0.958661436415546</v>
      </c>
      <c r="O167" s="16" t="n">
        <f aca="false">IF(ABS(O166-$B$11/$B$9*((MAX(0,MIN(1,O166))^2/(MAX(0,MIN(1,O166))^2+(1-MAX(0,MIN(1,O166)))^2/$B$5))-(MAX(0,MIN(1,N166))^2/(MAX(0,MIN(1,N166))^2+(1-MAX(0,MIN(1,N166)))^2/$B$5))))&lt;0.000000001,0,O166-$B$11/$B$9*((MAX(0,MIN(1,O166))^2/(MAX(0,MIN(1,O166))^2+(1-MAX(0,MIN(1,O166)))^2/$B$5))-(MAX(0,MIN(1,N166))^2/(MAX(0,MIN(1,N166))^2+(1-MAX(0,MIN(1,N166)))^2/$B$5))))</f>
        <v>0.945723147994319</v>
      </c>
      <c r="P167" s="16" t="n">
        <f aca="false">IF(ABS(P166-$B$11/$B$9*((MAX(0,MIN(1,P166))^2/(MAX(0,MIN(1,P166))^2+(1-MAX(0,MIN(1,P166)))^2/$B$5))-(MAX(0,MIN(1,O166))^2/(MAX(0,MIN(1,O166))^2+(1-MAX(0,MIN(1,O166)))^2/$B$5))))&lt;0.000000001,0,P166-$B$11/$B$9*((MAX(0,MIN(1,P166))^2/(MAX(0,MIN(1,P166))^2+(1-MAX(0,MIN(1,P166)))^2/$B$5))-(MAX(0,MIN(1,O166))^2/(MAX(0,MIN(1,O166))^2+(1-MAX(0,MIN(1,O166)))^2/$B$5))))</f>
        <v>0.933960319789923</v>
      </c>
      <c r="Q167" s="16" t="n">
        <f aca="false">IF(ABS(Q166-$B$11/$B$9*((MAX(0,MIN(1,Q166))^2/(MAX(0,MIN(1,Q166))^2+(1-MAX(0,MIN(1,Q166)))^2/$B$5))-(MAX(0,MIN(1,P166))^2/(MAX(0,MIN(1,P166))^2+(1-MAX(0,MIN(1,P166)))^2/$B$5))))&lt;0.000000001,0,Q166-$B$11/$B$9*((MAX(0,MIN(1,Q166))^2/(MAX(0,MIN(1,Q166))^2+(1-MAX(0,MIN(1,Q166)))^2/$B$5))-(MAX(0,MIN(1,P166))^2/(MAX(0,MIN(1,P166))^2+(1-MAX(0,MIN(1,P166)))^2/$B$5))))</f>
        <v>0.923064646706202</v>
      </c>
      <c r="R167" s="16" t="n">
        <f aca="false">IF(ABS(R166-$B$11/$B$9*((MAX(0,MIN(1,R166))^2/(MAX(0,MIN(1,R166))^2+(1-MAX(0,MIN(1,R166)))^2/$B$5))-(MAX(0,MIN(1,Q166))^2/(MAX(0,MIN(1,Q166))^2+(1-MAX(0,MIN(1,Q166)))^2/$B$5))))&lt;0.000000001,0,R166-$B$11/$B$9*((MAX(0,MIN(1,R166))^2/(MAX(0,MIN(1,R166))^2+(1-MAX(0,MIN(1,R166)))^2/$B$5))-(MAX(0,MIN(1,Q166))^2/(MAX(0,MIN(1,Q166))^2+(1-MAX(0,MIN(1,Q166)))^2/$B$5))))</f>
        <v>0.912864192804486</v>
      </c>
      <c r="S167" s="16" t="n">
        <f aca="false">IF(ABS(S166-$B$11/$B$9*((MAX(0,MIN(1,S166))^2/(MAX(0,MIN(1,S166))^2+(1-MAX(0,MIN(1,S166)))^2/$B$5))-(MAX(0,MIN(1,R166))^2/(MAX(0,MIN(1,R166))^2+(1-MAX(0,MIN(1,R166)))^2/$B$5))))&lt;0.000000001,0,S166-$B$11/$B$9*((MAX(0,MIN(1,S166))^2/(MAX(0,MIN(1,S166))^2+(1-MAX(0,MIN(1,S166)))^2/$B$5))-(MAX(0,MIN(1,R166))^2/(MAX(0,MIN(1,R166))^2+(1-MAX(0,MIN(1,R166)))^2/$B$5))))</f>
        <v>0.903246284903358</v>
      </c>
      <c r="T167" s="16" t="n">
        <f aca="false">IF(ABS(T166-$B$11/$B$9*((MAX(0,MIN(1,T166))^2/(MAX(0,MIN(1,T166))^2+(1-MAX(0,MIN(1,T166)))^2/$B$5))-(MAX(0,MIN(1,S166))^2/(MAX(0,MIN(1,S166))^2+(1-MAX(0,MIN(1,S166)))^2/$B$5))))&lt;0.000000001,0,T166-$B$11/$B$9*((MAX(0,MIN(1,T166))^2/(MAX(0,MIN(1,T166))^2+(1-MAX(0,MIN(1,T166)))^2/$B$5))-(MAX(0,MIN(1,S166))^2/(MAX(0,MIN(1,S166))^2+(1-MAX(0,MIN(1,S166)))^2/$B$5))))</f>
        <v>0.894129822472539</v>
      </c>
      <c r="U167" s="16" t="n">
        <f aca="false">IF(ABS(U166-$B$11/$B$9*((MAX(0,MIN(1,U166))^2/(MAX(0,MIN(1,U166))^2+(1-MAX(0,MIN(1,U166)))^2/$B$5))-(MAX(0,MIN(1,T166))^2/(MAX(0,MIN(1,T166))^2+(1-MAX(0,MIN(1,T166)))^2/$B$5))))&lt;0.000000001,0,U166-$B$11/$B$9*((MAX(0,MIN(1,U166))^2/(MAX(0,MIN(1,U166))^2+(1-MAX(0,MIN(1,U166)))^2/$B$5))-(MAX(0,MIN(1,T166))^2/(MAX(0,MIN(1,T166))^2+(1-MAX(0,MIN(1,T166)))^2/$B$5))))</f>
        <v>0.88545285114583</v>
      </c>
      <c r="V167" s="16" t="n">
        <f aca="false">IF(ABS(V166-$B$11/$B$9*((MAX(0,MIN(1,V166))^2/(MAX(0,MIN(1,V166))^2+(1-MAX(0,MIN(1,V166)))^2/$B$5))-(MAX(0,MIN(1,U166))^2/(MAX(0,MIN(1,U166))^2+(1-MAX(0,MIN(1,U166)))^2/$B$5))))&lt;0.000000001,0,V166-$B$11/$B$9*((MAX(0,MIN(1,V166))^2/(MAX(0,MIN(1,V166))^2+(1-MAX(0,MIN(1,V166)))^2/$B$5))-(MAX(0,MIN(1,U166))^2/(MAX(0,MIN(1,U166))^2+(1-MAX(0,MIN(1,U166)))^2/$B$5))))</f>
        <v>0.877166101100061</v>
      </c>
      <c r="W167" s="16" t="n">
        <f aca="false">IF(ABS(W166-$B$11/$B$9*((MAX(0,MIN(1,W166))^2/(MAX(0,MIN(1,W166))^2+(1-MAX(0,MIN(1,W166)))^2/$B$5))-(MAX(0,MIN(1,V166))^2/(MAX(0,MIN(1,V166))^2+(1-MAX(0,MIN(1,V166)))^2/$B$5))))&lt;0.000000001,0,W166-$B$11/$B$9*((MAX(0,MIN(1,W166))^2/(MAX(0,MIN(1,W166))^2+(1-MAX(0,MIN(1,W166)))^2/$B$5))-(MAX(0,MIN(1,V166))^2/(MAX(0,MIN(1,V166))^2+(1-MAX(0,MIN(1,V166)))^2/$B$5))))</f>
        <v>0.869229253695826</v>
      </c>
      <c r="X167" s="16" t="n">
        <f aca="false">IF(ABS(X166-$B$11/$B$9*((MAX(0,MIN(1,X166))^2/(MAX(0,MIN(1,X166))^2+(1-MAX(0,MIN(1,X166)))^2/$B$5))-(MAX(0,MIN(1,W166))^2/(MAX(0,MIN(1,W166))^2+(1-MAX(0,MIN(1,W166)))^2/$B$5))))&lt;0.000000001,0,X166-$B$11/$B$9*((MAX(0,MIN(1,X166))^2/(MAX(0,MIN(1,X166))^2+(1-MAX(0,MIN(1,X166)))^2/$B$5))-(MAX(0,MIN(1,W166))^2/(MAX(0,MIN(1,W166))^2+(1-MAX(0,MIN(1,W166)))^2/$B$5))))</f>
        <v>0.861608607568667</v>
      </c>
      <c r="Y167" s="16" t="n">
        <f aca="false">IF(ABS(Y166-$B$11/$B$9*((MAX(0,MIN(1,Y166))^2/(MAX(0,MIN(1,Y166))^2+(1-MAX(0,MIN(1,Y166)))^2/$B$5))-(MAX(0,MIN(1,X166))^2/(MAX(0,MIN(1,X166))^2+(1-MAX(0,MIN(1,X166)))^2/$B$5))))&lt;0.000000001,0,Y166-$B$11/$B$9*((MAX(0,MIN(1,Y166))^2/(MAX(0,MIN(1,Y166))^2+(1-MAX(0,MIN(1,Y166)))^2/$B$5))-(MAX(0,MIN(1,X166))^2/(MAX(0,MIN(1,X166))^2+(1-MAX(0,MIN(1,X166)))^2/$B$5))))</f>
        <v>0.854275528424857</v>
      </c>
      <c r="Z167" s="16" t="n">
        <f aca="false">IF(ABS(Z166-$B$11/$B$9*((MAX(0,MIN(1,Z166))^2/(MAX(0,MIN(1,Z166))^2+(1-MAX(0,MIN(1,Z166)))^2/$B$5))-(MAX(0,MIN(1,Y166))^2/(MAX(0,MIN(1,Y166))^2+(1-MAX(0,MIN(1,Y166)))^2/$B$5))))&lt;0.000000001,0,Z166-$B$11/$B$9*((MAX(0,MIN(1,Z166))^2/(MAX(0,MIN(1,Z166))^2+(1-MAX(0,MIN(1,Z166)))^2/$B$5))-(MAX(0,MIN(1,Y166))^2/(MAX(0,MIN(1,Y166))^2+(1-MAX(0,MIN(1,Y166)))^2/$B$5))))</f>
        <v>0.847205369241823</v>
      </c>
      <c r="AA167" s="16" t="n">
        <f aca="false">IF(ABS(AA166-$B$11/$B$9*((MAX(0,MIN(1,AA166))^2/(MAX(0,MIN(1,AA166))^2+(1-MAX(0,MIN(1,AA166)))^2/$B$5))-(MAX(0,MIN(1,Z166))^2/(MAX(0,MIN(1,Z166))^2+(1-MAX(0,MIN(1,Z166)))^2/$B$5))))&lt;0.000000001,0,AA166-$B$11/$B$9*((MAX(0,MIN(1,AA166))^2/(MAX(0,MIN(1,AA166))^2+(1-MAX(0,MIN(1,AA166)))^2/$B$5))-(MAX(0,MIN(1,Z166))^2/(MAX(0,MIN(1,Z166))^2+(1-MAX(0,MIN(1,Z166)))^2/$B$5))))</f>
        <v>0.840376689073261</v>
      </c>
      <c r="AB167" s="16" t="n">
        <f aca="false">IF(ABS(AB166-$B$11/$B$9*((MAX(0,MIN(1,AB166))^2/(MAX(0,MIN(1,AB166))^2+(1-MAX(0,MIN(1,AB166)))^2/$B$5))-(MAX(0,MIN(1,AA166))^2/(MAX(0,MIN(1,AA166))^2+(1-MAX(0,MIN(1,AA166)))^2/$B$5))))&lt;0.000000001,0,AB166-$B$11/$B$9*((MAX(0,MIN(1,AB166))^2/(MAX(0,MIN(1,AB166))^2+(1-MAX(0,MIN(1,AB166)))^2/$B$5))-(MAX(0,MIN(1,AA166))^2/(MAX(0,MIN(1,AA166))^2+(1-MAX(0,MIN(1,AA166)))^2/$B$5))))</f>
        <v>0.833770670292416</v>
      </c>
      <c r="AC167" s="16" t="n">
        <f aca="false">IF(ABS(AC166-$B$11/$B$9*((MAX(0,MIN(1,AC166))^2/(MAX(0,MIN(1,AC166))^2+(1-MAX(0,MIN(1,AC166)))^2/$B$5))-(MAX(0,MIN(1,AB166))^2/(MAX(0,MIN(1,AB166))^2+(1-MAX(0,MIN(1,AB166)))^2/$B$5))))&lt;0.000000001,0,AC166-$B$11/$B$9*((MAX(0,MIN(1,AC166))^2/(MAX(0,MIN(1,AC166))^2+(1-MAX(0,MIN(1,AC166)))^2/$B$5))-(MAX(0,MIN(1,AB166))^2/(MAX(0,MIN(1,AB166))^2+(1-MAX(0,MIN(1,AB166)))^2/$B$5))))</f>
        <v>0.827370672809263</v>
      </c>
      <c r="AD167" s="16" t="n">
        <f aca="false">IF(ABS(AD166-$B$11/$B$9*((MAX(0,MIN(1,AD166))^2/(MAX(0,MIN(1,AD166))^2+(1-MAX(0,MIN(1,AD166)))^2/$B$5))-(MAX(0,MIN(1,AC166))^2/(MAX(0,MIN(1,AC166))^2+(1-MAX(0,MIN(1,AC166)))^2/$B$5))))&lt;0.000000001,0,AD166-$B$11/$B$9*((MAX(0,MIN(1,AD166))^2/(MAX(0,MIN(1,AD166))^2+(1-MAX(0,MIN(1,AD166)))^2/$B$5))-(MAX(0,MIN(1,AC166))^2/(MAX(0,MIN(1,AC166))^2+(1-MAX(0,MIN(1,AC166)))^2/$B$5))))</f>
        <v>0.821161885883802</v>
      </c>
      <c r="AE167" s="16" t="n">
        <f aca="false">IF(ABS(AE166-$B$11/$B$9*((MAX(0,MIN(1,AE166))^2/(MAX(0,MIN(1,AE166))^2+(1-MAX(0,MIN(1,AE166)))^2/$B$5))-(MAX(0,MIN(1,AD166))^2/(MAX(0,MIN(1,AD166))^2+(1-MAX(0,MIN(1,AD166)))^2/$B$5))))&lt;0.000000001,0,AE166-$B$11/$B$9*((MAX(0,MIN(1,AE166))^2/(MAX(0,MIN(1,AE166))^2+(1-MAX(0,MIN(1,AE166)))^2/$B$5))-(MAX(0,MIN(1,AD166))^2/(MAX(0,MIN(1,AD166))^2+(1-MAX(0,MIN(1,AD166)))^2/$B$5))))</f>
        <v>0.815131051363905</v>
      </c>
      <c r="AF167" s="16" t="n">
        <f aca="false">IF(ABS(AF166-$B$11/$B$9*((MAX(0,MIN(1,AF166))^2/(MAX(0,MIN(1,AF166))^2+(1-MAX(0,MIN(1,AF166)))^2/$B$5))-(MAX(0,MIN(1,AE166))^2/(MAX(0,MIN(1,AE166))^2+(1-MAX(0,MIN(1,AE166)))^2/$B$5))))&lt;0.000000001,0,AF166-$B$11/$B$9*((MAX(0,MIN(1,AF166))^2/(MAX(0,MIN(1,AF166))^2+(1-MAX(0,MIN(1,AF166)))^2/$B$5))-(MAX(0,MIN(1,AE166))^2/(MAX(0,MIN(1,AE166))^2+(1-MAX(0,MIN(1,AE166)))^2/$B$5))))</f>
        <v>0.809266240396687</v>
      </c>
    </row>
    <row r="168" customFormat="false" ht="15" hidden="false" customHeight="false" outlineLevel="0" collapsed="false">
      <c r="L168" s="0" t="n">
        <v>158</v>
      </c>
      <c r="M168" s="16" t="n">
        <f aca="false">IF(ABS(M167-$B$11/$B$9*((MAX(0,MIN(1,M167))^2/(MAX(0,MIN(1,M167))^2+(1-MAX(0,MIN(1,M167)))^2/$B$5))-(MAX(0,MIN(1,1))^2/(MAX(0,MIN(1,1))^2+(1-MAX(0,MIN(1,1)))^2/$B$5))))&lt;0.000000001,0,M167-$B$11/$B$9*((MAX(0,MIN(1,M167))^2/(MAX(0,MIN(1,M167))^2+(1-MAX(0,MIN(1,M167)))^2/$B$5))-(MAX(0,MIN(1,1))^2/(MAX(0,MIN(1,1))^2+(1-MAX(0,MIN(1,1)))^2/$B$5))))</f>
        <v>0.97368178478252</v>
      </c>
      <c r="N168" s="16" t="n">
        <f aca="false">IF(ABS(N167-$B$11/$B$9*((MAX(0,MIN(1,N167))^2/(MAX(0,MIN(1,N167))^2+(1-MAX(0,MIN(1,N167)))^2/$B$5))-(MAX(0,MIN(1,M167))^2/(MAX(0,MIN(1,M167))^2+(1-MAX(0,MIN(1,M167)))^2/$B$5))))&lt;0.000000001,0,N167-$B$11/$B$9*((MAX(0,MIN(1,N167))^2/(MAX(0,MIN(1,N167))^2+(1-MAX(0,MIN(1,N167)))^2/$B$5))-(MAX(0,MIN(1,M167))^2/(MAX(0,MIN(1,M167))^2+(1-MAX(0,MIN(1,M167)))^2/$B$5))))</f>
        <v>0.958876631629687</v>
      </c>
      <c r="O168" s="16" t="n">
        <f aca="false">IF(ABS(O167-$B$11/$B$9*((MAX(0,MIN(1,O167))^2/(MAX(0,MIN(1,O167))^2+(1-MAX(0,MIN(1,O167)))^2/$B$5))-(MAX(0,MIN(1,N167))^2/(MAX(0,MIN(1,N167))^2+(1-MAX(0,MIN(1,N167)))^2/$B$5))))&lt;0.000000001,0,O167-$B$11/$B$9*((MAX(0,MIN(1,O167))^2/(MAX(0,MIN(1,O167))^2+(1-MAX(0,MIN(1,O167)))^2/$B$5))-(MAX(0,MIN(1,N167))^2/(MAX(0,MIN(1,N167))^2+(1-MAX(0,MIN(1,N167)))^2/$B$5))))</f>
        <v>0.945998224491535</v>
      </c>
      <c r="P168" s="16" t="n">
        <f aca="false">IF(ABS(P167-$B$11/$B$9*((MAX(0,MIN(1,P167))^2/(MAX(0,MIN(1,P167))^2+(1-MAX(0,MIN(1,P167)))^2/$B$5))-(MAX(0,MIN(1,O167))^2/(MAX(0,MIN(1,O167))^2+(1-MAX(0,MIN(1,O167)))^2/$B$5))))&lt;0.000000001,0,P167-$B$11/$B$9*((MAX(0,MIN(1,P167))^2/(MAX(0,MIN(1,P167))^2+(1-MAX(0,MIN(1,P167)))^2/$B$5))-(MAX(0,MIN(1,O167))^2/(MAX(0,MIN(1,O167))^2+(1-MAX(0,MIN(1,O167)))^2/$B$5))))</f>
        <v>0.934286964267303</v>
      </c>
      <c r="Q168" s="16" t="n">
        <f aca="false">IF(ABS(Q167-$B$11/$B$9*((MAX(0,MIN(1,Q167))^2/(MAX(0,MIN(1,Q167))^2+(1-MAX(0,MIN(1,Q167)))^2/$B$5))-(MAX(0,MIN(1,P167))^2/(MAX(0,MIN(1,P167))^2+(1-MAX(0,MIN(1,P167)))^2/$B$5))))&lt;0.000000001,0,Q167-$B$11/$B$9*((MAX(0,MIN(1,Q167))^2/(MAX(0,MIN(1,Q167))^2+(1-MAX(0,MIN(1,Q167)))^2/$B$5))-(MAX(0,MIN(1,P167))^2/(MAX(0,MIN(1,P167))^2+(1-MAX(0,MIN(1,P167)))^2/$B$5))))</f>
        <v>0.923436769828215</v>
      </c>
      <c r="R168" s="16" t="n">
        <f aca="false">IF(ABS(R167-$B$11/$B$9*((MAX(0,MIN(1,R167))^2/(MAX(0,MIN(1,R167))^2+(1-MAX(0,MIN(1,R167)))^2/$B$5))-(MAX(0,MIN(1,Q167))^2/(MAX(0,MIN(1,Q167))^2+(1-MAX(0,MIN(1,Q167)))^2/$B$5))))&lt;0.000000001,0,R167-$B$11/$B$9*((MAX(0,MIN(1,R167))^2/(MAX(0,MIN(1,R167))^2+(1-MAX(0,MIN(1,R167)))^2/$B$5))-(MAX(0,MIN(1,Q167))^2/(MAX(0,MIN(1,Q167))^2+(1-MAX(0,MIN(1,Q167)))^2/$B$5))))</f>
        <v>0.913277024395686</v>
      </c>
      <c r="S168" s="16" t="n">
        <f aca="false">IF(ABS(S167-$B$11/$B$9*((MAX(0,MIN(1,S167))^2/(MAX(0,MIN(1,S167))^2+(1-MAX(0,MIN(1,S167)))^2/$B$5))-(MAX(0,MIN(1,R167))^2/(MAX(0,MIN(1,R167))^2+(1-MAX(0,MIN(1,R167)))^2/$B$5))))&lt;0.000000001,0,S167-$B$11/$B$9*((MAX(0,MIN(1,S167))^2/(MAX(0,MIN(1,S167))^2+(1-MAX(0,MIN(1,S167)))^2/$B$5))-(MAX(0,MIN(1,R167))^2/(MAX(0,MIN(1,R167))^2+(1-MAX(0,MIN(1,R167)))^2/$B$5))))</f>
        <v>0.903695949558439</v>
      </c>
      <c r="T168" s="16" t="n">
        <f aca="false">IF(ABS(T167-$B$11/$B$9*((MAX(0,MIN(1,T167))^2/(MAX(0,MIN(1,T167))^2+(1-MAX(0,MIN(1,T167)))^2/$B$5))-(MAX(0,MIN(1,S167))^2/(MAX(0,MIN(1,S167))^2+(1-MAX(0,MIN(1,S167)))^2/$B$5))))&lt;0.000000001,0,T167-$B$11/$B$9*((MAX(0,MIN(1,T167))^2/(MAX(0,MIN(1,T167))^2+(1-MAX(0,MIN(1,T167)))^2/$B$5))-(MAX(0,MIN(1,S167))^2/(MAX(0,MIN(1,S167))^2+(1-MAX(0,MIN(1,S167)))^2/$B$5))))</f>
        <v>0.894613098318764</v>
      </c>
      <c r="U168" s="16" t="n">
        <f aca="false">IF(ABS(U167-$B$11/$B$9*((MAX(0,MIN(1,U167))^2/(MAX(0,MIN(1,U167))^2+(1-MAX(0,MIN(1,U167)))^2/$B$5))-(MAX(0,MIN(1,T167))^2/(MAX(0,MIN(1,T167))^2+(1-MAX(0,MIN(1,T167)))^2/$B$5))))&lt;0.000000001,0,U167-$B$11/$B$9*((MAX(0,MIN(1,U167))^2/(MAX(0,MIN(1,U167))^2+(1-MAX(0,MIN(1,U167)))^2/$B$5))-(MAX(0,MIN(1,T167))^2/(MAX(0,MIN(1,T167))^2+(1-MAX(0,MIN(1,T167)))^2/$B$5))))</f>
        <v>0.885967016089423</v>
      </c>
      <c r="V168" s="16" t="n">
        <f aca="false">IF(ABS(V167-$B$11/$B$9*((MAX(0,MIN(1,V167))^2/(MAX(0,MIN(1,V167))^2+(1-MAX(0,MIN(1,V167)))^2/$B$5))-(MAX(0,MIN(1,U167))^2/(MAX(0,MIN(1,U167))^2+(1-MAX(0,MIN(1,U167)))^2/$B$5))))&lt;0.000000001,0,V167-$B$11/$B$9*((MAX(0,MIN(1,V167))^2/(MAX(0,MIN(1,V167))^2+(1-MAX(0,MIN(1,V167)))^2/$B$5))-(MAX(0,MIN(1,U167))^2/(MAX(0,MIN(1,U167))^2+(1-MAX(0,MIN(1,U167)))^2/$B$5))))</f>
        <v>0.877708827339763</v>
      </c>
      <c r="W168" s="16" t="n">
        <f aca="false">IF(ABS(W167-$B$11/$B$9*((MAX(0,MIN(1,W167))^2/(MAX(0,MIN(1,W167))^2+(1-MAX(0,MIN(1,W167)))^2/$B$5))-(MAX(0,MIN(1,V167))^2/(MAX(0,MIN(1,V167))^2+(1-MAX(0,MIN(1,V167)))^2/$B$5))))&lt;0.000000001,0,W167-$B$11/$B$9*((MAX(0,MIN(1,W167))^2/(MAX(0,MIN(1,W167))^2+(1-MAX(0,MIN(1,W167)))^2/$B$5))-(MAX(0,MIN(1,V167))^2/(MAX(0,MIN(1,V167))^2+(1-MAX(0,MIN(1,V167)))^2/$B$5))))</f>
        <v>0.869798531619524</v>
      </c>
      <c r="X168" s="16" t="n">
        <f aca="false">IF(ABS(X167-$B$11/$B$9*((MAX(0,MIN(1,X167))^2/(MAX(0,MIN(1,X167))^2+(1-MAX(0,MIN(1,X167)))^2/$B$5))-(MAX(0,MIN(1,W167))^2/(MAX(0,MIN(1,W167))^2+(1-MAX(0,MIN(1,W167)))^2/$B$5))))&lt;0.000000001,0,X167-$B$11/$B$9*((MAX(0,MIN(1,X167))^2/(MAX(0,MIN(1,X167))^2+(1-MAX(0,MIN(1,X167)))^2/$B$5))-(MAX(0,MIN(1,W167))^2/(MAX(0,MIN(1,W167))^2+(1-MAX(0,MIN(1,W167)))^2/$B$5))))</f>
        <v>0.86220268883281</v>
      </c>
      <c r="Y168" s="16" t="n">
        <f aca="false">IF(ABS(Y167-$B$11/$B$9*((MAX(0,MIN(1,Y167))^2/(MAX(0,MIN(1,Y167))^2+(1-MAX(0,MIN(1,Y167)))^2/$B$5))-(MAX(0,MIN(1,X167))^2/(MAX(0,MIN(1,X167))^2+(1-MAX(0,MIN(1,X167)))^2/$B$5))))&lt;0.000000001,0,Y167-$B$11/$B$9*((MAX(0,MIN(1,Y167))^2/(MAX(0,MIN(1,Y167))^2+(1-MAX(0,MIN(1,Y167)))^2/$B$5))-(MAX(0,MIN(1,X167))^2/(MAX(0,MIN(1,X167))^2+(1-MAX(0,MIN(1,X167)))^2/$B$5))))</f>
        <v>0.854892882217395</v>
      </c>
      <c r="Z168" s="16" t="n">
        <f aca="false">IF(ABS(Z167-$B$11/$B$9*((MAX(0,MIN(1,Z167))^2/(MAX(0,MIN(1,Z167))^2+(1-MAX(0,MIN(1,Z167)))^2/$B$5))-(MAX(0,MIN(1,Y167))^2/(MAX(0,MIN(1,Y167))^2+(1-MAX(0,MIN(1,Y167)))^2/$B$5))))&lt;0.000000001,0,Z167-$B$11/$B$9*((MAX(0,MIN(1,Z167))^2/(MAX(0,MIN(1,Z167))^2+(1-MAX(0,MIN(1,Z167)))^2/$B$5))-(MAX(0,MIN(1,Y167))^2/(MAX(0,MIN(1,Y167))^2+(1-MAX(0,MIN(1,Y167)))^2/$B$5))))</f>
        <v>0.847844647964476</v>
      </c>
      <c r="AA168" s="16" t="n">
        <f aca="false">IF(ABS(AA167-$B$11/$B$9*((MAX(0,MIN(1,AA167))^2/(MAX(0,MIN(1,AA167))^2+(1-MAX(0,MIN(1,AA167)))^2/$B$5))-(MAX(0,MIN(1,Z167))^2/(MAX(0,MIN(1,Z167))^2+(1-MAX(0,MIN(1,Z167)))^2/$B$5))))&lt;0.000000001,0,AA167-$B$11/$B$9*((MAX(0,MIN(1,AA167))^2/(MAX(0,MIN(1,AA167))^2+(1-MAX(0,MIN(1,AA167)))^2/$B$5))-(MAX(0,MIN(1,Z167))^2/(MAX(0,MIN(1,Z167))^2+(1-MAX(0,MIN(1,Z167)))^2/$B$5))))</f>
        <v>0.841036700960069</v>
      </c>
      <c r="AB168" s="16" t="n">
        <f aca="false">IF(ABS(AB167-$B$11/$B$9*((MAX(0,MIN(1,AB167))^2/(MAX(0,MIN(1,AB167))^2+(1-MAX(0,MIN(1,AB167)))^2/$B$5))-(MAX(0,MIN(1,AA167))^2/(MAX(0,MIN(1,AA167))^2+(1-MAX(0,MIN(1,AA167)))^2/$B$5))))&lt;0.000000001,0,AB167-$B$11/$B$9*((MAX(0,MIN(1,AB167))^2/(MAX(0,MIN(1,AB167))^2+(1-MAX(0,MIN(1,AB167)))^2/$B$5))-(MAX(0,MIN(1,AA167))^2/(MAX(0,MIN(1,AA167))^2+(1-MAX(0,MIN(1,AA167)))^2/$B$5))))</f>
        <v>0.834450357260557</v>
      </c>
      <c r="AC168" s="16" t="n">
        <f aca="false">IF(ABS(AC167-$B$11/$B$9*((MAX(0,MIN(1,AC167))^2/(MAX(0,MIN(1,AC167))^2+(1-MAX(0,MIN(1,AC167)))^2/$B$5))-(MAX(0,MIN(1,AB167))^2/(MAX(0,MIN(1,AB167))^2+(1-MAX(0,MIN(1,AB167)))^2/$B$5))))&lt;0.000000001,0,AC167-$B$11/$B$9*((MAX(0,MIN(1,AC167))^2/(MAX(0,MIN(1,AC167))^2+(1-MAX(0,MIN(1,AC167)))^2/$B$5))-(MAX(0,MIN(1,AB167))^2/(MAX(0,MIN(1,AB167))^2+(1-MAX(0,MIN(1,AB167)))^2/$B$5))))</f>
        <v>0.828069092335176</v>
      </c>
      <c r="AD168" s="16" t="n">
        <f aca="false">IF(ABS(AD167-$B$11/$B$9*((MAX(0,MIN(1,AD167))^2/(MAX(0,MIN(1,AD167))^2+(1-MAX(0,MIN(1,AD167)))^2/$B$5))-(MAX(0,MIN(1,AC167))^2/(MAX(0,MIN(1,AC167))^2+(1-MAX(0,MIN(1,AC167)))^2/$B$5))))&lt;0.000000001,0,AD167-$B$11/$B$9*((MAX(0,MIN(1,AD167))^2/(MAX(0,MIN(1,AD167))^2+(1-MAX(0,MIN(1,AD167)))^2/$B$5))-(MAX(0,MIN(1,AC167))^2/(MAX(0,MIN(1,AC167))^2+(1-MAX(0,MIN(1,AC167)))^2/$B$5))))</f>
        <v>0.821878196027302</v>
      </c>
      <c r="AE168" s="16" t="n">
        <f aca="false">IF(ABS(AE167-$B$11/$B$9*((MAX(0,MIN(1,AE167))^2/(MAX(0,MIN(1,AE167))^2+(1-MAX(0,MIN(1,AE167)))^2/$B$5))-(MAX(0,MIN(1,AD167))^2/(MAX(0,MIN(1,AD167))^2+(1-MAX(0,MIN(1,AD167)))^2/$B$5))))&lt;0.000000001,0,AE167-$B$11/$B$9*((MAX(0,MIN(1,AE167))^2/(MAX(0,MIN(1,AE167))^2+(1-MAX(0,MIN(1,AE167)))^2/$B$5))-(MAX(0,MIN(1,AD167))^2/(MAX(0,MIN(1,AD167))^2+(1-MAX(0,MIN(1,AD167)))^2/$B$5))))</f>
        <v>0.815864498288844</v>
      </c>
      <c r="AF168" s="16" t="n">
        <f aca="false">IF(ABS(AF167-$B$11/$B$9*((MAX(0,MIN(1,AF167))^2/(MAX(0,MIN(1,AF167))^2+(1-MAX(0,MIN(1,AF167)))^2/$B$5))-(MAX(0,MIN(1,AE167))^2/(MAX(0,MIN(1,AE167))^2+(1-MAX(0,MIN(1,AE167)))^2/$B$5))))&lt;0.000000001,0,AF167-$B$11/$B$9*((MAX(0,MIN(1,AF167))^2/(MAX(0,MIN(1,AF167))^2+(1-MAX(0,MIN(1,AF167)))^2/$B$5))-(MAX(0,MIN(1,AE167))^2/(MAX(0,MIN(1,AE167))^2+(1-MAX(0,MIN(1,AE167)))^2/$B$5))))</f>
        <v>0.81001614789565</v>
      </c>
    </row>
    <row r="169" customFormat="false" ht="15" hidden="false" customHeight="false" outlineLevel="0" collapsed="false">
      <c r="L169" s="0" t="n">
        <v>159</v>
      </c>
      <c r="M169" s="16" t="n">
        <f aca="false">IF(ABS(M168-$B$11/$B$9*((MAX(0,MIN(1,M168))^2/(MAX(0,MIN(1,M168))^2+(1-MAX(0,MIN(1,M168)))^2/$B$5))-(MAX(0,MIN(1,1))^2/(MAX(0,MIN(1,1))^2+(1-MAX(0,MIN(1,1)))^2/$B$5))))&lt;0.000000001,0,M168-$B$11/$B$9*((MAX(0,MIN(1,M168))^2/(MAX(0,MIN(1,M168))^2+(1-MAX(0,MIN(1,M168)))^2/$B$5))-(MAX(0,MIN(1,1))^2/(MAX(0,MIN(1,1))^2+(1-MAX(0,MIN(1,1)))^2/$B$5))))</f>
        <v>0.97382220251491</v>
      </c>
      <c r="N169" s="16" t="n">
        <f aca="false">IF(ABS(N168-$B$11/$B$9*((MAX(0,MIN(1,N168))^2/(MAX(0,MIN(1,N168))^2+(1-MAX(0,MIN(1,N168)))^2/$B$5))-(MAX(0,MIN(1,M168))^2/(MAX(0,MIN(1,M168))^2+(1-MAX(0,MIN(1,M168)))^2/$B$5))))&lt;0.000000001,0,N168-$B$11/$B$9*((MAX(0,MIN(1,N168))^2/(MAX(0,MIN(1,N168))^2+(1-MAX(0,MIN(1,N168)))^2/$B$5))-(MAX(0,MIN(1,M168))^2/(MAX(0,MIN(1,M168))^2+(1-MAX(0,MIN(1,M168)))^2/$B$5))))</f>
        <v>0.959089522711755</v>
      </c>
      <c r="O169" s="16" t="n">
        <f aca="false">IF(ABS(O168-$B$11/$B$9*((MAX(0,MIN(1,O168))^2/(MAX(0,MIN(1,O168))^2+(1-MAX(0,MIN(1,O168)))^2/$B$5))-(MAX(0,MIN(1,N168))^2/(MAX(0,MIN(1,N168))^2+(1-MAX(0,MIN(1,N168)))^2/$B$5))))&lt;0.000000001,0,O168-$B$11/$B$9*((MAX(0,MIN(1,O168))^2/(MAX(0,MIN(1,O168))^2+(1-MAX(0,MIN(1,O168)))^2/$B$5))-(MAX(0,MIN(1,N168))^2/(MAX(0,MIN(1,N168))^2+(1-MAX(0,MIN(1,N168)))^2/$B$5))))</f>
        <v>0.946270419840833</v>
      </c>
      <c r="P169" s="16" t="n">
        <f aca="false">IF(ABS(P168-$B$11/$B$9*((MAX(0,MIN(1,P168))^2/(MAX(0,MIN(1,P168))^2+(1-MAX(0,MIN(1,P168)))^2/$B$5))-(MAX(0,MIN(1,O168))^2/(MAX(0,MIN(1,O168))^2+(1-MAX(0,MIN(1,O168)))^2/$B$5))))&lt;0.000000001,0,P168-$B$11/$B$9*((MAX(0,MIN(1,P168))^2/(MAX(0,MIN(1,P168))^2+(1-MAX(0,MIN(1,P168)))^2/$B$5))-(MAX(0,MIN(1,O168))^2/(MAX(0,MIN(1,O168))^2+(1-MAX(0,MIN(1,O168)))^2/$B$5))))</f>
        <v>0.93461025289595</v>
      </c>
      <c r="Q169" s="16" t="n">
        <f aca="false">IF(ABS(Q168-$B$11/$B$9*((MAX(0,MIN(1,Q168))^2/(MAX(0,MIN(1,Q168))^2+(1-MAX(0,MIN(1,Q168)))^2/$B$5))-(MAX(0,MIN(1,P168))^2/(MAX(0,MIN(1,P168))^2+(1-MAX(0,MIN(1,P168)))^2/$B$5))))&lt;0.000000001,0,Q168-$B$11/$B$9*((MAX(0,MIN(1,Q168))^2/(MAX(0,MIN(1,Q168))^2+(1-MAX(0,MIN(1,Q168)))^2/$B$5))-(MAX(0,MIN(1,P168))^2/(MAX(0,MIN(1,P168))^2+(1-MAX(0,MIN(1,P168)))^2/$B$5))))</f>
        <v>0.923805134804062</v>
      </c>
      <c r="R169" s="16" t="n">
        <f aca="false">IF(ABS(R168-$B$11/$B$9*((MAX(0,MIN(1,R168))^2/(MAX(0,MIN(1,R168))^2+(1-MAX(0,MIN(1,R168)))^2/$B$5))-(MAX(0,MIN(1,Q168))^2/(MAX(0,MIN(1,Q168))^2+(1-MAX(0,MIN(1,Q168)))^2/$B$5))))&lt;0.000000001,0,R168-$B$11/$B$9*((MAX(0,MIN(1,R168))^2/(MAX(0,MIN(1,R168))^2+(1-MAX(0,MIN(1,R168)))^2/$B$5))-(MAX(0,MIN(1,Q168))^2/(MAX(0,MIN(1,Q168))^2+(1-MAX(0,MIN(1,Q168)))^2/$B$5))))</f>
        <v>0.913685750031401</v>
      </c>
      <c r="S169" s="16" t="n">
        <f aca="false">IF(ABS(S168-$B$11/$B$9*((MAX(0,MIN(1,S168))^2/(MAX(0,MIN(1,S168))^2+(1-MAX(0,MIN(1,S168)))^2/$B$5))-(MAX(0,MIN(1,R168))^2/(MAX(0,MIN(1,R168))^2+(1-MAX(0,MIN(1,R168)))^2/$B$5))))&lt;0.000000001,0,S168-$B$11/$B$9*((MAX(0,MIN(1,S168))^2/(MAX(0,MIN(1,S168))^2+(1-MAX(0,MIN(1,S168)))^2/$B$5))-(MAX(0,MIN(1,R168))^2/(MAX(0,MIN(1,R168))^2+(1-MAX(0,MIN(1,R168)))^2/$B$5))))</f>
        <v>0.904141202885951</v>
      </c>
      <c r="T169" s="16" t="n">
        <f aca="false">IF(ABS(T168-$B$11/$B$9*((MAX(0,MIN(1,T168))^2/(MAX(0,MIN(1,T168))^2+(1-MAX(0,MIN(1,T168)))^2/$B$5))-(MAX(0,MIN(1,S168))^2/(MAX(0,MIN(1,S168))^2+(1-MAX(0,MIN(1,S168)))^2/$B$5))))&lt;0.000000001,0,T168-$B$11/$B$9*((MAX(0,MIN(1,T168))^2/(MAX(0,MIN(1,T168))^2+(1-MAX(0,MIN(1,T168)))^2/$B$5))-(MAX(0,MIN(1,S168))^2/(MAX(0,MIN(1,S168))^2+(1-MAX(0,MIN(1,S168)))^2/$B$5))))</f>
        <v>0.895091691260159</v>
      </c>
      <c r="U169" s="16" t="n">
        <f aca="false">IF(ABS(U168-$B$11/$B$9*((MAX(0,MIN(1,U168))^2/(MAX(0,MIN(1,U168))^2+(1-MAX(0,MIN(1,U168)))^2/$B$5))-(MAX(0,MIN(1,T168))^2/(MAX(0,MIN(1,T168))^2+(1-MAX(0,MIN(1,T168)))^2/$B$5))))&lt;0.000000001,0,U168-$B$11/$B$9*((MAX(0,MIN(1,U168))^2/(MAX(0,MIN(1,U168))^2+(1-MAX(0,MIN(1,U168)))^2/$B$5))-(MAX(0,MIN(1,T168))^2/(MAX(0,MIN(1,T168))^2+(1-MAX(0,MIN(1,T168)))^2/$B$5))))</f>
        <v>0.886476253890553</v>
      </c>
      <c r="V169" s="16" t="n">
        <f aca="false">IF(ABS(V168-$B$11/$B$9*((MAX(0,MIN(1,V168))^2/(MAX(0,MIN(1,V168))^2+(1-MAX(0,MIN(1,V168)))^2/$B$5))-(MAX(0,MIN(1,U168))^2/(MAX(0,MIN(1,U168))^2+(1-MAX(0,MIN(1,U168)))^2/$B$5))))&lt;0.000000001,0,V168-$B$11/$B$9*((MAX(0,MIN(1,V168))^2/(MAX(0,MIN(1,V168))^2+(1-MAX(0,MIN(1,V168)))^2/$B$5))-(MAX(0,MIN(1,U168))^2/(MAX(0,MIN(1,U168))^2+(1-MAX(0,MIN(1,U168)))^2/$B$5))))</f>
        <v>0.878246404577868</v>
      </c>
      <c r="W169" s="16" t="n">
        <f aca="false">IF(ABS(W168-$B$11/$B$9*((MAX(0,MIN(1,W168))^2/(MAX(0,MIN(1,W168))^2+(1-MAX(0,MIN(1,W168)))^2/$B$5))-(MAX(0,MIN(1,V168))^2/(MAX(0,MIN(1,V168))^2+(1-MAX(0,MIN(1,V168)))^2/$B$5))))&lt;0.000000001,0,W168-$B$11/$B$9*((MAX(0,MIN(1,W168))^2/(MAX(0,MIN(1,W168))^2+(1-MAX(0,MIN(1,W168)))^2/$B$5))-(MAX(0,MIN(1,V168))^2/(MAX(0,MIN(1,V168))^2+(1-MAX(0,MIN(1,V168)))^2/$B$5))))</f>
        <v>0.870362457164864</v>
      </c>
      <c r="X169" s="16" t="n">
        <f aca="false">IF(ABS(X168-$B$11/$B$9*((MAX(0,MIN(1,X168))^2/(MAX(0,MIN(1,X168))^2+(1-MAX(0,MIN(1,X168)))^2/$B$5))-(MAX(0,MIN(1,W168))^2/(MAX(0,MIN(1,W168))^2+(1-MAX(0,MIN(1,W168)))^2/$B$5))))&lt;0.000000001,0,X168-$B$11/$B$9*((MAX(0,MIN(1,X168))^2/(MAX(0,MIN(1,X168))^2+(1-MAX(0,MIN(1,X168)))^2/$B$5))-(MAX(0,MIN(1,W168))^2/(MAX(0,MIN(1,W168))^2+(1-MAX(0,MIN(1,W168)))^2/$B$5))))</f>
        <v>0.862791229711033</v>
      </c>
      <c r="Y169" s="16" t="n">
        <f aca="false">IF(ABS(Y168-$B$11/$B$9*((MAX(0,MIN(1,Y168))^2/(MAX(0,MIN(1,Y168))^2+(1-MAX(0,MIN(1,Y168)))^2/$B$5))-(MAX(0,MIN(1,X168))^2/(MAX(0,MIN(1,X168))^2+(1-MAX(0,MIN(1,X168)))^2/$B$5))))&lt;0.000000001,0,Y168-$B$11/$B$9*((MAX(0,MIN(1,Y168))^2/(MAX(0,MIN(1,Y168))^2+(1-MAX(0,MIN(1,Y168)))^2/$B$5))-(MAX(0,MIN(1,X168))^2/(MAX(0,MIN(1,X168))^2+(1-MAX(0,MIN(1,X168)))^2/$B$5))))</f>
        <v>0.855504520461695</v>
      </c>
      <c r="Z169" s="16" t="n">
        <f aca="false">IF(ABS(Z168-$B$11/$B$9*((MAX(0,MIN(1,Z168))^2/(MAX(0,MIN(1,Z168))^2+(1-MAX(0,MIN(1,Z168)))^2/$B$5))-(MAX(0,MIN(1,Y168))^2/(MAX(0,MIN(1,Y168))^2+(1-MAX(0,MIN(1,Y168)))^2/$B$5))))&lt;0.000000001,0,Z168-$B$11/$B$9*((MAX(0,MIN(1,Z168))^2/(MAX(0,MIN(1,Z168))^2+(1-MAX(0,MIN(1,Z168)))^2/$B$5))-(MAX(0,MIN(1,Y168))^2/(MAX(0,MIN(1,Y168))^2+(1-MAX(0,MIN(1,Y168)))^2/$B$5))))</f>
        <v>0.848478046749603</v>
      </c>
      <c r="AA169" s="16" t="n">
        <f aca="false">IF(ABS(AA168-$B$11/$B$9*((MAX(0,MIN(1,AA168))^2/(MAX(0,MIN(1,AA168))^2+(1-MAX(0,MIN(1,AA168)))^2/$B$5))-(MAX(0,MIN(1,Z168))^2/(MAX(0,MIN(1,Z168))^2+(1-MAX(0,MIN(1,Z168)))^2/$B$5))))&lt;0.000000001,0,AA168-$B$11/$B$9*((MAX(0,MIN(1,AA168))^2/(MAX(0,MIN(1,AA168))^2+(1-MAX(0,MIN(1,AA168)))^2/$B$5))-(MAX(0,MIN(1,Z168))^2/(MAX(0,MIN(1,Z168))^2+(1-MAX(0,MIN(1,Z168)))^2/$B$5))))</f>
        <v>0.841690677572411</v>
      </c>
      <c r="AB169" s="16" t="n">
        <f aca="false">IF(ABS(AB168-$B$11/$B$9*((MAX(0,MIN(1,AB168))^2/(MAX(0,MIN(1,AB168))^2+(1-MAX(0,MIN(1,AB168)))^2/$B$5))-(MAX(0,MIN(1,AA168))^2/(MAX(0,MIN(1,AA168))^2+(1-MAX(0,MIN(1,AA168)))^2/$B$5))))&lt;0.000000001,0,AB168-$B$11/$B$9*((MAX(0,MIN(1,AB168))^2/(MAX(0,MIN(1,AB168))^2+(1-MAX(0,MIN(1,AB168)))^2/$B$5))-(MAX(0,MIN(1,AA168))^2/(MAX(0,MIN(1,AA168))^2+(1-MAX(0,MIN(1,AA168)))^2/$B$5))))</f>
        <v>0.835123861225937</v>
      </c>
      <c r="AC169" s="16" t="n">
        <f aca="false">IF(ABS(AC168-$B$11/$B$9*((MAX(0,MIN(1,AC168))^2/(MAX(0,MIN(1,AC168))^2+(1-MAX(0,MIN(1,AC168)))^2/$B$5))-(MAX(0,MIN(1,AB168))^2/(MAX(0,MIN(1,AB168))^2+(1-MAX(0,MIN(1,AB168)))^2/$B$5))))&lt;0.000000001,0,AC168-$B$11/$B$9*((MAX(0,MIN(1,AC168))^2/(MAX(0,MIN(1,AC168))^2+(1-MAX(0,MIN(1,AC168)))^2/$B$5))-(MAX(0,MIN(1,AB168))^2/(MAX(0,MIN(1,AB168))^2+(1-MAX(0,MIN(1,AB168)))^2/$B$5))))</f>
        <v>0.828761187515463</v>
      </c>
      <c r="AD169" s="16" t="n">
        <f aca="false">IF(ABS(AD168-$B$11/$B$9*((MAX(0,MIN(1,AD168))^2/(MAX(0,MIN(1,AD168))^2+(1-MAX(0,MIN(1,AD168)))^2/$B$5))-(MAX(0,MIN(1,AC168))^2/(MAX(0,MIN(1,AC168))^2+(1-MAX(0,MIN(1,AC168)))^2/$B$5))))&lt;0.000000001,0,AD168-$B$11/$B$9*((MAX(0,MIN(1,AD168))^2/(MAX(0,MIN(1,AD168))^2+(1-MAX(0,MIN(1,AD168)))^2/$B$5))-(MAX(0,MIN(1,AC168))^2/(MAX(0,MIN(1,AC168))^2+(1-MAX(0,MIN(1,AC168)))^2/$B$5))))</f>
        <v>0.822588045821555</v>
      </c>
      <c r="AE169" s="16" t="n">
        <f aca="false">IF(ABS(AE168-$B$11/$B$9*((MAX(0,MIN(1,AE168))^2/(MAX(0,MIN(1,AE168))^2+(1-MAX(0,MIN(1,AE168)))^2/$B$5))-(MAX(0,MIN(1,AD168))^2/(MAX(0,MIN(1,AD168))^2+(1-MAX(0,MIN(1,AD168)))^2/$B$5))))&lt;0.000000001,0,AE168-$B$11/$B$9*((MAX(0,MIN(1,AE168))^2/(MAX(0,MIN(1,AE168))^2+(1-MAX(0,MIN(1,AE168)))^2/$B$5))-(MAX(0,MIN(1,AD168))^2/(MAX(0,MIN(1,AD168))^2+(1-MAX(0,MIN(1,AD168)))^2/$B$5))))</f>
        <v>0.816591353297117</v>
      </c>
      <c r="AF169" s="16" t="n">
        <f aca="false">IF(ABS(AF168-$B$11/$B$9*((MAX(0,MIN(1,AF168))^2/(MAX(0,MIN(1,AF168))^2+(1-MAX(0,MIN(1,AF168)))^2/$B$5))-(MAX(0,MIN(1,AE168))^2/(MAX(0,MIN(1,AE168))^2+(1-MAX(0,MIN(1,AE168)))^2/$B$5))))&lt;0.000000001,0,AF168-$B$11/$B$9*((MAX(0,MIN(1,AF168))^2/(MAX(0,MIN(1,AF168))^2+(1-MAX(0,MIN(1,AF168)))^2/$B$5))-(MAX(0,MIN(1,AE168))^2/(MAX(0,MIN(1,AE168))^2+(1-MAX(0,MIN(1,AE168)))^2/$B$5))))</f>
        <v>0.810759335560062</v>
      </c>
    </row>
    <row r="170" customFormat="false" ht="15" hidden="false" customHeight="false" outlineLevel="0" collapsed="false">
      <c r="L170" s="0" t="n">
        <v>160</v>
      </c>
      <c r="M170" s="16" t="n">
        <f aca="false">IF(ABS(M169-$B$11/$B$9*((MAX(0,MIN(1,M169))^2/(MAX(0,MIN(1,M169))^2+(1-MAX(0,MIN(1,M169)))^2/$B$5))-(MAX(0,MIN(1,1))^2/(MAX(0,MIN(1,1))^2+(1-MAX(0,MIN(1,1)))^2/$B$5))))&lt;0.000000001,0,M169-$B$11/$B$9*((MAX(0,MIN(1,M169))^2/(MAX(0,MIN(1,M169))^2+(1-MAX(0,MIN(1,M169)))^2/$B$5))-(MAX(0,MIN(1,1))^2/(MAX(0,MIN(1,1))^2+(1-MAX(0,MIN(1,1)))^2/$B$5))))</f>
        <v>0.973961086373692</v>
      </c>
      <c r="N170" s="16" t="n">
        <f aca="false">IF(ABS(N169-$B$11/$B$9*((MAX(0,MIN(1,N169))^2/(MAX(0,MIN(1,N169))^2+(1-MAX(0,MIN(1,N169)))^2/$B$5))-(MAX(0,MIN(1,M169))^2/(MAX(0,MIN(1,M169))^2+(1-MAX(0,MIN(1,M169)))^2/$B$5))))&lt;0.000000001,0,N169-$B$11/$B$9*((MAX(0,MIN(1,N169))^2/(MAX(0,MIN(1,N169))^2+(1-MAX(0,MIN(1,N169)))^2/$B$5))-(MAX(0,MIN(1,M169))^2/(MAX(0,MIN(1,M169))^2+(1-MAX(0,MIN(1,M169)))^2/$B$5))))</f>
        <v>0.959300147300682</v>
      </c>
      <c r="O170" s="16" t="n">
        <f aca="false">IF(ABS(O169-$B$11/$B$9*((MAX(0,MIN(1,O169))^2/(MAX(0,MIN(1,O169))^2+(1-MAX(0,MIN(1,O169)))^2/$B$5))-(MAX(0,MIN(1,N169))^2/(MAX(0,MIN(1,N169))^2+(1-MAX(0,MIN(1,N169)))^2/$B$5))))&lt;0.000000001,0,O169-$B$11/$B$9*((MAX(0,MIN(1,O169))^2/(MAX(0,MIN(1,O169))^2+(1-MAX(0,MIN(1,O169)))^2/$B$5))-(MAX(0,MIN(1,N169))^2/(MAX(0,MIN(1,N169))^2+(1-MAX(0,MIN(1,N169)))^2/$B$5))))</f>
        <v>0.946539780267661</v>
      </c>
      <c r="P170" s="16" t="n">
        <f aca="false">IF(ABS(P169-$B$11/$B$9*((MAX(0,MIN(1,P169))^2/(MAX(0,MIN(1,P169))^2+(1-MAX(0,MIN(1,P169)))^2/$B$5))-(MAX(0,MIN(1,O169))^2/(MAX(0,MIN(1,O169))^2+(1-MAX(0,MIN(1,O169)))^2/$B$5))))&lt;0.000000001,0,P169-$B$11/$B$9*((MAX(0,MIN(1,P169))^2/(MAX(0,MIN(1,P169))^2+(1-MAX(0,MIN(1,P169)))^2/$B$5))-(MAX(0,MIN(1,O169))^2/(MAX(0,MIN(1,O169))^2+(1-MAX(0,MIN(1,O169)))^2/$B$5))))</f>
        <v>0.934930238710002</v>
      </c>
      <c r="Q170" s="16" t="n">
        <f aca="false">IF(ABS(Q169-$B$11/$B$9*((MAX(0,MIN(1,Q169))^2/(MAX(0,MIN(1,Q169))^2+(1-MAX(0,MIN(1,Q169)))^2/$B$5))-(MAX(0,MIN(1,P169))^2/(MAX(0,MIN(1,P169))^2+(1-MAX(0,MIN(1,P169)))^2/$B$5))))&lt;0.000000001,0,Q169-$B$11/$B$9*((MAX(0,MIN(1,Q169))^2/(MAX(0,MIN(1,Q169))^2+(1-MAX(0,MIN(1,Q169)))^2/$B$5))-(MAX(0,MIN(1,P169))^2/(MAX(0,MIN(1,P169))^2+(1-MAX(0,MIN(1,P169)))^2/$B$5))))</f>
        <v>0.924169800269655</v>
      </c>
      <c r="R170" s="16" t="n">
        <f aca="false">IF(ABS(R169-$B$11/$B$9*((MAX(0,MIN(1,R169))^2/(MAX(0,MIN(1,R169))^2+(1-MAX(0,MIN(1,R169)))^2/$B$5))-(MAX(0,MIN(1,Q169))^2/(MAX(0,MIN(1,Q169))^2+(1-MAX(0,MIN(1,Q169)))^2/$B$5))))&lt;0.000000001,0,R169-$B$11/$B$9*((MAX(0,MIN(1,R169))^2/(MAX(0,MIN(1,R169))^2+(1-MAX(0,MIN(1,R169)))^2/$B$5))-(MAX(0,MIN(1,Q169))^2/(MAX(0,MIN(1,Q169))^2+(1-MAX(0,MIN(1,Q169)))^2/$B$5))))</f>
        <v>0.914090433080209</v>
      </c>
      <c r="S170" s="16" t="n">
        <f aca="false">IF(ABS(S169-$B$11/$B$9*((MAX(0,MIN(1,S169))^2/(MAX(0,MIN(1,S169))^2+(1-MAX(0,MIN(1,S169)))^2/$B$5))-(MAX(0,MIN(1,R169))^2/(MAX(0,MIN(1,R169))^2+(1-MAX(0,MIN(1,R169)))^2/$B$5))))&lt;0.000000001,0,S169-$B$11/$B$9*((MAX(0,MIN(1,S169))^2/(MAX(0,MIN(1,S169))^2+(1-MAX(0,MIN(1,S169)))^2/$B$5))-(MAX(0,MIN(1,R169))^2/(MAX(0,MIN(1,R169))^2+(1-MAX(0,MIN(1,R169)))^2/$B$5))))</f>
        <v>0.904582112340205</v>
      </c>
      <c r="T170" s="16" t="n">
        <f aca="false">IF(ABS(T169-$B$11/$B$9*((MAX(0,MIN(1,T169))^2/(MAX(0,MIN(1,T169))^2+(1-MAX(0,MIN(1,T169)))^2/$B$5))-(MAX(0,MIN(1,S169))^2/(MAX(0,MIN(1,S169))^2+(1-MAX(0,MIN(1,S169)))^2/$B$5))))&lt;0.000000001,0,T169-$B$11/$B$9*((MAX(0,MIN(1,T169))^2/(MAX(0,MIN(1,T169))^2+(1-MAX(0,MIN(1,T169)))^2/$B$5))-(MAX(0,MIN(1,S169))^2/(MAX(0,MIN(1,S169))^2+(1-MAX(0,MIN(1,S169)))^2/$B$5))))</f>
        <v>0.89556567234494</v>
      </c>
      <c r="U170" s="16" t="n">
        <f aca="false">IF(ABS(U169-$B$11/$B$9*((MAX(0,MIN(1,U169))^2/(MAX(0,MIN(1,U169))^2+(1-MAX(0,MIN(1,U169)))^2/$B$5))-(MAX(0,MIN(1,T169))^2/(MAX(0,MIN(1,T169))^2+(1-MAX(0,MIN(1,T169)))^2/$B$5))))&lt;0.000000001,0,U169-$B$11/$B$9*((MAX(0,MIN(1,U169))^2/(MAX(0,MIN(1,U169))^2+(1-MAX(0,MIN(1,U169)))^2/$B$5))-(MAX(0,MIN(1,T169))^2/(MAX(0,MIN(1,T169))^2+(1-MAX(0,MIN(1,T169)))^2/$B$5))))</f>
        <v>0.88698063881212</v>
      </c>
      <c r="V170" s="16" t="n">
        <f aca="false">IF(ABS(V169-$B$11/$B$9*((MAX(0,MIN(1,V169))^2/(MAX(0,MIN(1,V169))^2+(1-MAX(0,MIN(1,V169)))^2/$B$5))-(MAX(0,MIN(1,U169))^2/(MAX(0,MIN(1,U169))^2+(1-MAX(0,MIN(1,U169)))^2/$B$5))))&lt;0.000000001,0,V169-$B$11/$B$9*((MAX(0,MIN(1,V169))^2/(MAX(0,MIN(1,V169))^2+(1-MAX(0,MIN(1,V169)))^2/$B$5))-(MAX(0,MIN(1,U169))^2/(MAX(0,MIN(1,U169))^2+(1-MAX(0,MIN(1,U169)))^2/$B$5))))</f>
        <v>0.878778909996904</v>
      </c>
      <c r="W170" s="16" t="n">
        <f aca="false">IF(ABS(W169-$B$11/$B$9*((MAX(0,MIN(1,W169))^2/(MAX(0,MIN(1,W169))^2+(1-MAX(0,MIN(1,W169)))^2/$B$5))-(MAX(0,MIN(1,V169))^2/(MAX(0,MIN(1,V169))^2+(1-MAX(0,MIN(1,V169)))^2/$B$5))))&lt;0.000000001,0,W169-$B$11/$B$9*((MAX(0,MIN(1,W169))^2/(MAX(0,MIN(1,W169))^2+(1-MAX(0,MIN(1,W169)))^2/$B$5))-(MAX(0,MIN(1,V169))^2/(MAX(0,MIN(1,V169))^2+(1-MAX(0,MIN(1,V169)))^2/$B$5))))</f>
        <v>0.870921110203304</v>
      </c>
      <c r="X170" s="16" t="n">
        <f aca="false">IF(ABS(X169-$B$11/$B$9*((MAX(0,MIN(1,X169))^2/(MAX(0,MIN(1,X169))^2+(1-MAX(0,MIN(1,X169)))^2/$B$5))-(MAX(0,MIN(1,W169))^2/(MAX(0,MIN(1,W169))^2+(1-MAX(0,MIN(1,W169)))^2/$B$5))))&lt;0.000000001,0,X169-$B$11/$B$9*((MAX(0,MIN(1,X169))^2/(MAX(0,MIN(1,X169))^2+(1-MAX(0,MIN(1,X169)))^2/$B$5))-(MAX(0,MIN(1,W169))^2/(MAX(0,MIN(1,W169))^2+(1-MAX(0,MIN(1,W169)))^2/$B$5))))</f>
        <v>0.863374312583181</v>
      </c>
      <c r="Y170" s="16" t="n">
        <f aca="false">IF(ABS(Y169-$B$11/$B$9*((MAX(0,MIN(1,Y169))^2/(MAX(0,MIN(1,Y169))^2+(1-MAX(0,MIN(1,Y169)))^2/$B$5))-(MAX(0,MIN(1,X169))^2/(MAX(0,MIN(1,X169))^2+(1-MAX(0,MIN(1,X169)))^2/$B$5))))&lt;0.000000001,0,Y169-$B$11/$B$9*((MAX(0,MIN(1,Y169))^2/(MAX(0,MIN(1,Y169))^2+(1-MAX(0,MIN(1,Y169)))^2/$B$5))-(MAX(0,MIN(1,X169))^2/(MAX(0,MIN(1,X169))^2+(1-MAX(0,MIN(1,X169)))^2/$B$5))))</f>
        <v>0.856110527905243</v>
      </c>
      <c r="Z170" s="16" t="n">
        <f aca="false">IF(ABS(Z169-$B$11/$B$9*((MAX(0,MIN(1,Z169))^2/(MAX(0,MIN(1,Z169))^2+(1-MAX(0,MIN(1,Z169)))^2/$B$5))-(MAX(0,MIN(1,Y169))^2/(MAX(0,MIN(1,Y169))^2+(1-MAX(0,MIN(1,Y169)))^2/$B$5))))&lt;0.000000001,0,Z169-$B$11/$B$9*((MAX(0,MIN(1,Z169))^2/(MAX(0,MIN(1,Z169))^2+(1-MAX(0,MIN(1,Z169)))^2/$B$5))-(MAX(0,MIN(1,Y169))^2/(MAX(0,MIN(1,Y169))^2+(1-MAX(0,MIN(1,Y169)))^2/$B$5))))</f>
        <v>0.849105652603643</v>
      </c>
      <c r="AA170" s="16" t="n">
        <f aca="false">IF(ABS(AA169-$B$11/$B$9*((MAX(0,MIN(1,AA169))^2/(MAX(0,MIN(1,AA169))^2+(1-MAX(0,MIN(1,AA169)))^2/$B$5))-(MAX(0,MIN(1,Z169))^2/(MAX(0,MIN(1,Z169))^2+(1-MAX(0,MIN(1,Z169)))^2/$B$5))))&lt;0.000000001,0,AA169-$B$11/$B$9*((MAX(0,MIN(1,AA169))^2/(MAX(0,MIN(1,AA169))^2+(1-MAX(0,MIN(1,AA169)))^2/$B$5))-(MAX(0,MIN(1,Z169))^2/(MAX(0,MIN(1,Z169))^2+(1-MAX(0,MIN(1,Z169)))^2/$B$5))))</f>
        <v>0.842338708093231</v>
      </c>
      <c r="AB170" s="16" t="n">
        <f aca="false">IF(ABS(AB169-$B$11/$B$9*((MAX(0,MIN(1,AB169))^2/(MAX(0,MIN(1,AB169))^2+(1-MAX(0,MIN(1,AB169)))^2/$B$5))-(MAX(0,MIN(1,AA169))^2/(MAX(0,MIN(1,AA169))^2+(1-MAX(0,MIN(1,AA169)))^2/$B$5))))&lt;0.000000001,0,AB169-$B$11/$B$9*((MAX(0,MIN(1,AB169))^2/(MAX(0,MIN(1,AB169))^2+(1-MAX(0,MIN(1,AB169)))^2/$B$5))-(MAX(0,MIN(1,AA169))^2/(MAX(0,MIN(1,AA169))^2+(1-MAX(0,MIN(1,AA169)))^2/$B$5))))</f>
        <v>0.83579127348736</v>
      </c>
      <c r="AC170" s="16" t="n">
        <f aca="false">IF(ABS(AC169-$B$11/$B$9*((MAX(0,MIN(1,AC169))^2/(MAX(0,MIN(1,AC169))^2+(1-MAX(0,MIN(1,AC169)))^2/$B$5))-(MAX(0,MIN(1,AB169))^2/(MAX(0,MIN(1,AB169))^2+(1-MAX(0,MIN(1,AB169)))^2/$B$5))))&lt;0.000000001,0,AC169-$B$11/$B$9*((MAX(0,MIN(1,AC169))^2/(MAX(0,MIN(1,AC169))^2+(1-MAX(0,MIN(1,AC169)))^2/$B$5))-(MAX(0,MIN(1,AB169))^2/(MAX(0,MIN(1,AB169))^2+(1-MAX(0,MIN(1,AB169)))^2/$B$5))))</f>
        <v>0.829447051722531</v>
      </c>
      <c r="AD170" s="16" t="n">
        <f aca="false">IF(ABS(AD169-$B$11/$B$9*((MAX(0,MIN(1,AD169))^2/(MAX(0,MIN(1,AD169))^2+(1-MAX(0,MIN(1,AD169)))^2/$B$5))-(MAX(0,MIN(1,AC169))^2/(MAX(0,MIN(1,AC169))^2+(1-MAX(0,MIN(1,AC169)))^2/$B$5))))&lt;0.000000001,0,AD169-$B$11/$B$9*((MAX(0,MIN(1,AD169))^2/(MAX(0,MIN(1,AD169))^2+(1-MAX(0,MIN(1,AD169)))^2/$B$5))-(MAX(0,MIN(1,AC169))^2/(MAX(0,MIN(1,AC169))^2+(1-MAX(0,MIN(1,AC169)))^2/$B$5))))</f>
        <v>0.823291530686083</v>
      </c>
      <c r="AE170" s="16" t="n">
        <f aca="false">IF(ABS(AE169-$B$11/$B$9*((MAX(0,MIN(1,AE169))^2/(MAX(0,MIN(1,AE169))^2+(1-MAX(0,MIN(1,AE169)))^2/$B$5))-(MAX(0,MIN(1,AD169))^2/(MAX(0,MIN(1,AD169))^2+(1-MAX(0,MIN(1,AD169)))^2/$B$5))))&lt;0.000000001,0,AE169-$B$11/$B$9*((MAX(0,MIN(1,AE169))^2/(MAX(0,MIN(1,AE169))^2+(1-MAX(0,MIN(1,AE169)))^2/$B$5))-(MAX(0,MIN(1,AD169))^2/(MAX(0,MIN(1,AD169))^2+(1-MAX(0,MIN(1,AD169)))^2/$B$5))))</f>
        <v>0.817311713842598</v>
      </c>
      <c r="AF170" s="16" t="n">
        <f aca="false">IF(ABS(AF169-$B$11/$B$9*((MAX(0,MIN(1,AF169))^2/(MAX(0,MIN(1,AF169))^2+(1-MAX(0,MIN(1,AF169)))^2/$B$5))-(MAX(0,MIN(1,AE169))^2/(MAX(0,MIN(1,AE169))^2+(1-MAX(0,MIN(1,AE169)))^2/$B$5))))&lt;0.000000001,0,AF169-$B$11/$B$9*((MAX(0,MIN(1,AF169))^2/(MAX(0,MIN(1,AF169))^2+(1-MAX(0,MIN(1,AF169)))^2/$B$5))-(MAX(0,MIN(1,AE169))^2/(MAX(0,MIN(1,AE169))^2+(1-MAX(0,MIN(1,AE169)))^2/$B$5))))</f>
        <v>0.811495902877568</v>
      </c>
    </row>
    <row r="171" customFormat="false" ht="15" hidden="false" customHeight="false" outlineLevel="0" collapsed="false">
      <c r="L171" s="0" t="n">
        <v>161</v>
      </c>
      <c r="M171" s="16" t="n">
        <f aca="false">IF(ABS(M170-$B$11/$B$9*((MAX(0,MIN(1,M170))^2/(MAX(0,MIN(1,M170))^2+(1-MAX(0,MIN(1,M170)))^2/$B$5))-(MAX(0,MIN(1,1))^2/(MAX(0,MIN(1,1))^2+(1-MAX(0,MIN(1,1)))^2/$B$5))))&lt;0.000000001,0,M170-$B$11/$B$9*((MAX(0,MIN(1,M170))^2/(MAX(0,MIN(1,M170))^2+(1-MAX(0,MIN(1,M170)))^2/$B$5))-(MAX(0,MIN(1,1))^2/(MAX(0,MIN(1,1))^2+(1-MAX(0,MIN(1,1)))^2/$B$5))))</f>
        <v>0.974098461823228</v>
      </c>
      <c r="N171" s="16" t="n">
        <f aca="false">IF(ABS(N170-$B$11/$B$9*((MAX(0,MIN(1,N170))^2/(MAX(0,MIN(1,N170))^2+(1-MAX(0,MIN(1,N170)))^2/$B$5))-(MAX(0,MIN(1,M170))^2/(MAX(0,MIN(1,M170))^2+(1-MAX(0,MIN(1,M170)))^2/$B$5))))&lt;0.000000001,0,N170-$B$11/$B$9*((MAX(0,MIN(1,N170))^2/(MAX(0,MIN(1,N170))^2+(1-MAX(0,MIN(1,N170)))^2/$B$5))-(MAX(0,MIN(1,M170))^2/(MAX(0,MIN(1,M170))^2+(1-MAX(0,MIN(1,M170)))^2/$B$5))))</f>
        <v>0.959508542206489</v>
      </c>
      <c r="O171" s="16" t="n">
        <f aca="false">IF(ABS(O170-$B$11/$B$9*((MAX(0,MIN(1,O170))^2/(MAX(0,MIN(1,O170))^2+(1-MAX(0,MIN(1,O170)))^2/$B$5))-(MAX(0,MIN(1,N170))^2/(MAX(0,MIN(1,N170))^2+(1-MAX(0,MIN(1,N170)))^2/$B$5))))&lt;0.000000001,0,O170-$B$11/$B$9*((MAX(0,MIN(1,O170))^2/(MAX(0,MIN(1,O170))^2+(1-MAX(0,MIN(1,O170)))^2/$B$5))-(MAX(0,MIN(1,N170))^2/(MAX(0,MIN(1,N170))^2+(1-MAX(0,MIN(1,N170)))^2/$B$5))))</f>
        <v>0.94680635099426</v>
      </c>
      <c r="P171" s="16" t="n">
        <f aca="false">IF(ABS(P170-$B$11/$B$9*((MAX(0,MIN(1,P170))^2/(MAX(0,MIN(1,P170))^2+(1-MAX(0,MIN(1,P170)))^2/$B$5))-(MAX(0,MIN(1,O170))^2/(MAX(0,MIN(1,O170))^2+(1-MAX(0,MIN(1,O170)))^2/$B$5))))&lt;0.000000001,0,P170-$B$11/$B$9*((MAX(0,MIN(1,P170))^2/(MAX(0,MIN(1,P170))^2+(1-MAX(0,MIN(1,P170)))^2/$B$5))-(MAX(0,MIN(1,O170))^2/(MAX(0,MIN(1,O170))^2+(1-MAX(0,MIN(1,O170)))^2/$B$5))))</f>
        <v>0.935246973605976</v>
      </c>
      <c r="Q171" s="16" t="n">
        <f aca="false">IF(ABS(Q170-$B$11/$B$9*((MAX(0,MIN(1,Q170))^2/(MAX(0,MIN(1,Q170))^2+(1-MAX(0,MIN(1,Q170)))^2/$B$5))-(MAX(0,MIN(1,P170))^2/(MAX(0,MIN(1,P170))^2+(1-MAX(0,MIN(1,P170)))^2/$B$5))))&lt;0.000000001,0,Q170-$B$11/$B$9*((MAX(0,MIN(1,Q170))^2/(MAX(0,MIN(1,Q170))^2+(1-MAX(0,MIN(1,Q170)))^2/$B$5))-(MAX(0,MIN(1,P170))^2/(MAX(0,MIN(1,P170))^2+(1-MAX(0,MIN(1,P170)))^2/$B$5))))</f>
        <v>0.924530823614789</v>
      </c>
      <c r="R171" s="16" t="n">
        <f aca="false">IF(ABS(R170-$B$11/$B$9*((MAX(0,MIN(1,R170))^2/(MAX(0,MIN(1,R170))^2+(1-MAX(0,MIN(1,R170)))^2/$B$5))-(MAX(0,MIN(1,Q170))^2/(MAX(0,MIN(1,Q170))^2+(1-MAX(0,MIN(1,Q170)))^2/$B$5))))&lt;0.000000001,0,R170-$B$11/$B$9*((MAX(0,MIN(1,R170))^2/(MAX(0,MIN(1,R170))^2+(1-MAX(0,MIN(1,R170)))^2/$B$5))-(MAX(0,MIN(1,Q170))^2/(MAX(0,MIN(1,Q170))^2+(1-MAX(0,MIN(1,Q170)))^2/$B$5))))</f>
        <v>0.914491135573902</v>
      </c>
      <c r="S171" s="16" t="n">
        <f aca="false">IF(ABS(S170-$B$11/$B$9*((MAX(0,MIN(1,S170))^2/(MAX(0,MIN(1,S170))^2+(1-MAX(0,MIN(1,S170)))^2/$B$5))-(MAX(0,MIN(1,R170))^2/(MAX(0,MIN(1,R170))^2+(1-MAX(0,MIN(1,R170)))^2/$B$5))))&lt;0.000000001,0,S170-$B$11/$B$9*((MAX(0,MIN(1,S170))^2/(MAX(0,MIN(1,S170))^2+(1-MAX(0,MIN(1,S170)))^2/$B$5))-(MAX(0,MIN(1,R170))^2/(MAX(0,MIN(1,R170))^2+(1-MAX(0,MIN(1,R170)))^2/$B$5))))</f>
        <v>0.9050187439607</v>
      </c>
      <c r="T171" s="16" t="n">
        <f aca="false">IF(ABS(T170-$B$11/$B$9*((MAX(0,MIN(1,T170))^2/(MAX(0,MIN(1,T170))^2+(1-MAX(0,MIN(1,T170)))^2/$B$5))-(MAX(0,MIN(1,S170))^2/(MAX(0,MIN(1,S170))^2+(1-MAX(0,MIN(1,S170)))^2/$B$5))))&lt;0.000000001,0,T170-$B$11/$B$9*((MAX(0,MIN(1,T170))^2/(MAX(0,MIN(1,T170))^2+(1-MAX(0,MIN(1,T170)))^2/$B$5))-(MAX(0,MIN(1,S170))^2/(MAX(0,MIN(1,S170))^2+(1-MAX(0,MIN(1,S170)))^2/$B$5))))</f>
        <v>0.896035111137603</v>
      </c>
      <c r="U171" s="16" t="n">
        <f aca="false">IF(ABS(U170-$B$11/$B$9*((MAX(0,MIN(1,U170))^2/(MAX(0,MIN(1,U170))^2+(1-MAX(0,MIN(1,U170)))^2/$B$5))-(MAX(0,MIN(1,T170))^2/(MAX(0,MIN(1,T170))^2+(1-MAX(0,MIN(1,T170)))^2/$B$5))))&lt;0.000000001,0,U170-$B$11/$B$9*((MAX(0,MIN(1,U170))^2/(MAX(0,MIN(1,U170))^2+(1-MAX(0,MIN(1,U170)))^2/$B$5))-(MAX(0,MIN(1,T170))^2/(MAX(0,MIN(1,T170))^2+(1-MAX(0,MIN(1,T170)))^2/$B$5))))</f>
        <v>0.887480243571048</v>
      </c>
      <c r="V171" s="16" t="n">
        <f aca="false">IF(ABS(V170-$B$11/$B$9*((MAX(0,MIN(1,V170))^2/(MAX(0,MIN(1,V170))^2+(1-MAX(0,MIN(1,V170)))^2/$B$5))-(MAX(0,MIN(1,U170))^2/(MAX(0,MIN(1,U170))^2+(1-MAX(0,MIN(1,U170)))^2/$B$5))))&lt;0.000000001,0,V170-$B$11/$B$9*((MAX(0,MIN(1,V170))^2/(MAX(0,MIN(1,V170))^2+(1-MAX(0,MIN(1,V170)))^2/$B$5))-(MAX(0,MIN(1,U170))^2/(MAX(0,MIN(1,U170))^2+(1-MAX(0,MIN(1,U170)))^2/$B$5))))</f>
        <v>0.879306419175996</v>
      </c>
      <c r="W171" s="16" t="n">
        <f aca="false">IF(ABS(W170-$B$11/$B$9*((MAX(0,MIN(1,W170))^2/(MAX(0,MIN(1,W170))^2+(1-MAX(0,MIN(1,W170)))^2/$B$5))-(MAX(0,MIN(1,V170))^2/(MAX(0,MIN(1,V170))^2+(1-MAX(0,MIN(1,V170)))^2/$B$5))))&lt;0.000000001,0,W170-$B$11/$B$9*((MAX(0,MIN(1,W170))^2/(MAX(0,MIN(1,W170))^2+(1-MAX(0,MIN(1,W170)))^2/$B$5))-(MAX(0,MIN(1,V170))^2/(MAX(0,MIN(1,V170))^2+(1-MAX(0,MIN(1,V170)))^2/$B$5))))</f>
        <v>0.871474568948933</v>
      </c>
      <c r="X171" s="16" t="n">
        <f aca="false">IF(ABS(X170-$B$11/$B$9*((MAX(0,MIN(1,X170))^2/(MAX(0,MIN(1,X170))^2+(1-MAX(0,MIN(1,X170)))^2/$B$5))-(MAX(0,MIN(1,W170))^2/(MAX(0,MIN(1,W170))^2+(1-MAX(0,MIN(1,W170)))^2/$B$5))))&lt;0.000000001,0,X170-$B$11/$B$9*((MAX(0,MIN(1,X170))^2/(MAX(0,MIN(1,X170))^2+(1-MAX(0,MIN(1,X170)))^2/$B$5))-(MAX(0,MIN(1,W170))^2/(MAX(0,MIN(1,W170))^2+(1-MAX(0,MIN(1,W170)))^2/$B$5))))</f>
        <v>0.863952018120198</v>
      </c>
      <c r="Y171" s="16" t="n">
        <f aca="false">IF(ABS(Y170-$B$11/$B$9*((MAX(0,MIN(1,Y170))^2/(MAX(0,MIN(1,Y170))^2+(1-MAX(0,MIN(1,Y170)))^2/$B$5))-(MAX(0,MIN(1,X170))^2/(MAX(0,MIN(1,X170))^2+(1-MAX(0,MIN(1,X170)))^2/$B$5))))&lt;0.000000001,0,Y170-$B$11/$B$9*((MAX(0,MIN(1,Y170))^2/(MAX(0,MIN(1,Y170))^2+(1-MAX(0,MIN(1,Y170)))^2/$B$5))-(MAX(0,MIN(1,X170))^2/(MAX(0,MIN(1,X170))^2+(1-MAX(0,MIN(1,X170)))^2/$B$5))))</f>
        <v>0.856710987536701</v>
      </c>
      <c r="Z171" s="16" t="n">
        <f aca="false">IF(ABS(Z170-$B$11/$B$9*((MAX(0,MIN(1,Z170))^2/(MAX(0,MIN(1,Z170))^2+(1-MAX(0,MIN(1,Z170)))^2/$B$5))-(MAX(0,MIN(1,Y170))^2/(MAX(0,MIN(1,Y170))^2+(1-MAX(0,MIN(1,Y170)))^2/$B$5))))&lt;0.000000001,0,Z170-$B$11/$B$9*((MAX(0,MIN(1,Z170))^2/(MAX(0,MIN(1,Z170))^2+(1-MAX(0,MIN(1,Z170)))^2/$B$5))-(MAX(0,MIN(1,Y170))^2/(MAX(0,MIN(1,Y170))^2+(1-MAX(0,MIN(1,Y170)))^2/$B$5))))</f>
        <v>0.849727550725244</v>
      </c>
      <c r="AA171" s="16" t="n">
        <f aca="false">IF(ABS(AA170-$B$11/$B$9*((MAX(0,MIN(1,AA170))^2/(MAX(0,MIN(1,AA170))^2+(1-MAX(0,MIN(1,AA170)))^2/$B$5))-(MAX(0,MIN(1,Z170))^2/(MAX(0,MIN(1,Z170))^2+(1-MAX(0,MIN(1,Z170)))^2/$B$5))))&lt;0.000000001,0,AA170-$B$11/$B$9*((MAX(0,MIN(1,AA170))^2/(MAX(0,MIN(1,AA170))^2+(1-MAX(0,MIN(1,AA170)))^2/$B$5))-(MAX(0,MIN(1,Z170))^2/(MAX(0,MIN(1,Z170))^2+(1-MAX(0,MIN(1,Z170)))^2/$B$5))))</f>
        <v>0.842980879849133</v>
      </c>
      <c r="AB171" s="16" t="n">
        <f aca="false">IF(ABS(AB170-$B$11/$B$9*((MAX(0,MIN(1,AB170))^2/(MAX(0,MIN(1,AB170))^2+(1-MAX(0,MIN(1,AB170)))^2/$B$5))-(MAX(0,MIN(1,AA170))^2/(MAX(0,MIN(1,AA170))^2+(1-MAX(0,MIN(1,AA170)))^2/$B$5))))&lt;0.000000001,0,AB170-$B$11/$B$9*((MAX(0,MIN(1,AB170))^2/(MAX(0,MIN(1,AB170))^2+(1-MAX(0,MIN(1,AB170)))^2/$B$5))-(MAX(0,MIN(1,AA170))^2/(MAX(0,MIN(1,AA170))^2+(1-MAX(0,MIN(1,AA170)))^2/$B$5))))</f>
        <v>0.836452683438693</v>
      </c>
      <c r="AC171" s="16" t="n">
        <f aca="false">IF(ABS(AC170-$B$11/$B$9*((MAX(0,MIN(1,AC170))^2/(MAX(0,MIN(1,AC170))^2+(1-MAX(0,MIN(1,AC170)))^2/$B$5))-(MAX(0,MIN(1,AB170))^2/(MAX(0,MIN(1,AB170))^2+(1-MAX(0,MIN(1,AB170)))^2/$B$5))))&lt;0.000000001,0,AC170-$B$11/$B$9*((MAX(0,MIN(1,AC170))^2/(MAX(0,MIN(1,AC170))^2+(1-MAX(0,MIN(1,AC170)))^2/$B$5))-(MAX(0,MIN(1,AB170))^2/(MAX(0,MIN(1,AB170))^2+(1-MAX(0,MIN(1,AB170)))^2/$B$5))))</f>
        <v>0.830126776374823</v>
      </c>
      <c r="AD171" s="16" t="n">
        <f aca="false">IF(ABS(AD170-$B$11/$B$9*((MAX(0,MIN(1,AD170))^2/(MAX(0,MIN(1,AD170))^2+(1-MAX(0,MIN(1,AD170)))^2/$B$5))-(MAX(0,MIN(1,AC170))^2/(MAX(0,MIN(1,AC170))^2+(1-MAX(0,MIN(1,AC170)))^2/$B$5))))&lt;0.000000001,0,AD170-$B$11/$B$9*((MAX(0,MIN(1,AD170))^2/(MAX(0,MIN(1,AD170))^2+(1-MAX(0,MIN(1,AD170)))^2/$B$5))-(MAX(0,MIN(1,AC170))^2/(MAX(0,MIN(1,AC170))^2+(1-MAX(0,MIN(1,AC170)))^2/$B$5))))</f>
        <v>0.82398874403662</v>
      </c>
      <c r="AE171" s="16" t="n">
        <f aca="false">IF(ABS(AE170-$B$11/$B$9*((MAX(0,MIN(1,AE170))^2/(MAX(0,MIN(1,AE170))^2+(1-MAX(0,MIN(1,AE170)))^2/$B$5))-(MAX(0,MIN(1,AD170))^2/(MAX(0,MIN(1,AD170))^2+(1-MAX(0,MIN(1,AD170)))^2/$B$5))))&lt;0.000000001,0,AE170-$B$11/$B$9*((MAX(0,MIN(1,AE170))^2/(MAX(0,MIN(1,AE170))^2+(1-MAX(0,MIN(1,AE170)))^2/$B$5))-(MAX(0,MIN(1,AD170))^2/(MAX(0,MIN(1,AD170))^2+(1-MAX(0,MIN(1,AD170)))^2/$B$5))))</f>
        <v>0.818025675324451</v>
      </c>
      <c r="AF171" s="16" t="n">
        <f aca="false">IF(ABS(AF170-$B$11/$B$9*((MAX(0,MIN(1,AF170))^2/(MAX(0,MIN(1,AF170))^2+(1-MAX(0,MIN(1,AF170)))^2/$B$5))-(MAX(0,MIN(1,AE170))^2/(MAX(0,MIN(1,AE170))^2+(1-MAX(0,MIN(1,AE170)))^2/$B$5))))&lt;0.000000001,0,AF170-$B$11/$B$9*((MAX(0,MIN(1,AF170))^2/(MAX(0,MIN(1,AF170))^2+(1-MAX(0,MIN(1,AF170)))^2/$B$5))-(MAX(0,MIN(1,AE170))^2/(MAX(0,MIN(1,AE170))^2+(1-MAX(0,MIN(1,AE170)))^2/$B$5))))</f>
        <v>0.812225947228766</v>
      </c>
    </row>
    <row r="172" customFormat="false" ht="15" hidden="false" customHeight="false" outlineLevel="0" collapsed="false">
      <c r="L172" s="0" t="n">
        <v>162</v>
      </c>
      <c r="M172" s="16" t="n">
        <f aca="false">IF(ABS(M171-$B$11/$B$9*((MAX(0,MIN(1,M171))^2/(MAX(0,MIN(1,M171))^2+(1-MAX(0,MIN(1,M171)))^2/$B$5))-(MAX(0,MIN(1,1))^2/(MAX(0,MIN(1,1))^2+(1-MAX(0,MIN(1,1)))^2/$B$5))))&lt;0.000000001,0,M171-$B$11/$B$9*((MAX(0,MIN(1,M171))^2/(MAX(0,MIN(1,M171))^2+(1-MAX(0,MIN(1,M171)))^2/$B$5))-(MAX(0,MIN(1,1))^2/(MAX(0,MIN(1,1))^2+(1-MAX(0,MIN(1,1)))^2/$B$5))))</f>
        <v>0.974234353759793</v>
      </c>
      <c r="N172" s="16" t="n">
        <f aca="false">IF(ABS(N171-$B$11/$B$9*((MAX(0,MIN(1,N171))^2/(MAX(0,MIN(1,N171))^2+(1-MAX(0,MIN(1,N171)))^2/$B$5))-(MAX(0,MIN(1,M171))^2/(MAX(0,MIN(1,M171))^2+(1-MAX(0,MIN(1,M171)))^2/$B$5))))&lt;0.000000001,0,N171-$B$11/$B$9*((MAX(0,MIN(1,N171))^2/(MAX(0,MIN(1,N171))^2+(1-MAX(0,MIN(1,N171)))^2/$B$5))-(MAX(0,MIN(1,M171))^2/(MAX(0,MIN(1,M171))^2+(1-MAX(0,MIN(1,M171)))^2/$B$5))))</f>
        <v>0.959714743433271</v>
      </c>
      <c r="O172" s="16" t="n">
        <f aca="false">IF(ABS(O171-$B$11/$B$9*((MAX(0,MIN(1,O171))^2/(MAX(0,MIN(1,O171))^2+(1-MAX(0,MIN(1,O171)))^2/$B$5))-(MAX(0,MIN(1,N171))^2/(MAX(0,MIN(1,N171))^2+(1-MAX(0,MIN(1,N171)))^2/$B$5))))&lt;0.000000001,0,O171-$B$11/$B$9*((MAX(0,MIN(1,O171))^2/(MAX(0,MIN(1,O171))^2+(1-MAX(0,MIN(1,O171)))^2/$B$5))-(MAX(0,MIN(1,N171))^2/(MAX(0,MIN(1,N171))^2+(1-MAX(0,MIN(1,N171)))^2/$B$5))))</f>
        <v>0.947070176267156</v>
      </c>
      <c r="P172" s="16" t="n">
        <f aca="false">IF(ABS(P171-$B$11/$B$9*((MAX(0,MIN(1,P171))^2/(MAX(0,MIN(1,P171))^2+(1-MAX(0,MIN(1,P171)))^2/$B$5))-(MAX(0,MIN(1,O171))^2/(MAX(0,MIN(1,O171))^2+(1-MAX(0,MIN(1,O171)))^2/$B$5))))&lt;0.000000001,0,P171-$B$11/$B$9*((MAX(0,MIN(1,P171))^2/(MAX(0,MIN(1,P171))^2+(1-MAX(0,MIN(1,P171)))^2/$B$5))-(MAX(0,MIN(1,O171))^2/(MAX(0,MIN(1,O171))^2+(1-MAX(0,MIN(1,O171)))^2/$B$5))))</f>
        <v>0.935560508373671</v>
      </c>
      <c r="Q172" s="16" t="n">
        <f aca="false">IF(ABS(Q171-$B$11/$B$9*((MAX(0,MIN(1,Q171))^2/(MAX(0,MIN(1,Q171))^2+(1-MAX(0,MIN(1,Q171)))^2/$B$5))-(MAX(0,MIN(1,P171))^2/(MAX(0,MIN(1,P171))^2+(1-MAX(0,MIN(1,P171)))^2/$B$5))))&lt;0.000000001,0,Q171-$B$11/$B$9*((MAX(0,MIN(1,Q171))^2/(MAX(0,MIN(1,Q171))^2+(1-MAX(0,MIN(1,Q171)))^2/$B$5))-(MAX(0,MIN(1,P171))^2/(MAX(0,MIN(1,P171))^2+(1-MAX(0,MIN(1,P171)))^2/$B$5))))</f>
        <v>0.924888261016774</v>
      </c>
      <c r="R172" s="16" t="n">
        <f aca="false">IF(ABS(R171-$B$11/$B$9*((MAX(0,MIN(1,R171))^2/(MAX(0,MIN(1,R171))^2+(1-MAX(0,MIN(1,R171)))^2/$B$5))-(MAX(0,MIN(1,Q171))^2/(MAX(0,MIN(1,Q171))^2+(1-MAX(0,MIN(1,Q171)))^2/$B$5))))&lt;0.000000001,0,R171-$B$11/$B$9*((MAX(0,MIN(1,R171))^2/(MAX(0,MIN(1,R171))^2+(1-MAX(0,MIN(1,R171)))^2/$B$5))-(MAX(0,MIN(1,Q171))^2/(MAX(0,MIN(1,Q171))^2+(1-MAX(0,MIN(1,Q171)))^2/$B$5))))</f>
        <v>0.914887918243396</v>
      </c>
      <c r="S172" s="16" t="n">
        <f aca="false">IF(ABS(S171-$B$11/$B$9*((MAX(0,MIN(1,S171))^2/(MAX(0,MIN(1,S171))^2+(1-MAX(0,MIN(1,S171)))^2/$B$5))-(MAX(0,MIN(1,R171))^2/(MAX(0,MIN(1,R171))^2+(1-MAX(0,MIN(1,R171)))^2/$B$5))))&lt;0.000000001,0,S171-$B$11/$B$9*((MAX(0,MIN(1,S171))^2/(MAX(0,MIN(1,S171))^2+(1-MAX(0,MIN(1,S171)))^2/$B$5))-(MAX(0,MIN(1,R171))^2/(MAX(0,MIN(1,R171))^2+(1-MAX(0,MIN(1,R171)))^2/$B$5))))</f>
        <v>0.905451162410009</v>
      </c>
      <c r="T172" s="16" t="n">
        <f aca="false">IF(ABS(T171-$B$11/$B$9*((MAX(0,MIN(1,T171))^2/(MAX(0,MIN(1,T171))^2+(1-MAX(0,MIN(1,T171)))^2/$B$5))-(MAX(0,MIN(1,S171))^2/(MAX(0,MIN(1,S171))^2+(1-MAX(0,MIN(1,S171)))^2/$B$5))))&lt;0.000000001,0,T171-$B$11/$B$9*((MAX(0,MIN(1,T171))^2/(MAX(0,MIN(1,T171))^2+(1-MAX(0,MIN(1,T171)))^2/$B$5))-(MAX(0,MIN(1,S171))^2/(MAX(0,MIN(1,S171))^2+(1-MAX(0,MIN(1,S171)))^2/$B$5))))</f>
        <v>0.896500075758598</v>
      </c>
      <c r="U172" s="16" t="n">
        <f aca="false">IF(ABS(U171-$B$11/$B$9*((MAX(0,MIN(1,U171))^2/(MAX(0,MIN(1,U171))^2+(1-MAX(0,MIN(1,U171)))^2/$B$5))-(MAX(0,MIN(1,T171))^2/(MAX(0,MIN(1,T171))^2+(1-MAX(0,MIN(1,T171)))^2/$B$5))))&lt;0.000000001,0,U171-$B$11/$B$9*((MAX(0,MIN(1,U171))^2/(MAX(0,MIN(1,U171))^2+(1-MAX(0,MIN(1,U171)))^2/$B$5))-(MAX(0,MIN(1,T171))^2/(MAX(0,MIN(1,T171))^2+(1-MAX(0,MIN(1,T171)))^2/$B$5))))</f>
        <v>0.887975139379593</v>
      </c>
      <c r="V172" s="16" t="n">
        <f aca="false">IF(ABS(V171-$B$11/$B$9*((MAX(0,MIN(1,V171))^2/(MAX(0,MIN(1,V171))^2+(1-MAX(0,MIN(1,V171)))^2/$B$5))-(MAX(0,MIN(1,U171))^2/(MAX(0,MIN(1,U171))^2+(1-MAX(0,MIN(1,U171)))^2/$B$5))))&lt;0.000000001,0,V171-$B$11/$B$9*((MAX(0,MIN(1,V171))^2/(MAX(0,MIN(1,V171))^2+(1-MAX(0,MIN(1,V171)))^2/$B$5))-(MAX(0,MIN(1,U171))^2/(MAX(0,MIN(1,U171))^2+(1-MAX(0,MIN(1,U171)))^2/$B$5))))</f>
        <v>0.879829006133721</v>
      </c>
      <c r="W172" s="16" t="n">
        <f aca="false">IF(ABS(W171-$B$11/$B$9*((MAX(0,MIN(1,W171))^2/(MAX(0,MIN(1,W171))^2+(1-MAX(0,MIN(1,W171)))^2/$B$5))-(MAX(0,MIN(1,V171))^2/(MAX(0,MIN(1,V171))^2+(1-MAX(0,MIN(1,V171)))^2/$B$5))))&lt;0.000000001,0,W171-$B$11/$B$9*((MAX(0,MIN(1,W171))^2/(MAX(0,MIN(1,W171))^2+(1-MAX(0,MIN(1,W171)))^2/$B$5))-(MAX(0,MIN(1,V171))^2/(MAX(0,MIN(1,V171))^2+(1-MAX(0,MIN(1,V171)))^2/$B$5))))</f>
        <v>0.872022910002832</v>
      </c>
      <c r="X172" s="16" t="n">
        <f aca="false">IF(ABS(X171-$B$11/$B$9*((MAX(0,MIN(1,X171))^2/(MAX(0,MIN(1,X171))^2+(1-MAX(0,MIN(1,X171)))^2/$B$5))-(MAX(0,MIN(1,W171))^2/(MAX(0,MIN(1,W171))^2+(1-MAX(0,MIN(1,W171)))^2/$B$5))))&lt;0.000000001,0,X171-$B$11/$B$9*((MAX(0,MIN(1,X171))^2/(MAX(0,MIN(1,X171))^2+(1-MAX(0,MIN(1,X171)))^2/$B$5))-(MAX(0,MIN(1,W171))^2/(MAX(0,MIN(1,W171))^2+(1-MAX(0,MIN(1,W171)))^2/$B$5))))</f>
        <v>0.864524425329965</v>
      </c>
      <c r="Y172" s="16" t="n">
        <f aca="false">IF(ABS(Y171-$B$11/$B$9*((MAX(0,MIN(1,Y171))^2/(MAX(0,MIN(1,Y171))^2+(1-MAX(0,MIN(1,Y171)))^2/$B$5))-(MAX(0,MIN(1,X171))^2/(MAX(0,MIN(1,X171))^2+(1-MAX(0,MIN(1,X171)))^2/$B$5))))&lt;0.000000001,0,Y171-$B$11/$B$9*((MAX(0,MIN(1,Y171))^2/(MAX(0,MIN(1,Y171))^2+(1-MAX(0,MIN(1,Y171)))^2/$B$5))-(MAX(0,MIN(1,X171))^2/(MAX(0,MIN(1,X171))^2+(1-MAX(0,MIN(1,X171)))^2/$B$5))))</f>
        <v>0.857305980633215</v>
      </c>
      <c r="Z172" s="16" t="n">
        <f aca="false">IF(ABS(Z171-$B$11/$B$9*((MAX(0,MIN(1,Z171))^2/(MAX(0,MIN(1,Z171))^2+(1-MAX(0,MIN(1,Z171)))^2/$B$5))-(MAX(0,MIN(1,Y171))^2/(MAX(0,MIN(1,Y171))^2+(1-MAX(0,MIN(1,Y171)))^2/$B$5))))&lt;0.000000001,0,Z171-$B$11/$B$9*((MAX(0,MIN(1,Z171))^2/(MAX(0,MIN(1,Z171))^2+(1-MAX(0,MIN(1,Z171)))^2/$B$5))-(MAX(0,MIN(1,Y171))^2/(MAX(0,MIN(1,Y171))^2+(1-MAX(0,MIN(1,Y171)))^2/$B$5))))</f>
        <v>0.850343824554057</v>
      </c>
      <c r="AA172" s="16" t="n">
        <f aca="false">IF(ABS(AA171-$B$11/$B$9*((MAX(0,MIN(1,AA171))^2/(MAX(0,MIN(1,AA171))^2+(1-MAX(0,MIN(1,AA171)))^2/$B$5))-(MAX(0,MIN(1,Z171))^2/(MAX(0,MIN(1,Z171))^2+(1-MAX(0,MIN(1,Z171)))^2/$B$5))))&lt;0.000000001,0,AA171-$B$11/$B$9*((MAX(0,MIN(1,AA171))^2/(MAX(0,MIN(1,AA171))^2+(1-MAX(0,MIN(1,AA171)))^2/$B$5))-(MAX(0,MIN(1,Z171))^2/(MAX(0,MIN(1,Z171))^2+(1-MAX(0,MIN(1,Z171)))^2/$B$5))))</f>
        <v>0.843617278360679</v>
      </c>
      <c r="AB172" s="16" t="n">
        <f aca="false">IF(ABS(AB171-$B$11/$B$9*((MAX(0,MIN(1,AB171))^2/(MAX(0,MIN(1,AB171))^2+(1-MAX(0,MIN(1,AB171)))^2/$B$5))-(MAX(0,MIN(1,AA171))^2/(MAX(0,MIN(1,AA171))^2+(1-MAX(0,MIN(1,AA171)))^2/$B$5))))&lt;0.000000001,0,AB171-$B$11/$B$9*((MAX(0,MIN(1,AB171))^2/(MAX(0,MIN(1,AB171))^2+(1-MAX(0,MIN(1,AB171)))^2/$B$5))-(MAX(0,MIN(1,AA171))^2/(MAX(0,MIN(1,AA171))^2+(1-MAX(0,MIN(1,AA171)))^2/$B$5))))</f>
        <v>0.837108178620726</v>
      </c>
      <c r="AC172" s="16" t="n">
        <f aca="false">IF(ABS(AC171-$B$11/$B$9*((MAX(0,MIN(1,AC171))^2/(MAX(0,MIN(1,AC171))^2+(1-MAX(0,MIN(1,AC171)))^2/$B$5))-(MAX(0,MIN(1,AB171))^2/(MAX(0,MIN(1,AB171))^2+(1-MAX(0,MIN(1,AB171)))^2/$B$5))))&lt;0.000000001,0,AC171-$B$11/$B$9*((MAX(0,MIN(1,AC171))^2/(MAX(0,MIN(1,AC171))^2+(1-MAX(0,MIN(1,AC171)))^2/$B$5))-(MAX(0,MIN(1,AB171))^2/(MAX(0,MIN(1,AB171))^2+(1-MAX(0,MIN(1,AB171)))^2/$B$5))))</f>
        <v>0.830800450990279</v>
      </c>
      <c r="AD172" s="16" t="n">
        <f aca="false">IF(ABS(AD171-$B$11/$B$9*((MAX(0,MIN(1,AD171))^2/(MAX(0,MIN(1,AD171))^2+(1-MAX(0,MIN(1,AD171)))^2/$B$5))-(MAX(0,MIN(1,AC171))^2/(MAX(0,MIN(1,AC171))^2+(1-MAX(0,MIN(1,AC171)))^2/$B$5))))&lt;0.000000001,0,AD171-$B$11/$B$9*((MAX(0,MIN(1,AD171))^2/(MAX(0,MIN(1,AD171))^2+(1-MAX(0,MIN(1,AD171)))^2/$B$5))-(MAX(0,MIN(1,AC171))^2/(MAX(0,MIN(1,AC171))^2+(1-MAX(0,MIN(1,AC171)))^2/$B$5))))</f>
        <v>0.824679777340261</v>
      </c>
      <c r="AE172" s="16" t="n">
        <f aca="false">IF(ABS(AE171-$B$11/$B$9*((MAX(0,MIN(1,AE171))^2/(MAX(0,MIN(1,AE171))^2+(1-MAX(0,MIN(1,AE171)))^2/$B$5))-(MAX(0,MIN(1,AD171))^2/(MAX(0,MIN(1,AD171))^2+(1-MAX(0,MIN(1,AD171)))^2/$B$5))))&lt;0.000000001,0,AE171-$B$11/$B$9*((MAX(0,MIN(1,AE171))^2/(MAX(0,MIN(1,AE171))^2+(1-MAX(0,MIN(1,AE171)))^2/$B$5))-(MAX(0,MIN(1,AD171))^2/(MAX(0,MIN(1,AD171))^2+(1-MAX(0,MIN(1,AD171)))^2/$B$5))))</f>
        <v>0.81873333114403</v>
      </c>
      <c r="AF172" s="16" t="n">
        <f aca="false">IF(ABS(AF171-$B$11/$B$9*((MAX(0,MIN(1,AF171))^2/(MAX(0,MIN(1,AF171))^2+(1-MAX(0,MIN(1,AF171)))^2/$B$5))-(MAX(0,MIN(1,AE171))^2/(MAX(0,MIN(1,AE171))^2+(1-MAX(0,MIN(1,AE171)))^2/$B$5))))&lt;0.000000001,0,AF171-$B$11/$B$9*((MAX(0,MIN(1,AF171))^2/(MAX(0,MIN(1,AF171))^2+(1-MAX(0,MIN(1,AF171)))^2/$B$5))-(MAX(0,MIN(1,AE171))^2/(MAX(0,MIN(1,AE171))^2+(1-MAX(0,MIN(1,AE171)))^2/$B$5))))</f>
        <v>0.812949563945957</v>
      </c>
    </row>
    <row r="173" customFormat="false" ht="15" hidden="false" customHeight="false" outlineLevel="0" collapsed="false">
      <c r="L173" s="0" t="n">
        <v>163</v>
      </c>
      <c r="M173" s="16" t="n">
        <f aca="false">IF(ABS(M172-$B$11/$B$9*((MAX(0,MIN(1,M172))^2/(MAX(0,MIN(1,M172))^2+(1-MAX(0,MIN(1,M172)))^2/$B$5))-(MAX(0,MIN(1,1))^2/(MAX(0,MIN(1,1))^2+(1-MAX(0,MIN(1,1)))^2/$B$5))))&lt;0.000000001,0,M172-$B$11/$B$9*((MAX(0,MIN(1,M172))^2/(MAX(0,MIN(1,M172))^2+(1-MAX(0,MIN(1,M172)))^2/$B$5))-(MAX(0,MIN(1,1))^2/(MAX(0,MIN(1,1))^2+(1-MAX(0,MIN(1,1)))^2/$B$5))))</f>
        <v>0.974368786527499</v>
      </c>
      <c r="N173" s="16" t="n">
        <f aca="false">IF(ABS(N172-$B$11/$B$9*((MAX(0,MIN(1,N172))^2/(MAX(0,MIN(1,N172))^2+(1-MAX(0,MIN(1,N172)))^2/$B$5))-(MAX(0,MIN(1,M172))^2/(MAX(0,MIN(1,M172))^2+(1-MAX(0,MIN(1,M172)))^2/$B$5))))&lt;0.000000001,0,N172-$B$11/$B$9*((MAX(0,MIN(1,N172))^2/(MAX(0,MIN(1,N172))^2+(1-MAX(0,MIN(1,N172)))^2/$B$5))-(MAX(0,MIN(1,M172))^2/(MAX(0,MIN(1,M172))^2+(1-MAX(0,MIN(1,M172)))^2/$B$5))))</f>
        <v>0.959918786201416</v>
      </c>
      <c r="O173" s="16" t="n">
        <f aca="false">IF(ABS(O172-$B$11/$B$9*((MAX(0,MIN(1,O172))^2/(MAX(0,MIN(1,O172))^2+(1-MAX(0,MIN(1,O172)))^2/$B$5))-(MAX(0,MIN(1,N172))^2/(MAX(0,MIN(1,N172))^2+(1-MAX(0,MIN(1,N172)))^2/$B$5))))&lt;0.000000001,0,O172-$B$11/$B$9*((MAX(0,MIN(1,O172))^2/(MAX(0,MIN(1,O172))^2+(1-MAX(0,MIN(1,O172)))^2/$B$5))-(MAX(0,MIN(1,N172))^2/(MAX(0,MIN(1,N172))^2+(1-MAX(0,MIN(1,N172)))^2/$B$5))))</f>
        <v>0.947331299383742</v>
      </c>
      <c r="P173" s="16" t="n">
        <f aca="false">IF(ABS(P172-$B$11/$B$9*((MAX(0,MIN(1,P172))^2/(MAX(0,MIN(1,P172))^2+(1-MAX(0,MIN(1,P172)))^2/$B$5))-(MAX(0,MIN(1,O172))^2/(MAX(0,MIN(1,O172))^2+(1-MAX(0,MIN(1,O172)))^2/$B$5))))&lt;0.000000001,0,P172-$B$11/$B$9*((MAX(0,MIN(1,P172))^2/(MAX(0,MIN(1,P172))^2+(1-MAX(0,MIN(1,P172)))^2/$B$5))-(MAX(0,MIN(1,O172))^2/(MAX(0,MIN(1,O172))^2+(1-MAX(0,MIN(1,O172)))^2/$B$5))))</f>
        <v>0.935870892726056</v>
      </c>
      <c r="Q173" s="16" t="n">
        <f aca="false">IF(ABS(Q172-$B$11/$B$9*((MAX(0,MIN(1,Q172))^2/(MAX(0,MIN(1,Q172))^2+(1-MAX(0,MIN(1,Q172)))^2/$B$5))-(MAX(0,MIN(1,P172))^2/(MAX(0,MIN(1,P172))^2+(1-MAX(0,MIN(1,P172)))^2/$B$5))))&lt;0.000000001,0,Q172-$B$11/$B$9*((MAX(0,MIN(1,Q172))^2/(MAX(0,MIN(1,Q172))^2+(1-MAX(0,MIN(1,Q172)))^2/$B$5))-(MAX(0,MIN(1,P172))^2/(MAX(0,MIN(1,P172))^2+(1-MAX(0,MIN(1,P172)))^2/$B$5))))</f>
        <v>0.92524216747296</v>
      </c>
      <c r="R173" s="16" t="n">
        <f aca="false">IF(ABS(R172-$B$11/$B$9*((MAX(0,MIN(1,R172))^2/(MAX(0,MIN(1,R172))^2+(1-MAX(0,MIN(1,R172)))^2/$B$5))-(MAX(0,MIN(1,Q172))^2/(MAX(0,MIN(1,Q172))^2+(1-MAX(0,MIN(1,Q172)))^2/$B$5))))&lt;0.000000001,0,R172-$B$11/$B$9*((MAX(0,MIN(1,R172))^2/(MAX(0,MIN(1,R172))^2+(1-MAX(0,MIN(1,R172)))^2/$B$5))-(MAX(0,MIN(1,Q172))^2/(MAX(0,MIN(1,Q172))^2+(1-MAX(0,MIN(1,Q172)))^2/$B$5))))</f>
        <v>0.915280840553464</v>
      </c>
      <c r="S173" s="16" t="n">
        <f aca="false">IF(ABS(S172-$B$11/$B$9*((MAX(0,MIN(1,S172))^2/(MAX(0,MIN(1,S172))^2+(1-MAX(0,MIN(1,S172)))^2/$B$5))-(MAX(0,MIN(1,R172))^2/(MAX(0,MIN(1,R172))^2+(1-MAX(0,MIN(1,R172)))^2/$B$5))))&lt;0.000000001,0,S172-$B$11/$B$9*((MAX(0,MIN(1,S172))^2/(MAX(0,MIN(1,S172))^2+(1-MAX(0,MIN(1,S172)))^2/$B$5))-(MAX(0,MIN(1,R172))^2/(MAX(0,MIN(1,R172))^2+(1-MAX(0,MIN(1,R172)))^2/$B$5))))</f>
        <v>0.905879431010432</v>
      </c>
      <c r="T173" s="16" t="n">
        <f aca="false">IF(ABS(T172-$B$11/$B$9*((MAX(0,MIN(1,T172))^2/(MAX(0,MIN(1,T172))^2+(1-MAX(0,MIN(1,T172)))^2/$B$5))-(MAX(0,MIN(1,S172))^2/(MAX(0,MIN(1,S172))^2+(1-MAX(0,MIN(1,S172)))^2/$B$5))))&lt;0.000000001,0,T172-$B$11/$B$9*((MAX(0,MIN(1,T172))^2/(MAX(0,MIN(1,T172))^2+(1-MAX(0,MIN(1,T172)))^2/$B$5))-(MAX(0,MIN(1,S172))^2/(MAX(0,MIN(1,S172))^2+(1-MAX(0,MIN(1,S172)))^2/$B$5))))</f>
        <v>0.896960632922698</v>
      </c>
      <c r="U173" s="16" t="n">
        <f aca="false">IF(ABS(U172-$B$11/$B$9*((MAX(0,MIN(1,U172))^2/(MAX(0,MIN(1,U172))^2+(1-MAX(0,MIN(1,U172)))^2/$B$5))-(MAX(0,MIN(1,T172))^2/(MAX(0,MIN(1,T172))^2+(1-MAX(0,MIN(1,T172)))^2/$B$5))))&lt;0.000000001,0,U172-$B$11/$B$9*((MAX(0,MIN(1,U172))^2/(MAX(0,MIN(1,U172))^2+(1-MAX(0,MIN(1,U172)))^2/$B$5))-(MAX(0,MIN(1,T172))^2/(MAX(0,MIN(1,T172))^2+(1-MAX(0,MIN(1,T172)))^2/$B$5))))</f>
        <v>0.888465395985303</v>
      </c>
      <c r="V173" s="16" t="n">
        <f aca="false">IF(ABS(V172-$B$11/$B$9*((MAX(0,MIN(1,V172))^2/(MAX(0,MIN(1,V172))^2+(1-MAX(0,MIN(1,V172)))^2/$B$5))-(MAX(0,MIN(1,U172))^2/(MAX(0,MIN(1,U172))^2+(1-MAX(0,MIN(1,U172)))^2/$B$5))))&lt;0.000000001,0,V172-$B$11/$B$9*((MAX(0,MIN(1,V172))^2/(MAX(0,MIN(1,V172))^2+(1-MAX(0,MIN(1,V172)))^2/$B$5))-(MAX(0,MIN(1,U172))^2/(MAX(0,MIN(1,U172))^2+(1-MAX(0,MIN(1,U172)))^2/$B$5))))</f>
        <v>0.880346743369564</v>
      </c>
      <c r="W173" s="16" t="n">
        <f aca="false">IF(ABS(W172-$B$11/$B$9*((MAX(0,MIN(1,W172))^2/(MAX(0,MIN(1,W172))^2+(1-MAX(0,MIN(1,W172)))^2/$B$5))-(MAX(0,MIN(1,V172))^2/(MAX(0,MIN(1,V172))^2+(1-MAX(0,MIN(1,V172)))^2/$B$5))))&lt;0.000000001,0,W172-$B$11/$B$9*((MAX(0,MIN(1,W172))^2/(MAX(0,MIN(1,W172))^2+(1-MAX(0,MIN(1,W172)))^2/$B$5))-(MAX(0,MIN(1,V172))^2/(MAX(0,MIN(1,V172))^2+(1-MAX(0,MIN(1,V172)))^2/$B$5))))</f>
        <v>0.872566208395975</v>
      </c>
      <c r="X173" s="16" t="n">
        <f aca="false">IF(ABS(X172-$B$11/$B$9*((MAX(0,MIN(1,X172))^2/(MAX(0,MIN(1,X172))^2+(1-MAX(0,MIN(1,X172)))^2/$B$5))-(MAX(0,MIN(1,W172))^2/(MAX(0,MIN(1,W172))^2+(1-MAX(0,MIN(1,W172)))^2/$B$5))))&lt;0.000000001,0,X172-$B$11/$B$9*((MAX(0,MIN(1,X172))^2/(MAX(0,MIN(1,X172))^2+(1-MAX(0,MIN(1,X172)))^2/$B$5))-(MAX(0,MIN(1,W172))^2/(MAX(0,MIN(1,W172))^2+(1-MAX(0,MIN(1,W172)))^2/$B$5))))</f>
        <v>0.865091611601616</v>
      </c>
      <c r="Y173" s="16" t="n">
        <f aca="false">IF(ABS(Y172-$B$11/$B$9*((MAX(0,MIN(1,Y172))^2/(MAX(0,MIN(1,Y172))^2+(1-MAX(0,MIN(1,Y172)))^2/$B$5))-(MAX(0,MIN(1,X172))^2/(MAX(0,MIN(1,X172))^2+(1-MAX(0,MIN(1,X172)))^2/$B$5))))&lt;0.000000001,0,Y172-$B$11/$B$9*((MAX(0,MIN(1,Y172))^2/(MAX(0,MIN(1,Y172))^2+(1-MAX(0,MIN(1,Y172)))^2/$B$5))-(MAX(0,MIN(1,X172))^2/(MAX(0,MIN(1,X172))^2+(1-MAX(0,MIN(1,X172)))^2/$B$5))))</f>
        <v>0.857895586806151</v>
      </c>
      <c r="Z173" s="16" t="n">
        <f aca="false">IF(ABS(Z172-$B$11/$B$9*((MAX(0,MIN(1,Z172))^2/(MAX(0,MIN(1,Z172))^2+(1-MAX(0,MIN(1,Z172)))^2/$B$5))-(MAX(0,MIN(1,Y172))^2/(MAX(0,MIN(1,Y172))^2+(1-MAX(0,MIN(1,Y172)))^2/$B$5))))&lt;0.000000001,0,Z172-$B$11/$B$9*((MAX(0,MIN(1,Z172))^2/(MAX(0,MIN(1,Z172))^2+(1-MAX(0,MIN(1,Z172)))^2/$B$5))-(MAX(0,MIN(1,Y172))^2/(MAX(0,MIN(1,Y172))^2+(1-MAX(0,MIN(1,Y172)))^2/$B$5))))</f>
        <v>0.850954555817893</v>
      </c>
      <c r="AA173" s="16" t="n">
        <f aca="false">IF(ABS(AA172-$B$11/$B$9*((MAX(0,MIN(1,AA172))^2/(MAX(0,MIN(1,AA172))^2+(1-MAX(0,MIN(1,AA172)))^2/$B$5))-(MAX(0,MIN(1,Z172))^2/(MAX(0,MIN(1,Z172))^2+(1-MAX(0,MIN(1,Z172)))^2/$B$5))))&lt;0.000000001,0,AA172-$B$11/$B$9*((MAX(0,MIN(1,AA172))^2/(MAX(0,MIN(1,AA172))^2+(1-MAX(0,MIN(1,AA172)))^2/$B$5))-(MAX(0,MIN(1,Z172))^2/(MAX(0,MIN(1,Z172))^2+(1-MAX(0,MIN(1,Z172)))^2/$B$5))))</f>
        <v>0.844247987391011</v>
      </c>
      <c r="AB173" s="16" t="n">
        <f aca="false">IF(ABS(AB172-$B$11/$B$9*((MAX(0,MIN(1,AB172))^2/(MAX(0,MIN(1,AB172))^2+(1-MAX(0,MIN(1,AB172)))^2/$B$5))-(MAX(0,MIN(1,AA172))^2/(MAX(0,MIN(1,AA172))^2+(1-MAX(0,MIN(1,AA172)))^2/$B$5))))&lt;0.000000001,0,AB172-$B$11/$B$9*((MAX(0,MIN(1,AB172))^2/(MAX(0,MIN(1,AB172))^2+(1-MAX(0,MIN(1,AB172)))^2/$B$5))-(MAX(0,MIN(1,AA172))^2/(MAX(0,MIN(1,AA172))^2+(1-MAX(0,MIN(1,AA172)))^2/$B$5))))</f>
        <v>0.837757844771279</v>
      </c>
      <c r="AC173" s="16" t="n">
        <f aca="false">IF(ABS(AC172-$B$11/$B$9*((MAX(0,MIN(1,AC172))^2/(MAX(0,MIN(1,AC172))^2+(1-MAX(0,MIN(1,AC172)))^2/$B$5))-(MAX(0,MIN(1,AB172))^2/(MAX(0,MIN(1,AB172))^2+(1-MAX(0,MIN(1,AB172)))^2/$B$5))))&lt;0.000000001,0,AC172-$B$11/$B$9*((MAX(0,MIN(1,AC172))^2/(MAX(0,MIN(1,AC172))^2+(1-MAX(0,MIN(1,AC172)))^2/$B$5))-(MAX(0,MIN(1,AB172))^2/(MAX(0,MIN(1,AB172))^2+(1-MAX(0,MIN(1,AB172)))^2/$B$5))))</f>
        <v>0.831468163237995</v>
      </c>
      <c r="AD173" s="16" t="n">
        <f aca="false">IF(ABS(AD172-$B$11/$B$9*((MAX(0,MIN(1,AD172))^2/(MAX(0,MIN(1,AD172))^2+(1-MAX(0,MIN(1,AD172)))^2/$B$5))-(MAX(0,MIN(1,AC172))^2/(MAX(0,MIN(1,AC172))^2+(1-MAX(0,MIN(1,AC172)))^2/$B$5))))&lt;0.000000001,0,AD172-$B$11/$B$9*((MAX(0,MIN(1,AD172))^2/(MAX(0,MIN(1,AD172))^2+(1-MAX(0,MIN(1,AD172)))^2/$B$5))-(MAX(0,MIN(1,AC172))^2/(MAX(0,MIN(1,AC172))^2+(1-MAX(0,MIN(1,AC172)))^2/$B$5))))</f>
        <v>0.825364720168721</v>
      </c>
      <c r="AE173" s="16" t="n">
        <f aca="false">IF(ABS(AE172-$B$11/$B$9*((MAX(0,MIN(1,AE172))^2/(MAX(0,MIN(1,AE172))^2+(1-MAX(0,MIN(1,AE172)))^2/$B$5))-(MAX(0,MIN(1,AD172))^2/(MAX(0,MIN(1,AD172))^2+(1-MAX(0,MIN(1,AD172)))^2/$B$5))))&lt;0.000000001,0,AE172-$B$11/$B$9*((MAX(0,MIN(1,AE172))^2/(MAX(0,MIN(1,AE172))^2+(1-MAX(0,MIN(1,AE172)))^2/$B$5))-(MAX(0,MIN(1,AD172))^2/(MAX(0,MIN(1,AD172))^2+(1-MAX(0,MIN(1,AD172)))^2/$B$5))))</f>
        <v>0.819434772759816</v>
      </c>
      <c r="AF173" s="16" t="n">
        <f aca="false">IF(ABS(AF172-$B$11/$B$9*((MAX(0,MIN(1,AF172))^2/(MAX(0,MIN(1,AF172))^2+(1-MAX(0,MIN(1,AF172)))^2/$B$5))-(MAX(0,MIN(1,AE172))^2/(MAX(0,MIN(1,AE172))^2+(1-MAX(0,MIN(1,AE172)))^2/$B$5))))&lt;0.000000001,0,AF172-$B$11/$B$9*((MAX(0,MIN(1,AF172))^2/(MAX(0,MIN(1,AF172))^2+(1-MAX(0,MIN(1,AF172)))^2/$B$5))-(MAX(0,MIN(1,AE172))^2/(MAX(0,MIN(1,AE172))^2+(1-MAX(0,MIN(1,AE172)))^2/$B$5))))</f>
        <v>0.813666846369845</v>
      </c>
    </row>
    <row r="174" customFormat="false" ht="15" hidden="false" customHeight="false" outlineLevel="0" collapsed="false">
      <c r="L174" s="0" t="n">
        <v>164</v>
      </c>
      <c r="M174" s="16" t="n">
        <f aca="false">IF(ABS(M173-$B$11/$B$9*((MAX(0,MIN(1,M173))^2/(MAX(0,MIN(1,M173))^2+(1-MAX(0,MIN(1,M173)))^2/$B$5))-(MAX(0,MIN(1,1))^2/(MAX(0,MIN(1,1))^2+(1-MAX(0,MIN(1,1)))^2/$B$5))))&lt;0.000000001,0,M173-$B$11/$B$9*((MAX(0,MIN(1,M173))^2/(MAX(0,MIN(1,M173))^2+(1-MAX(0,MIN(1,M173)))^2/$B$5))-(MAX(0,MIN(1,1))^2/(MAX(0,MIN(1,1))^2+(1-MAX(0,MIN(1,1)))^2/$B$5))))</f>
        <v>0.974501783933664</v>
      </c>
      <c r="N174" s="16" t="n">
        <f aca="false">IF(ABS(N173-$B$11/$B$9*((MAX(0,MIN(1,N173))^2/(MAX(0,MIN(1,N173))^2+(1-MAX(0,MIN(1,N173)))^2/$B$5))-(MAX(0,MIN(1,M173))^2/(MAX(0,MIN(1,M173))^2+(1-MAX(0,MIN(1,M173)))^2/$B$5))))&lt;0.000000001,0,N173-$B$11/$B$9*((MAX(0,MIN(1,N173))^2/(MAX(0,MIN(1,N173))^2+(1-MAX(0,MIN(1,N173)))^2/$B$5))-(MAX(0,MIN(1,M173))^2/(MAX(0,MIN(1,M173))^2+(1-MAX(0,MIN(1,M173)))^2/$B$5))))</f>
        <v>0.960120704969089</v>
      </c>
      <c r="O174" s="16" t="n">
        <f aca="false">IF(ABS(O173-$B$11/$B$9*((MAX(0,MIN(1,O173))^2/(MAX(0,MIN(1,O173))^2+(1-MAX(0,MIN(1,O173)))^2/$B$5))-(MAX(0,MIN(1,N173))^2/(MAX(0,MIN(1,N173))^2+(1-MAX(0,MIN(1,N173)))^2/$B$5))))&lt;0.000000001,0,O173-$B$11/$B$9*((MAX(0,MIN(1,O173))^2/(MAX(0,MIN(1,O173))^2+(1-MAX(0,MIN(1,O173)))^2/$B$5))-(MAX(0,MIN(1,N173))^2/(MAX(0,MIN(1,N173))^2+(1-MAX(0,MIN(1,N173)))^2/$B$5))))</f>
        <v>0.947589762717983</v>
      </c>
      <c r="P174" s="16" t="n">
        <f aca="false">IF(ABS(P173-$B$11/$B$9*((MAX(0,MIN(1,P173))^2/(MAX(0,MIN(1,P173))^2+(1-MAX(0,MIN(1,P173)))^2/$B$5))-(MAX(0,MIN(1,O173))^2/(MAX(0,MIN(1,O173))^2+(1-MAX(0,MIN(1,O173)))^2/$B$5))))&lt;0.000000001,0,P173-$B$11/$B$9*((MAX(0,MIN(1,P173))^2/(MAX(0,MIN(1,P173))^2+(1-MAX(0,MIN(1,P173)))^2/$B$5))-(MAX(0,MIN(1,O173))^2/(MAX(0,MIN(1,O173))^2+(1-MAX(0,MIN(1,O173)))^2/$B$5))))</f>
        <v>0.936178175328169</v>
      </c>
      <c r="Q174" s="16" t="n">
        <f aca="false">IF(ABS(Q173-$B$11/$B$9*((MAX(0,MIN(1,Q173))^2/(MAX(0,MIN(1,Q173))^2+(1-MAX(0,MIN(1,Q173)))^2/$B$5))-(MAX(0,MIN(1,P173))^2/(MAX(0,MIN(1,P173))^2+(1-MAX(0,MIN(1,P173)))^2/$B$5))))&lt;0.000000001,0,Q173-$B$11/$B$9*((MAX(0,MIN(1,Q173))^2/(MAX(0,MIN(1,Q173))^2+(1-MAX(0,MIN(1,Q173)))^2/$B$5))-(MAX(0,MIN(1,P173))^2/(MAX(0,MIN(1,P173))^2+(1-MAX(0,MIN(1,P173)))^2/$B$5))))</f>
        <v>0.925592596832203</v>
      </c>
      <c r="R174" s="16" t="n">
        <f aca="false">IF(ABS(R173-$B$11/$B$9*((MAX(0,MIN(1,R173))^2/(MAX(0,MIN(1,R173))^2+(1-MAX(0,MIN(1,R173)))^2/$B$5))-(MAX(0,MIN(1,Q173))^2/(MAX(0,MIN(1,Q173))^2+(1-MAX(0,MIN(1,Q173)))^2/$B$5))))&lt;0.000000001,0,R173-$B$11/$B$9*((MAX(0,MIN(1,R173))^2/(MAX(0,MIN(1,R173))^2+(1-MAX(0,MIN(1,R173)))^2/$B$5))-(MAX(0,MIN(1,Q173))^2/(MAX(0,MIN(1,Q173))^2+(1-MAX(0,MIN(1,Q173)))^2/$B$5))))</f>
        <v>0.915669960736343</v>
      </c>
      <c r="S174" s="16" t="n">
        <f aca="false">IF(ABS(S173-$B$11/$B$9*((MAX(0,MIN(1,S173))^2/(MAX(0,MIN(1,S173))^2+(1-MAX(0,MIN(1,S173)))^2/$B$5))-(MAX(0,MIN(1,R173))^2/(MAX(0,MIN(1,R173))^2+(1-MAX(0,MIN(1,R173)))^2/$B$5))))&lt;0.000000001,0,S173-$B$11/$B$9*((MAX(0,MIN(1,S173))^2/(MAX(0,MIN(1,S173))^2+(1-MAX(0,MIN(1,S173)))^2/$B$5))-(MAX(0,MIN(1,R173))^2/(MAX(0,MIN(1,R173))^2+(1-MAX(0,MIN(1,R173)))^2/$B$5))))</f>
        <v>0.906303611779462</v>
      </c>
      <c r="T174" s="16" t="n">
        <f aca="false">IF(ABS(T173-$B$11/$B$9*((MAX(0,MIN(1,T173))^2/(MAX(0,MIN(1,T173))^2+(1-MAX(0,MIN(1,T173)))^2/$B$5))-(MAX(0,MIN(1,S173))^2/(MAX(0,MIN(1,S173))^2+(1-MAX(0,MIN(1,S173)))^2/$B$5))))&lt;0.000000001,0,T173-$B$11/$B$9*((MAX(0,MIN(1,T173))^2/(MAX(0,MIN(1,T173))^2+(1-MAX(0,MIN(1,T173)))^2/$B$5))-(MAX(0,MIN(1,S173))^2/(MAX(0,MIN(1,S173))^2+(1-MAX(0,MIN(1,S173)))^2/$B$5))))</f>
        <v>0.897416847976124</v>
      </c>
      <c r="U174" s="16" t="n">
        <f aca="false">IF(ABS(U173-$B$11/$B$9*((MAX(0,MIN(1,U173))^2/(MAX(0,MIN(1,U173))^2+(1-MAX(0,MIN(1,U173)))^2/$B$5))-(MAX(0,MIN(1,T173))^2/(MAX(0,MIN(1,T173))^2+(1-MAX(0,MIN(1,T173)))^2/$B$5))))&lt;0.000000001,0,U173-$B$11/$B$9*((MAX(0,MIN(1,U173))^2/(MAX(0,MIN(1,U173))^2+(1-MAX(0,MIN(1,U173)))^2/$B$5))-(MAX(0,MIN(1,T173))^2/(MAX(0,MIN(1,T173))^2+(1-MAX(0,MIN(1,T173)))^2/$B$5))))</f>
        <v>0.88895108170967</v>
      </c>
      <c r="V174" s="16" t="n">
        <f aca="false">IF(ABS(V173-$B$11/$B$9*((MAX(0,MIN(1,V173))^2/(MAX(0,MIN(1,V173))^2+(1-MAX(0,MIN(1,V173)))^2/$B$5))-(MAX(0,MIN(1,U173))^2/(MAX(0,MIN(1,U173))^2+(1-MAX(0,MIN(1,U173)))^2/$B$5))))&lt;0.000000001,0,V173-$B$11/$B$9*((MAX(0,MIN(1,V173))^2/(MAX(0,MIN(1,V173))^2+(1-MAX(0,MIN(1,V173)))^2/$B$5))-(MAX(0,MIN(1,U173))^2/(MAX(0,MIN(1,U173))^2+(1-MAX(0,MIN(1,U173)))^2/$B$5))))</f>
        <v>0.880859701904026</v>
      </c>
      <c r="W174" s="16" t="n">
        <f aca="false">IF(ABS(W173-$B$11/$B$9*((MAX(0,MIN(1,W173))^2/(MAX(0,MIN(1,W173))^2+(1-MAX(0,MIN(1,W173)))^2/$B$5))-(MAX(0,MIN(1,V173))^2/(MAX(0,MIN(1,V173))^2+(1-MAX(0,MIN(1,V173)))^2/$B$5))))&lt;0.000000001,0,W173-$B$11/$B$9*((MAX(0,MIN(1,W173))^2/(MAX(0,MIN(1,W173))^2+(1-MAX(0,MIN(1,W173)))^2/$B$5))-(MAX(0,MIN(1,V173))^2/(MAX(0,MIN(1,V173))^2+(1-MAX(0,MIN(1,V173)))^2/$B$5))))</f>
        <v>0.87310453763073</v>
      </c>
      <c r="X174" s="16" t="n">
        <f aca="false">IF(ABS(X173-$B$11/$B$9*((MAX(0,MIN(1,X173))^2/(MAX(0,MIN(1,X173))^2+(1-MAX(0,MIN(1,X173)))^2/$B$5))-(MAX(0,MIN(1,W173))^2/(MAX(0,MIN(1,W173))^2+(1-MAX(0,MIN(1,W173)))^2/$B$5))))&lt;0.000000001,0,X173-$B$11/$B$9*((MAX(0,MIN(1,X173))^2/(MAX(0,MIN(1,X173))^2+(1-MAX(0,MIN(1,X173)))^2/$B$5))-(MAX(0,MIN(1,W173))^2/(MAX(0,MIN(1,W173))^2+(1-MAX(0,MIN(1,W173)))^2/$B$5))))</f>
        <v>0.865653652748409</v>
      </c>
      <c r="Y174" s="16" t="n">
        <f aca="false">IF(ABS(Y173-$B$11/$B$9*((MAX(0,MIN(1,Y173))^2/(MAX(0,MIN(1,Y173))^2+(1-MAX(0,MIN(1,Y173)))^2/$B$5))-(MAX(0,MIN(1,X173))^2/(MAX(0,MIN(1,X173))^2+(1-MAX(0,MIN(1,X173)))^2/$B$5))))&lt;0.000000001,0,Y173-$B$11/$B$9*((MAX(0,MIN(1,Y173))^2/(MAX(0,MIN(1,Y173))^2+(1-MAX(0,MIN(1,Y173)))^2/$B$5))-(MAX(0,MIN(1,X173))^2/(MAX(0,MIN(1,X173))^2+(1-MAX(0,MIN(1,X173)))^2/$B$5))))</f>
        <v>0.858479884045324</v>
      </c>
      <c r="Z174" s="16" t="n">
        <f aca="false">IF(ABS(Z173-$B$11/$B$9*((MAX(0,MIN(1,Z173))^2/(MAX(0,MIN(1,Z173))^2+(1-MAX(0,MIN(1,Z173)))^2/$B$5))-(MAX(0,MIN(1,Y173))^2/(MAX(0,MIN(1,Y173))^2+(1-MAX(0,MIN(1,Y173)))^2/$B$5))))&lt;0.000000001,0,Z173-$B$11/$B$9*((MAX(0,MIN(1,Z173))^2/(MAX(0,MIN(1,Z173))^2+(1-MAX(0,MIN(1,Z173)))^2/$B$5))-(MAX(0,MIN(1,Y173))^2/(MAX(0,MIN(1,Y173))^2+(1-MAX(0,MIN(1,Y173)))^2/$B$5))))</f>
        <v>0.851559824578332</v>
      </c>
      <c r="AA174" s="16" t="n">
        <f aca="false">IF(ABS(AA173-$B$11/$B$9*((MAX(0,MIN(1,AA173))^2/(MAX(0,MIN(1,AA173))^2+(1-MAX(0,MIN(1,AA173)))^2/$B$5))-(MAX(0,MIN(1,Z173))^2/(MAX(0,MIN(1,Z173))^2+(1-MAX(0,MIN(1,Z173)))^2/$B$5))))&lt;0.000000001,0,AA173-$B$11/$B$9*((MAX(0,MIN(1,AA173))^2/(MAX(0,MIN(1,AA173))^2+(1-MAX(0,MIN(1,AA173)))^2/$B$5))-(MAX(0,MIN(1,Z173))^2/(MAX(0,MIN(1,Z173))^2+(1-MAX(0,MIN(1,Z173)))^2/$B$5))))</f>
        <v>0.844873088992843</v>
      </c>
      <c r="AB174" s="16" t="n">
        <f aca="false">IF(ABS(AB173-$B$11/$B$9*((MAX(0,MIN(1,AB173))^2/(MAX(0,MIN(1,AB173))^2+(1-MAX(0,MIN(1,AB173)))^2/$B$5))-(MAX(0,MIN(1,AA173))^2/(MAX(0,MIN(1,AA173))^2+(1-MAX(0,MIN(1,AA173)))^2/$B$5))))&lt;0.000000001,0,AB173-$B$11/$B$9*((MAX(0,MIN(1,AB173))^2/(MAX(0,MIN(1,AB173))^2+(1-MAX(0,MIN(1,AB173)))^2/$B$5))-(MAX(0,MIN(1,AA173))^2/(MAX(0,MIN(1,AA173))^2+(1-MAX(0,MIN(1,AA173)))^2/$B$5))))</f>
        <v>0.838401765873632</v>
      </c>
      <c r="AC174" s="16" t="n">
        <f aca="false">IF(ABS(AC173-$B$11/$B$9*((MAX(0,MIN(1,AC173))^2/(MAX(0,MIN(1,AC173))^2+(1-MAX(0,MIN(1,AC173)))^2/$B$5))-(MAX(0,MIN(1,AB173))^2/(MAX(0,MIN(1,AB173))^2+(1-MAX(0,MIN(1,AB173)))^2/$B$5))))&lt;0.000000001,0,AC173-$B$11/$B$9*((MAX(0,MIN(1,AC173))^2/(MAX(0,MIN(1,AC173))^2+(1-MAX(0,MIN(1,AC173)))^2/$B$5))-(MAX(0,MIN(1,AB173))^2/(MAX(0,MIN(1,AB173))^2+(1-MAX(0,MIN(1,AB173)))^2/$B$5))))</f>
        <v>0.832129998988134</v>
      </c>
      <c r="AD174" s="16" t="n">
        <f aca="false">IF(ABS(AD173-$B$11/$B$9*((MAX(0,MIN(1,AD173))^2/(MAX(0,MIN(1,AD173))^2+(1-MAX(0,MIN(1,AD173)))^2/$B$5))-(MAX(0,MIN(1,AC173))^2/(MAX(0,MIN(1,AC173))^2+(1-MAX(0,MIN(1,AC173)))^2/$B$5))))&lt;0.000000001,0,AD173-$B$11/$B$9*((MAX(0,MIN(1,AD173))^2/(MAX(0,MIN(1,AD173))^2+(1-MAX(0,MIN(1,AD173)))^2/$B$5))-(MAX(0,MIN(1,AC173))^2/(MAX(0,MIN(1,AC173))^2+(1-MAX(0,MIN(1,AC173)))^2/$B$5))))</f>
        <v>0.826043660249783</v>
      </c>
      <c r="AE174" s="16" t="n">
        <f aca="false">IF(ABS(AE173-$B$11/$B$9*((MAX(0,MIN(1,AE173))^2/(MAX(0,MIN(1,AE173))^2+(1-MAX(0,MIN(1,AE173)))^2/$B$5))-(MAX(0,MIN(1,AD173))^2/(MAX(0,MIN(1,AD173))^2+(1-MAX(0,MIN(1,AD173)))^2/$B$5))))&lt;0.000000001,0,AE173-$B$11/$B$9*((MAX(0,MIN(1,AE173))^2/(MAX(0,MIN(1,AE173))^2+(1-MAX(0,MIN(1,AE173)))^2/$B$5))-(MAX(0,MIN(1,AD173))^2/(MAX(0,MIN(1,AD173))^2+(1-MAX(0,MIN(1,AD173)))^2/$B$5))))</f>
        <v>0.820130089740476</v>
      </c>
      <c r="AF174" s="16" t="n">
        <f aca="false">IF(ABS(AF173-$B$11/$B$9*((MAX(0,MIN(1,AF173))^2/(MAX(0,MIN(1,AF173))^2+(1-MAX(0,MIN(1,AF173)))^2/$B$5))-(MAX(0,MIN(1,AE173))^2/(MAX(0,MIN(1,AE173))^2+(1-MAX(0,MIN(1,AE173)))^2/$B$5))))&lt;0.000000001,0,AF173-$B$11/$B$9*((MAX(0,MIN(1,AF173))^2/(MAX(0,MIN(1,AF173))^2+(1-MAX(0,MIN(1,AF173)))^2/$B$5))-(MAX(0,MIN(1,AE173))^2/(MAX(0,MIN(1,AE173))^2+(1-MAX(0,MIN(1,AE173)))^2/$B$5))))</f>
        <v>0.814377885904279</v>
      </c>
    </row>
    <row r="175" customFormat="false" ht="15" hidden="false" customHeight="false" outlineLevel="0" collapsed="false">
      <c r="L175" s="0" t="n">
        <v>165</v>
      </c>
      <c r="M175" s="16" t="n">
        <f aca="false">IF(ABS(M174-$B$11/$B$9*((MAX(0,MIN(1,M174))^2/(MAX(0,MIN(1,M174))^2+(1-MAX(0,MIN(1,M174)))^2/$B$5))-(MAX(0,MIN(1,1))^2/(MAX(0,MIN(1,1))^2+(1-MAX(0,MIN(1,1)))^2/$B$5))))&lt;0.000000001,0,M174-$B$11/$B$9*((MAX(0,MIN(1,M174))^2/(MAX(0,MIN(1,M174))^2+(1-MAX(0,MIN(1,M174)))^2/$B$5))-(MAX(0,MIN(1,1))^2/(MAX(0,MIN(1,1))^2+(1-MAX(0,MIN(1,1)))^2/$B$5))))</f>
        <v>0.974633369263685</v>
      </c>
      <c r="N175" s="16" t="n">
        <f aca="false">IF(ABS(N174-$B$11/$B$9*((MAX(0,MIN(1,N174))^2/(MAX(0,MIN(1,N174))^2+(1-MAX(0,MIN(1,N174)))^2/$B$5))-(MAX(0,MIN(1,M174))^2/(MAX(0,MIN(1,M174))^2+(1-MAX(0,MIN(1,M174)))^2/$B$5))))&lt;0.000000001,0,N174-$B$11/$B$9*((MAX(0,MIN(1,N174))^2/(MAX(0,MIN(1,N174))^2+(1-MAX(0,MIN(1,N174)))^2/$B$5))-(MAX(0,MIN(1,M174))^2/(MAX(0,MIN(1,M174))^2+(1-MAX(0,MIN(1,M174)))^2/$B$5))))</f>
        <v>0.960320533452994</v>
      </c>
      <c r="O175" s="16" t="n">
        <f aca="false">IF(ABS(O174-$B$11/$B$9*((MAX(0,MIN(1,O174))^2/(MAX(0,MIN(1,O174))^2+(1-MAX(0,MIN(1,O174)))^2/$B$5))-(MAX(0,MIN(1,N174))^2/(MAX(0,MIN(1,N174))^2+(1-MAX(0,MIN(1,N174)))^2/$B$5))))&lt;0.000000001,0,O174-$B$11/$B$9*((MAX(0,MIN(1,O174))^2/(MAX(0,MIN(1,O174))^2+(1-MAX(0,MIN(1,O174)))^2/$B$5))-(MAX(0,MIN(1,N174))^2/(MAX(0,MIN(1,N174))^2+(1-MAX(0,MIN(1,N174)))^2/$B$5))))</f>
        <v>0.947845607745285</v>
      </c>
      <c r="P175" s="16" t="n">
        <f aca="false">IF(ABS(P174-$B$11/$B$9*((MAX(0,MIN(1,P174))^2/(MAX(0,MIN(1,P174))^2+(1-MAX(0,MIN(1,P174)))^2/$B$5))-(MAX(0,MIN(1,O174))^2/(MAX(0,MIN(1,O174))^2+(1-MAX(0,MIN(1,O174)))^2/$B$5))))&lt;0.000000001,0,P174-$B$11/$B$9*((MAX(0,MIN(1,P174))^2/(MAX(0,MIN(1,P174))^2+(1-MAX(0,MIN(1,P174)))^2/$B$5))-(MAX(0,MIN(1,O174))^2/(MAX(0,MIN(1,O174))^2+(1-MAX(0,MIN(1,O174)))^2/$B$5))))</f>
        <v>0.936482403825092</v>
      </c>
      <c r="Q175" s="16" t="n">
        <f aca="false">IF(ABS(Q174-$B$11/$B$9*((MAX(0,MIN(1,Q174))^2/(MAX(0,MIN(1,Q174))^2+(1-MAX(0,MIN(1,Q174)))^2/$B$5))-(MAX(0,MIN(1,P174))^2/(MAX(0,MIN(1,P174))^2+(1-MAX(0,MIN(1,P174)))^2/$B$5))))&lt;0.000000001,0,Q174-$B$11/$B$9*((MAX(0,MIN(1,Q174))^2/(MAX(0,MIN(1,Q174))^2+(1-MAX(0,MIN(1,Q174)))^2/$B$5))-(MAX(0,MIN(1,P174))^2/(MAX(0,MIN(1,P174))^2+(1-MAX(0,MIN(1,P174)))^2/$B$5))))</f>
        <v>0.925939601825316</v>
      </c>
      <c r="R175" s="16" t="n">
        <f aca="false">IF(ABS(R174-$B$11/$B$9*((MAX(0,MIN(1,R174))^2/(MAX(0,MIN(1,R174))^2+(1-MAX(0,MIN(1,R174)))^2/$B$5))-(MAX(0,MIN(1,Q174))^2/(MAX(0,MIN(1,Q174))^2+(1-MAX(0,MIN(1,Q174)))^2/$B$5))))&lt;0.000000001,0,R174-$B$11/$B$9*((MAX(0,MIN(1,R174))^2/(MAX(0,MIN(1,R174))^2+(1-MAX(0,MIN(1,R174)))^2/$B$5))-(MAX(0,MIN(1,Q174))^2/(MAX(0,MIN(1,Q174))^2+(1-MAX(0,MIN(1,Q174)))^2/$B$5))))</f>
        <v>0.916055335824258</v>
      </c>
      <c r="S175" s="16" t="n">
        <f aca="false">IF(ABS(S174-$B$11/$B$9*((MAX(0,MIN(1,S174))^2/(MAX(0,MIN(1,S174))^2+(1-MAX(0,MIN(1,S174)))^2/$B$5))-(MAX(0,MIN(1,R174))^2/(MAX(0,MIN(1,R174))^2+(1-MAX(0,MIN(1,R174)))^2/$B$5))))&lt;0.000000001,0,S174-$B$11/$B$9*((MAX(0,MIN(1,S174))^2/(MAX(0,MIN(1,S174))^2+(1-MAX(0,MIN(1,S174)))^2/$B$5))-(MAX(0,MIN(1,R174))^2/(MAX(0,MIN(1,R174))^2+(1-MAX(0,MIN(1,R174)))^2/$B$5))))</f>
        <v>0.906723765464099</v>
      </c>
      <c r="T175" s="16" t="n">
        <f aca="false">IF(ABS(T174-$B$11/$B$9*((MAX(0,MIN(1,T174))^2/(MAX(0,MIN(1,T174))^2+(1-MAX(0,MIN(1,T174)))^2/$B$5))-(MAX(0,MIN(1,S174))^2/(MAX(0,MIN(1,S174))^2+(1-MAX(0,MIN(1,S174)))^2/$B$5))))&lt;0.000000001,0,T174-$B$11/$B$9*((MAX(0,MIN(1,T174))^2/(MAX(0,MIN(1,T174))^2+(1-MAX(0,MIN(1,T174)))^2/$B$5))-(MAX(0,MIN(1,S174))^2/(MAX(0,MIN(1,S174))^2+(1-MAX(0,MIN(1,S174)))^2/$B$5))))</f>
        <v>0.897868784932472</v>
      </c>
      <c r="U175" s="16" t="n">
        <f aca="false">IF(ABS(U174-$B$11/$B$9*((MAX(0,MIN(1,U174))^2/(MAX(0,MIN(1,U174))^2+(1-MAX(0,MIN(1,U174)))^2/$B$5))-(MAX(0,MIN(1,T174))^2/(MAX(0,MIN(1,T174))^2+(1-MAX(0,MIN(1,T174)))^2/$B$5))))&lt;0.000000001,0,U174-$B$11/$B$9*((MAX(0,MIN(1,U174))^2/(MAX(0,MIN(1,U174))^2+(1-MAX(0,MIN(1,U174)))^2/$B$5))-(MAX(0,MIN(1,T174))^2/(MAX(0,MIN(1,T174))^2+(1-MAX(0,MIN(1,T174)))^2/$B$5))))</f>
        <v>0.889432263485545</v>
      </c>
      <c r="V175" s="16" t="n">
        <f aca="false">IF(ABS(V174-$B$11/$B$9*((MAX(0,MIN(1,V174))^2/(MAX(0,MIN(1,V174))^2+(1-MAX(0,MIN(1,V174)))^2/$B$5))-(MAX(0,MIN(1,U174))^2/(MAX(0,MIN(1,U174))^2+(1-MAX(0,MIN(1,U174)))^2/$B$5))))&lt;0.000000001,0,V174-$B$11/$B$9*((MAX(0,MIN(1,V174))^2/(MAX(0,MIN(1,V174))^2+(1-MAX(0,MIN(1,V174)))^2/$B$5))-(MAX(0,MIN(1,U174))^2/(MAX(0,MIN(1,U174))^2+(1-MAX(0,MIN(1,U174)))^2/$B$5))))</f>
        <v>0.881367951317426</v>
      </c>
      <c r="W175" s="16" t="n">
        <f aca="false">IF(ABS(W174-$B$11/$B$9*((MAX(0,MIN(1,W174))^2/(MAX(0,MIN(1,W174))^2+(1-MAX(0,MIN(1,W174)))^2/$B$5))-(MAX(0,MIN(1,V174))^2/(MAX(0,MIN(1,V174))^2+(1-MAX(0,MIN(1,V174)))^2/$B$5))))&lt;0.000000001,0,W174-$B$11/$B$9*((MAX(0,MIN(1,W174))^2/(MAX(0,MIN(1,W174))^2+(1-MAX(0,MIN(1,W174)))^2/$B$5))-(MAX(0,MIN(1,V174))^2/(MAX(0,MIN(1,V174))^2+(1-MAX(0,MIN(1,V174)))^2/$B$5))))</f>
        <v>0.87363796972101</v>
      </c>
      <c r="X175" s="16" t="n">
        <f aca="false">IF(ABS(X174-$B$11/$B$9*((MAX(0,MIN(1,X174))^2/(MAX(0,MIN(1,X174))^2+(1-MAX(0,MIN(1,X174)))^2/$B$5))-(MAX(0,MIN(1,W174))^2/(MAX(0,MIN(1,W174))^2+(1-MAX(0,MIN(1,W174)))^2/$B$5))))&lt;0.000000001,0,X174-$B$11/$B$9*((MAX(0,MIN(1,X174))^2/(MAX(0,MIN(1,X174))^2+(1-MAX(0,MIN(1,X174)))^2/$B$5))-(MAX(0,MIN(1,W174))^2/(MAX(0,MIN(1,W174))^2+(1-MAX(0,MIN(1,W174)))^2/$B$5))))</f>
        <v>0.866210623049197</v>
      </c>
      <c r="Y175" s="16" t="n">
        <f aca="false">IF(ABS(Y174-$B$11/$B$9*((MAX(0,MIN(1,Y174))^2/(MAX(0,MIN(1,Y174))^2+(1-MAX(0,MIN(1,Y174)))^2/$B$5))-(MAX(0,MIN(1,X174))^2/(MAX(0,MIN(1,X174))^2+(1-MAX(0,MIN(1,X174)))^2/$B$5))))&lt;0.000000001,0,Y174-$B$11/$B$9*((MAX(0,MIN(1,Y174))^2/(MAX(0,MIN(1,Y174))^2+(1-MAX(0,MIN(1,Y174)))^2/$B$5))-(MAX(0,MIN(1,X174))^2/(MAX(0,MIN(1,X174))^2+(1-MAX(0,MIN(1,X174)))^2/$B$5))))</f>
        <v>0.85905894876178</v>
      </c>
      <c r="Z175" s="16" t="n">
        <f aca="false">IF(ABS(Z174-$B$11/$B$9*((MAX(0,MIN(1,Z174))^2/(MAX(0,MIN(1,Z174))^2+(1-MAX(0,MIN(1,Z174)))^2/$B$5))-(MAX(0,MIN(1,Y174))^2/(MAX(0,MIN(1,Y174))^2+(1-MAX(0,MIN(1,Y174)))^2/$B$5))))&lt;0.000000001,0,Z174-$B$11/$B$9*((MAX(0,MIN(1,Z174))^2/(MAX(0,MIN(1,Z174))^2+(1-MAX(0,MIN(1,Z174)))^2/$B$5))-(MAX(0,MIN(1,Y174))^2/(MAX(0,MIN(1,Y174))^2+(1-MAX(0,MIN(1,Y174)))^2/$B$5))))</f>
        <v>0.852159709274821</v>
      </c>
      <c r="AA175" s="16" t="n">
        <f aca="false">IF(ABS(AA174-$B$11/$B$9*((MAX(0,MIN(1,AA174))^2/(MAX(0,MIN(1,AA174))^2+(1-MAX(0,MIN(1,AA174)))^2/$B$5))-(MAX(0,MIN(1,Z174))^2/(MAX(0,MIN(1,Z174))^2+(1-MAX(0,MIN(1,Z174)))^2/$B$5))))&lt;0.000000001,0,AA174-$B$11/$B$9*((MAX(0,MIN(1,AA174))^2/(MAX(0,MIN(1,AA174))^2+(1-MAX(0,MIN(1,AA174)))^2/$B$5))-(MAX(0,MIN(1,Z174))^2/(MAX(0,MIN(1,Z174))^2+(1-MAX(0,MIN(1,Z174)))^2/$B$5))))</f>
        <v>0.845492663553911</v>
      </c>
      <c r="AB175" s="16" t="n">
        <f aca="false">IF(ABS(AB174-$B$11/$B$9*((MAX(0,MIN(1,AB174))^2/(MAX(0,MIN(1,AB174))^2+(1-MAX(0,MIN(1,AB174)))^2/$B$5))-(MAX(0,MIN(1,AA174))^2/(MAX(0,MIN(1,AA174))^2+(1-MAX(0,MIN(1,AA174)))^2/$B$5))))&lt;0.000000001,0,AB174-$B$11/$B$9*((MAX(0,MIN(1,AB174))^2/(MAX(0,MIN(1,AB174))^2+(1-MAX(0,MIN(1,AB174)))^2/$B$5))-(MAX(0,MIN(1,AA174))^2/(MAX(0,MIN(1,AA174))^2+(1-MAX(0,MIN(1,AA174)))^2/$B$5))))</f>
        <v>0.839040024203349</v>
      </c>
      <c r="AC175" s="16" t="n">
        <f aca="false">IF(ABS(AC174-$B$11/$B$9*((MAX(0,MIN(1,AC174))^2/(MAX(0,MIN(1,AC174))^2+(1-MAX(0,MIN(1,AC174)))^2/$B$5))-(MAX(0,MIN(1,AB174))^2/(MAX(0,MIN(1,AB174))^2+(1-MAX(0,MIN(1,AB174)))^2/$B$5))))&lt;0.000000001,0,AC174-$B$11/$B$9*((MAX(0,MIN(1,AC174))^2/(MAX(0,MIN(1,AC174))^2+(1-MAX(0,MIN(1,AC174)))^2/$B$5))-(MAX(0,MIN(1,AB174))^2/(MAX(0,MIN(1,AB174))^2+(1-MAX(0,MIN(1,AB174)))^2/$B$5))))</f>
        <v>0.83278604236016</v>
      </c>
      <c r="AD175" s="16" t="n">
        <f aca="false">IF(ABS(AD174-$B$11/$B$9*((MAX(0,MIN(1,AD174))^2/(MAX(0,MIN(1,AD174))^2+(1-MAX(0,MIN(1,AD174)))^2/$B$5))-(MAX(0,MIN(1,AC174))^2/(MAX(0,MIN(1,AC174))^2+(1-MAX(0,MIN(1,AC174)))^2/$B$5))))&lt;0.000000001,0,AD174-$B$11/$B$9*((MAX(0,MIN(1,AD174))^2/(MAX(0,MIN(1,AD174))^2+(1-MAX(0,MIN(1,AD174)))^2/$B$5))-(MAX(0,MIN(1,AC174))^2/(MAX(0,MIN(1,AC174))^2+(1-MAX(0,MIN(1,AC174)))^2/$B$5))))</f>
        <v>0.826716683517012</v>
      </c>
      <c r="AE175" s="16" t="n">
        <f aca="false">IF(ABS(AE174-$B$11/$B$9*((MAX(0,MIN(1,AE174))^2/(MAX(0,MIN(1,AE174))^2+(1-MAX(0,MIN(1,AE174)))^2/$B$5))-(MAX(0,MIN(1,AD174))^2/(MAX(0,MIN(1,AD174))^2+(1-MAX(0,MIN(1,AD174)))^2/$B$5))))&lt;0.000000001,0,AE174-$B$11/$B$9*((MAX(0,MIN(1,AE174))^2/(MAX(0,MIN(1,AE174))^2+(1-MAX(0,MIN(1,AE174)))^2/$B$5))-(MAX(0,MIN(1,AD174))^2/(MAX(0,MIN(1,AD174))^2+(1-MAX(0,MIN(1,AD174)))^2/$B$5))))</f>
        <v>0.820819369816115</v>
      </c>
      <c r="AF175" s="16" t="n">
        <f aca="false">IF(ABS(AF174-$B$11/$B$9*((MAX(0,MIN(1,AF174))^2/(MAX(0,MIN(1,AF174))^2+(1-MAX(0,MIN(1,AF174)))^2/$B$5))-(MAX(0,MIN(1,AE174))^2/(MAX(0,MIN(1,AE174))^2+(1-MAX(0,MIN(1,AE174)))^2/$B$5))))&lt;0.000000001,0,AF174-$B$11/$B$9*((MAX(0,MIN(1,AF174))^2/(MAX(0,MIN(1,AF174))^2+(1-MAX(0,MIN(1,AF174)))^2/$B$5))-(MAX(0,MIN(1,AE174))^2/(MAX(0,MIN(1,AE174))^2+(1-MAX(0,MIN(1,AE174)))^2/$B$5))))</f>
        <v>0.81508277206912</v>
      </c>
    </row>
    <row r="176" customFormat="false" ht="15" hidden="false" customHeight="false" outlineLevel="0" collapsed="false">
      <c r="L176" s="0" t="n">
        <v>166</v>
      </c>
      <c r="M176" s="16" t="n">
        <f aca="false">IF(ABS(M175-$B$11/$B$9*((MAX(0,MIN(1,M175))^2/(MAX(0,MIN(1,M175))^2+(1-MAX(0,MIN(1,M175)))^2/$B$5))-(MAX(0,MIN(1,1))^2/(MAX(0,MIN(1,1))^2+(1-MAX(0,MIN(1,1)))^2/$B$5))))&lt;0.000000001,0,M175-$B$11/$B$9*((MAX(0,MIN(1,M175))^2/(MAX(0,MIN(1,M175))^2+(1-MAX(0,MIN(1,M175)))^2/$B$5))-(MAX(0,MIN(1,1))^2/(MAX(0,MIN(1,1))^2+(1-MAX(0,MIN(1,1)))^2/$B$5))))</f>
        <v>0.974763565295398</v>
      </c>
      <c r="N176" s="16" t="n">
        <f aca="false">IF(ABS(N175-$B$11/$B$9*((MAX(0,MIN(1,N175))^2/(MAX(0,MIN(1,N175))^2+(1-MAX(0,MIN(1,N175)))^2/$B$5))-(MAX(0,MIN(1,M175))^2/(MAX(0,MIN(1,M175))^2+(1-MAX(0,MIN(1,M175)))^2/$B$5))))&lt;0.000000001,0,N175-$B$11/$B$9*((MAX(0,MIN(1,N175))^2/(MAX(0,MIN(1,N175))^2+(1-MAX(0,MIN(1,N175)))^2/$B$5))-(MAX(0,MIN(1,M175))^2/(MAX(0,MIN(1,M175))^2+(1-MAX(0,MIN(1,M175)))^2/$B$5))))</f>
        <v>0.960518304648472</v>
      </c>
      <c r="O176" s="16" t="n">
        <f aca="false">IF(ABS(O175-$B$11/$B$9*((MAX(0,MIN(1,O175))^2/(MAX(0,MIN(1,O175))^2+(1-MAX(0,MIN(1,O175)))^2/$B$5))-(MAX(0,MIN(1,N175))^2/(MAX(0,MIN(1,N175))^2+(1-MAX(0,MIN(1,N175)))^2/$B$5))))&lt;0.000000001,0,O175-$B$11/$B$9*((MAX(0,MIN(1,O175))^2/(MAX(0,MIN(1,O175))^2+(1-MAX(0,MIN(1,O175)))^2/$B$5))-(MAX(0,MIN(1,N175))^2/(MAX(0,MIN(1,N175))^2+(1-MAX(0,MIN(1,N175)))^2/$B$5))))</f>
        <v>0.948098875066548</v>
      </c>
      <c r="P176" s="16" t="n">
        <f aca="false">IF(ABS(P175-$B$11/$B$9*((MAX(0,MIN(1,P175))^2/(MAX(0,MIN(1,P175))^2+(1-MAX(0,MIN(1,P175)))^2/$B$5))-(MAX(0,MIN(1,O175))^2/(MAX(0,MIN(1,O175))^2+(1-MAX(0,MIN(1,O175)))^2/$B$5))))&lt;0.000000001,0,P175-$B$11/$B$9*((MAX(0,MIN(1,P175))^2/(MAX(0,MIN(1,P175))^2+(1-MAX(0,MIN(1,P175)))^2/$B$5))-(MAX(0,MIN(1,O175))^2/(MAX(0,MIN(1,O175))^2+(1-MAX(0,MIN(1,O175)))^2/$B$5))))</f>
        <v>0.936783624869009</v>
      </c>
      <c r="Q176" s="16" t="n">
        <f aca="false">IF(ABS(Q175-$B$11/$B$9*((MAX(0,MIN(1,Q175))^2/(MAX(0,MIN(1,Q175))^2+(1-MAX(0,MIN(1,Q175)))^2/$B$5))-(MAX(0,MIN(1,P175))^2/(MAX(0,MIN(1,P175))^2+(1-MAX(0,MIN(1,P175)))^2/$B$5))))&lt;0.000000001,0,Q175-$B$11/$B$9*((MAX(0,MIN(1,Q175))^2/(MAX(0,MIN(1,Q175))^2+(1-MAX(0,MIN(1,Q175)))^2/$B$5))-(MAX(0,MIN(1,P175))^2/(MAX(0,MIN(1,P175))^2+(1-MAX(0,MIN(1,P175)))^2/$B$5))))</f>
        <v>0.926283234094536</v>
      </c>
      <c r="R176" s="16" t="n">
        <f aca="false">IF(ABS(R175-$B$11/$B$9*((MAX(0,MIN(1,R175))^2/(MAX(0,MIN(1,R175))^2+(1-MAX(0,MIN(1,R175)))^2/$B$5))-(MAX(0,MIN(1,Q175))^2/(MAX(0,MIN(1,Q175))^2+(1-MAX(0,MIN(1,Q175)))^2/$B$5))))&lt;0.000000001,0,R175-$B$11/$B$9*((MAX(0,MIN(1,R175))^2/(MAX(0,MIN(1,R175))^2+(1-MAX(0,MIN(1,R175)))^2/$B$5))-(MAX(0,MIN(1,Q175))^2/(MAX(0,MIN(1,Q175))^2+(1-MAX(0,MIN(1,Q175)))^2/$B$5))))</f>
        <v>0.916437021680896</v>
      </c>
      <c r="S176" s="16" t="n">
        <f aca="false">IF(ABS(S175-$B$11/$B$9*((MAX(0,MIN(1,S175))^2/(MAX(0,MIN(1,S175))^2+(1-MAX(0,MIN(1,S175)))^2/$B$5))-(MAX(0,MIN(1,R175))^2/(MAX(0,MIN(1,R175))^2+(1-MAX(0,MIN(1,R175)))^2/$B$5))))&lt;0.000000001,0,S175-$B$11/$B$9*((MAX(0,MIN(1,S175))^2/(MAX(0,MIN(1,S175))^2+(1-MAX(0,MIN(1,S175)))^2/$B$5))-(MAX(0,MIN(1,R175))^2/(MAX(0,MIN(1,R175))^2+(1-MAX(0,MIN(1,R175)))^2/$B$5))))</f>
        <v>0.90713995157407</v>
      </c>
      <c r="T176" s="16" t="n">
        <f aca="false">IF(ABS(T175-$B$11/$B$9*((MAX(0,MIN(1,T175))^2/(MAX(0,MIN(1,T175))^2+(1-MAX(0,MIN(1,T175)))^2/$B$5))-(MAX(0,MIN(1,S175))^2/(MAX(0,MIN(1,S175))^2+(1-MAX(0,MIN(1,S175)))^2/$B$5))))&lt;0.000000001,0,T175-$B$11/$B$9*((MAX(0,MIN(1,T175))^2/(MAX(0,MIN(1,T175))^2+(1-MAX(0,MIN(1,T175)))^2/$B$5))-(MAX(0,MIN(1,S175))^2/(MAX(0,MIN(1,S175))^2+(1-MAX(0,MIN(1,S175)))^2/$B$5))))</f>
        <v>0.898316506507493</v>
      </c>
      <c r="U176" s="16" t="n">
        <f aca="false">IF(ABS(U175-$B$11/$B$9*((MAX(0,MIN(1,U175))^2/(MAX(0,MIN(1,U175))^2+(1-MAX(0,MIN(1,U175)))^2/$B$5))-(MAX(0,MIN(1,T175))^2/(MAX(0,MIN(1,T175))^2+(1-MAX(0,MIN(1,T175)))^2/$B$5))))&lt;0.000000001,0,U175-$B$11/$B$9*((MAX(0,MIN(1,U175))^2/(MAX(0,MIN(1,U175))^2+(1-MAX(0,MIN(1,U175)))^2/$B$5))-(MAX(0,MIN(1,T175))^2/(MAX(0,MIN(1,T175))^2+(1-MAX(0,MIN(1,T175)))^2/$B$5))))</f>
        <v>0.889909006893343</v>
      </c>
      <c r="V176" s="16" t="n">
        <f aca="false">IF(ABS(V175-$B$11/$B$9*((MAX(0,MIN(1,V175))^2/(MAX(0,MIN(1,V175))^2+(1-MAX(0,MIN(1,V175)))^2/$B$5))-(MAX(0,MIN(1,U175))^2/(MAX(0,MIN(1,U175))^2+(1-MAX(0,MIN(1,U175)))^2/$B$5))))&lt;0.000000001,0,V175-$B$11/$B$9*((MAX(0,MIN(1,V175))^2/(MAX(0,MIN(1,V175))^2+(1-MAX(0,MIN(1,V175)))^2/$B$5))-(MAX(0,MIN(1,U175))^2/(MAX(0,MIN(1,U175))^2+(1-MAX(0,MIN(1,U175)))^2/$B$5))))</f>
        <v>0.881871559787462</v>
      </c>
      <c r="W176" s="16" t="n">
        <f aca="false">IF(ABS(W175-$B$11/$B$9*((MAX(0,MIN(1,W175))^2/(MAX(0,MIN(1,W175))^2+(1-MAX(0,MIN(1,W175)))^2/$B$5))-(MAX(0,MIN(1,V175))^2/(MAX(0,MIN(1,V175))^2+(1-MAX(0,MIN(1,V175)))^2/$B$5))))&lt;0.000000001,0,W175-$B$11/$B$9*((MAX(0,MIN(1,W175))^2/(MAX(0,MIN(1,W175))^2+(1-MAX(0,MIN(1,W175)))^2/$B$5))-(MAX(0,MIN(1,V175))^2/(MAX(0,MIN(1,V175))^2+(1-MAX(0,MIN(1,V175)))^2/$B$5))))</f>
        <v>0.87416657523113</v>
      </c>
      <c r="X176" s="16" t="n">
        <f aca="false">IF(ABS(X175-$B$11/$B$9*((MAX(0,MIN(1,X175))^2/(MAX(0,MIN(1,X175))^2+(1-MAX(0,MIN(1,X175)))^2/$B$5))-(MAX(0,MIN(1,W175))^2/(MAX(0,MIN(1,W175))^2+(1-MAX(0,MIN(1,W175)))^2/$B$5))))&lt;0.000000001,0,X175-$B$11/$B$9*((MAX(0,MIN(1,X175))^2/(MAX(0,MIN(1,X175))^2+(1-MAX(0,MIN(1,X175)))^2/$B$5))-(MAX(0,MIN(1,W175))^2/(MAX(0,MIN(1,W175))^2+(1-MAX(0,MIN(1,W175)))^2/$B$5))))</f>
        <v>0.866762595288553</v>
      </c>
      <c r="Y176" s="16" t="n">
        <f aca="false">IF(ABS(Y175-$B$11/$B$9*((MAX(0,MIN(1,Y175))^2/(MAX(0,MIN(1,Y175))^2+(1-MAX(0,MIN(1,Y175)))^2/$B$5))-(MAX(0,MIN(1,X175))^2/(MAX(0,MIN(1,X175))^2+(1-MAX(0,MIN(1,X175)))^2/$B$5))))&lt;0.000000001,0,Y175-$B$11/$B$9*((MAX(0,MIN(1,Y175))^2/(MAX(0,MIN(1,Y175))^2+(1-MAX(0,MIN(1,Y175)))^2/$B$5))-(MAX(0,MIN(1,X175))^2/(MAX(0,MIN(1,X175))^2+(1-MAX(0,MIN(1,X175)))^2/$B$5))))</f>
        <v>0.859632855829187</v>
      </c>
      <c r="Z176" s="16" t="n">
        <f aca="false">IF(ABS(Z175-$B$11/$B$9*((MAX(0,MIN(1,Z175))^2/(MAX(0,MIN(1,Z175))^2+(1-MAX(0,MIN(1,Z175)))^2/$B$5))-(MAX(0,MIN(1,Y175))^2/(MAX(0,MIN(1,Y175))^2+(1-MAX(0,MIN(1,Y175)))^2/$B$5))))&lt;0.000000001,0,Z175-$B$11/$B$9*((MAX(0,MIN(1,Z175))^2/(MAX(0,MIN(1,Z175))^2+(1-MAX(0,MIN(1,Z175)))^2/$B$5))-(MAX(0,MIN(1,Y175))^2/(MAX(0,MIN(1,Y175))^2+(1-MAX(0,MIN(1,Y175)))^2/$B$5))))</f>
        <v>0.852754286767333</v>
      </c>
      <c r="AA176" s="16" t="n">
        <f aca="false">IF(ABS(AA175-$B$11/$B$9*((MAX(0,MIN(1,AA175))^2/(MAX(0,MIN(1,AA175))^2+(1-MAX(0,MIN(1,AA175)))^2/$B$5))-(MAX(0,MIN(1,Z175))^2/(MAX(0,MIN(1,Z175))^2+(1-MAX(0,MIN(1,Z175)))^2/$B$5))))&lt;0.000000001,0,AA175-$B$11/$B$9*((MAX(0,MIN(1,AA175))^2/(MAX(0,MIN(1,AA175))^2+(1-MAX(0,MIN(1,AA175)))^2/$B$5))-(MAX(0,MIN(1,Z175))^2/(MAX(0,MIN(1,Z175))^2+(1-MAX(0,MIN(1,Z175)))^2/$B$5))))</f>
        <v>0.846106789840921</v>
      </c>
      <c r="AB176" s="16" t="n">
        <f aca="false">IF(ABS(AB175-$B$11/$B$9*((MAX(0,MIN(1,AB175))^2/(MAX(0,MIN(1,AB175))^2+(1-MAX(0,MIN(1,AB175)))^2/$B$5))-(MAX(0,MIN(1,AA175))^2/(MAX(0,MIN(1,AA175))^2+(1-MAX(0,MIN(1,AA175)))^2/$B$5))))&lt;0.000000001,0,AB175-$B$11/$B$9*((MAX(0,MIN(1,AB175))^2/(MAX(0,MIN(1,AB175))^2+(1-MAX(0,MIN(1,AB175)))^2/$B$5))-(MAX(0,MIN(1,AA175))^2/(MAX(0,MIN(1,AA175))^2+(1-MAX(0,MIN(1,AA175)))^2/$B$5))))</f>
        <v>0.839672700373544</v>
      </c>
      <c r="AC176" s="16" t="n">
        <f aca="false">IF(ABS(AC175-$B$11/$B$9*((MAX(0,MIN(1,AC175))^2/(MAX(0,MIN(1,AC175))^2+(1-MAX(0,MIN(1,AC175)))^2/$B$5))-(MAX(0,MIN(1,AB175))^2/(MAX(0,MIN(1,AB175))^2+(1-MAX(0,MIN(1,AB175)))^2/$B$5))))&lt;0.000000001,0,AC175-$B$11/$B$9*((MAX(0,MIN(1,AC175))^2/(MAX(0,MIN(1,AC175))^2+(1-MAX(0,MIN(1,AC175)))^2/$B$5))-(MAX(0,MIN(1,AB175))^2/(MAX(0,MIN(1,AB175))^2+(1-MAX(0,MIN(1,AB175)))^2/$B$5))))</f>
        <v>0.833436375769476</v>
      </c>
      <c r="AD176" s="16" t="n">
        <f aca="false">IF(ABS(AD175-$B$11/$B$9*((MAX(0,MIN(1,AD175))^2/(MAX(0,MIN(1,AD175))^2+(1-MAX(0,MIN(1,AD175)))^2/$B$5))-(MAX(0,MIN(1,AC175))^2/(MAX(0,MIN(1,AC175))^2+(1-MAX(0,MIN(1,AC175)))^2/$B$5))))&lt;0.000000001,0,AD175-$B$11/$B$9*((MAX(0,MIN(1,AD175))^2/(MAX(0,MIN(1,AD175))^2+(1-MAX(0,MIN(1,AD175)))^2/$B$5))-(MAX(0,MIN(1,AC175))^2/(MAX(0,MIN(1,AC175))^2+(1-MAX(0,MIN(1,AC175)))^2/$B$5))))</f>
        <v>0.827383874157804</v>
      </c>
      <c r="AE176" s="16" t="n">
        <f aca="false">IF(ABS(AE175-$B$11/$B$9*((MAX(0,MIN(1,AE175))^2/(MAX(0,MIN(1,AE175))^2+(1-MAX(0,MIN(1,AE175)))^2/$B$5))-(MAX(0,MIN(1,AD175))^2/(MAX(0,MIN(1,AD175))^2+(1-MAX(0,MIN(1,AD175)))^2/$B$5))))&lt;0.000000001,0,AE175-$B$11/$B$9*((MAX(0,MIN(1,AE175))^2/(MAX(0,MIN(1,AE175))^2+(1-MAX(0,MIN(1,AE175)))^2/$B$5))-(MAX(0,MIN(1,AD175))^2/(MAX(0,MIN(1,AD175))^2+(1-MAX(0,MIN(1,AD175)))^2/$B$5))))</f>
        <v>0.821502698927795</v>
      </c>
      <c r="AF176" s="16" t="n">
        <f aca="false">IF(ABS(AF175-$B$11/$B$9*((MAX(0,MIN(1,AF175))^2/(MAX(0,MIN(1,AF175))^2+(1-MAX(0,MIN(1,AF175)))^2/$B$5))-(MAX(0,MIN(1,AE175))^2/(MAX(0,MIN(1,AE175))^2+(1-MAX(0,MIN(1,AE175)))^2/$B$5))))&lt;0.000000001,0,AF175-$B$11/$B$9*((MAX(0,MIN(1,AF175))^2/(MAX(0,MIN(1,AF175))^2+(1-MAX(0,MIN(1,AF175)))^2/$B$5))-(MAX(0,MIN(1,AE175))^2/(MAX(0,MIN(1,AE175))^2+(1-MAX(0,MIN(1,AE175)))^2/$B$5))))</f>
        <v>0.815781592551303</v>
      </c>
    </row>
    <row r="177" customFormat="false" ht="15" hidden="false" customHeight="false" outlineLevel="0" collapsed="false">
      <c r="L177" s="0" t="n">
        <v>167</v>
      </c>
      <c r="M177" s="16" t="n">
        <f aca="false">IF(ABS(M176-$B$11/$B$9*((MAX(0,MIN(1,M176))^2/(MAX(0,MIN(1,M176))^2+(1-MAX(0,MIN(1,M176)))^2/$B$5))-(MAX(0,MIN(1,1))^2/(MAX(0,MIN(1,1))^2+(1-MAX(0,MIN(1,1)))^2/$B$5))))&lt;0.000000001,0,M176-$B$11/$B$9*((MAX(0,MIN(1,M176))^2/(MAX(0,MIN(1,M176))^2+(1-MAX(0,MIN(1,M176)))^2/$B$5))-(MAX(0,MIN(1,1))^2/(MAX(0,MIN(1,1))^2+(1-MAX(0,MIN(1,1)))^2/$B$5))))</f>
        <v>0.97489239431298</v>
      </c>
      <c r="N177" s="16" t="n">
        <f aca="false">IF(ABS(N176-$B$11/$B$9*((MAX(0,MIN(1,N176))^2/(MAX(0,MIN(1,N176))^2+(1-MAX(0,MIN(1,N176)))^2/$B$5))-(MAX(0,MIN(1,M176))^2/(MAX(0,MIN(1,M176))^2+(1-MAX(0,MIN(1,M176)))^2/$B$5))))&lt;0.000000001,0,N176-$B$11/$B$9*((MAX(0,MIN(1,N176))^2/(MAX(0,MIN(1,N176))^2+(1-MAX(0,MIN(1,N176)))^2/$B$5))-(MAX(0,MIN(1,M176))^2/(MAX(0,MIN(1,M176))^2+(1-MAX(0,MIN(1,M176)))^2/$B$5))))</f>
        <v>0.960714050848924</v>
      </c>
      <c r="O177" s="16" t="n">
        <f aca="false">IF(ABS(O176-$B$11/$B$9*((MAX(0,MIN(1,O176))^2/(MAX(0,MIN(1,O176))^2+(1-MAX(0,MIN(1,O176)))^2/$B$5))-(MAX(0,MIN(1,N176))^2/(MAX(0,MIN(1,N176))^2+(1-MAX(0,MIN(1,N176)))^2/$B$5))))&lt;0.000000001,0,O176-$B$11/$B$9*((MAX(0,MIN(1,O176))^2/(MAX(0,MIN(1,O176))^2+(1-MAX(0,MIN(1,O176)))^2/$B$5))-(MAX(0,MIN(1,N176))^2/(MAX(0,MIN(1,N176))^2+(1-MAX(0,MIN(1,N176)))^2/$B$5))))</f>
        <v>0.948349604431447</v>
      </c>
      <c r="P177" s="16" t="n">
        <f aca="false">IF(ABS(P176-$B$11/$B$9*((MAX(0,MIN(1,P176))^2/(MAX(0,MIN(1,P176))^2+(1-MAX(0,MIN(1,P176)))^2/$B$5))-(MAX(0,MIN(1,O176))^2/(MAX(0,MIN(1,O176))^2+(1-MAX(0,MIN(1,O176)))^2/$B$5))))&lt;0.000000001,0,P176-$B$11/$B$9*((MAX(0,MIN(1,P176))^2/(MAX(0,MIN(1,P176))^2+(1-MAX(0,MIN(1,P176)))^2/$B$5))-(MAX(0,MIN(1,O176))^2/(MAX(0,MIN(1,O176))^2+(1-MAX(0,MIN(1,O176)))^2/$B$5))))</f>
        <v>0.9370818841454</v>
      </c>
      <c r="Q177" s="16" t="n">
        <f aca="false">IF(ABS(Q176-$B$11/$B$9*((MAX(0,MIN(1,Q176))^2/(MAX(0,MIN(1,Q176))^2+(1-MAX(0,MIN(1,Q176)))^2/$B$5))-(MAX(0,MIN(1,P176))^2/(MAX(0,MIN(1,P176))^2+(1-MAX(0,MIN(1,P176)))^2/$B$5))))&lt;0.000000001,0,Q176-$B$11/$B$9*((MAX(0,MIN(1,Q176))^2/(MAX(0,MIN(1,Q176))^2+(1-MAX(0,MIN(1,Q176)))^2/$B$5))-(MAX(0,MIN(1,P176))^2/(MAX(0,MIN(1,P176))^2+(1-MAX(0,MIN(1,P176)))^2/$B$5))))</f>
        <v>0.92662354422205</v>
      </c>
      <c r="R177" s="16" t="n">
        <f aca="false">IF(ABS(R176-$B$11/$B$9*((MAX(0,MIN(1,R176))^2/(MAX(0,MIN(1,R176))^2+(1-MAX(0,MIN(1,R176)))^2/$B$5))-(MAX(0,MIN(1,Q176))^2/(MAX(0,MIN(1,Q176))^2+(1-MAX(0,MIN(1,Q176)))^2/$B$5))))&lt;0.000000001,0,R176-$B$11/$B$9*((MAX(0,MIN(1,R176))^2/(MAX(0,MIN(1,R176))^2+(1-MAX(0,MIN(1,R176)))^2/$B$5))-(MAX(0,MIN(1,Q176))^2/(MAX(0,MIN(1,Q176))^2+(1-MAX(0,MIN(1,Q176)))^2/$B$5))))</f>
        <v>0.916815073031885</v>
      </c>
      <c r="S177" s="16" t="n">
        <f aca="false">IF(ABS(S176-$B$11/$B$9*((MAX(0,MIN(1,S176))^2/(MAX(0,MIN(1,S176))^2+(1-MAX(0,MIN(1,S176)))^2/$B$5))-(MAX(0,MIN(1,R176))^2/(MAX(0,MIN(1,R176))^2+(1-MAX(0,MIN(1,R176)))^2/$B$5))))&lt;0.000000001,0,S176-$B$11/$B$9*((MAX(0,MIN(1,S176))^2/(MAX(0,MIN(1,S176))^2+(1-MAX(0,MIN(1,S176)))^2/$B$5))-(MAX(0,MIN(1,R176))^2/(MAX(0,MIN(1,R176))^2+(1-MAX(0,MIN(1,R176)))^2/$B$5))))</f>
        <v>0.907552228413993</v>
      </c>
      <c r="T177" s="16" t="n">
        <f aca="false">IF(ABS(T176-$B$11/$B$9*((MAX(0,MIN(1,T176))^2/(MAX(0,MIN(1,T176))^2+(1-MAX(0,MIN(1,T176)))^2/$B$5))-(MAX(0,MIN(1,S176))^2/(MAX(0,MIN(1,S176))^2+(1-MAX(0,MIN(1,S176)))^2/$B$5))))&lt;0.000000001,0,T176-$B$11/$B$9*((MAX(0,MIN(1,T176))^2/(MAX(0,MIN(1,T176))^2+(1-MAX(0,MIN(1,T176)))^2/$B$5))-(MAX(0,MIN(1,S176))^2/(MAX(0,MIN(1,S176))^2+(1-MAX(0,MIN(1,S176)))^2/$B$5))))</f>
        <v>0.898760074152753</v>
      </c>
      <c r="U177" s="16" t="n">
        <f aca="false">IF(ABS(U176-$B$11/$B$9*((MAX(0,MIN(1,U176))^2/(MAX(0,MIN(1,U176))^2+(1-MAX(0,MIN(1,U176)))^2/$B$5))-(MAX(0,MIN(1,T176))^2/(MAX(0,MIN(1,T176))^2+(1-MAX(0,MIN(1,T176)))^2/$B$5))))&lt;0.000000001,0,U176-$B$11/$B$9*((MAX(0,MIN(1,U176))^2/(MAX(0,MIN(1,U176))^2+(1-MAX(0,MIN(1,U176)))^2/$B$5))-(MAX(0,MIN(1,T176))^2/(MAX(0,MIN(1,T176))^2+(1-MAX(0,MIN(1,T176)))^2/$B$5))))</f>
        <v>0.890381376196095</v>
      </c>
      <c r="V177" s="16" t="n">
        <f aca="false">IF(ABS(V176-$B$11/$B$9*((MAX(0,MIN(1,V176))^2/(MAX(0,MIN(1,V176))^2+(1-MAX(0,MIN(1,V176)))^2/$B$5))-(MAX(0,MIN(1,U176))^2/(MAX(0,MIN(1,U176))^2+(1-MAX(0,MIN(1,U176)))^2/$B$5))))&lt;0.000000001,0,V176-$B$11/$B$9*((MAX(0,MIN(1,V176))^2/(MAX(0,MIN(1,V176))^2+(1-MAX(0,MIN(1,V176)))^2/$B$5))-(MAX(0,MIN(1,U176))^2/(MAX(0,MIN(1,U176))^2+(1-MAX(0,MIN(1,U176)))^2/$B$5))))</f>
        <v>0.882370594125567</v>
      </c>
      <c r="W177" s="16" t="n">
        <f aca="false">IF(ABS(W176-$B$11/$B$9*((MAX(0,MIN(1,W176))^2/(MAX(0,MIN(1,W176))^2+(1-MAX(0,MIN(1,W176)))^2/$B$5))-(MAX(0,MIN(1,V176))^2/(MAX(0,MIN(1,V176))^2+(1-MAX(0,MIN(1,V176)))^2/$B$5))))&lt;0.000000001,0,W176-$B$11/$B$9*((MAX(0,MIN(1,W176))^2/(MAX(0,MIN(1,W176))^2+(1-MAX(0,MIN(1,W176)))^2/$B$5))-(MAX(0,MIN(1,V176))^2/(MAX(0,MIN(1,V176))^2+(1-MAX(0,MIN(1,V176)))^2/$B$5))))</f>
        <v>0.874690423313417</v>
      </c>
      <c r="X177" s="16" t="n">
        <f aca="false">IF(ABS(X176-$B$11/$B$9*((MAX(0,MIN(1,X176))^2/(MAX(0,MIN(1,X176))^2+(1-MAX(0,MIN(1,X176)))^2/$B$5))-(MAX(0,MIN(1,W176))^2/(MAX(0,MIN(1,W176))^2+(1-MAX(0,MIN(1,W176)))^2/$B$5))))&lt;0.000000001,0,X176-$B$11/$B$9*((MAX(0,MIN(1,X176))^2/(MAX(0,MIN(1,X176))^2+(1-MAX(0,MIN(1,X176)))^2/$B$5))-(MAX(0,MIN(1,W176))^2/(MAX(0,MIN(1,W176))^2+(1-MAX(0,MIN(1,W176)))^2/$B$5))))</f>
        <v>0.867309640795612</v>
      </c>
      <c r="Y177" s="16" t="n">
        <f aca="false">IF(ABS(Y176-$B$11/$B$9*((MAX(0,MIN(1,Y176))^2/(MAX(0,MIN(1,Y176))^2+(1-MAX(0,MIN(1,Y176)))^2/$B$5))-(MAX(0,MIN(1,X176))^2/(MAX(0,MIN(1,X176))^2+(1-MAX(0,MIN(1,X176)))^2/$B$5))))&lt;0.000000001,0,Y176-$B$11/$B$9*((MAX(0,MIN(1,Y176))^2/(MAX(0,MIN(1,Y176))^2+(1-MAX(0,MIN(1,Y176)))^2/$B$5))-(MAX(0,MIN(1,X176))^2/(MAX(0,MIN(1,X176))^2+(1-MAX(0,MIN(1,X176)))^2/$B$5))))</f>
        <v>0.86020167862389</v>
      </c>
      <c r="Z177" s="16" t="n">
        <f aca="false">IF(ABS(Z176-$B$11/$B$9*((MAX(0,MIN(1,Z176))^2/(MAX(0,MIN(1,Z176))^2+(1-MAX(0,MIN(1,Z176)))^2/$B$5))-(MAX(0,MIN(1,Y176))^2/(MAX(0,MIN(1,Y176))^2+(1-MAX(0,MIN(1,Y176)))^2/$B$5))))&lt;0.000000001,0,Z176-$B$11/$B$9*((MAX(0,MIN(1,Z176))^2/(MAX(0,MIN(1,Z176))^2+(1-MAX(0,MIN(1,Z176)))^2/$B$5))-(MAX(0,MIN(1,Y176))^2/(MAX(0,MIN(1,Y176))^2+(1-MAX(0,MIN(1,Y176)))^2/$B$5))))</f>
        <v>0.853343632377649</v>
      </c>
      <c r="AA177" s="16" t="n">
        <f aca="false">IF(ABS(AA176-$B$11/$B$9*((MAX(0,MIN(1,AA176))^2/(MAX(0,MIN(1,AA176))^2+(1-MAX(0,MIN(1,AA176)))^2/$B$5))-(MAX(0,MIN(1,Z176))^2/(MAX(0,MIN(1,Z176))^2+(1-MAX(0,MIN(1,Z176)))^2/$B$5))))&lt;0.000000001,0,AA176-$B$11/$B$9*((MAX(0,MIN(1,AA176))^2/(MAX(0,MIN(1,AA176))^2+(1-MAX(0,MIN(1,AA176)))^2/$B$5))-(MAX(0,MIN(1,Z176))^2/(MAX(0,MIN(1,Z176))^2+(1-MAX(0,MIN(1,Z176)))^2/$B$5))))</f>
        <v>0.846715545042062</v>
      </c>
      <c r="AB177" s="16" t="n">
        <f aca="false">IF(ABS(AB176-$B$11/$B$9*((MAX(0,MIN(1,AB176))^2/(MAX(0,MIN(1,AB176))^2+(1-MAX(0,MIN(1,AB176)))^2/$B$5))-(MAX(0,MIN(1,AA176))^2/(MAX(0,MIN(1,AA176))^2+(1-MAX(0,MIN(1,AA176)))^2/$B$5))))&lt;0.000000001,0,AB176-$B$11/$B$9*((MAX(0,MIN(1,AB176))^2/(MAX(0,MIN(1,AB176))^2+(1-MAX(0,MIN(1,AB176)))^2/$B$5))-(MAX(0,MIN(1,AA176))^2/(MAX(0,MIN(1,AA176))^2+(1-MAX(0,MIN(1,AA176)))^2/$B$5))))</f>
        <v>0.840299873378668</v>
      </c>
      <c r="AC177" s="16" t="n">
        <f aca="false">IF(ABS(AC176-$B$11/$B$9*((MAX(0,MIN(1,AC176))^2/(MAX(0,MIN(1,AC176))^2+(1-MAX(0,MIN(1,AC176)))^2/$B$5))-(MAX(0,MIN(1,AB176))^2/(MAX(0,MIN(1,AB176))^2+(1-MAX(0,MIN(1,AB176)))^2/$B$5))))&lt;0.000000001,0,AC176-$B$11/$B$9*((MAX(0,MIN(1,AC176))^2/(MAX(0,MIN(1,AC176))^2+(1-MAX(0,MIN(1,AC176)))^2/$B$5))-(MAX(0,MIN(1,AB176))^2/(MAX(0,MIN(1,AB176))^2+(1-MAX(0,MIN(1,AB176)))^2/$B$5))))</f>
        <v>0.834081079972517</v>
      </c>
      <c r="AD177" s="16" t="n">
        <f aca="false">IF(ABS(AD176-$B$11/$B$9*((MAX(0,MIN(1,AD176))^2/(MAX(0,MIN(1,AD176))^2+(1-MAX(0,MIN(1,AD176)))^2/$B$5))-(MAX(0,MIN(1,AC176))^2/(MAX(0,MIN(1,AC176))^2+(1-MAX(0,MIN(1,AC176)))^2/$B$5))))&lt;0.000000001,0,AD176-$B$11/$B$9*((MAX(0,MIN(1,AD176))^2/(MAX(0,MIN(1,AD176))^2+(1-MAX(0,MIN(1,AD176)))^2/$B$5))-(MAX(0,MIN(1,AC176))^2/(MAX(0,MIN(1,AC176))^2+(1-MAX(0,MIN(1,AC176)))^2/$B$5))))</f>
        <v>0.828045314659831</v>
      </c>
      <c r="AE177" s="16" t="n">
        <f aca="false">IF(ABS(AE176-$B$11/$B$9*((MAX(0,MIN(1,AE176))^2/(MAX(0,MIN(1,AE176))^2+(1-MAX(0,MIN(1,AE176)))^2/$B$5))-(MAX(0,MIN(1,AD176))^2/(MAX(0,MIN(1,AD176))^2+(1-MAX(0,MIN(1,AD176)))^2/$B$5))))&lt;0.000000001,0,AE176-$B$11/$B$9*((MAX(0,MIN(1,AE176))^2/(MAX(0,MIN(1,AE176))^2+(1-MAX(0,MIN(1,AE176)))^2/$B$5))-(MAX(0,MIN(1,AD176))^2/(MAX(0,MIN(1,AD176))^2+(1-MAX(0,MIN(1,AD176)))^2/$B$5))))</f>
        <v>0.822180161275398</v>
      </c>
      <c r="AF177" s="16" t="n">
        <f aca="false">IF(ABS(AF176-$B$11/$B$9*((MAX(0,MIN(1,AF176))^2/(MAX(0,MIN(1,AF176))^2+(1-MAX(0,MIN(1,AF176)))^2/$B$5))-(MAX(0,MIN(1,AE176))^2/(MAX(0,MIN(1,AE176))^2+(1-MAX(0,MIN(1,AE176)))^2/$B$5))))&lt;0.000000001,0,AF176-$B$11/$B$9*((MAX(0,MIN(1,AF176))^2/(MAX(0,MIN(1,AF176))^2+(1-MAX(0,MIN(1,AF176)))^2/$B$5))-(MAX(0,MIN(1,AE176))^2/(MAX(0,MIN(1,AE176))^2+(1-MAX(0,MIN(1,AE176)))^2/$B$5))))</f>
        <v>0.816474433254181</v>
      </c>
    </row>
    <row r="178" customFormat="false" ht="15" hidden="false" customHeight="false" outlineLevel="0" collapsed="false">
      <c r="L178" s="0" t="n">
        <v>168</v>
      </c>
      <c r="M178" s="16" t="n">
        <f aca="false">IF(ABS(M177-$B$11/$B$9*((MAX(0,MIN(1,M177))^2/(MAX(0,MIN(1,M177))^2+(1-MAX(0,MIN(1,M177)))^2/$B$5))-(MAX(0,MIN(1,1))^2/(MAX(0,MIN(1,1))^2+(1-MAX(0,MIN(1,1)))^2/$B$5))))&lt;0.000000001,0,M177-$B$11/$B$9*((MAX(0,MIN(1,M177))^2/(MAX(0,MIN(1,M177))^2+(1-MAX(0,MIN(1,M177)))^2/$B$5))-(MAX(0,MIN(1,1))^2/(MAX(0,MIN(1,1))^2+(1-MAX(0,MIN(1,1)))^2/$B$5))))</f>
        <v>0.975019878120376</v>
      </c>
      <c r="N178" s="16" t="n">
        <f aca="false">IF(ABS(N177-$B$11/$B$9*((MAX(0,MIN(1,N177))^2/(MAX(0,MIN(1,N177))^2+(1-MAX(0,MIN(1,N177)))^2/$B$5))-(MAX(0,MIN(1,M177))^2/(MAX(0,MIN(1,M177))^2+(1-MAX(0,MIN(1,M177)))^2/$B$5))))&lt;0.000000001,0,N177-$B$11/$B$9*((MAX(0,MIN(1,N177))^2/(MAX(0,MIN(1,N177))^2+(1-MAX(0,MIN(1,N177)))^2/$B$5))-(MAX(0,MIN(1,M177))^2/(MAX(0,MIN(1,M177))^2+(1-MAX(0,MIN(1,M177)))^2/$B$5))))</f>
        <v>0.960907803664614</v>
      </c>
      <c r="O178" s="16" t="n">
        <f aca="false">IF(ABS(O177-$B$11/$B$9*((MAX(0,MIN(1,O177))^2/(MAX(0,MIN(1,O177))^2+(1-MAX(0,MIN(1,O177)))^2/$B$5))-(MAX(0,MIN(1,N177))^2/(MAX(0,MIN(1,N177))^2+(1-MAX(0,MIN(1,N177)))^2/$B$5))))&lt;0.000000001,0,O177-$B$11/$B$9*((MAX(0,MIN(1,O177))^2/(MAX(0,MIN(1,O177))^2+(1-MAX(0,MIN(1,O177)))^2/$B$5))-(MAX(0,MIN(1,N177))^2/(MAX(0,MIN(1,N177))^2+(1-MAX(0,MIN(1,N177)))^2/$B$5))))</f>
        <v>0.948597834760958</v>
      </c>
      <c r="P178" s="16" t="n">
        <f aca="false">IF(ABS(P177-$B$11/$B$9*((MAX(0,MIN(1,P177))^2/(MAX(0,MIN(1,P177))^2+(1-MAX(0,MIN(1,P177)))^2/$B$5))-(MAX(0,MIN(1,O177))^2/(MAX(0,MIN(1,O177))^2+(1-MAX(0,MIN(1,O177)))^2/$B$5))))&lt;0.000000001,0,P177-$B$11/$B$9*((MAX(0,MIN(1,P177))^2/(MAX(0,MIN(1,P177))^2+(1-MAX(0,MIN(1,P177)))^2/$B$5))-(MAX(0,MIN(1,O177))^2/(MAX(0,MIN(1,O177))^2+(1-MAX(0,MIN(1,O177)))^2/$B$5))))</f>
        <v>0.937377226398397</v>
      </c>
      <c r="Q178" s="16" t="n">
        <f aca="false">IF(ABS(Q177-$B$11/$B$9*((MAX(0,MIN(1,Q177))^2/(MAX(0,MIN(1,Q177))^2+(1-MAX(0,MIN(1,Q177)))^2/$B$5))-(MAX(0,MIN(1,P177))^2/(MAX(0,MIN(1,P177))^2+(1-MAX(0,MIN(1,P177)))^2/$B$5))))&lt;0.000000001,0,Q177-$B$11/$B$9*((MAX(0,MIN(1,Q177))^2/(MAX(0,MIN(1,Q177))^2+(1-MAX(0,MIN(1,Q177)))^2/$B$5))-(MAX(0,MIN(1,P177))^2/(MAX(0,MIN(1,P177))^2+(1-MAX(0,MIN(1,P177)))^2/$B$5))))</f>
        <v>0.926960581757613</v>
      </c>
      <c r="R178" s="16" t="n">
        <f aca="false">IF(ABS(R177-$B$11/$B$9*((MAX(0,MIN(1,R177))^2/(MAX(0,MIN(1,R177))^2+(1-MAX(0,MIN(1,R177)))^2/$B$5))-(MAX(0,MIN(1,Q177))^2/(MAX(0,MIN(1,Q177))^2+(1-MAX(0,MIN(1,Q177)))^2/$B$5))))&lt;0.000000001,0,R177-$B$11/$B$9*((MAX(0,MIN(1,R177))^2/(MAX(0,MIN(1,R177))^2+(1-MAX(0,MIN(1,R177)))^2/$B$5))-(MAX(0,MIN(1,Q177))^2/(MAX(0,MIN(1,Q177))^2+(1-MAX(0,MIN(1,Q177)))^2/$B$5))))</f>
        <v>0.917189543494294</v>
      </c>
      <c r="S178" s="16" t="n">
        <f aca="false">IF(ABS(S177-$B$11/$B$9*((MAX(0,MIN(1,S177))^2/(MAX(0,MIN(1,S177))^2+(1-MAX(0,MIN(1,S177)))^2/$B$5))-(MAX(0,MIN(1,R177))^2/(MAX(0,MIN(1,R177))^2+(1-MAX(0,MIN(1,R177)))^2/$B$5))))&lt;0.000000001,0,S177-$B$11/$B$9*((MAX(0,MIN(1,S177))^2/(MAX(0,MIN(1,S177))^2+(1-MAX(0,MIN(1,S177)))^2/$B$5))-(MAX(0,MIN(1,R177))^2/(MAX(0,MIN(1,R177))^2+(1-MAX(0,MIN(1,R177)))^2/$B$5))))</f>
        <v>0.90796065311451</v>
      </c>
      <c r="T178" s="16" t="n">
        <f aca="false">IF(ABS(T177-$B$11/$B$9*((MAX(0,MIN(1,T177))^2/(MAX(0,MIN(1,T177))^2+(1-MAX(0,MIN(1,T177)))^2/$B$5))-(MAX(0,MIN(1,S177))^2/(MAX(0,MIN(1,S177))^2+(1-MAX(0,MIN(1,S177)))^2/$B$5))))&lt;0.000000001,0,T177-$B$11/$B$9*((MAX(0,MIN(1,T177))^2/(MAX(0,MIN(1,T177))^2+(1-MAX(0,MIN(1,T177)))^2/$B$5))-(MAX(0,MIN(1,S177))^2/(MAX(0,MIN(1,S177))^2+(1-MAX(0,MIN(1,S177)))^2/$B$5))))</f>
        <v>0.89919954808824</v>
      </c>
      <c r="U178" s="16" t="n">
        <f aca="false">IF(ABS(U177-$B$11/$B$9*((MAX(0,MIN(1,U177))^2/(MAX(0,MIN(1,U177))^2+(1-MAX(0,MIN(1,U177)))^2/$B$5))-(MAX(0,MIN(1,T177))^2/(MAX(0,MIN(1,T177))^2+(1-MAX(0,MIN(1,T177)))^2/$B$5))))&lt;0.000000001,0,U177-$B$11/$B$9*((MAX(0,MIN(1,U177))^2/(MAX(0,MIN(1,U177))^2+(1-MAX(0,MIN(1,U177)))^2/$B$5))-(MAX(0,MIN(1,T177))^2/(MAX(0,MIN(1,T177))^2+(1-MAX(0,MIN(1,T177)))^2/$B$5))))</f>
        <v>0.890849434373391</v>
      </c>
      <c r="V178" s="16" t="n">
        <f aca="false">IF(ABS(V177-$B$11/$B$9*((MAX(0,MIN(1,V177))^2/(MAX(0,MIN(1,V177))^2+(1-MAX(0,MIN(1,V177)))^2/$B$5))-(MAX(0,MIN(1,U177))^2/(MAX(0,MIN(1,U177))^2+(1-MAX(0,MIN(1,U177)))^2/$B$5))))&lt;0.000000001,0,V177-$B$11/$B$9*((MAX(0,MIN(1,V177))^2/(MAX(0,MIN(1,V177))^2+(1-MAX(0,MIN(1,V177)))^2/$B$5))-(MAX(0,MIN(1,U177))^2/(MAX(0,MIN(1,U177))^2+(1-MAX(0,MIN(1,U177)))^2/$B$5))))</f>
        <v>0.88286511981211</v>
      </c>
      <c r="W178" s="16" t="n">
        <f aca="false">IF(ABS(W177-$B$11/$B$9*((MAX(0,MIN(1,W177))^2/(MAX(0,MIN(1,W177))^2+(1-MAX(0,MIN(1,W177)))^2/$B$5))-(MAX(0,MIN(1,V177))^2/(MAX(0,MIN(1,V177))^2+(1-MAX(0,MIN(1,V177)))^2/$B$5))))&lt;0.000000001,0,W177-$B$11/$B$9*((MAX(0,MIN(1,W177))^2/(MAX(0,MIN(1,W177))^2+(1-MAX(0,MIN(1,W177)))^2/$B$5))-(MAX(0,MIN(1,V177))^2/(MAX(0,MIN(1,V177))^2+(1-MAX(0,MIN(1,V177)))^2/$B$5))))</f>
        <v>0.875209581744625</v>
      </c>
      <c r="X178" s="16" t="n">
        <f aca="false">IF(ABS(X177-$B$11/$B$9*((MAX(0,MIN(1,X177))^2/(MAX(0,MIN(1,X177))^2+(1-MAX(0,MIN(1,X177)))^2/$B$5))-(MAX(0,MIN(1,W177))^2/(MAX(0,MIN(1,W177))^2+(1-MAX(0,MIN(1,W177)))^2/$B$5))))&lt;0.000000001,0,X177-$B$11/$B$9*((MAX(0,MIN(1,X177))^2/(MAX(0,MIN(1,X177))^2+(1-MAX(0,MIN(1,X177)))^2/$B$5))-(MAX(0,MIN(1,W177))^2/(MAX(0,MIN(1,W177))^2+(1-MAX(0,MIN(1,W177)))^2/$B$5))))</f>
        <v>0.86785182948166</v>
      </c>
      <c r="Y178" s="16" t="n">
        <f aca="false">IF(ABS(Y177-$B$11/$B$9*((MAX(0,MIN(1,Y177))^2/(MAX(0,MIN(1,Y177))^2+(1-MAX(0,MIN(1,Y177)))^2/$B$5))-(MAX(0,MIN(1,X177))^2/(MAX(0,MIN(1,X177))^2+(1-MAX(0,MIN(1,X177)))^2/$B$5))))&lt;0.000000001,0,Y177-$B$11/$B$9*((MAX(0,MIN(1,Y177))^2/(MAX(0,MIN(1,Y177))^2+(1-MAX(0,MIN(1,Y177)))^2/$B$5))-(MAX(0,MIN(1,X177))^2/(MAX(0,MIN(1,X177))^2+(1-MAX(0,MIN(1,X177)))^2/$B$5))))</f>
        <v>0.860765489063678</v>
      </c>
      <c r="Z178" s="16" t="n">
        <f aca="false">IF(ABS(Z177-$B$11/$B$9*((MAX(0,MIN(1,Z177))^2/(MAX(0,MIN(1,Z177))^2+(1-MAX(0,MIN(1,Z177)))^2/$B$5))-(MAX(0,MIN(1,Y177))^2/(MAX(0,MIN(1,Y177))^2+(1-MAX(0,MIN(1,Y177)))^2/$B$5))))&lt;0.000000001,0,Z177-$B$11/$B$9*((MAX(0,MIN(1,Z177))^2/(MAX(0,MIN(1,Z177))^2+(1-MAX(0,MIN(1,Z177)))^2/$B$5))-(MAX(0,MIN(1,Y177))^2/(MAX(0,MIN(1,Y177))^2+(1-MAX(0,MIN(1,Y177)))^2/$B$5))))</f>
        <v>0.853927819929294</v>
      </c>
      <c r="AA178" s="16" t="n">
        <f aca="false">IF(ABS(AA177-$B$11/$B$9*((MAX(0,MIN(1,AA177))^2/(MAX(0,MIN(1,AA177))^2+(1-MAX(0,MIN(1,AA177)))^2/$B$5))-(MAX(0,MIN(1,Z177))^2/(MAX(0,MIN(1,Z177))^2+(1-MAX(0,MIN(1,Z177)))^2/$B$5))))&lt;0.000000001,0,AA177-$B$11/$B$9*((MAX(0,MIN(1,AA177))^2/(MAX(0,MIN(1,AA177))^2+(1-MAX(0,MIN(1,AA177)))^2/$B$5))-(MAX(0,MIN(1,Z177))^2/(MAX(0,MIN(1,Z177))^2+(1-MAX(0,MIN(1,Z177)))^2/$B$5))))</f>
        <v>0.847319004808146</v>
      </c>
      <c r="AB178" s="16" t="n">
        <f aca="false">IF(ABS(AB177-$B$11/$B$9*((MAX(0,MIN(1,AB177))^2/(MAX(0,MIN(1,AB177))^2+(1-MAX(0,MIN(1,AB177)))^2/$B$5))-(MAX(0,MIN(1,AA177))^2/(MAX(0,MIN(1,AA177))^2+(1-MAX(0,MIN(1,AA177)))^2/$B$5))))&lt;0.000000001,0,AB177-$B$11/$B$9*((MAX(0,MIN(1,AB177))^2/(MAX(0,MIN(1,AB177))^2+(1-MAX(0,MIN(1,AB177)))^2/$B$5))-(MAX(0,MIN(1,AA177))^2/(MAX(0,MIN(1,AA177))^2+(1-MAX(0,MIN(1,AA177)))^2/$B$5))))</f>
        <v>0.840921620636868</v>
      </c>
      <c r="AC178" s="16" t="n">
        <f aca="false">IF(ABS(AC177-$B$11/$B$9*((MAX(0,MIN(1,AC177))^2/(MAX(0,MIN(1,AC177))^2+(1-MAX(0,MIN(1,AC177)))^2/$B$5))-(MAX(0,MIN(1,AB177))^2/(MAX(0,MIN(1,AB177))^2+(1-MAX(0,MIN(1,AB177)))^2/$B$5))))&lt;0.000000001,0,AC177-$B$11/$B$9*((MAX(0,MIN(1,AC177))^2/(MAX(0,MIN(1,AC177))^2+(1-MAX(0,MIN(1,AC177)))^2/$B$5))-(MAX(0,MIN(1,AB177))^2/(MAX(0,MIN(1,AB177))^2+(1-MAX(0,MIN(1,AB177)))^2/$B$5))))</f>
        <v>0.83472023411036</v>
      </c>
      <c r="AD178" s="16" t="n">
        <f aca="false">IF(ABS(AD177-$B$11/$B$9*((MAX(0,MIN(1,AD177))^2/(MAX(0,MIN(1,AD177))^2+(1-MAX(0,MIN(1,AD177)))^2/$B$5))-(MAX(0,MIN(1,AC177))^2/(MAX(0,MIN(1,AC177))^2+(1-MAX(0,MIN(1,AC177)))^2/$B$5))))&lt;0.000000001,0,AD177-$B$11/$B$9*((MAX(0,MIN(1,AD177))^2/(MAX(0,MIN(1,AD177))^2+(1-MAX(0,MIN(1,AD177)))^2/$B$5))-(MAX(0,MIN(1,AC177))^2/(MAX(0,MIN(1,AC177))^2+(1-MAX(0,MIN(1,AC177)))^2/$B$5))))</f>
        <v>0.828701085855958</v>
      </c>
      <c r="AE178" s="16" t="n">
        <f aca="false">IF(ABS(AE177-$B$11/$B$9*((MAX(0,MIN(1,AE177))^2/(MAX(0,MIN(1,AE177))^2+(1-MAX(0,MIN(1,AE177)))^2/$B$5))-(MAX(0,MIN(1,AD177))^2/(MAX(0,MIN(1,AD177))^2+(1-MAX(0,MIN(1,AD177)))^2/$B$5))))&lt;0.000000001,0,AE177-$B$11/$B$9*((MAX(0,MIN(1,AE177))^2/(MAX(0,MIN(1,AE177))^2+(1-MAX(0,MIN(1,AE177)))^2/$B$5))-(MAX(0,MIN(1,AD177))^2/(MAX(0,MIN(1,AD177))^2+(1-MAX(0,MIN(1,AD177)))^2/$B$5))))</f>
        <v>0.822851839363893</v>
      </c>
      <c r="AF178" s="16" t="n">
        <f aca="false">IF(ABS(AF177-$B$11/$B$9*((MAX(0,MIN(1,AF177))^2/(MAX(0,MIN(1,AF177))^2+(1-MAX(0,MIN(1,AF177)))^2/$B$5))-(MAX(0,MIN(1,AE177))^2/(MAX(0,MIN(1,AE177))^2+(1-MAX(0,MIN(1,AE177)))^2/$B$5))))&lt;0.000000001,0,AF177-$B$11/$B$9*((MAX(0,MIN(1,AF177))^2/(MAX(0,MIN(1,AF177))^2+(1-MAX(0,MIN(1,AF177)))^2/$B$5))-(MAX(0,MIN(1,AE177))^2/(MAX(0,MIN(1,AE177))^2+(1-MAX(0,MIN(1,AE177)))^2/$B$5))))</f>
        <v>0.817161378345206</v>
      </c>
    </row>
    <row r="179" customFormat="false" ht="15" hidden="false" customHeight="false" outlineLevel="0" collapsed="false">
      <c r="L179" s="0" t="n">
        <v>169</v>
      </c>
      <c r="M179" s="16" t="n">
        <f aca="false">IF(ABS(M178-$B$11/$B$9*((MAX(0,MIN(1,M178))^2/(MAX(0,MIN(1,M178))^2+(1-MAX(0,MIN(1,M178)))^2/$B$5))-(MAX(0,MIN(1,1))^2/(MAX(0,MIN(1,1))^2+(1-MAX(0,MIN(1,1)))^2/$B$5))))&lt;0.000000001,0,M178-$B$11/$B$9*((MAX(0,MIN(1,M178))^2/(MAX(0,MIN(1,M178))^2+(1-MAX(0,MIN(1,M178)))^2/$B$5))-(MAX(0,MIN(1,1))^2/(MAX(0,MIN(1,1))^2+(1-MAX(0,MIN(1,1)))^2/$B$5))))</f>
        <v>0.975146038054299</v>
      </c>
      <c r="N179" s="16" t="n">
        <f aca="false">IF(ABS(N178-$B$11/$B$9*((MAX(0,MIN(1,N178))^2/(MAX(0,MIN(1,N178))^2+(1-MAX(0,MIN(1,N178)))^2/$B$5))-(MAX(0,MIN(1,M178))^2/(MAX(0,MIN(1,M178))^2+(1-MAX(0,MIN(1,M178)))^2/$B$5))))&lt;0.000000001,0,N178-$B$11/$B$9*((MAX(0,MIN(1,N178))^2/(MAX(0,MIN(1,N178))^2+(1-MAX(0,MIN(1,N178)))^2/$B$5))-(MAX(0,MIN(1,M178))^2/(MAX(0,MIN(1,M178))^2+(1-MAX(0,MIN(1,M178)))^2/$B$5))))</f>
        <v>0.961099594040867</v>
      </c>
      <c r="O179" s="16" t="n">
        <f aca="false">IF(ABS(O178-$B$11/$B$9*((MAX(0,MIN(1,O178))^2/(MAX(0,MIN(1,O178))^2+(1-MAX(0,MIN(1,O178)))^2/$B$5))-(MAX(0,MIN(1,N178))^2/(MAX(0,MIN(1,N178))^2+(1-MAX(0,MIN(1,N178)))^2/$B$5))))&lt;0.000000001,0,O178-$B$11/$B$9*((MAX(0,MIN(1,O178))^2/(MAX(0,MIN(1,O178))^2+(1-MAX(0,MIN(1,O178)))^2/$B$5))-(MAX(0,MIN(1,N178))^2/(MAX(0,MIN(1,N178))^2+(1-MAX(0,MIN(1,N178)))^2/$B$5))))</f>
        <v>0.948843604169167</v>
      </c>
      <c r="P179" s="16" t="n">
        <f aca="false">IF(ABS(P178-$B$11/$B$9*((MAX(0,MIN(1,P178))^2/(MAX(0,MIN(1,P178))^2+(1-MAX(0,MIN(1,P178)))^2/$B$5))-(MAX(0,MIN(1,O178))^2/(MAX(0,MIN(1,O178))^2+(1-MAX(0,MIN(1,O178)))^2/$B$5))))&lt;0.000000001,0,P178-$B$11/$B$9*((MAX(0,MIN(1,P178))^2/(MAX(0,MIN(1,P178))^2+(1-MAX(0,MIN(1,P178)))^2/$B$5))-(MAX(0,MIN(1,O178))^2/(MAX(0,MIN(1,O178))^2+(1-MAX(0,MIN(1,O178)))^2/$B$5))))</f>
        <v>0.937669695455338</v>
      </c>
      <c r="Q179" s="16" t="n">
        <f aca="false">IF(ABS(Q178-$B$11/$B$9*((MAX(0,MIN(1,Q178))^2/(MAX(0,MIN(1,Q178))^2+(1-MAX(0,MIN(1,Q178)))^2/$B$5))-(MAX(0,MIN(1,P178))^2/(MAX(0,MIN(1,P178))^2+(1-MAX(0,MIN(1,P178)))^2/$B$5))))&lt;0.000000001,0,Q178-$B$11/$B$9*((MAX(0,MIN(1,Q178))^2/(MAX(0,MIN(1,Q178))^2+(1-MAX(0,MIN(1,Q178)))^2/$B$5))-(MAX(0,MIN(1,P178))^2/(MAX(0,MIN(1,P178))^2+(1-MAX(0,MIN(1,P178)))^2/$B$5))))</f>
        <v>0.927294395245293</v>
      </c>
      <c r="R179" s="16" t="n">
        <f aca="false">IF(ABS(R178-$B$11/$B$9*((MAX(0,MIN(1,R178))^2/(MAX(0,MIN(1,R178))^2+(1-MAX(0,MIN(1,R178)))^2/$B$5))-(MAX(0,MIN(1,Q178))^2/(MAX(0,MIN(1,Q178))^2+(1-MAX(0,MIN(1,Q178)))^2/$B$5))))&lt;0.000000001,0,R178-$B$11/$B$9*((MAX(0,MIN(1,R178))^2/(MAX(0,MIN(1,R178))^2+(1-MAX(0,MIN(1,R178)))^2/$B$5))-(MAX(0,MIN(1,Q178))^2/(MAX(0,MIN(1,Q178))^2+(1-MAX(0,MIN(1,Q178)))^2/$B$5))))</f>
        <v>0.917560485605213</v>
      </c>
      <c r="S179" s="16" t="n">
        <f aca="false">IF(ABS(S178-$B$11/$B$9*((MAX(0,MIN(1,S178))^2/(MAX(0,MIN(1,S178))^2+(1-MAX(0,MIN(1,S178)))^2/$B$5))-(MAX(0,MIN(1,R178))^2/(MAX(0,MIN(1,R178))^2+(1-MAX(0,MIN(1,R178)))^2/$B$5))))&lt;0.000000001,0,S178-$B$11/$B$9*((MAX(0,MIN(1,S178))^2/(MAX(0,MIN(1,S178))^2+(1-MAX(0,MIN(1,S178)))^2/$B$5))-(MAX(0,MIN(1,R178))^2/(MAX(0,MIN(1,R178))^2+(1-MAX(0,MIN(1,R178)))^2/$B$5))))</f>
        <v>0.908365281662454</v>
      </c>
      <c r="T179" s="16" t="n">
        <f aca="false">IF(ABS(T178-$B$11/$B$9*((MAX(0,MIN(1,T178))^2/(MAX(0,MIN(1,T178))^2+(1-MAX(0,MIN(1,T178)))^2/$B$5))-(MAX(0,MIN(1,S178))^2/(MAX(0,MIN(1,S178))^2+(1-MAX(0,MIN(1,S178)))^2/$B$5))))&lt;0.000000001,0,T178-$B$11/$B$9*((MAX(0,MIN(1,T178))^2/(MAX(0,MIN(1,T178))^2+(1-MAX(0,MIN(1,T178)))^2/$B$5))-(MAX(0,MIN(1,S178))^2/(MAX(0,MIN(1,S178))^2+(1-MAX(0,MIN(1,S178)))^2/$B$5))))</f>
        <v>0.899634987333932</v>
      </c>
      <c r="U179" s="16" t="n">
        <f aca="false">IF(ABS(U178-$B$11/$B$9*((MAX(0,MIN(1,U178))^2/(MAX(0,MIN(1,U178))^2+(1-MAX(0,MIN(1,U178)))^2/$B$5))-(MAX(0,MIN(1,T178))^2/(MAX(0,MIN(1,T178))^2+(1-MAX(0,MIN(1,T178)))^2/$B$5))))&lt;0.000000001,0,U178-$B$11/$B$9*((MAX(0,MIN(1,U178))^2/(MAX(0,MIN(1,U178))^2+(1-MAX(0,MIN(1,U178)))^2/$B$5))-(MAX(0,MIN(1,T178))^2/(MAX(0,MIN(1,T178))^2+(1-MAX(0,MIN(1,T178)))^2/$B$5))))</f>
        <v>0.891313243154247</v>
      </c>
      <c r="V179" s="16" t="n">
        <f aca="false">IF(ABS(V178-$B$11/$B$9*((MAX(0,MIN(1,V178))^2/(MAX(0,MIN(1,V178))^2+(1-MAX(0,MIN(1,V178)))^2/$B$5))-(MAX(0,MIN(1,U178))^2/(MAX(0,MIN(1,U178))^2+(1-MAX(0,MIN(1,U178)))^2/$B$5))))&lt;0.000000001,0,V178-$B$11/$B$9*((MAX(0,MIN(1,V178))^2/(MAX(0,MIN(1,V178))^2+(1-MAX(0,MIN(1,V178)))^2/$B$5))-(MAX(0,MIN(1,U178))^2/(MAX(0,MIN(1,U178))^2+(1-MAX(0,MIN(1,U178)))^2/$B$5))))</f>
        <v>0.883355201030489</v>
      </c>
      <c r="W179" s="16" t="n">
        <f aca="false">IF(ABS(W178-$B$11/$B$9*((MAX(0,MIN(1,W178))^2/(MAX(0,MIN(1,W178))^2+(1-MAX(0,MIN(1,W178)))^2/$B$5))-(MAX(0,MIN(1,V178))^2/(MAX(0,MIN(1,V178))^2+(1-MAX(0,MIN(1,V178)))^2/$B$5))))&lt;0.000000001,0,W178-$B$11/$B$9*((MAX(0,MIN(1,W178))^2/(MAX(0,MIN(1,W178))^2+(1-MAX(0,MIN(1,W178)))^2/$B$5))-(MAX(0,MIN(1,V178))^2/(MAX(0,MIN(1,V178))^2+(1-MAX(0,MIN(1,V178)))^2/$B$5))))</f>
        <v>0.875724116961188</v>
      </c>
      <c r="X179" s="16" t="n">
        <f aca="false">IF(ABS(X178-$B$11/$B$9*((MAX(0,MIN(1,X178))^2/(MAX(0,MIN(1,X178))^2+(1-MAX(0,MIN(1,X178)))^2/$B$5))-(MAX(0,MIN(1,W178))^2/(MAX(0,MIN(1,W178))^2+(1-MAX(0,MIN(1,W178)))^2/$B$5))))&lt;0.000000001,0,X178-$B$11/$B$9*((MAX(0,MIN(1,X178))^2/(MAX(0,MIN(1,X178))^2+(1-MAX(0,MIN(1,X178)))^2/$B$5))-(MAX(0,MIN(1,W178))^2/(MAX(0,MIN(1,W178))^2+(1-MAX(0,MIN(1,W178)))^2/$B$5))))</f>
        <v>0.868389229876541</v>
      </c>
      <c r="Y179" s="16" t="n">
        <f aca="false">IF(ABS(Y178-$B$11/$B$9*((MAX(0,MIN(1,Y178))^2/(MAX(0,MIN(1,Y178))^2+(1-MAX(0,MIN(1,Y178)))^2/$B$5))-(MAX(0,MIN(1,X178))^2/(MAX(0,MIN(1,X178))^2+(1-MAX(0,MIN(1,X178)))^2/$B$5))))&lt;0.000000001,0,Y178-$B$11/$B$9*((MAX(0,MIN(1,Y178))^2/(MAX(0,MIN(1,Y178))^2+(1-MAX(0,MIN(1,Y178)))^2/$B$5))-(MAX(0,MIN(1,X178))^2/(MAX(0,MIN(1,X178))^2+(1-MAX(0,MIN(1,X178)))^2/$B$5))))</f>
        <v>0.861324357645314</v>
      </c>
      <c r="Z179" s="16" t="n">
        <f aca="false">IF(ABS(Z178-$B$11/$B$9*((MAX(0,MIN(1,Z178))^2/(MAX(0,MIN(1,Z178))^2+(1-MAX(0,MIN(1,Z178)))^2/$B$5))-(MAX(0,MIN(1,Y178))^2/(MAX(0,MIN(1,Y178))^2+(1-MAX(0,MIN(1,Y178)))^2/$B$5))))&lt;0.000000001,0,Z178-$B$11/$B$9*((MAX(0,MIN(1,Z178))^2/(MAX(0,MIN(1,Z178))^2+(1-MAX(0,MIN(1,Z178)))^2/$B$5))-(MAX(0,MIN(1,Y178))^2/(MAX(0,MIN(1,Y178))^2+(1-MAX(0,MIN(1,Y178)))^2/$B$5))))</f>
        <v>0.854506921786207</v>
      </c>
      <c r="AA179" s="16" t="n">
        <f aca="false">IF(ABS(AA178-$B$11/$B$9*((MAX(0,MIN(1,AA178))^2/(MAX(0,MIN(1,AA178))^2+(1-MAX(0,MIN(1,AA178)))^2/$B$5))-(MAX(0,MIN(1,Z178))^2/(MAX(0,MIN(1,Z178))^2+(1-MAX(0,MIN(1,Z178)))^2/$B$5))))&lt;0.000000001,0,AA178-$B$11/$B$9*((MAX(0,MIN(1,AA178))^2/(MAX(0,MIN(1,AA178))^2+(1-MAX(0,MIN(1,AA178)))^2/$B$5))-(MAX(0,MIN(1,Z178))^2/(MAX(0,MIN(1,Z178))^2+(1-MAX(0,MIN(1,Z178)))^2/$B$5))))</f>
        <v>0.84791724329242</v>
      </c>
      <c r="AB179" s="16" t="n">
        <f aca="false">IF(ABS(AB178-$B$11/$B$9*((MAX(0,MIN(1,AB178))^2/(MAX(0,MIN(1,AB178))^2+(1-MAX(0,MIN(1,AB178)))^2/$B$5))-(MAX(0,MIN(1,AA178))^2/(MAX(0,MIN(1,AA178))^2+(1-MAX(0,MIN(1,AA178)))^2/$B$5))))&lt;0.000000001,0,AB178-$B$11/$B$9*((MAX(0,MIN(1,AB178))^2/(MAX(0,MIN(1,AB178))^2+(1-MAX(0,MIN(1,AB178)))^2/$B$5))-(MAX(0,MIN(1,AA178))^2/(MAX(0,MIN(1,AA178))^2+(1-MAX(0,MIN(1,AA178)))^2/$B$5))))</f>
        <v>0.841538018030965</v>
      </c>
      <c r="AC179" s="16" t="n">
        <f aca="false">IF(ABS(AC178-$B$11/$B$9*((MAX(0,MIN(1,AC178))^2/(MAX(0,MIN(1,AC178))^2+(1-MAX(0,MIN(1,AC178)))^2/$B$5))-(MAX(0,MIN(1,AB178))^2/(MAX(0,MIN(1,AB178))^2+(1-MAX(0,MIN(1,AB178)))^2/$B$5))))&lt;0.000000001,0,AC178-$B$11/$B$9*((MAX(0,MIN(1,AC178))^2/(MAX(0,MIN(1,AC178))^2+(1-MAX(0,MIN(1,AC178)))^2/$B$5))-(MAX(0,MIN(1,AB178))^2/(MAX(0,MIN(1,AB178))^2+(1-MAX(0,MIN(1,AB178)))^2/$B$5))))</f>
        <v>0.835353915750914</v>
      </c>
      <c r="AD179" s="16" t="n">
        <f aca="false">IF(ABS(AD178-$B$11/$B$9*((MAX(0,MIN(1,AD178))^2/(MAX(0,MIN(1,AD178))^2+(1-MAX(0,MIN(1,AD178)))^2/$B$5))-(MAX(0,MIN(1,AC178))^2/(MAX(0,MIN(1,AC178))^2+(1-MAX(0,MIN(1,AC178)))^2/$B$5))))&lt;0.000000001,0,AD178-$B$11/$B$9*((MAX(0,MIN(1,AD178))^2/(MAX(0,MIN(1,AD178))^2+(1-MAX(0,MIN(1,AD178)))^2/$B$5))-(MAX(0,MIN(1,AC178))^2/(MAX(0,MIN(1,AC178))^2+(1-MAX(0,MIN(1,AC178)))^2/$B$5))))</f>
        <v>0.829351266967679</v>
      </c>
      <c r="AE179" s="16" t="n">
        <f aca="false">IF(ABS(AE178-$B$11/$B$9*((MAX(0,MIN(1,AE178))^2/(MAX(0,MIN(1,AE178))^2+(1-MAX(0,MIN(1,AE178)))^2/$B$5))-(MAX(0,MIN(1,AD178))^2/(MAX(0,MIN(1,AD178))^2+(1-MAX(0,MIN(1,AD178)))^2/$B$5))))&lt;0.000000001,0,AE178-$B$11/$B$9*((MAX(0,MIN(1,AE178))^2/(MAX(0,MIN(1,AE178))^2+(1-MAX(0,MIN(1,AE178)))^2/$B$5))-(MAX(0,MIN(1,AD178))^2/(MAX(0,MIN(1,AD178))^2+(1-MAX(0,MIN(1,AD178)))^2/$B$5))))</f>
        <v>0.823517814048076</v>
      </c>
      <c r="AF179" s="16" t="n">
        <f aca="false">IF(ABS(AF178-$B$11/$B$9*((MAX(0,MIN(1,AF178))^2/(MAX(0,MIN(1,AF178))^2+(1-MAX(0,MIN(1,AF178)))^2/$B$5))-(MAX(0,MIN(1,AE178))^2/(MAX(0,MIN(1,AE178))^2+(1-MAX(0,MIN(1,AE178)))^2/$B$5))))&lt;0.000000001,0,AF178-$B$11/$B$9*((MAX(0,MIN(1,AF178))^2/(MAX(0,MIN(1,AF178))^2+(1-MAX(0,MIN(1,AF178)))^2/$B$5))-(MAX(0,MIN(1,AE178))^2/(MAX(0,MIN(1,AE178))^2+(1-MAX(0,MIN(1,AE178)))^2/$B$5))))</f>
        <v>0.817842510302027</v>
      </c>
    </row>
    <row r="180" customFormat="false" ht="15" hidden="false" customHeight="false" outlineLevel="0" collapsed="false">
      <c r="L180" s="0" t="n">
        <v>170</v>
      </c>
      <c r="M180" s="16" t="n">
        <f aca="false">IF(ABS(M179-$B$11/$B$9*((MAX(0,MIN(1,M179))^2/(MAX(0,MIN(1,M179))^2+(1-MAX(0,MIN(1,M179)))^2/$B$5))-(MAX(0,MIN(1,1))^2/(MAX(0,MIN(1,1))^2+(1-MAX(0,MIN(1,1)))^2/$B$5))))&lt;0.000000001,0,M179-$B$11/$B$9*((MAX(0,MIN(1,M179))^2/(MAX(0,MIN(1,M179))^2+(1-MAX(0,MIN(1,M179)))^2/$B$5))-(MAX(0,MIN(1,1))^2/(MAX(0,MIN(1,1))^2+(1-MAX(0,MIN(1,1)))^2/$B$5))))</f>
        <v>0.9752708949968</v>
      </c>
      <c r="N180" s="16" t="n">
        <f aca="false">IF(ABS(N179-$B$11/$B$9*((MAX(0,MIN(1,N179))^2/(MAX(0,MIN(1,N179))^2+(1-MAX(0,MIN(1,N179)))^2/$B$5))-(MAX(0,MIN(1,M179))^2/(MAX(0,MIN(1,M179))^2+(1-MAX(0,MIN(1,M179)))^2/$B$5))))&lt;0.000000001,0,N179-$B$11/$B$9*((MAX(0,MIN(1,N179))^2/(MAX(0,MIN(1,N179))^2+(1-MAX(0,MIN(1,N179)))^2/$B$5))-(MAX(0,MIN(1,M179))^2/(MAX(0,MIN(1,M179))^2+(1-MAX(0,MIN(1,M179)))^2/$B$5))))</f>
        <v>0.961289452275672</v>
      </c>
      <c r="O180" s="16" t="n">
        <f aca="false">IF(ABS(O179-$B$11/$B$9*((MAX(0,MIN(1,O179))^2/(MAX(0,MIN(1,O179))^2+(1-MAX(0,MIN(1,O179)))^2/$B$5))-(MAX(0,MIN(1,N179))^2/(MAX(0,MIN(1,N179))^2+(1-MAX(0,MIN(1,N179)))^2/$B$5))))&lt;0.000000001,0,O179-$B$11/$B$9*((MAX(0,MIN(1,O179))^2/(MAX(0,MIN(1,O179))^2+(1-MAX(0,MIN(1,O179)))^2/$B$5))-(MAX(0,MIN(1,N179))^2/(MAX(0,MIN(1,N179))^2+(1-MAX(0,MIN(1,N179)))^2/$B$5))))</f>
        <v>0.949086949984389</v>
      </c>
      <c r="P180" s="16" t="n">
        <f aca="false">IF(ABS(P179-$B$11/$B$9*((MAX(0,MIN(1,P179))^2/(MAX(0,MIN(1,P179))^2+(1-MAX(0,MIN(1,P179)))^2/$B$5))-(MAX(0,MIN(1,O179))^2/(MAX(0,MIN(1,O179))^2+(1-MAX(0,MIN(1,O179)))^2/$B$5))))&lt;0.000000001,0,P179-$B$11/$B$9*((MAX(0,MIN(1,P179))^2/(MAX(0,MIN(1,P179))^2+(1-MAX(0,MIN(1,P179)))^2/$B$5))-(MAX(0,MIN(1,O179))^2/(MAX(0,MIN(1,O179))^2+(1-MAX(0,MIN(1,O179)))^2/$B$5))))</f>
        <v>0.937959334250538</v>
      </c>
      <c r="Q180" s="16" t="n">
        <f aca="false">IF(ABS(Q179-$B$11/$B$9*((MAX(0,MIN(1,Q179))^2/(MAX(0,MIN(1,Q179))^2+(1-MAX(0,MIN(1,Q179)))^2/$B$5))-(MAX(0,MIN(1,P179))^2/(MAX(0,MIN(1,P179))^2+(1-MAX(0,MIN(1,P179)))^2/$B$5))))&lt;0.000000001,0,Q179-$B$11/$B$9*((MAX(0,MIN(1,Q179))^2/(MAX(0,MIN(1,Q179))^2+(1-MAX(0,MIN(1,Q179)))^2/$B$5))-(MAX(0,MIN(1,P179))^2/(MAX(0,MIN(1,P179))^2+(1-MAX(0,MIN(1,P179)))^2/$B$5))))</f>
        <v>0.927625032249375</v>
      </c>
      <c r="R180" s="16" t="n">
        <f aca="false">IF(ABS(R179-$B$11/$B$9*((MAX(0,MIN(1,R179))^2/(MAX(0,MIN(1,R179))^2+(1-MAX(0,MIN(1,R179)))^2/$B$5))-(MAX(0,MIN(1,Q179))^2/(MAX(0,MIN(1,Q179))^2+(1-MAX(0,MIN(1,Q179)))^2/$B$5))))&lt;0.000000001,0,R179-$B$11/$B$9*((MAX(0,MIN(1,R179))^2/(MAX(0,MIN(1,R179))^2+(1-MAX(0,MIN(1,R179)))^2/$B$5))-(MAX(0,MIN(1,Q179))^2/(MAX(0,MIN(1,Q179))^2+(1-MAX(0,MIN(1,Q179)))^2/$B$5))))</f>
        <v>0.917927950849432</v>
      </c>
      <c r="S180" s="16" t="n">
        <f aca="false">IF(ABS(S179-$B$11/$B$9*((MAX(0,MIN(1,S179))^2/(MAX(0,MIN(1,S179))^2+(1-MAX(0,MIN(1,S179)))^2/$B$5))-(MAX(0,MIN(1,R179))^2/(MAX(0,MIN(1,R179))^2+(1-MAX(0,MIN(1,R179)))^2/$B$5))))&lt;0.000000001,0,S179-$B$11/$B$9*((MAX(0,MIN(1,S179))^2/(MAX(0,MIN(1,S179))^2+(1-MAX(0,MIN(1,S179)))^2/$B$5))-(MAX(0,MIN(1,R179))^2/(MAX(0,MIN(1,R179))^2+(1-MAX(0,MIN(1,R179)))^2/$B$5))))</f>
        <v>0.90876616893006</v>
      </c>
      <c r="T180" s="16" t="n">
        <f aca="false">IF(ABS(T179-$B$11/$B$9*((MAX(0,MIN(1,T179))^2/(MAX(0,MIN(1,T179))^2+(1-MAX(0,MIN(1,T179)))^2/$B$5))-(MAX(0,MIN(1,S179))^2/(MAX(0,MIN(1,S179))^2+(1-MAX(0,MIN(1,S179)))^2/$B$5))))&lt;0.000000001,0,T179-$B$11/$B$9*((MAX(0,MIN(1,T179))^2/(MAX(0,MIN(1,T179))^2+(1-MAX(0,MIN(1,T179)))^2/$B$5))-(MAX(0,MIN(1,S179))^2/(MAX(0,MIN(1,S179))^2+(1-MAX(0,MIN(1,S179)))^2/$B$5))))</f>
        <v>0.900066449740389</v>
      </c>
      <c r="U180" s="16" t="n">
        <f aca="false">IF(ABS(U179-$B$11/$B$9*((MAX(0,MIN(1,U179))^2/(MAX(0,MIN(1,U179))^2+(1-MAX(0,MIN(1,U179)))^2/$B$5))-(MAX(0,MIN(1,T179))^2/(MAX(0,MIN(1,T179))^2+(1-MAX(0,MIN(1,T179)))^2/$B$5))))&lt;0.000000001,0,U179-$B$11/$B$9*((MAX(0,MIN(1,U179))^2/(MAX(0,MIN(1,U179))^2+(1-MAX(0,MIN(1,U179)))^2/$B$5))-(MAX(0,MIN(1,T179))^2/(MAX(0,MIN(1,T179))^2+(1-MAX(0,MIN(1,T179)))^2/$B$5))))</f>
        <v>0.891772863048954</v>
      </c>
      <c r="V180" s="16" t="n">
        <f aca="false">IF(ABS(V179-$B$11/$B$9*((MAX(0,MIN(1,V179))^2/(MAX(0,MIN(1,V179))^2+(1-MAX(0,MIN(1,V179)))^2/$B$5))-(MAX(0,MIN(1,U179))^2/(MAX(0,MIN(1,U179))^2+(1-MAX(0,MIN(1,U179)))^2/$B$5))))&lt;0.000000001,0,V179-$B$11/$B$9*((MAX(0,MIN(1,V179))^2/(MAX(0,MIN(1,V179))^2+(1-MAX(0,MIN(1,V179)))^2/$B$5))-(MAX(0,MIN(1,U179))^2/(MAX(0,MIN(1,U179))^2+(1-MAX(0,MIN(1,U179)))^2/$B$5))))</f>
        <v>0.883840900700146</v>
      </c>
      <c r="W180" s="16" t="n">
        <f aca="false">IF(ABS(W179-$B$11/$B$9*((MAX(0,MIN(1,W179))^2/(MAX(0,MIN(1,W179))^2+(1-MAX(0,MIN(1,W179)))^2/$B$5))-(MAX(0,MIN(1,V179))^2/(MAX(0,MIN(1,V179))^2+(1-MAX(0,MIN(1,V179)))^2/$B$5))))&lt;0.000000001,0,W179-$B$11/$B$9*((MAX(0,MIN(1,W179))^2/(MAX(0,MIN(1,W179))^2+(1-MAX(0,MIN(1,W179)))^2/$B$5))-(MAX(0,MIN(1,V179))^2/(MAX(0,MIN(1,V179))^2+(1-MAX(0,MIN(1,V179)))^2/$B$5))))</f>
        <v>0.876234094093379</v>
      </c>
      <c r="X180" s="16" t="n">
        <f aca="false">IF(ABS(X179-$B$11/$B$9*((MAX(0,MIN(1,X179))^2/(MAX(0,MIN(1,X179))^2+(1-MAX(0,MIN(1,X179)))^2/$B$5))-(MAX(0,MIN(1,W179))^2/(MAX(0,MIN(1,W179))^2+(1-MAX(0,MIN(1,W179)))^2/$B$5))))&lt;0.000000001,0,X179-$B$11/$B$9*((MAX(0,MIN(1,X179))^2/(MAX(0,MIN(1,X179))^2+(1-MAX(0,MIN(1,X179)))^2/$B$5))-(MAX(0,MIN(1,W179))^2/(MAX(0,MIN(1,W179))^2+(1-MAX(0,MIN(1,W179)))^2/$B$5))))</f>
        <v>0.868921909163903</v>
      </c>
      <c r="Y180" s="16" t="n">
        <f aca="false">IF(ABS(Y179-$B$11/$B$9*((MAX(0,MIN(1,Y179))^2/(MAX(0,MIN(1,Y179))^2+(1-MAX(0,MIN(1,Y179)))^2/$B$5))-(MAX(0,MIN(1,X179))^2/(MAX(0,MIN(1,X179))^2+(1-MAX(0,MIN(1,X179)))^2/$B$5))))&lt;0.000000001,0,Y179-$B$11/$B$9*((MAX(0,MIN(1,Y179))^2/(MAX(0,MIN(1,Y179))^2+(1-MAX(0,MIN(1,Y179)))^2/$B$5))-(MAX(0,MIN(1,X179))^2/(MAX(0,MIN(1,X179))^2+(1-MAX(0,MIN(1,X179)))^2/$B$5))))</f>
        <v>0.861878353480874</v>
      </c>
      <c r="Z180" s="16" t="n">
        <f aca="false">IF(ABS(Z179-$B$11/$B$9*((MAX(0,MIN(1,Z179))^2/(MAX(0,MIN(1,Z179))^2+(1-MAX(0,MIN(1,Z179)))^2/$B$5))-(MAX(0,MIN(1,Y179))^2/(MAX(0,MIN(1,Y179))^2+(1-MAX(0,MIN(1,Y179)))^2/$B$5))))&lt;0.000000001,0,Z179-$B$11/$B$9*((MAX(0,MIN(1,Z179))^2/(MAX(0,MIN(1,Z179))^2+(1-MAX(0,MIN(1,Z179)))^2/$B$5))-(MAX(0,MIN(1,Y179))^2/(MAX(0,MIN(1,Y179))^2+(1-MAX(0,MIN(1,Y179)))^2/$B$5))))</f>
        <v>0.855081008890174</v>
      </c>
      <c r="AA180" s="16" t="n">
        <f aca="false">IF(ABS(AA179-$B$11/$B$9*((MAX(0,MIN(1,AA179))^2/(MAX(0,MIN(1,AA179))^2+(1-MAX(0,MIN(1,AA179)))^2/$B$5))-(MAX(0,MIN(1,Z179))^2/(MAX(0,MIN(1,Z179))^2+(1-MAX(0,MIN(1,Z179)))^2/$B$5))))&lt;0.000000001,0,AA179-$B$11/$B$9*((MAX(0,MIN(1,AA179))^2/(MAX(0,MIN(1,AA179))^2+(1-MAX(0,MIN(1,AA179)))^2/$B$5))-(MAX(0,MIN(1,Z179))^2/(MAX(0,MIN(1,Z179))^2+(1-MAX(0,MIN(1,Z179)))^2/$B$5))))</f>
        <v>0.848510333189103</v>
      </c>
      <c r="AB180" s="16" t="n">
        <f aca="false">IF(ABS(AB179-$B$11/$B$9*((MAX(0,MIN(1,AB179))^2/(MAX(0,MIN(1,AB179))^2+(1-MAX(0,MIN(1,AB179)))^2/$B$5))-(MAX(0,MIN(1,AA179))^2/(MAX(0,MIN(1,AA179))^2+(1-MAX(0,MIN(1,AA179)))^2/$B$5))))&lt;0.000000001,0,AB179-$B$11/$B$9*((MAX(0,MIN(1,AB179))^2/(MAX(0,MIN(1,AB179))^2+(1-MAX(0,MIN(1,AB179)))^2/$B$5))-(MAX(0,MIN(1,AA179))^2/(MAX(0,MIN(1,AA179))^2+(1-MAX(0,MIN(1,AA179)))^2/$B$5))))</f>
        <v>0.842149139948126</v>
      </c>
      <c r="AC180" s="16" t="n">
        <f aca="false">IF(ABS(AC179-$B$11/$B$9*((MAX(0,MIN(1,AC179))^2/(MAX(0,MIN(1,AC179))^2+(1-MAX(0,MIN(1,AC179)))^2/$B$5))-(MAX(0,MIN(1,AB179))^2/(MAX(0,MIN(1,AB179))^2+(1-MAX(0,MIN(1,AB179)))^2/$B$5))))&lt;0.000000001,0,AC179-$B$11/$B$9*((MAX(0,MIN(1,AC179))^2/(MAX(0,MIN(1,AC179))^2+(1-MAX(0,MIN(1,AC179)))^2/$B$5))-(MAX(0,MIN(1,AB179))^2/(MAX(0,MIN(1,AB179))^2+(1-MAX(0,MIN(1,AB179)))^2/$B$5))))</f>
        <v>0.835982200929749</v>
      </c>
      <c r="AD180" s="16" t="n">
        <f aca="false">IF(ABS(AD179-$B$11/$B$9*((MAX(0,MIN(1,AD179))^2/(MAX(0,MIN(1,AD179))^2+(1-MAX(0,MIN(1,AD179)))^2/$B$5))-(MAX(0,MIN(1,AC179))^2/(MAX(0,MIN(1,AC179))^2+(1-MAX(0,MIN(1,AC179)))^2/$B$5))))&lt;0.000000001,0,AD179-$B$11/$B$9*((MAX(0,MIN(1,AD179))^2/(MAX(0,MIN(1,AD179))^2+(1-MAX(0,MIN(1,AD179)))^2/$B$5))-(MAX(0,MIN(1,AC179))^2/(MAX(0,MIN(1,AC179))^2+(1-MAX(0,MIN(1,AC179)))^2/$B$5))))</f>
        <v>0.829995935647142</v>
      </c>
      <c r="AE180" s="16" t="n">
        <f aca="false">IF(ABS(AE179-$B$11/$B$9*((MAX(0,MIN(1,AE179))^2/(MAX(0,MIN(1,AE179))^2+(1-MAX(0,MIN(1,AE179)))^2/$B$5))-(MAX(0,MIN(1,AD179))^2/(MAX(0,MIN(1,AD179))^2+(1-MAX(0,MIN(1,AD179)))^2/$B$5))))&lt;0.000000001,0,AE179-$B$11/$B$9*((MAX(0,MIN(1,AE179))^2/(MAX(0,MIN(1,AE179))^2+(1-MAX(0,MIN(1,AE179)))^2/$B$5))-(MAX(0,MIN(1,AD179))^2/(MAX(0,MIN(1,AD179))^2+(1-MAX(0,MIN(1,AD179)))^2/$B$5))))</f>
        <v>0.824178164575835</v>
      </c>
      <c r="AF180" s="16" t="n">
        <f aca="false">IF(ABS(AF179-$B$11/$B$9*((MAX(0,MIN(1,AF179))^2/(MAX(0,MIN(1,AF179))^2+(1-MAX(0,MIN(1,AF179)))^2/$B$5))-(MAX(0,MIN(1,AE179))^2/(MAX(0,MIN(1,AE179))^2+(1-MAX(0,MIN(1,AE179)))^2/$B$5))))&lt;0.000000001,0,AF179-$B$11/$B$9*((MAX(0,MIN(1,AF179))^2/(MAX(0,MIN(1,AF179))^2+(1-MAX(0,MIN(1,AF179)))^2/$B$5))-(MAX(0,MIN(1,AE179))^2/(MAX(0,MIN(1,AE179))^2+(1-MAX(0,MIN(1,AE179)))^2/$B$5))))</f>
        <v>0.818517909957054</v>
      </c>
    </row>
    <row r="181" customFormat="false" ht="15" hidden="false" customHeight="false" outlineLevel="0" collapsed="false">
      <c r="L181" s="0" t="n">
        <v>171</v>
      </c>
      <c r="M181" s="16" t="n">
        <f aca="false">IF(ABS(M180-$B$11/$B$9*((MAX(0,MIN(1,M180))^2/(MAX(0,MIN(1,M180))^2+(1-MAX(0,MIN(1,M180)))^2/$B$5))-(MAX(0,MIN(1,1))^2/(MAX(0,MIN(1,1))^2+(1-MAX(0,MIN(1,1)))^2/$B$5))))&lt;0.000000001,0,M180-$B$11/$B$9*((MAX(0,MIN(1,M180))^2/(MAX(0,MIN(1,M180))^2+(1-MAX(0,MIN(1,M180)))^2/$B$5))-(MAX(0,MIN(1,1))^2/(MAX(0,MIN(1,1))^2+(1-MAX(0,MIN(1,1)))^2/$B$5))))</f>
        <v>0.975394469387437</v>
      </c>
      <c r="N181" s="16" t="n">
        <f aca="false">IF(ABS(N180-$B$11/$B$9*((MAX(0,MIN(1,N180))^2/(MAX(0,MIN(1,N180))^2+(1-MAX(0,MIN(1,N180)))^2/$B$5))-(MAX(0,MIN(1,M180))^2/(MAX(0,MIN(1,M180))^2+(1-MAX(0,MIN(1,M180)))^2/$B$5))))&lt;0.000000001,0,N180-$B$11/$B$9*((MAX(0,MIN(1,N180))^2/(MAX(0,MIN(1,N180))^2+(1-MAX(0,MIN(1,N180)))^2/$B$5))-(MAX(0,MIN(1,M180))^2/(MAX(0,MIN(1,M180))^2+(1-MAX(0,MIN(1,M180)))^2/$B$5))))</f>
        <v>0.96147740803673</v>
      </c>
      <c r="O181" s="16" t="n">
        <f aca="false">IF(ABS(O180-$B$11/$B$9*((MAX(0,MIN(1,O180))^2/(MAX(0,MIN(1,O180))^2+(1-MAX(0,MIN(1,O180)))^2/$B$5))-(MAX(0,MIN(1,N180))^2/(MAX(0,MIN(1,N180))^2+(1-MAX(0,MIN(1,N180)))^2/$B$5))))&lt;0.000000001,0,O180-$B$11/$B$9*((MAX(0,MIN(1,O180))^2/(MAX(0,MIN(1,O180))^2+(1-MAX(0,MIN(1,O180)))^2/$B$5))-(MAX(0,MIN(1,N180))^2/(MAX(0,MIN(1,N180))^2+(1-MAX(0,MIN(1,N180)))^2/$B$5))))</f>
        <v>0.949327908769611</v>
      </c>
      <c r="P181" s="16" t="n">
        <f aca="false">IF(ABS(P180-$B$11/$B$9*((MAX(0,MIN(1,P180))^2/(MAX(0,MIN(1,P180))^2+(1-MAX(0,MIN(1,P180)))^2/$B$5))-(MAX(0,MIN(1,O180))^2/(MAX(0,MIN(1,O180))^2+(1-MAX(0,MIN(1,O180)))^2/$B$5))))&lt;0.000000001,0,P180-$B$11/$B$9*((MAX(0,MIN(1,P180))^2/(MAX(0,MIN(1,P180))^2+(1-MAX(0,MIN(1,P180)))^2/$B$5))-(MAX(0,MIN(1,O180))^2/(MAX(0,MIN(1,O180))^2+(1-MAX(0,MIN(1,O180)))^2/$B$5))))</f>
        <v>0.938246184848319</v>
      </c>
      <c r="Q181" s="16" t="n">
        <f aca="false">IF(ABS(Q180-$B$11/$B$9*((MAX(0,MIN(1,Q180))^2/(MAX(0,MIN(1,Q180))^2+(1-MAX(0,MIN(1,Q180)))^2/$B$5))-(MAX(0,MIN(1,P180))^2/(MAX(0,MIN(1,P180))^2+(1-MAX(0,MIN(1,P180)))^2/$B$5))))&lt;0.000000001,0,Q180-$B$11/$B$9*((MAX(0,MIN(1,Q180))^2/(MAX(0,MIN(1,Q180))^2+(1-MAX(0,MIN(1,Q180)))^2/$B$5))-(MAX(0,MIN(1,P180))^2/(MAX(0,MIN(1,P180))^2+(1-MAX(0,MIN(1,P180)))^2/$B$5))))</f>
        <v>0.927952539379455</v>
      </c>
      <c r="R181" s="16" t="n">
        <f aca="false">IF(ABS(R180-$B$11/$B$9*((MAX(0,MIN(1,R180))^2/(MAX(0,MIN(1,R180))^2+(1-MAX(0,MIN(1,R180)))^2/$B$5))-(MAX(0,MIN(1,Q180))^2/(MAX(0,MIN(1,Q180))^2+(1-MAX(0,MIN(1,Q180)))^2/$B$5))))&lt;0.000000001,0,R180-$B$11/$B$9*((MAX(0,MIN(1,R180))^2/(MAX(0,MIN(1,R180))^2+(1-MAX(0,MIN(1,R180)))^2/$B$5))-(MAX(0,MIN(1,Q180))^2/(MAX(0,MIN(1,Q180))^2+(1-MAX(0,MIN(1,Q180)))^2/$B$5))))</f>
        <v>0.918291989686258</v>
      </c>
      <c r="S181" s="16" t="n">
        <f aca="false">IF(ABS(S180-$B$11/$B$9*((MAX(0,MIN(1,S180))^2/(MAX(0,MIN(1,S180))^2+(1-MAX(0,MIN(1,S180)))^2/$B$5))-(MAX(0,MIN(1,R180))^2/(MAX(0,MIN(1,R180))^2+(1-MAX(0,MIN(1,R180)))^2/$B$5))))&lt;0.000000001,0,S180-$B$11/$B$9*((MAX(0,MIN(1,S180))^2/(MAX(0,MIN(1,S180))^2+(1-MAX(0,MIN(1,S180)))^2/$B$5))-(MAX(0,MIN(1,R180))^2/(MAX(0,MIN(1,R180))^2+(1-MAX(0,MIN(1,R180)))^2/$B$5))))</f>
        <v>0.909163368703272</v>
      </c>
      <c r="T181" s="16" t="n">
        <f aca="false">IF(ABS(T180-$B$11/$B$9*((MAX(0,MIN(1,T180))^2/(MAX(0,MIN(1,T180))^2+(1-MAX(0,MIN(1,T180)))^2/$B$5))-(MAX(0,MIN(1,S180))^2/(MAX(0,MIN(1,S180))^2+(1-MAX(0,MIN(1,S180)))^2/$B$5))))&lt;0.000000001,0,T180-$B$11/$B$9*((MAX(0,MIN(1,T180))^2/(MAX(0,MIN(1,T180))^2+(1-MAX(0,MIN(1,T180)))^2/$B$5))-(MAX(0,MIN(1,S180))^2/(MAX(0,MIN(1,S180))^2+(1-MAX(0,MIN(1,S180)))^2/$B$5))))</f>
        <v>0.900493992018381</v>
      </c>
      <c r="U181" s="16" t="n">
        <f aca="false">IF(ABS(U180-$B$11/$B$9*((MAX(0,MIN(1,U180))^2/(MAX(0,MIN(1,U180))^2+(1-MAX(0,MIN(1,U180)))^2/$B$5))-(MAX(0,MIN(1,T180))^2/(MAX(0,MIN(1,T180))^2+(1-MAX(0,MIN(1,T180)))^2/$B$5))))&lt;0.000000001,0,U180-$B$11/$B$9*((MAX(0,MIN(1,U180))^2/(MAX(0,MIN(1,U180))^2+(1-MAX(0,MIN(1,U180)))^2/$B$5))-(MAX(0,MIN(1,T180))^2/(MAX(0,MIN(1,T180))^2+(1-MAX(0,MIN(1,T180)))^2/$B$5))))</f>
        <v>0.892228353379917</v>
      </c>
      <c r="V181" s="16" t="n">
        <f aca="false">IF(ABS(V180-$B$11/$B$9*((MAX(0,MIN(1,V180))^2/(MAX(0,MIN(1,V180))^2+(1-MAX(0,MIN(1,V180)))^2/$B$5))-(MAX(0,MIN(1,U180))^2/(MAX(0,MIN(1,U180))^2+(1-MAX(0,MIN(1,U180)))^2/$B$5))))&lt;0.000000001,0,V180-$B$11/$B$9*((MAX(0,MIN(1,V180))^2/(MAX(0,MIN(1,V180))^2+(1-MAX(0,MIN(1,V180)))^2/$B$5))-(MAX(0,MIN(1,U180))^2/(MAX(0,MIN(1,U180))^2+(1-MAX(0,MIN(1,U180)))^2/$B$5))))</f>
        <v>0.884322280508561</v>
      </c>
      <c r="W181" s="16" t="n">
        <f aca="false">IF(ABS(W180-$B$11/$B$9*((MAX(0,MIN(1,W180))^2/(MAX(0,MIN(1,W180))^2+(1-MAX(0,MIN(1,W180)))^2/$B$5))-(MAX(0,MIN(1,V180))^2/(MAX(0,MIN(1,V180))^2+(1-MAX(0,MIN(1,V180)))^2/$B$5))))&lt;0.000000001,0,W180-$B$11/$B$9*((MAX(0,MIN(1,W180))^2/(MAX(0,MIN(1,W180))^2+(1-MAX(0,MIN(1,W180)))^2/$B$5))-(MAX(0,MIN(1,V180))^2/(MAX(0,MIN(1,V180))^2+(1-MAX(0,MIN(1,V180)))^2/$B$5))))</f>
        <v>0.876739576998381</v>
      </c>
      <c r="X181" s="16" t="n">
        <f aca="false">IF(ABS(X180-$B$11/$B$9*((MAX(0,MIN(1,X180))^2/(MAX(0,MIN(1,X180))^2+(1-MAX(0,MIN(1,X180)))^2/$B$5))-(MAX(0,MIN(1,W180))^2/(MAX(0,MIN(1,W180))^2+(1-MAX(0,MIN(1,W180)))^2/$B$5))))&lt;0.000000001,0,X180-$B$11/$B$9*((MAX(0,MIN(1,X180))^2/(MAX(0,MIN(1,X180))^2+(1-MAX(0,MIN(1,X180)))^2/$B$5))-(MAX(0,MIN(1,W180))^2/(MAX(0,MIN(1,W180))^2+(1-MAX(0,MIN(1,W180)))^2/$B$5))))</f>
        <v>0.869449933215342</v>
      </c>
      <c r="Y181" s="16" t="n">
        <f aca="false">IF(ABS(Y180-$B$11/$B$9*((MAX(0,MIN(1,Y180))^2/(MAX(0,MIN(1,Y180))^2+(1-MAX(0,MIN(1,Y180)))^2/$B$5))-(MAX(0,MIN(1,X180))^2/(MAX(0,MIN(1,X180))^2+(1-MAX(0,MIN(1,X180)))^2/$B$5))))&lt;0.000000001,0,Y180-$B$11/$B$9*((MAX(0,MIN(1,Y180))^2/(MAX(0,MIN(1,Y180))^2+(1-MAX(0,MIN(1,Y180)))^2/$B$5))-(MAX(0,MIN(1,X180))^2/(MAX(0,MIN(1,X180))^2+(1-MAX(0,MIN(1,X180)))^2/$B$5))))</f>
        <v>0.862427544332948</v>
      </c>
      <c r="Z181" s="16" t="n">
        <f aca="false">IF(ABS(Z180-$B$11/$B$9*((MAX(0,MIN(1,Z180))^2/(MAX(0,MIN(1,Z180))^2+(1-MAX(0,MIN(1,Z180)))^2/$B$5))-(MAX(0,MIN(1,Y180))^2/(MAX(0,MIN(1,Y180))^2+(1-MAX(0,MIN(1,Y180)))^2/$B$5))))&lt;0.000000001,0,Z180-$B$11/$B$9*((MAX(0,MIN(1,Z180))^2/(MAX(0,MIN(1,Z180))^2+(1-MAX(0,MIN(1,Z180)))^2/$B$5))-(MAX(0,MIN(1,Y180))^2/(MAX(0,MIN(1,Y180))^2+(1-MAX(0,MIN(1,Y180)))^2/$B$5))))</f>
        <v>0.85565015079707</v>
      </c>
      <c r="AA181" s="16" t="n">
        <f aca="false">IF(ABS(AA180-$B$11/$B$9*((MAX(0,MIN(1,AA180))^2/(MAX(0,MIN(1,AA180))^2+(1-MAX(0,MIN(1,AA180)))^2/$B$5))-(MAX(0,MIN(1,Z180))^2/(MAX(0,MIN(1,Z180))^2+(1-MAX(0,MIN(1,Z180)))^2/$B$5))))&lt;0.000000001,0,AA180-$B$11/$B$9*((MAX(0,MIN(1,AA180))^2/(MAX(0,MIN(1,AA180))^2+(1-MAX(0,MIN(1,AA180)))^2/$B$5))-(MAX(0,MIN(1,Z180))^2/(MAX(0,MIN(1,Z180))^2+(1-MAX(0,MIN(1,Z180)))^2/$B$5))))</f>
        <v>0.849098345770699</v>
      </c>
      <c r="AB181" s="16" t="n">
        <f aca="false">IF(ABS(AB180-$B$11/$B$9*((MAX(0,MIN(1,AB180))^2/(MAX(0,MIN(1,AB180))^2+(1-MAX(0,MIN(1,AB180)))^2/$B$5))-(MAX(0,MIN(1,AA180))^2/(MAX(0,MIN(1,AA180))^2+(1-MAX(0,MIN(1,AA180)))^2/$B$5))))&lt;0.000000001,0,AB180-$B$11/$B$9*((MAX(0,MIN(1,AB180))^2/(MAX(0,MIN(1,AB180))^2+(1-MAX(0,MIN(1,AB180)))^2/$B$5))-(MAX(0,MIN(1,AA180))^2/(MAX(0,MIN(1,AA180))^2+(1-MAX(0,MIN(1,AA180)))^2/$B$5))))</f>
        <v>0.842755059318258</v>
      </c>
      <c r="AC181" s="16" t="n">
        <f aca="false">IF(ABS(AC180-$B$11/$B$9*((MAX(0,MIN(1,AC180))^2/(MAX(0,MIN(1,AC180))^2+(1-MAX(0,MIN(1,AC180)))^2/$B$5))-(MAX(0,MIN(1,AB180))^2/(MAX(0,MIN(1,AB180))^2+(1-MAX(0,MIN(1,AB180)))^2/$B$5))))&lt;0.000000001,0,AC180-$B$11/$B$9*((MAX(0,MIN(1,AC180))^2/(MAX(0,MIN(1,AC180))^2+(1-MAX(0,MIN(1,AC180)))^2/$B$5))-(MAX(0,MIN(1,AB180))^2/(MAX(0,MIN(1,AB180))^2+(1-MAX(0,MIN(1,AB180)))^2/$B$5))))</f>
        <v>0.836605164189601</v>
      </c>
      <c r="AD181" s="16" t="n">
        <f aca="false">IF(ABS(AD180-$B$11/$B$9*((MAX(0,MIN(1,AD180))^2/(MAX(0,MIN(1,AD180))^2+(1-MAX(0,MIN(1,AD180)))^2/$B$5))-(MAX(0,MIN(1,AC180))^2/(MAX(0,MIN(1,AC180))^2+(1-MAX(0,MIN(1,AC180)))^2/$B$5))))&lt;0.000000001,0,AD180-$B$11/$B$9*((MAX(0,MIN(1,AD180))^2/(MAX(0,MIN(1,AD180))^2+(1-MAX(0,MIN(1,AD180)))^2/$B$5))-(MAX(0,MIN(1,AC180))^2/(MAX(0,MIN(1,AC180))^2+(1-MAX(0,MIN(1,AC180)))^2/$B$5))))</f>
        <v>0.830635168017809</v>
      </c>
      <c r="AE181" s="16" t="n">
        <f aca="false">IF(ABS(AE180-$B$11/$B$9*((MAX(0,MIN(1,AE180))^2/(MAX(0,MIN(1,AE180))^2+(1-MAX(0,MIN(1,AE180)))^2/$B$5))-(MAX(0,MIN(1,AD180))^2/(MAX(0,MIN(1,AD180))^2+(1-MAX(0,MIN(1,AD180)))^2/$B$5))))&lt;0.000000001,0,AE180-$B$11/$B$9*((MAX(0,MIN(1,AE180))^2/(MAX(0,MIN(1,AE180))^2+(1-MAX(0,MIN(1,AE180)))^2/$B$5))-(MAX(0,MIN(1,AD180))^2/(MAX(0,MIN(1,AD180))^2+(1-MAX(0,MIN(1,AD180)))^2/$B$5))))</f>
        <v>0.824832968630009</v>
      </c>
      <c r="AF181" s="16" t="n">
        <f aca="false">IF(ABS(AF180-$B$11/$B$9*((MAX(0,MIN(1,AF180))^2/(MAX(0,MIN(1,AF180))^2+(1-MAX(0,MIN(1,AF180)))^2/$B$5))-(MAX(0,MIN(1,AE180))^2/(MAX(0,MIN(1,AE180))^2+(1-MAX(0,MIN(1,AE180)))^2/$B$5))))&lt;0.000000001,0,AF180-$B$11/$B$9*((MAX(0,MIN(1,AF180))^2/(MAX(0,MIN(1,AF180))^2+(1-MAX(0,MIN(1,AF180)))^2/$B$5))-(MAX(0,MIN(1,AE180))^2/(MAX(0,MIN(1,AE180))^2+(1-MAX(0,MIN(1,AE180)))^2/$B$5))))</f>
        <v>0.81918765654057</v>
      </c>
    </row>
    <row r="182" customFormat="false" ht="15" hidden="false" customHeight="false" outlineLevel="0" collapsed="false">
      <c r="L182" s="0" t="n">
        <v>172</v>
      </c>
      <c r="M182" s="16" t="n">
        <f aca="false">IF(ABS(M181-$B$11/$B$9*((MAX(0,MIN(1,M181))^2/(MAX(0,MIN(1,M181))^2+(1-MAX(0,MIN(1,M181)))^2/$B$5))-(MAX(0,MIN(1,1))^2/(MAX(0,MIN(1,1))^2+(1-MAX(0,MIN(1,1)))^2/$B$5))))&lt;0.000000001,0,M181-$B$11/$B$9*((MAX(0,MIN(1,M181))^2/(MAX(0,MIN(1,M181))^2+(1-MAX(0,MIN(1,M181)))^2/$B$5))-(MAX(0,MIN(1,1))^2/(MAX(0,MIN(1,1))^2+(1-MAX(0,MIN(1,1)))^2/$B$5))))</f>
        <v>0.975516781235044</v>
      </c>
      <c r="N182" s="16" t="n">
        <f aca="false">IF(ABS(N181-$B$11/$B$9*((MAX(0,MIN(1,N181))^2/(MAX(0,MIN(1,N181))^2+(1-MAX(0,MIN(1,N181)))^2/$B$5))-(MAX(0,MIN(1,M181))^2/(MAX(0,MIN(1,M181))^2+(1-MAX(0,MIN(1,M181)))^2/$B$5))))&lt;0.000000001,0,N181-$B$11/$B$9*((MAX(0,MIN(1,N181))^2/(MAX(0,MIN(1,N181))^2+(1-MAX(0,MIN(1,N181)))^2/$B$5))-(MAX(0,MIN(1,M181))^2/(MAX(0,MIN(1,M181))^2+(1-MAX(0,MIN(1,M181)))^2/$B$5))))</f>
        <v>0.961663490377962</v>
      </c>
      <c r="O182" s="16" t="n">
        <f aca="false">IF(ABS(O181-$B$11/$B$9*((MAX(0,MIN(1,O181))^2/(MAX(0,MIN(1,O181))^2+(1-MAX(0,MIN(1,O181)))^2/$B$5))-(MAX(0,MIN(1,N181))^2/(MAX(0,MIN(1,N181))^2+(1-MAX(0,MIN(1,N181)))^2/$B$5))))&lt;0.000000001,0,O181-$B$11/$B$9*((MAX(0,MIN(1,O181))^2/(MAX(0,MIN(1,O181))^2+(1-MAX(0,MIN(1,O181)))^2/$B$5))-(MAX(0,MIN(1,N181))^2/(MAX(0,MIN(1,N181))^2+(1-MAX(0,MIN(1,N181)))^2/$B$5))))</f>
        <v>0.949566516342296</v>
      </c>
      <c r="P182" s="16" t="n">
        <f aca="false">IF(ABS(P181-$B$11/$B$9*((MAX(0,MIN(1,P181))^2/(MAX(0,MIN(1,P181))^2+(1-MAX(0,MIN(1,P181)))^2/$B$5))-(MAX(0,MIN(1,O181))^2/(MAX(0,MIN(1,O181))^2+(1-MAX(0,MIN(1,O181)))^2/$B$5))))&lt;0.000000001,0,P181-$B$11/$B$9*((MAX(0,MIN(1,P181))^2/(MAX(0,MIN(1,P181))^2+(1-MAX(0,MIN(1,P181)))^2/$B$5))-(MAX(0,MIN(1,O181))^2/(MAX(0,MIN(1,O181))^2+(1-MAX(0,MIN(1,O181)))^2/$B$5))))</f>
        <v>0.93853028846532</v>
      </c>
      <c r="Q182" s="16" t="n">
        <f aca="false">IF(ABS(Q181-$B$11/$B$9*((MAX(0,MIN(1,Q181))^2/(MAX(0,MIN(1,Q181))^2+(1-MAX(0,MIN(1,Q181)))^2/$B$5))-(MAX(0,MIN(1,P181))^2/(MAX(0,MIN(1,P181))^2+(1-MAX(0,MIN(1,P181)))^2/$B$5))))&lt;0.000000001,0,Q181-$B$11/$B$9*((MAX(0,MIN(1,Q181))^2/(MAX(0,MIN(1,Q181))^2+(1-MAX(0,MIN(1,Q181)))^2/$B$5))-(MAX(0,MIN(1,P181))^2/(MAX(0,MIN(1,P181))^2+(1-MAX(0,MIN(1,P181)))^2/$B$5))))</f>
        <v>0.928276962314756</v>
      </c>
      <c r="R182" s="16" t="n">
        <f aca="false">IF(ABS(R181-$B$11/$B$9*((MAX(0,MIN(1,R181))^2/(MAX(0,MIN(1,R181))^2+(1-MAX(0,MIN(1,R181)))^2/$B$5))-(MAX(0,MIN(1,Q181))^2/(MAX(0,MIN(1,Q181))^2+(1-MAX(0,MIN(1,Q181)))^2/$B$5))))&lt;0.000000001,0,R181-$B$11/$B$9*((MAX(0,MIN(1,R181))^2/(MAX(0,MIN(1,R181))^2+(1-MAX(0,MIN(1,R181)))^2/$B$5))-(MAX(0,MIN(1,Q181))^2/(MAX(0,MIN(1,Q181))^2+(1-MAX(0,MIN(1,Q181)))^2/$B$5))))</f>
        <v>0.918652651575501</v>
      </c>
      <c r="S182" s="16" t="n">
        <f aca="false">IF(ABS(S181-$B$11/$B$9*((MAX(0,MIN(1,S181))^2/(MAX(0,MIN(1,S181))^2+(1-MAX(0,MIN(1,S181)))^2/$B$5))-(MAX(0,MIN(1,R181))^2/(MAX(0,MIN(1,R181))^2+(1-MAX(0,MIN(1,R181)))^2/$B$5))))&lt;0.000000001,0,S181-$B$11/$B$9*((MAX(0,MIN(1,S181))^2/(MAX(0,MIN(1,S181))^2+(1-MAX(0,MIN(1,S181)))^2/$B$5))-(MAX(0,MIN(1,R181))^2/(MAX(0,MIN(1,R181))^2+(1-MAX(0,MIN(1,R181)))^2/$B$5))))</f>
        <v>0.909556933709177</v>
      </c>
      <c r="T182" s="16" t="n">
        <f aca="false">IF(ABS(T181-$B$11/$B$9*((MAX(0,MIN(1,T181))^2/(MAX(0,MIN(1,T181))^2+(1-MAX(0,MIN(1,T181)))^2/$B$5))-(MAX(0,MIN(1,S181))^2/(MAX(0,MIN(1,S181))^2+(1-MAX(0,MIN(1,S181)))^2/$B$5))))&lt;0.000000001,0,T181-$B$11/$B$9*((MAX(0,MIN(1,T181))^2/(MAX(0,MIN(1,T181))^2+(1-MAX(0,MIN(1,T181)))^2/$B$5))-(MAX(0,MIN(1,S181))^2/(MAX(0,MIN(1,S181))^2+(1-MAX(0,MIN(1,S181)))^2/$B$5))))</f>
        <v>0.900917669767604</v>
      </c>
      <c r="U182" s="16" t="n">
        <f aca="false">IF(ABS(U181-$B$11/$B$9*((MAX(0,MIN(1,U181))^2/(MAX(0,MIN(1,U181))^2+(1-MAX(0,MIN(1,U181)))^2/$B$5))-(MAX(0,MIN(1,T181))^2/(MAX(0,MIN(1,T181))^2+(1-MAX(0,MIN(1,T181)))^2/$B$5))))&lt;0.000000001,0,U181-$B$11/$B$9*((MAX(0,MIN(1,U181))^2/(MAX(0,MIN(1,U181))^2+(1-MAX(0,MIN(1,U181)))^2/$B$5))-(MAX(0,MIN(1,T181))^2/(MAX(0,MIN(1,T181))^2+(1-MAX(0,MIN(1,T181)))^2/$B$5))))</f>
        <v>0.892679772311555</v>
      </c>
      <c r="V182" s="16" t="n">
        <f aca="false">IF(ABS(V181-$B$11/$B$9*((MAX(0,MIN(1,V181))^2/(MAX(0,MIN(1,V181))^2+(1-MAX(0,MIN(1,V181)))^2/$B$5))-(MAX(0,MIN(1,U181))^2/(MAX(0,MIN(1,U181))^2+(1-MAX(0,MIN(1,U181)))^2/$B$5))))&lt;0.000000001,0,V181-$B$11/$B$9*((MAX(0,MIN(1,V181))^2/(MAX(0,MIN(1,V181))^2+(1-MAX(0,MIN(1,V181)))^2/$B$5))-(MAX(0,MIN(1,U181))^2/(MAX(0,MIN(1,U181))^2+(1-MAX(0,MIN(1,U181)))^2/$B$5))))</f>
        <v>0.884799400942244</v>
      </c>
      <c r="W182" s="16" t="n">
        <f aca="false">IF(ABS(W181-$B$11/$B$9*((MAX(0,MIN(1,W181))^2/(MAX(0,MIN(1,W181))^2+(1-MAX(0,MIN(1,W181)))^2/$B$5))-(MAX(0,MIN(1,V181))^2/(MAX(0,MIN(1,V181))^2+(1-MAX(0,MIN(1,V181)))^2/$B$5))))&lt;0.000000001,0,W181-$B$11/$B$9*((MAX(0,MIN(1,W181))^2/(MAX(0,MIN(1,W181))^2+(1-MAX(0,MIN(1,W181)))^2/$B$5))-(MAX(0,MIN(1,V181))^2/(MAX(0,MIN(1,V181))^2+(1-MAX(0,MIN(1,V181)))^2/$B$5))))</f>
        <v>0.877240628292348</v>
      </c>
      <c r="X182" s="16" t="n">
        <f aca="false">IF(ABS(X181-$B$11/$B$9*((MAX(0,MIN(1,X181))^2/(MAX(0,MIN(1,X181))^2+(1-MAX(0,MIN(1,X181)))^2/$B$5))-(MAX(0,MIN(1,W181))^2/(MAX(0,MIN(1,W181))^2+(1-MAX(0,MIN(1,W181)))^2/$B$5))))&lt;0.000000001,0,X181-$B$11/$B$9*((MAX(0,MIN(1,X181))^2/(MAX(0,MIN(1,X181))^2+(1-MAX(0,MIN(1,X181)))^2/$B$5))-(MAX(0,MIN(1,W181))^2/(MAX(0,MIN(1,W181))^2+(1-MAX(0,MIN(1,W181)))^2/$B$5))))</f>
        <v>0.869973366623488</v>
      </c>
      <c r="Y182" s="16" t="n">
        <f aca="false">IF(ABS(Y181-$B$11/$B$9*((MAX(0,MIN(1,Y181))^2/(MAX(0,MIN(1,Y181))^2+(1-MAX(0,MIN(1,Y181)))^2/$B$5))-(MAX(0,MIN(1,X181))^2/(MAX(0,MIN(1,X181))^2+(1-MAX(0,MIN(1,X181)))^2/$B$5))))&lt;0.000000001,0,Y181-$B$11/$B$9*((MAX(0,MIN(1,Y181))^2/(MAX(0,MIN(1,Y181))^2+(1-MAX(0,MIN(1,Y181)))^2/$B$5))-(MAX(0,MIN(1,X181))^2/(MAX(0,MIN(1,X181))^2+(1-MAX(0,MIN(1,X181)))^2/$B$5))))</f>
        <v>0.862971996648732</v>
      </c>
      <c r="Z182" s="16" t="n">
        <f aca="false">IF(ABS(Z181-$B$11/$B$9*((MAX(0,MIN(1,Z181))^2/(MAX(0,MIN(1,Z181))^2+(1-MAX(0,MIN(1,Z181)))^2/$B$5))-(MAX(0,MIN(1,Y181))^2/(MAX(0,MIN(1,Y181))^2+(1-MAX(0,MIN(1,Y181)))^2/$B$5))))&lt;0.000000001,0,Z181-$B$11/$B$9*((MAX(0,MIN(1,Z181))^2/(MAX(0,MIN(1,Z181))^2+(1-MAX(0,MIN(1,Z181)))^2/$B$5))-(MAX(0,MIN(1,Y181))^2/(MAX(0,MIN(1,Y181))^2+(1-MAX(0,MIN(1,Y181)))^2/$B$5))))</f>
        <v>0.856214415711976</v>
      </c>
      <c r="AA182" s="16" t="n">
        <f aca="false">IF(ABS(AA181-$B$11/$B$9*((MAX(0,MIN(1,AA181))^2/(MAX(0,MIN(1,AA181))^2+(1-MAX(0,MIN(1,AA181)))^2/$B$5))-(MAX(0,MIN(1,Z181))^2/(MAX(0,MIN(1,Z181))^2+(1-MAX(0,MIN(1,Z181)))^2/$B$5))))&lt;0.000000001,0,AA181-$B$11/$B$9*((MAX(0,MIN(1,AA181))^2/(MAX(0,MIN(1,AA181))^2+(1-MAX(0,MIN(1,AA181)))^2/$B$5))-(MAX(0,MIN(1,Z181))^2/(MAX(0,MIN(1,Z181))^2+(1-MAX(0,MIN(1,Z181)))^2/$B$5))))</f>
        <v>0.849681350924125</v>
      </c>
      <c r="AB182" s="16" t="n">
        <f aca="false">IF(ABS(AB181-$B$11/$B$9*((MAX(0,MIN(1,AB181))^2/(MAX(0,MIN(1,AB181))^2+(1-MAX(0,MIN(1,AB181)))^2/$B$5))-(MAX(0,MIN(1,AA181))^2/(MAX(0,MIN(1,AA181))^2+(1-MAX(0,MIN(1,AA181)))^2/$B$5))))&lt;0.000000001,0,AB181-$B$11/$B$9*((MAX(0,MIN(1,AB181))^2/(MAX(0,MIN(1,AB181))^2+(1-MAX(0,MIN(1,AB181)))^2/$B$5))-(MAX(0,MIN(1,AA181))^2/(MAX(0,MIN(1,AA181))^2+(1-MAX(0,MIN(1,AA181)))^2/$B$5))))</f>
        <v>0.843355847651183</v>
      </c>
      <c r="AC182" s="16" t="n">
        <f aca="false">IF(ABS(AC181-$B$11/$B$9*((MAX(0,MIN(1,AC181))^2/(MAX(0,MIN(1,AC181))^2+(1-MAX(0,MIN(1,AC181)))^2/$B$5))-(MAX(0,MIN(1,AB181))^2/(MAX(0,MIN(1,AB181))^2+(1-MAX(0,MIN(1,AB181)))^2/$B$5))))&lt;0.000000001,0,AC181-$B$11/$B$9*((MAX(0,MIN(1,AC181))^2/(MAX(0,MIN(1,AC181))^2+(1-MAX(0,MIN(1,AC181)))^2/$B$5))-(MAX(0,MIN(1,AB181))^2/(MAX(0,MIN(1,AB181))^2+(1-MAX(0,MIN(1,AB181)))^2/$B$5))))</f>
        <v>0.837222878618624</v>
      </c>
      <c r="AD182" s="16" t="n">
        <f aca="false">IF(ABS(AD181-$B$11/$B$9*((MAX(0,MIN(1,AD181))^2/(MAX(0,MIN(1,AD181))^2+(1-MAX(0,MIN(1,AD181)))^2/$B$5))-(MAX(0,MIN(1,AC181))^2/(MAX(0,MIN(1,AC181))^2+(1-MAX(0,MIN(1,AC181)))^2/$B$5))))&lt;0.000000001,0,AD181-$B$11/$B$9*((MAX(0,MIN(1,AD181))^2/(MAX(0,MIN(1,AD181))^2+(1-MAX(0,MIN(1,AD181)))^2/$B$5))-(MAX(0,MIN(1,AC181))^2/(MAX(0,MIN(1,AC181))^2+(1-MAX(0,MIN(1,AC181)))^2/$B$5))))</f>
        <v>0.831269038713812</v>
      </c>
      <c r="AE182" s="16" t="n">
        <f aca="false">IF(ABS(AE181-$B$11/$B$9*((MAX(0,MIN(1,AE181))^2/(MAX(0,MIN(1,AE181))^2+(1-MAX(0,MIN(1,AE181)))^2/$B$5))-(MAX(0,MIN(1,AD181))^2/(MAX(0,MIN(1,AD181))^2+(1-MAX(0,MIN(1,AD181)))^2/$B$5))))&lt;0.000000001,0,AE181-$B$11/$B$9*((MAX(0,MIN(1,AE181))^2/(MAX(0,MIN(1,AE181))^2+(1-MAX(0,MIN(1,AE181)))^2/$B$5))-(MAX(0,MIN(1,AD181))^2/(MAX(0,MIN(1,AD181))^2+(1-MAX(0,MIN(1,AD181)))^2/$B$5))))</f>
        <v>0.825482302368892</v>
      </c>
      <c r="AF182" s="16" t="n">
        <f aca="false">IF(ABS(AF181-$B$11/$B$9*((MAX(0,MIN(1,AF181))^2/(MAX(0,MIN(1,AF181))^2+(1-MAX(0,MIN(1,AF181)))^2/$B$5))-(MAX(0,MIN(1,AE181))^2/(MAX(0,MIN(1,AE181))^2+(1-MAX(0,MIN(1,AE181)))^2/$B$5))))&lt;0.000000001,0,AF181-$B$11/$B$9*((MAX(0,MIN(1,AF181))^2/(MAX(0,MIN(1,AF181))^2+(1-MAX(0,MIN(1,AF181)))^2/$B$5))-(MAX(0,MIN(1,AE181))^2/(MAX(0,MIN(1,AE181))^2+(1-MAX(0,MIN(1,AE181)))^2/$B$5))))</f>
        <v>0.819851827722423</v>
      </c>
    </row>
    <row r="183" customFormat="false" ht="15" hidden="false" customHeight="false" outlineLevel="0" collapsed="false">
      <c r="L183" s="0" t="n">
        <v>173</v>
      </c>
      <c r="M183" s="16" t="n">
        <f aca="false">IF(ABS(M182-$B$11/$B$9*((MAX(0,MIN(1,M182))^2/(MAX(0,MIN(1,M182))^2+(1-MAX(0,MIN(1,M182)))^2/$B$5))-(MAX(0,MIN(1,1))^2/(MAX(0,MIN(1,1))^2+(1-MAX(0,MIN(1,1)))^2/$B$5))))&lt;0.000000001,0,M182-$B$11/$B$9*((MAX(0,MIN(1,M182))^2/(MAX(0,MIN(1,M182))^2+(1-MAX(0,MIN(1,M182)))^2/$B$5))-(MAX(0,MIN(1,1))^2/(MAX(0,MIN(1,1))^2+(1-MAX(0,MIN(1,1)))^2/$B$5))))</f>
        <v>0.975637850129129</v>
      </c>
      <c r="N183" s="16" t="n">
        <f aca="false">IF(ABS(N182-$B$11/$B$9*((MAX(0,MIN(1,N182))^2/(MAX(0,MIN(1,N182))^2+(1-MAX(0,MIN(1,N182)))^2/$B$5))-(MAX(0,MIN(1,M182))^2/(MAX(0,MIN(1,M182))^2+(1-MAX(0,MIN(1,M182)))^2/$B$5))))&lt;0.000000001,0,N182-$B$11/$B$9*((MAX(0,MIN(1,N182))^2/(MAX(0,MIN(1,N182))^2+(1-MAX(0,MIN(1,N182)))^2/$B$5))-(MAX(0,MIN(1,M182))^2/(MAX(0,MIN(1,M182))^2+(1-MAX(0,MIN(1,M182)))^2/$B$5))))</f>
        <v>0.961847727755494</v>
      </c>
      <c r="O183" s="16" t="n">
        <f aca="false">IF(ABS(O182-$B$11/$B$9*((MAX(0,MIN(1,O182))^2/(MAX(0,MIN(1,O182))^2+(1-MAX(0,MIN(1,O182)))^2/$B$5))-(MAX(0,MIN(1,N182))^2/(MAX(0,MIN(1,N182))^2+(1-MAX(0,MIN(1,N182)))^2/$B$5))))&lt;0.000000001,0,O182-$B$11/$B$9*((MAX(0,MIN(1,O182))^2/(MAX(0,MIN(1,O182))^2+(1-MAX(0,MIN(1,O182)))^2/$B$5))-(MAX(0,MIN(1,N182))^2/(MAX(0,MIN(1,N182))^2+(1-MAX(0,MIN(1,N182)))^2/$B$5))))</f>
        <v>0.949802807793574</v>
      </c>
      <c r="P183" s="16" t="n">
        <f aca="false">IF(ABS(P182-$B$11/$B$9*((MAX(0,MIN(1,P182))^2/(MAX(0,MIN(1,P182))^2+(1-MAX(0,MIN(1,P182)))^2/$B$5))-(MAX(0,MIN(1,O182))^2/(MAX(0,MIN(1,O182))^2+(1-MAX(0,MIN(1,O182)))^2/$B$5))))&lt;0.000000001,0,P182-$B$11/$B$9*((MAX(0,MIN(1,P182))^2/(MAX(0,MIN(1,P182))^2+(1-MAX(0,MIN(1,P182)))^2/$B$5))-(MAX(0,MIN(1,O182))^2/(MAX(0,MIN(1,O182))^2+(1-MAX(0,MIN(1,O182)))^2/$B$5))))</f>
        <v>0.938811685492115</v>
      </c>
      <c r="Q183" s="16" t="n">
        <f aca="false">IF(ABS(Q182-$B$11/$B$9*((MAX(0,MIN(1,Q182))^2/(MAX(0,MIN(1,Q182))^2+(1-MAX(0,MIN(1,Q182)))^2/$B$5))-(MAX(0,MIN(1,P182))^2/(MAX(0,MIN(1,P182))^2+(1-MAX(0,MIN(1,P182)))^2/$B$5))))&lt;0.000000001,0,Q182-$B$11/$B$9*((MAX(0,MIN(1,Q182))^2/(MAX(0,MIN(1,Q182))^2+(1-MAX(0,MIN(1,Q182)))^2/$B$5))-(MAX(0,MIN(1,P182))^2/(MAX(0,MIN(1,P182))^2+(1-MAX(0,MIN(1,P182)))^2/$B$5))))</f>
        <v>0.928598345827688</v>
      </c>
      <c r="R183" s="16" t="n">
        <f aca="false">IF(ABS(R182-$B$11/$B$9*((MAX(0,MIN(1,R182))^2/(MAX(0,MIN(1,R182))^2+(1-MAX(0,MIN(1,R182)))^2/$B$5))-(MAX(0,MIN(1,Q182))^2/(MAX(0,MIN(1,Q182))^2+(1-MAX(0,MIN(1,Q182)))^2/$B$5))))&lt;0.000000001,0,R182-$B$11/$B$9*((MAX(0,MIN(1,R182))^2/(MAX(0,MIN(1,R182))^2+(1-MAX(0,MIN(1,R182)))^2/$B$5))-(MAX(0,MIN(1,Q182))^2/(MAX(0,MIN(1,Q182))^2+(1-MAX(0,MIN(1,Q182)))^2/$B$5))))</f>
        <v>0.919009985002661</v>
      </c>
      <c r="S183" s="16" t="n">
        <f aca="false">IF(ABS(S182-$B$11/$B$9*((MAX(0,MIN(1,S182))^2/(MAX(0,MIN(1,S182))^2+(1-MAX(0,MIN(1,S182)))^2/$B$5))-(MAX(0,MIN(1,R182))^2/(MAX(0,MIN(1,R182))^2+(1-MAX(0,MIN(1,R182)))^2/$B$5))))&lt;0.000000001,0,S182-$B$11/$B$9*((MAX(0,MIN(1,S182))^2/(MAX(0,MIN(1,S182))^2+(1-MAX(0,MIN(1,S182)))^2/$B$5))-(MAX(0,MIN(1,R182))^2/(MAX(0,MIN(1,R182))^2+(1-MAX(0,MIN(1,R182)))^2/$B$5))))</f>
        <v>0.909946915642584</v>
      </c>
      <c r="T183" s="16" t="n">
        <f aca="false">IF(ABS(T182-$B$11/$B$9*((MAX(0,MIN(1,T182))^2/(MAX(0,MIN(1,T182))^2+(1-MAX(0,MIN(1,T182)))^2/$B$5))-(MAX(0,MIN(1,S182))^2/(MAX(0,MIN(1,S182))^2+(1-MAX(0,MIN(1,S182)))^2/$B$5))))&lt;0.000000001,0,T182-$B$11/$B$9*((MAX(0,MIN(1,T182))^2/(MAX(0,MIN(1,T182))^2+(1-MAX(0,MIN(1,T182)))^2/$B$5))-(MAX(0,MIN(1,S182))^2/(MAX(0,MIN(1,S182))^2+(1-MAX(0,MIN(1,S182)))^2/$B$5))))</f>
        <v>0.901337537504519</v>
      </c>
      <c r="U183" s="16" t="n">
        <f aca="false">IF(ABS(U182-$B$11/$B$9*((MAX(0,MIN(1,U182))^2/(MAX(0,MIN(1,U182))^2+(1-MAX(0,MIN(1,U182)))^2/$B$5))-(MAX(0,MIN(1,T182))^2/(MAX(0,MIN(1,T182))^2+(1-MAX(0,MIN(1,T182)))^2/$B$5))))&lt;0.000000001,0,U182-$B$11/$B$9*((MAX(0,MIN(1,U182))^2/(MAX(0,MIN(1,U182))^2+(1-MAX(0,MIN(1,U182)))^2/$B$5))-(MAX(0,MIN(1,T182))^2/(MAX(0,MIN(1,T182))^2+(1-MAX(0,MIN(1,T182)))^2/$B$5))))</f>
        <v>0.893127176879275</v>
      </c>
      <c r="V183" s="16" t="n">
        <f aca="false">IF(ABS(V182-$B$11/$B$9*((MAX(0,MIN(1,V182))^2/(MAX(0,MIN(1,V182))^2+(1-MAX(0,MIN(1,V182)))^2/$B$5))-(MAX(0,MIN(1,U182))^2/(MAX(0,MIN(1,U182))^2+(1-MAX(0,MIN(1,U182)))^2/$B$5))))&lt;0.000000001,0,V182-$B$11/$B$9*((MAX(0,MIN(1,V182))^2/(MAX(0,MIN(1,V182))^2+(1-MAX(0,MIN(1,V182)))^2/$B$5))-(MAX(0,MIN(1,U182))^2/(MAX(0,MIN(1,U182))^2+(1-MAX(0,MIN(1,U182)))^2/$B$5))))</f>
        <v>0.885272321316784</v>
      </c>
      <c r="W183" s="16" t="n">
        <f aca="false">IF(ABS(W182-$B$11/$B$9*((MAX(0,MIN(1,W182))^2/(MAX(0,MIN(1,W182))^2+(1-MAX(0,MIN(1,W182)))^2/$B$5))-(MAX(0,MIN(1,V182))^2/(MAX(0,MIN(1,V182))^2+(1-MAX(0,MIN(1,V182)))^2/$B$5))))&lt;0.000000001,0,W182-$B$11/$B$9*((MAX(0,MIN(1,W182))^2/(MAX(0,MIN(1,W182))^2+(1-MAX(0,MIN(1,W182)))^2/$B$5))-(MAX(0,MIN(1,V182))^2/(MAX(0,MIN(1,V182))^2+(1-MAX(0,MIN(1,V182)))^2/$B$5))))</f>
        <v>0.877737309381461</v>
      </c>
      <c r="X183" s="16" t="n">
        <f aca="false">IF(ABS(X182-$B$11/$B$9*((MAX(0,MIN(1,X182))^2/(MAX(0,MIN(1,X182))^2+(1-MAX(0,MIN(1,X182)))^2/$B$5))-(MAX(0,MIN(1,W182))^2/(MAX(0,MIN(1,W182))^2+(1-MAX(0,MIN(1,W182)))^2/$B$5))))&lt;0.000000001,0,X182-$B$11/$B$9*((MAX(0,MIN(1,X182))^2/(MAX(0,MIN(1,X182))^2+(1-MAX(0,MIN(1,X182)))^2/$B$5))-(MAX(0,MIN(1,W182))^2/(MAX(0,MIN(1,W182))^2+(1-MAX(0,MIN(1,W182)))^2/$B$5))))</f>
        <v>0.870492272734053</v>
      </c>
      <c r="Y183" s="16" t="n">
        <f aca="false">IF(ABS(Y182-$B$11/$B$9*((MAX(0,MIN(1,Y182))^2/(MAX(0,MIN(1,Y182))^2+(1-MAX(0,MIN(1,Y182)))^2/$B$5))-(MAX(0,MIN(1,X182))^2/(MAX(0,MIN(1,X182))^2+(1-MAX(0,MIN(1,X182)))^2/$B$5))))&lt;0.000000001,0,Y182-$B$11/$B$9*((MAX(0,MIN(1,Y182))^2/(MAX(0,MIN(1,Y182))^2+(1-MAX(0,MIN(1,Y182)))^2/$B$5))-(MAX(0,MIN(1,X182))^2/(MAX(0,MIN(1,X182))^2+(1-MAX(0,MIN(1,X182)))^2/$B$5))))</f>
        <v>0.863511775593057</v>
      </c>
      <c r="Z183" s="16" t="n">
        <f aca="false">IF(ABS(Z182-$B$11/$B$9*((MAX(0,MIN(1,Z182))^2/(MAX(0,MIN(1,Z182))^2+(1-MAX(0,MIN(1,Z182)))^2/$B$5))-(MAX(0,MIN(1,Y182))^2/(MAX(0,MIN(1,Y182))^2+(1-MAX(0,MIN(1,Y182)))^2/$B$5))))&lt;0.000000001,0,Z182-$B$11/$B$9*((MAX(0,MIN(1,Z182))^2/(MAX(0,MIN(1,Z182))^2+(1-MAX(0,MIN(1,Z182)))^2/$B$5))-(MAX(0,MIN(1,Y182))^2/(MAX(0,MIN(1,Y182))^2+(1-MAX(0,MIN(1,Y182)))^2/$B$5))))</f>
        <v>0.856773870523182</v>
      </c>
      <c r="AA183" s="16" t="n">
        <f aca="false">IF(ABS(AA182-$B$11/$B$9*((MAX(0,MIN(1,AA182))^2/(MAX(0,MIN(1,AA182))^2+(1-MAX(0,MIN(1,AA182)))^2/$B$5))-(MAX(0,MIN(1,Z182))^2/(MAX(0,MIN(1,Z182))^2+(1-MAX(0,MIN(1,Z182)))^2/$B$5))))&lt;0.000000001,0,AA182-$B$11/$B$9*((MAX(0,MIN(1,AA182))^2/(MAX(0,MIN(1,AA182))^2+(1-MAX(0,MIN(1,AA182)))^2/$B$5))-(MAX(0,MIN(1,Z182))^2/(MAX(0,MIN(1,Z182))^2+(1-MAX(0,MIN(1,Z182)))^2/$B$5))))</f>
        <v>0.850259417185716</v>
      </c>
      <c r="AB183" s="16" t="n">
        <f aca="false">IF(ABS(AB182-$B$11/$B$9*((MAX(0,MIN(1,AB182))^2/(MAX(0,MIN(1,AB182))^2+(1-MAX(0,MIN(1,AB182)))^2/$B$5))-(MAX(0,MIN(1,AA182))^2/(MAX(0,MIN(1,AA182))^2+(1-MAX(0,MIN(1,AA182)))^2/$B$5))))&lt;0.000000001,0,AB182-$B$11/$B$9*((MAX(0,MIN(1,AB182))^2/(MAX(0,MIN(1,AB182))^2+(1-MAX(0,MIN(1,AB182)))^2/$B$5))-(MAX(0,MIN(1,AA182))^2/(MAX(0,MIN(1,AA182))^2+(1-MAX(0,MIN(1,AA182)))^2/$B$5))))</f>
        <v>0.843951575072643</v>
      </c>
      <c r="AC183" s="16" t="n">
        <f aca="false">IF(ABS(AC182-$B$11/$B$9*((MAX(0,MIN(1,AC182))^2/(MAX(0,MIN(1,AC182))^2+(1-MAX(0,MIN(1,AC182)))^2/$B$5))-(MAX(0,MIN(1,AB182))^2/(MAX(0,MIN(1,AB182))^2+(1-MAX(0,MIN(1,AB182)))^2/$B$5))))&lt;0.000000001,0,AC182-$B$11/$B$9*((MAX(0,MIN(1,AC182))^2/(MAX(0,MIN(1,AC182))^2+(1-MAX(0,MIN(1,AC182)))^2/$B$5))-(MAX(0,MIN(1,AB182))^2/(MAX(0,MIN(1,AB182))^2+(1-MAX(0,MIN(1,AB182)))^2/$B$5))))</f>
        <v>0.83783541588742</v>
      </c>
      <c r="AD183" s="16" t="n">
        <f aca="false">IF(ABS(AD182-$B$11/$B$9*((MAX(0,MIN(1,AD182))^2/(MAX(0,MIN(1,AD182))^2+(1-MAX(0,MIN(1,AD182)))^2/$B$5))-(MAX(0,MIN(1,AC182))^2/(MAX(0,MIN(1,AC182))^2+(1-MAX(0,MIN(1,AC182)))^2/$B$5))))&lt;0.000000001,0,AD182-$B$11/$B$9*((MAX(0,MIN(1,AD182))^2/(MAX(0,MIN(1,AD182))^2+(1-MAX(0,MIN(1,AD182)))^2/$B$5))-(MAX(0,MIN(1,AC182))^2/(MAX(0,MIN(1,AC182))^2+(1-MAX(0,MIN(1,AC182)))^2/$B$5))))</f>
        <v>0.831897620918046</v>
      </c>
      <c r="AE183" s="16" t="n">
        <f aca="false">IF(ABS(AE182-$B$11/$B$9*((MAX(0,MIN(1,AE182))^2/(MAX(0,MIN(1,AE182))^2+(1-MAX(0,MIN(1,AE182)))^2/$B$5))-(MAX(0,MIN(1,AD182))^2/(MAX(0,MIN(1,AD182))^2+(1-MAX(0,MIN(1,AD182)))^2/$B$5))))&lt;0.000000001,0,AE182-$B$11/$B$9*((MAX(0,MIN(1,AE182))^2/(MAX(0,MIN(1,AE182))^2+(1-MAX(0,MIN(1,AE182)))^2/$B$5))-(MAX(0,MIN(1,AD182))^2/(MAX(0,MIN(1,AD182))^2+(1-MAX(0,MIN(1,AD182)))^2/$B$5))))</f>
        <v>0.826126240465425</v>
      </c>
      <c r="AF183" s="16" t="n">
        <f aca="false">IF(ABS(AF182-$B$11/$B$9*((MAX(0,MIN(1,AF182))^2/(MAX(0,MIN(1,AF182))^2+(1-MAX(0,MIN(1,AF182)))^2/$B$5))-(MAX(0,MIN(1,AE182))^2/(MAX(0,MIN(1,AE182))^2+(1-MAX(0,MIN(1,AE182)))^2/$B$5))))&lt;0.000000001,0,AF182-$B$11/$B$9*((MAX(0,MIN(1,AF182))^2/(MAX(0,MIN(1,AF182))^2+(1-MAX(0,MIN(1,AF182)))^2/$B$5))-(MAX(0,MIN(1,AE182))^2/(MAX(0,MIN(1,AE182))^2+(1-MAX(0,MIN(1,AE182)))^2/$B$5))))</f>
        <v>0.820510499652373</v>
      </c>
    </row>
    <row r="184" customFormat="false" ht="15" hidden="false" customHeight="false" outlineLevel="0" collapsed="false">
      <c r="L184" s="0" t="n">
        <v>174</v>
      </c>
      <c r="M184" s="16" t="n">
        <f aca="false">IF(ABS(M183-$B$11/$B$9*((MAX(0,MIN(1,M183))^2/(MAX(0,MIN(1,M183))^2+(1-MAX(0,MIN(1,M183)))^2/$B$5))-(MAX(0,MIN(1,1))^2/(MAX(0,MIN(1,1))^2+(1-MAX(0,MIN(1,1)))^2/$B$5))))&lt;0.000000001,0,M183-$B$11/$B$9*((MAX(0,MIN(1,M183))^2/(MAX(0,MIN(1,M183))^2+(1-MAX(0,MIN(1,M183)))^2/$B$5))-(MAX(0,MIN(1,1))^2/(MAX(0,MIN(1,1))^2+(1-MAX(0,MIN(1,1)))^2/$B$5))))</f>
        <v>0.975757695250913</v>
      </c>
      <c r="N184" s="16" t="n">
        <f aca="false">IF(ABS(N183-$B$11/$B$9*((MAX(0,MIN(1,N183))^2/(MAX(0,MIN(1,N183))^2+(1-MAX(0,MIN(1,N183)))^2/$B$5))-(MAX(0,MIN(1,M183))^2/(MAX(0,MIN(1,M183))^2+(1-MAX(0,MIN(1,M183)))^2/$B$5))))&lt;0.000000001,0,N183-$B$11/$B$9*((MAX(0,MIN(1,N183))^2/(MAX(0,MIN(1,N183))^2+(1-MAX(0,MIN(1,N183)))^2/$B$5))-(MAX(0,MIN(1,M183))^2/(MAX(0,MIN(1,M183))^2+(1-MAX(0,MIN(1,M183)))^2/$B$5))))</f>
        <v>0.962030148043136</v>
      </c>
      <c r="O184" s="16" t="n">
        <f aca="false">IF(ABS(O183-$B$11/$B$9*((MAX(0,MIN(1,O183))^2/(MAX(0,MIN(1,O183))^2+(1-MAX(0,MIN(1,O183)))^2/$B$5))-(MAX(0,MIN(1,N183))^2/(MAX(0,MIN(1,N183))^2+(1-MAX(0,MIN(1,N183)))^2/$B$5))))&lt;0.000000001,0,O183-$B$11/$B$9*((MAX(0,MIN(1,O183))^2/(MAX(0,MIN(1,O183))^2+(1-MAX(0,MIN(1,O183)))^2/$B$5))-(MAX(0,MIN(1,N183))^2/(MAX(0,MIN(1,N183))^2+(1-MAX(0,MIN(1,N183)))^2/$B$5))))</f>
        <v>0.950036817506824</v>
      </c>
      <c r="P184" s="16" t="n">
        <f aca="false">IF(ABS(P183-$B$11/$B$9*((MAX(0,MIN(1,P183))^2/(MAX(0,MIN(1,P183))^2+(1-MAX(0,MIN(1,P183)))^2/$B$5))-(MAX(0,MIN(1,O183))^2/(MAX(0,MIN(1,O183))^2+(1-MAX(0,MIN(1,O183)))^2/$B$5))))&lt;0.000000001,0,P183-$B$11/$B$9*((MAX(0,MIN(1,P183))^2/(MAX(0,MIN(1,P183))^2+(1-MAX(0,MIN(1,P183)))^2/$B$5))-(MAX(0,MIN(1,O183))^2/(MAX(0,MIN(1,O183))^2+(1-MAX(0,MIN(1,O183)))^2/$B$5))))</f>
        <v>0.939090415514158</v>
      </c>
      <c r="Q184" s="16" t="n">
        <f aca="false">IF(ABS(Q183-$B$11/$B$9*((MAX(0,MIN(1,Q183))^2/(MAX(0,MIN(1,Q183))^2+(1-MAX(0,MIN(1,Q183)))^2/$B$5))-(MAX(0,MIN(1,P183))^2/(MAX(0,MIN(1,P183))^2+(1-MAX(0,MIN(1,P183)))^2/$B$5))))&lt;0.000000001,0,Q183-$B$11/$B$9*((MAX(0,MIN(1,Q183))^2/(MAX(0,MIN(1,Q183))^2+(1-MAX(0,MIN(1,Q183)))^2/$B$5))-(MAX(0,MIN(1,P183))^2/(MAX(0,MIN(1,P183))^2+(1-MAX(0,MIN(1,P183)))^2/$B$5))))</f>
        <v>0.928916733806689</v>
      </c>
      <c r="R184" s="16" t="n">
        <f aca="false">IF(ABS(R183-$B$11/$B$9*((MAX(0,MIN(1,R183))^2/(MAX(0,MIN(1,R183))^2+(1-MAX(0,MIN(1,R183)))^2/$B$5))-(MAX(0,MIN(1,Q183))^2/(MAX(0,MIN(1,Q183))^2+(1-MAX(0,MIN(1,Q183)))^2/$B$5))))&lt;0.000000001,0,R183-$B$11/$B$9*((MAX(0,MIN(1,R183))^2/(MAX(0,MIN(1,R183))^2+(1-MAX(0,MIN(1,R183)))^2/$B$5))-(MAX(0,MIN(1,Q183))^2/(MAX(0,MIN(1,Q183))^2+(1-MAX(0,MIN(1,Q183)))^2/$B$5))))</f>
        <v>0.91936403750334</v>
      </c>
      <c r="S184" s="16" t="n">
        <f aca="false">IF(ABS(S183-$B$11/$B$9*((MAX(0,MIN(1,S183))^2/(MAX(0,MIN(1,S183))^2+(1-MAX(0,MIN(1,S183)))^2/$B$5))-(MAX(0,MIN(1,R183))^2/(MAX(0,MIN(1,R183))^2+(1-MAX(0,MIN(1,R183)))^2/$B$5))))&lt;0.000000001,0,S183-$B$11/$B$9*((MAX(0,MIN(1,S183))^2/(MAX(0,MIN(1,S183))^2+(1-MAX(0,MIN(1,S183)))^2/$B$5))-(MAX(0,MIN(1,R183))^2/(MAX(0,MIN(1,R183))^2+(1-MAX(0,MIN(1,R183)))^2/$B$5))))</f>
        <v>0.910333365191805</v>
      </c>
      <c r="T184" s="16" t="n">
        <f aca="false">IF(ABS(T183-$B$11/$B$9*((MAX(0,MIN(1,T183))^2/(MAX(0,MIN(1,T183))^2+(1-MAX(0,MIN(1,T183)))^2/$B$5))-(MAX(0,MIN(1,S183))^2/(MAX(0,MIN(1,S183))^2+(1-MAX(0,MIN(1,S183)))^2/$B$5))))&lt;0.000000001,0,T183-$B$11/$B$9*((MAX(0,MIN(1,T183))^2/(MAX(0,MIN(1,T183))^2+(1-MAX(0,MIN(1,T183)))^2/$B$5))-(MAX(0,MIN(1,S183))^2/(MAX(0,MIN(1,S183))^2+(1-MAX(0,MIN(1,S183)))^2/$B$5))))</f>
        <v>0.901753648689328</v>
      </c>
      <c r="U184" s="16" t="n">
        <f aca="false">IF(ABS(U183-$B$11/$B$9*((MAX(0,MIN(1,U183))^2/(MAX(0,MIN(1,U183))^2+(1-MAX(0,MIN(1,U183)))^2/$B$5))-(MAX(0,MIN(1,T183))^2/(MAX(0,MIN(1,T183))^2+(1-MAX(0,MIN(1,T183)))^2/$B$5))))&lt;0.000000001,0,U183-$B$11/$B$9*((MAX(0,MIN(1,U183))^2/(MAX(0,MIN(1,U183))^2+(1-MAX(0,MIN(1,U183)))^2/$B$5))-(MAX(0,MIN(1,T183))^2/(MAX(0,MIN(1,T183))^2+(1-MAX(0,MIN(1,T183)))^2/$B$5))))</f>
        <v>0.893570623017555</v>
      </c>
      <c r="V184" s="16" t="n">
        <f aca="false">IF(ABS(V183-$B$11/$B$9*((MAX(0,MIN(1,V183))^2/(MAX(0,MIN(1,V183))^2+(1-MAX(0,MIN(1,V183)))^2/$B$5))-(MAX(0,MIN(1,U183))^2/(MAX(0,MIN(1,U183))^2+(1-MAX(0,MIN(1,U183)))^2/$B$5))))&lt;0.000000001,0,V183-$B$11/$B$9*((MAX(0,MIN(1,V183))^2/(MAX(0,MIN(1,V183))^2+(1-MAX(0,MIN(1,V183)))^2/$B$5))-(MAX(0,MIN(1,U183))^2/(MAX(0,MIN(1,U183))^2+(1-MAX(0,MIN(1,U183)))^2/$B$5))))</f>
        <v>0.885741099805963</v>
      </c>
      <c r="W184" s="16" t="n">
        <f aca="false">IF(ABS(W183-$B$11/$B$9*((MAX(0,MIN(1,W183))^2/(MAX(0,MIN(1,W183))^2+(1-MAX(0,MIN(1,W183)))^2/$B$5))-(MAX(0,MIN(1,V183))^2/(MAX(0,MIN(1,V183))^2+(1-MAX(0,MIN(1,V183)))^2/$B$5))))&lt;0.000000001,0,W183-$B$11/$B$9*((MAX(0,MIN(1,W183))^2/(MAX(0,MIN(1,W183))^2+(1-MAX(0,MIN(1,W183)))^2/$B$5))-(MAX(0,MIN(1,V183))^2/(MAX(0,MIN(1,V183))^2+(1-MAX(0,MIN(1,V183)))^2/$B$5))))</f>
        <v>0.87822968049204</v>
      </c>
      <c r="X184" s="16" t="n">
        <f aca="false">IF(ABS(X183-$B$11/$B$9*((MAX(0,MIN(1,X183))^2/(MAX(0,MIN(1,X183))^2+(1-MAX(0,MIN(1,X183)))^2/$B$5))-(MAX(0,MIN(1,W183))^2/(MAX(0,MIN(1,W183))^2+(1-MAX(0,MIN(1,W183)))^2/$B$5))))&lt;0.000000001,0,X183-$B$11/$B$9*((MAX(0,MIN(1,X183))^2/(MAX(0,MIN(1,X183))^2+(1-MAX(0,MIN(1,X183)))^2/$B$5))-(MAX(0,MIN(1,W183))^2/(MAX(0,MIN(1,W183))^2+(1-MAX(0,MIN(1,W183)))^2/$B$5))))</f>
        <v>0.8710067136769</v>
      </c>
      <c r="Y184" s="16" t="n">
        <f aca="false">IF(ABS(Y183-$B$11/$B$9*((MAX(0,MIN(1,Y183))^2/(MAX(0,MIN(1,Y183))^2+(1-MAX(0,MIN(1,Y183)))^2/$B$5))-(MAX(0,MIN(1,X183))^2/(MAX(0,MIN(1,X183))^2+(1-MAX(0,MIN(1,X183)))^2/$B$5))))&lt;0.000000001,0,Y183-$B$11/$B$9*((MAX(0,MIN(1,Y183))^2/(MAX(0,MIN(1,Y183))^2+(1-MAX(0,MIN(1,Y183)))^2/$B$5))-(MAX(0,MIN(1,X183))^2/(MAX(0,MIN(1,X183))^2+(1-MAX(0,MIN(1,X183)))^2/$B$5))))</f>
        <v>0.864046945080408</v>
      </c>
      <c r="Z184" s="16" t="n">
        <f aca="false">IF(ABS(Z183-$B$11/$B$9*((MAX(0,MIN(1,Z183))^2/(MAX(0,MIN(1,Z183))^2+(1-MAX(0,MIN(1,Z183)))^2/$B$5))-(MAX(0,MIN(1,Y183))^2/(MAX(0,MIN(1,Y183))^2+(1-MAX(0,MIN(1,Y183)))^2/$B$5))))&lt;0.000000001,0,Z183-$B$11/$B$9*((MAX(0,MIN(1,Z183))^2/(MAX(0,MIN(1,Z183))^2+(1-MAX(0,MIN(1,Z183)))^2/$B$5))-(MAX(0,MIN(1,Y183))^2/(MAX(0,MIN(1,Y183))^2+(1-MAX(0,MIN(1,Y183)))^2/$B$5))))</f>
        <v>0.857328580835147</v>
      </c>
      <c r="AA184" s="16" t="n">
        <f aca="false">IF(ABS(AA183-$B$11/$B$9*((MAX(0,MIN(1,AA183))^2/(MAX(0,MIN(1,AA183))^2+(1-MAX(0,MIN(1,AA183)))^2/$B$5))-(MAX(0,MIN(1,Z183))^2/(MAX(0,MIN(1,Z183))^2+(1-MAX(0,MIN(1,Z183)))^2/$B$5))))&lt;0.000000001,0,AA183-$B$11/$B$9*((MAX(0,MIN(1,AA183))^2/(MAX(0,MIN(1,AA183))^2+(1-MAX(0,MIN(1,AA183)))^2/$B$5))-(MAX(0,MIN(1,Z183))^2/(MAX(0,MIN(1,Z183))^2+(1-MAX(0,MIN(1,Z183)))^2/$B$5))))</f>
        <v>0.850832611775127</v>
      </c>
      <c r="AB184" s="16" t="n">
        <f aca="false">IF(ABS(AB183-$B$11/$B$9*((MAX(0,MIN(1,AB183))^2/(MAX(0,MIN(1,AB183))^2+(1-MAX(0,MIN(1,AB183)))^2/$B$5))-(MAX(0,MIN(1,AA183))^2/(MAX(0,MIN(1,AA183))^2+(1-MAX(0,MIN(1,AA183)))^2/$B$5))))&lt;0.000000001,0,AB183-$B$11/$B$9*((MAX(0,MIN(1,AB183))^2/(MAX(0,MIN(1,AB183))^2+(1-MAX(0,MIN(1,AB183)))^2/$B$5))-(MAX(0,MIN(1,AA183))^2/(MAX(0,MIN(1,AA183))^2+(1-MAX(0,MIN(1,AA183)))^2/$B$5))))</f>
        <v>0.844542310359173</v>
      </c>
      <c r="AC184" s="16" t="n">
        <f aca="false">IF(ABS(AC183-$B$11/$B$9*((MAX(0,MIN(1,AC183))^2/(MAX(0,MIN(1,AC183))^2+(1-MAX(0,MIN(1,AC183)))^2/$B$5))-(MAX(0,MIN(1,AB183))^2/(MAX(0,MIN(1,AB183))^2+(1-MAX(0,MIN(1,AB183)))^2/$B$5))))&lt;0.000000001,0,AC183-$B$11/$B$9*((MAX(0,MIN(1,AC183))^2/(MAX(0,MIN(1,AC183))^2+(1-MAX(0,MIN(1,AC183)))^2/$B$5))-(MAX(0,MIN(1,AB183))^2/(MAX(0,MIN(1,AB183))^2+(1-MAX(0,MIN(1,AB183)))^2/$B$5))))</f>
        <v>0.838442846284905</v>
      </c>
      <c r="AD184" s="16" t="n">
        <f aca="false">IF(ABS(AD183-$B$11/$B$9*((MAX(0,MIN(1,AD183))^2/(MAX(0,MIN(1,AD183))^2+(1-MAX(0,MIN(1,AD183)))^2/$B$5))-(MAX(0,MIN(1,AC183))^2/(MAX(0,MIN(1,AC183))^2+(1-MAX(0,MIN(1,AC183)))^2/$B$5))))&lt;0.000000001,0,AD183-$B$11/$B$9*((MAX(0,MIN(1,AD183))^2/(MAX(0,MIN(1,AD183))^2+(1-MAX(0,MIN(1,AD183)))^2/$B$5))-(MAX(0,MIN(1,AC183))^2/(MAX(0,MIN(1,AC183))^2+(1-MAX(0,MIN(1,AC183)))^2/$B$5))))</f>
        <v>0.832520986399058</v>
      </c>
      <c r="AE184" s="16" t="n">
        <f aca="false">IF(ABS(AE183-$B$11/$B$9*((MAX(0,MIN(1,AE183))^2/(MAX(0,MIN(1,AE183))^2+(1-MAX(0,MIN(1,AE183)))^2/$B$5))-(MAX(0,MIN(1,AD183))^2/(MAX(0,MIN(1,AD183))^2+(1-MAX(0,MIN(1,AD183)))^2/$B$5))))&lt;0.000000001,0,AE183-$B$11/$B$9*((MAX(0,MIN(1,AE183))^2/(MAX(0,MIN(1,AE183))^2+(1-MAX(0,MIN(1,AE183)))^2/$B$5))-(MAX(0,MIN(1,AD183))^2/(MAX(0,MIN(1,AD183))^2+(1-MAX(0,MIN(1,AD183)))^2/$B$5))))</f>
        <v>0.826764856145148</v>
      </c>
      <c r="AF184" s="16" t="n">
        <f aca="false">IF(ABS(AF183-$B$11/$B$9*((MAX(0,MIN(1,AF183))^2/(MAX(0,MIN(1,AF183))^2+(1-MAX(0,MIN(1,AF183)))^2/$B$5))-(MAX(0,MIN(1,AE183))^2/(MAX(0,MIN(1,AE183))^2+(1-MAX(0,MIN(1,AE183)))^2/$B$5))))&lt;0.000000001,0,AF183-$B$11/$B$9*((MAX(0,MIN(1,AF183))^2/(MAX(0,MIN(1,AF183))^2+(1-MAX(0,MIN(1,AF183)))^2/$B$5))-(MAX(0,MIN(1,AE183))^2/(MAX(0,MIN(1,AE183))^2+(1-MAX(0,MIN(1,AE183)))^2/$B$5))))</f>
        <v>0.821163746999143</v>
      </c>
    </row>
    <row r="185" customFormat="false" ht="15" hidden="false" customHeight="false" outlineLevel="0" collapsed="false">
      <c r="L185" s="0" t="n">
        <v>175</v>
      </c>
      <c r="M185" s="16" t="n">
        <f aca="false">IF(ABS(M184-$B$11/$B$9*((MAX(0,MIN(1,M184))^2/(MAX(0,MIN(1,M184))^2+(1-MAX(0,MIN(1,M184)))^2/$B$5))-(MAX(0,MIN(1,1))^2/(MAX(0,MIN(1,1))^2+(1-MAX(0,MIN(1,1)))^2/$B$5))))&lt;0.000000001,0,M184-$B$11/$B$9*((MAX(0,MIN(1,M184))^2/(MAX(0,MIN(1,M184))^2+(1-MAX(0,MIN(1,M184)))^2/$B$5))-(MAX(0,MIN(1,1))^2/(MAX(0,MIN(1,1))^2+(1-MAX(0,MIN(1,1)))^2/$B$5))))</f>
        <v>0.975876335384007</v>
      </c>
      <c r="N185" s="16" t="n">
        <f aca="false">IF(ABS(N184-$B$11/$B$9*((MAX(0,MIN(1,N184))^2/(MAX(0,MIN(1,N184))^2+(1-MAX(0,MIN(1,N184)))^2/$B$5))-(MAX(0,MIN(1,M184))^2/(MAX(0,MIN(1,M184))^2+(1-MAX(0,MIN(1,M184)))^2/$B$5))))&lt;0.000000001,0,N184-$B$11/$B$9*((MAX(0,MIN(1,N184))^2/(MAX(0,MIN(1,N184))^2+(1-MAX(0,MIN(1,N184)))^2/$B$5))-(MAX(0,MIN(1,M184))^2/(MAX(0,MIN(1,M184))^2+(1-MAX(0,MIN(1,M184)))^2/$B$5))))</f>
        <v>0.962210778547384</v>
      </c>
      <c r="O185" s="16" t="n">
        <f aca="false">IF(ABS(O184-$B$11/$B$9*((MAX(0,MIN(1,O184))^2/(MAX(0,MIN(1,O184))^2+(1-MAX(0,MIN(1,O184)))^2/$B$5))-(MAX(0,MIN(1,N184))^2/(MAX(0,MIN(1,N184))^2+(1-MAX(0,MIN(1,N184)))^2/$B$5))))&lt;0.000000001,0,O184-$B$11/$B$9*((MAX(0,MIN(1,O184))^2/(MAX(0,MIN(1,O184))^2+(1-MAX(0,MIN(1,O184)))^2/$B$5))-(MAX(0,MIN(1,N184))^2/(MAX(0,MIN(1,N184))^2+(1-MAX(0,MIN(1,N184)))^2/$B$5))))</f>
        <v>0.950268579175692</v>
      </c>
      <c r="P185" s="16" t="n">
        <f aca="false">IF(ABS(P184-$B$11/$B$9*((MAX(0,MIN(1,P184))^2/(MAX(0,MIN(1,P184))^2+(1-MAX(0,MIN(1,P184)))^2/$B$5))-(MAX(0,MIN(1,O184))^2/(MAX(0,MIN(1,O184))^2+(1-MAX(0,MIN(1,O184)))^2/$B$5))))&lt;0.000000001,0,P184-$B$11/$B$9*((MAX(0,MIN(1,P184))^2/(MAX(0,MIN(1,P184))^2+(1-MAX(0,MIN(1,P184)))^2/$B$5))-(MAX(0,MIN(1,O184))^2/(MAX(0,MIN(1,O184))^2+(1-MAX(0,MIN(1,O184)))^2/$B$5))))</f>
        <v>0.939366517332093</v>
      </c>
      <c r="Q185" s="16" t="n">
        <f aca="false">IF(ABS(Q184-$B$11/$B$9*((MAX(0,MIN(1,Q184))^2/(MAX(0,MIN(1,Q184))^2+(1-MAX(0,MIN(1,Q184)))^2/$B$5))-(MAX(0,MIN(1,P184))^2/(MAX(0,MIN(1,P184))^2+(1-MAX(0,MIN(1,P184)))^2/$B$5))))&lt;0.000000001,0,Q184-$B$11/$B$9*((MAX(0,MIN(1,Q184))^2/(MAX(0,MIN(1,Q184))^2+(1-MAX(0,MIN(1,Q184)))^2/$B$5))-(MAX(0,MIN(1,P184))^2/(MAX(0,MIN(1,P184))^2+(1-MAX(0,MIN(1,P184)))^2/$B$5))))</f>
        <v>0.929232169278365</v>
      </c>
      <c r="R185" s="16" t="n">
        <f aca="false">IF(ABS(R184-$B$11/$B$9*((MAX(0,MIN(1,R184))^2/(MAX(0,MIN(1,R184))^2+(1-MAX(0,MIN(1,R184)))^2/$B$5))-(MAX(0,MIN(1,Q184))^2/(MAX(0,MIN(1,Q184))^2+(1-MAX(0,MIN(1,Q184)))^2/$B$5))))&lt;0.000000001,0,R184-$B$11/$B$9*((MAX(0,MIN(1,R184))^2/(MAX(0,MIN(1,R184))^2+(1-MAX(0,MIN(1,R184)))^2/$B$5))-(MAX(0,MIN(1,Q184))^2/(MAX(0,MIN(1,Q184))^2+(1-MAX(0,MIN(1,Q184)))^2/$B$5))))</f>
        <v>0.919714855686911</v>
      </c>
      <c r="S185" s="16" t="n">
        <f aca="false">IF(ABS(S184-$B$11/$B$9*((MAX(0,MIN(1,S184))^2/(MAX(0,MIN(1,S184))^2+(1-MAX(0,MIN(1,S184)))^2/$B$5))-(MAX(0,MIN(1,R184))^2/(MAX(0,MIN(1,R184))^2+(1-MAX(0,MIN(1,R184)))^2/$B$5))))&lt;0.000000001,0,S184-$B$11/$B$9*((MAX(0,MIN(1,S184))^2/(MAX(0,MIN(1,S184))^2+(1-MAX(0,MIN(1,S184)))^2/$B$5))-(MAX(0,MIN(1,R184))^2/(MAX(0,MIN(1,R184))^2+(1-MAX(0,MIN(1,R184)))^2/$B$5))))</f>
        <v>0.910716332063636</v>
      </c>
      <c r="T185" s="16" t="n">
        <f aca="false">IF(ABS(T184-$B$11/$B$9*((MAX(0,MIN(1,T184))^2/(MAX(0,MIN(1,T184))^2+(1-MAX(0,MIN(1,T184)))^2/$B$5))-(MAX(0,MIN(1,S184))^2/(MAX(0,MIN(1,S184))^2+(1-MAX(0,MIN(1,S184)))^2/$B$5))))&lt;0.000000001,0,T184-$B$11/$B$9*((MAX(0,MIN(1,T184))^2/(MAX(0,MIN(1,T184))^2+(1-MAX(0,MIN(1,T184)))^2/$B$5))-(MAX(0,MIN(1,S184))^2/(MAX(0,MIN(1,S184))^2+(1-MAX(0,MIN(1,S184)))^2/$B$5))))</f>
        <v>0.902166055752137</v>
      </c>
      <c r="U185" s="16" t="n">
        <f aca="false">IF(ABS(U184-$B$11/$B$9*((MAX(0,MIN(1,U184))^2/(MAX(0,MIN(1,U184))^2+(1-MAX(0,MIN(1,U184)))^2/$B$5))-(MAX(0,MIN(1,T184))^2/(MAX(0,MIN(1,T184))^2+(1-MAX(0,MIN(1,T184)))^2/$B$5))))&lt;0.000000001,0,U184-$B$11/$B$9*((MAX(0,MIN(1,U184))^2/(MAX(0,MIN(1,U184))^2+(1-MAX(0,MIN(1,U184)))^2/$B$5))-(MAX(0,MIN(1,T184))^2/(MAX(0,MIN(1,T184))^2+(1-MAX(0,MIN(1,T184)))^2/$B$5))))</f>
        <v>0.89401016558718</v>
      </c>
      <c r="V185" s="16" t="n">
        <f aca="false">IF(ABS(V184-$B$11/$B$9*((MAX(0,MIN(1,V184))^2/(MAX(0,MIN(1,V184))^2+(1-MAX(0,MIN(1,V184)))^2/$B$5))-(MAX(0,MIN(1,U184))^2/(MAX(0,MIN(1,U184))^2+(1-MAX(0,MIN(1,U184)))^2/$B$5))))&lt;0.000000001,0,V184-$B$11/$B$9*((MAX(0,MIN(1,V184))^2/(MAX(0,MIN(1,V184))^2+(1-MAX(0,MIN(1,V184)))^2/$B$5))-(MAX(0,MIN(1,U184))^2/(MAX(0,MIN(1,U184))^2+(1-MAX(0,MIN(1,U184)))^2/$B$5))))</f>
        <v>0.886205793469993</v>
      </c>
      <c r="W185" s="16" t="n">
        <f aca="false">IF(ABS(W184-$B$11/$B$9*((MAX(0,MIN(1,W184))^2/(MAX(0,MIN(1,W184))^2+(1-MAX(0,MIN(1,W184)))^2/$B$5))-(MAX(0,MIN(1,V184))^2/(MAX(0,MIN(1,V184))^2+(1-MAX(0,MIN(1,V184)))^2/$B$5))))&lt;0.000000001,0,W184-$B$11/$B$9*((MAX(0,MIN(1,W184))^2/(MAX(0,MIN(1,W184))^2+(1-MAX(0,MIN(1,W184)))^2/$B$5))-(MAX(0,MIN(1,V184))^2/(MAX(0,MIN(1,V184))^2+(1-MAX(0,MIN(1,V184)))^2/$B$5))))</f>
        <v>0.878717800699728</v>
      </c>
      <c r="X185" s="16" t="n">
        <f aca="false">IF(ABS(X184-$B$11/$B$9*((MAX(0,MIN(1,X184))^2/(MAX(0,MIN(1,X184))^2+(1-MAX(0,MIN(1,X184)))^2/$B$5))-(MAX(0,MIN(1,W184))^2/(MAX(0,MIN(1,W184))^2+(1-MAX(0,MIN(1,W184)))^2/$B$5))))&lt;0.000000001,0,X184-$B$11/$B$9*((MAX(0,MIN(1,X184))^2/(MAX(0,MIN(1,X184))^2+(1-MAX(0,MIN(1,X184)))^2/$B$5))-(MAX(0,MIN(1,W184))^2/(MAX(0,MIN(1,W184))^2+(1-MAX(0,MIN(1,W184)))^2/$B$5))))</f>
        <v>0.871516750396157</v>
      </c>
      <c r="Y185" s="16" t="n">
        <f aca="false">IF(ABS(Y184-$B$11/$B$9*((MAX(0,MIN(1,Y184))^2/(MAX(0,MIN(1,Y184))^2+(1-MAX(0,MIN(1,Y184)))^2/$B$5))-(MAX(0,MIN(1,X184))^2/(MAX(0,MIN(1,X184))^2+(1-MAX(0,MIN(1,X184)))^2/$B$5))))&lt;0.000000001,0,Y184-$B$11/$B$9*((MAX(0,MIN(1,Y184))^2/(MAX(0,MIN(1,Y184))^2+(1-MAX(0,MIN(1,Y184)))^2/$B$5))-(MAX(0,MIN(1,X184))^2/(MAX(0,MIN(1,X184))^2+(1-MAX(0,MIN(1,X184)))^2/$B$5))))</f>
        <v>0.864577567805946</v>
      </c>
      <c r="Z185" s="16" t="n">
        <f aca="false">IF(ABS(Z184-$B$11/$B$9*((MAX(0,MIN(1,Z184))^2/(MAX(0,MIN(1,Z184))^2+(1-MAX(0,MIN(1,Z184)))^2/$B$5))-(MAX(0,MIN(1,Y184))^2/(MAX(0,MIN(1,Y184))^2+(1-MAX(0,MIN(1,Y184)))^2/$B$5))))&lt;0.000000001,0,Z184-$B$11/$B$9*((MAX(0,MIN(1,Z184))^2/(MAX(0,MIN(1,Z184))^2+(1-MAX(0,MIN(1,Z184)))^2/$B$5))-(MAX(0,MIN(1,Y184))^2/(MAX(0,MIN(1,Y184))^2+(1-MAX(0,MIN(1,Y184)))^2/$B$5))))</f>
        <v>0.857878611000436</v>
      </c>
      <c r="AA185" s="16" t="n">
        <f aca="false">IF(ABS(AA184-$B$11/$B$9*((MAX(0,MIN(1,AA184))^2/(MAX(0,MIN(1,AA184))^2+(1-MAX(0,MIN(1,AA184)))^2/$B$5))-(MAX(0,MIN(1,Z184))^2/(MAX(0,MIN(1,Z184))^2+(1-MAX(0,MIN(1,Z184)))^2/$B$5))))&lt;0.000000001,0,AA184-$B$11/$B$9*((MAX(0,MIN(1,AA184))^2/(MAX(0,MIN(1,AA184))^2+(1-MAX(0,MIN(1,AA184)))^2/$B$5))-(MAX(0,MIN(1,Z184))^2/(MAX(0,MIN(1,Z184))^2+(1-MAX(0,MIN(1,Z184)))^2/$B$5))))</f>
        <v>0.851401000628187</v>
      </c>
      <c r="AB185" s="16" t="n">
        <f aca="false">IF(ABS(AB184-$B$11/$B$9*((MAX(0,MIN(1,AB184))^2/(MAX(0,MIN(1,AB184))^2+(1-MAX(0,MIN(1,AB184)))^2/$B$5))-(MAX(0,MIN(1,AA184))^2/(MAX(0,MIN(1,AA184))^2+(1-MAX(0,MIN(1,AA184)))^2/$B$5))))&lt;0.000000001,0,AB184-$B$11/$B$9*((MAX(0,MIN(1,AB184))^2/(MAX(0,MIN(1,AB184))^2+(1-MAX(0,MIN(1,AB184)))^2/$B$5))-(MAX(0,MIN(1,AA184))^2/(MAX(0,MIN(1,AA184))^2+(1-MAX(0,MIN(1,AA184)))^2/$B$5))))</f>
        <v>0.845128120971885</v>
      </c>
      <c r="AC185" s="16" t="n">
        <f aca="false">IF(ABS(AC184-$B$11/$B$9*((MAX(0,MIN(1,AC184))^2/(MAX(0,MIN(1,AC184))^2+(1-MAX(0,MIN(1,AC184)))^2/$B$5))-(MAX(0,MIN(1,AB184))^2/(MAX(0,MIN(1,AB184))^2+(1-MAX(0,MIN(1,AB184)))^2/$B$5))))&lt;0.000000001,0,AC184-$B$11/$B$9*((MAX(0,MIN(1,AC184))^2/(MAX(0,MIN(1,AC184))^2+(1-MAX(0,MIN(1,AC184)))^2/$B$5))-(MAX(0,MIN(1,AB184))^2/(MAX(0,MIN(1,AB184))^2+(1-MAX(0,MIN(1,AB184)))^2/$B$5))))</f>
        <v>0.83904523875305</v>
      </c>
      <c r="AD185" s="16" t="n">
        <f aca="false">IF(ABS(AD184-$B$11/$B$9*((MAX(0,MIN(1,AD184))^2/(MAX(0,MIN(1,AD184))^2+(1-MAX(0,MIN(1,AD184)))^2/$B$5))-(MAX(0,MIN(1,AC184))^2/(MAX(0,MIN(1,AC184))^2+(1-MAX(0,MIN(1,AC184)))^2/$B$5))))&lt;0.000000001,0,AD184-$B$11/$B$9*((MAX(0,MIN(1,AD184))^2/(MAX(0,MIN(1,AD184))^2+(1-MAX(0,MIN(1,AD184)))^2/$B$5))-(MAX(0,MIN(1,AC184))^2/(MAX(0,MIN(1,AC184))^2+(1-MAX(0,MIN(1,AC184)))^2/$B$5))))</f>
        <v>0.833139205546765</v>
      </c>
      <c r="AE185" s="16" t="n">
        <f aca="false">IF(ABS(AE184-$B$11/$B$9*((MAX(0,MIN(1,AE184))^2/(MAX(0,MIN(1,AE184))^2+(1-MAX(0,MIN(1,AE184)))^2/$B$5))-(MAX(0,MIN(1,AD184))^2/(MAX(0,MIN(1,AD184))^2+(1-MAX(0,MIN(1,AD184)))^2/$B$5))))&lt;0.000000001,0,AE184-$B$11/$B$9*((MAX(0,MIN(1,AE184))^2/(MAX(0,MIN(1,AE184))^2+(1-MAX(0,MIN(1,AE184)))^2/$B$5))-(MAX(0,MIN(1,AD184))^2/(MAX(0,MIN(1,AD184))^2+(1-MAX(0,MIN(1,AD184)))^2/$B$5))))</f>
        <v>0.827398221222933</v>
      </c>
      <c r="AF185" s="16" t="n">
        <f aca="false">IF(ABS(AF184-$B$11/$B$9*((MAX(0,MIN(1,AF184))^2/(MAX(0,MIN(1,AF184))^2+(1-MAX(0,MIN(1,AF184)))^2/$B$5))-(MAX(0,MIN(1,AE184))^2/(MAX(0,MIN(1,AE184))^2+(1-MAX(0,MIN(1,AE184)))^2/$B$5))))&lt;0.000000001,0,AF184-$B$11/$B$9*((MAX(0,MIN(1,AF184))^2/(MAX(0,MIN(1,AF184))^2+(1-MAX(0,MIN(1,AF184)))^2/$B$5))-(MAX(0,MIN(1,AE184))^2/(MAX(0,MIN(1,AE184))^2+(1-MAX(0,MIN(1,AE184)))^2/$B$5))))</f>
        <v>0.821811642988211</v>
      </c>
    </row>
    <row r="186" customFormat="false" ht="15" hidden="false" customHeight="false" outlineLevel="0" collapsed="false">
      <c r="L186" s="0" t="n">
        <v>176</v>
      </c>
      <c r="M186" s="16" t="n">
        <f aca="false">IF(ABS(M185-$B$11/$B$9*((MAX(0,MIN(1,M185))^2/(MAX(0,MIN(1,M185))^2+(1-MAX(0,MIN(1,M185)))^2/$B$5))-(MAX(0,MIN(1,1))^2/(MAX(0,MIN(1,1))^2+(1-MAX(0,MIN(1,1)))^2/$B$5))))&lt;0.000000001,0,M185-$B$11/$B$9*((MAX(0,MIN(1,M185))^2/(MAX(0,MIN(1,M185))^2+(1-MAX(0,MIN(1,M185)))^2/$B$5))-(MAX(0,MIN(1,1))^2/(MAX(0,MIN(1,1))^2+(1-MAX(0,MIN(1,1)))^2/$B$5))))</f>
        <v>0.975993788924767</v>
      </c>
      <c r="N186" s="16" t="n">
        <f aca="false">IF(ABS(N185-$B$11/$B$9*((MAX(0,MIN(1,N185))^2/(MAX(0,MIN(1,N185))^2+(1-MAX(0,MIN(1,N185)))^2/$B$5))-(MAX(0,MIN(1,M185))^2/(MAX(0,MIN(1,M185))^2+(1-MAX(0,MIN(1,M185)))^2/$B$5))))&lt;0.000000001,0,N185-$B$11/$B$9*((MAX(0,MIN(1,N185))^2/(MAX(0,MIN(1,N185))^2+(1-MAX(0,MIN(1,N185)))^2/$B$5))-(MAX(0,MIN(1,M185))^2/(MAX(0,MIN(1,M185))^2+(1-MAX(0,MIN(1,M185)))^2/$B$5))))</f>
        <v>0.962389646021954</v>
      </c>
      <c r="O186" s="16" t="n">
        <f aca="false">IF(ABS(O185-$B$11/$B$9*((MAX(0,MIN(1,O185))^2/(MAX(0,MIN(1,O185))^2+(1-MAX(0,MIN(1,O185)))^2/$B$5))-(MAX(0,MIN(1,N185))^2/(MAX(0,MIN(1,N185))^2+(1-MAX(0,MIN(1,N185)))^2/$B$5))))&lt;0.000000001,0,O185-$B$11/$B$9*((MAX(0,MIN(1,O185))^2/(MAX(0,MIN(1,O185))^2+(1-MAX(0,MIN(1,O185)))^2/$B$5))-(MAX(0,MIN(1,N185))^2/(MAX(0,MIN(1,N185))^2+(1-MAX(0,MIN(1,N185)))^2/$B$5))))</f>
        <v>0.95049812582155</v>
      </c>
      <c r="P186" s="16" t="n">
        <f aca="false">IF(ABS(P185-$B$11/$B$9*((MAX(0,MIN(1,P185))^2/(MAX(0,MIN(1,P185))^2+(1-MAX(0,MIN(1,P185)))^2/$B$5))-(MAX(0,MIN(1,O185))^2/(MAX(0,MIN(1,O185))^2+(1-MAX(0,MIN(1,O185)))^2/$B$5))))&lt;0.000000001,0,P185-$B$11/$B$9*((MAX(0,MIN(1,P185))^2/(MAX(0,MIN(1,P185))^2+(1-MAX(0,MIN(1,P185)))^2/$B$5))-(MAX(0,MIN(1,O185))^2/(MAX(0,MIN(1,O185))^2+(1-MAX(0,MIN(1,O185)))^2/$B$5))))</f>
        <v>0.93964002898144</v>
      </c>
      <c r="Q186" s="16" t="n">
        <f aca="false">IF(ABS(Q185-$B$11/$B$9*((MAX(0,MIN(1,Q185))^2/(MAX(0,MIN(1,Q185))^2+(1-MAX(0,MIN(1,Q185)))^2/$B$5))-(MAX(0,MIN(1,P185))^2/(MAX(0,MIN(1,P185))^2+(1-MAX(0,MIN(1,P185)))^2/$B$5))))&lt;0.000000001,0,Q185-$B$11/$B$9*((MAX(0,MIN(1,Q185))^2/(MAX(0,MIN(1,Q185))^2+(1-MAX(0,MIN(1,Q185)))^2/$B$5))-(MAX(0,MIN(1,P185))^2/(MAX(0,MIN(1,P185))^2+(1-MAX(0,MIN(1,P185)))^2/$B$5))))</f>
        <v>0.929544694428955</v>
      </c>
      <c r="R186" s="16" t="n">
        <f aca="false">IF(ABS(R185-$B$11/$B$9*((MAX(0,MIN(1,R185))^2/(MAX(0,MIN(1,R185))^2+(1-MAX(0,MIN(1,R185)))^2/$B$5))-(MAX(0,MIN(1,Q185))^2/(MAX(0,MIN(1,Q185))^2+(1-MAX(0,MIN(1,Q185)))^2/$B$5))))&lt;0.000000001,0,R185-$B$11/$B$9*((MAX(0,MIN(1,R185))^2/(MAX(0,MIN(1,R185))^2+(1-MAX(0,MIN(1,R185)))^2/$B$5))-(MAX(0,MIN(1,Q185))^2/(MAX(0,MIN(1,Q185))^2+(1-MAX(0,MIN(1,Q185)))^2/$B$5))))</f>
        <v>0.920062485259472</v>
      </c>
      <c r="S186" s="16" t="n">
        <f aca="false">IF(ABS(S185-$B$11/$B$9*((MAX(0,MIN(1,S185))^2/(MAX(0,MIN(1,S185))^2+(1-MAX(0,MIN(1,S185)))^2/$B$5))-(MAX(0,MIN(1,R185))^2/(MAX(0,MIN(1,R185))^2+(1-MAX(0,MIN(1,R185)))^2/$B$5))))&lt;0.000000001,0,S185-$B$11/$B$9*((MAX(0,MIN(1,S185))^2/(MAX(0,MIN(1,S185))^2+(1-MAX(0,MIN(1,S185)))^2/$B$5))-(MAX(0,MIN(1,R185))^2/(MAX(0,MIN(1,R185))^2+(1-MAX(0,MIN(1,R185)))^2/$B$5))))</f>
        <v>0.911095865007595</v>
      </c>
      <c r="T186" s="16" t="n">
        <f aca="false">IF(ABS(T185-$B$11/$B$9*((MAX(0,MIN(1,T185))^2/(MAX(0,MIN(1,T185))^2+(1-MAX(0,MIN(1,T185)))^2/$B$5))-(MAX(0,MIN(1,S185))^2/(MAX(0,MIN(1,S185))^2+(1-MAX(0,MIN(1,S185)))^2/$B$5))))&lt;0.000000001,0,T185-$B$11/$B$9*((MAX(0,MIN(1,T185))^2/(MAX(0,MIN(1,T185))^2+(1-MAX(0,MIN(1,T185)))^2/$B$5))-(MAX(0,MIN(1,S185))^2/(MAX(0,MIN(1,S185))^2+(1-MAX(0,MIN(1,S185)))^2/$B$5))))</f>
        <v>0.90257481011833</v>
      </c>
      <c r="U186" s="16" t="n">
        <f aca="false">IF(ABS(U185-$B$11/$B$9*((MAX(0,MIN(1,U185))^2/(MAX(0,MIN(1,U185))^2+(1-MAX(0,MIN(1,U185)))^2/$B$5))-(MAX(0,MIN(1,T185))^2/(MAX(0,MIN(1,T185))^2+(1-MAX(0,MIN(1,T185)))^2/$B$5))))&lt;0.000000001,0,U185-$B$11/$B$9*((MAX(0,MIN(1,U185))^2/(MAX(0,MIN(1,U185))^2+(1-MAX(0,MIN(1,U185)))^2/$B$5))-(MAX(0,MIN(1,T185))^2/(MAX(0,MIN(1,T185))^2+(1-MAX(0,MIN(1,T185)))^2/$B$5))))</f>
        <v>0.89444585840165</v>
      </c>
      <c r="V186" s="16" t="n">
        <f aca="false">IF(ABS(V185-$B$11/$B$9*((MAX(0,MIN(1,V185))^2/(MAX(0,MIN(1,V185))^2+(1-MAX(0,MIN(1,V185)))^2/$B$5))-(MAX(0,MIN(1,U185))^2/(MAX(0,MIN(1,U185))^2+(1-MAX(0,MIN(1,U185)))^2/$B$5))))&lt;0.000000001,0,V185-$B$11/$B$9*((MAX(0,MIN(1,V185))^2/(MAX(0,MIN(1,V185))^2+(1-MAX(0,MIN(1,V185)))^2/$B$5))-(MAX(0,MIN(1,U185))^2/(MAX(0,MIN(1,U185))^2+(1-MAX(0,MIN(1,U185)))^2/$B$5))))</f>
        <v>0.886666458282891</v>
      </c>
      <c r="W186" s="16" t="n">
        <f aca="false">IF(ABS(W185-$B$11/$B$9*((MAX(0,MIN(1,W185))^2/(MAX(0,MIN(1,W185))^2+(1-MAX(0,MIN(1,W185)))^2/$B$5))-(MAX(0,MIN(1,V185))^2/(MAX(0,MIN(1,V185))^2+(1-MAX(0,MIN(1,V185)))^2/$B$5))))&lt;0.000000001,0,W185-$B$11/$B$9*((MAX(0,MIN(1,W185))^2/(MAX(0,MIN(1,W185))^2+(1-MAX(0,MIN(1,W185)))^2/$B$5))-(MAX(0,MIN(1,V185))^2/(MAX(0,MIN(1,V185))^2+(1-MAX(0,MIN(1,V185)))^2/$B$5))))</f>
        <v>0.879201727957799</v>
      </c>
      <c r="X186" s="16" t="n">
        <f aca="false">IF(ABS(X185-$B$11/$B$9*((MAX(0,MIN(1,X185))^2/(MAX(0,MIN(1,X185))^2+(1-MAX(0,MIN(1,X185)))^2/$B$5))-(MAX(0,MIN(1,W185))^2/(MAX(0,MIN(1,W185))^2+(1-MAX(0,MIN(1,W185)))^2/$B$5))))&lt;0.000000001,0,X185-$B$11/$B$9*((MAX(0,MIN(1,X185))^2/(MAX(0,MIN(1,X185))^2+(1-MAX(0,MIN(1,X185)))^2/$B$5))-(MAX(0,MIN(1,W185))^2/(MAX(0,MIN(1,W185))^2+(1-MAX(0,MIN(1,W185)))^2/$B$5))))</f>
        <v>0.872022442679417</v>
      </c>
      <c r="Y186" s="16" t="n">
        <f aca="false">IF(ABS(Y185-$B$11/$B$9*((MAX(0,MIN(1,Y185))^2/(MAX(0,MIN(1,Y185))^2+(1-MAX(0,MIN(1,Y185)))^2/$B$5))-(MAX(0,MIN(1,X185))^2/(MAX(0,MIN(1,X185))^2+(1-MAX(0,MIN(1,X185)))^2/$B$5))))&lt;0.000000001,0,Y185-$B$11/$B$9*((MAX(0,MIN(1,Y185))^2/(MAX(0,MIN(1,Y185))^2+(1-MAX(0,MIN(1,Y185)))^2/$B$5))-(MAX(0,MIN(1,X185))^2/(MAX(0,MIN(1,X185))^2+(1-MAX(0,MIN(1,X185)))^2/$B$5))))</f>
        <v>0.86510370527559</v>
      </c>
      <c r="Z186" s="16" t="n">
        <f aca="false">IF(ABS(Z185-$B$11/$B$9*((MAX(0,MIN(1,Z185))^2/(MAX(0,MIN(1,Z185))^2+(1-MAX(0,MIN(1,Z185)))^2/$B$5))-(MAX(0,MIN(1,Y185))^2/(MAX(0,MIN(1,Y185))^2+(1-MAX(0,MIN(1,Y185)))^2/$B$5))))&lt;0.000000001,0,Z185-$B$11/$B$9*((MAX(0,MIN(1,Z185))^2/(MAX(0,MIN(1,Z185))^2+(1-MAX(0,MIN(1,Z185)))^2/$B$5))-(MAX(0,MIN(1,Y185))^2/(MAX(0,MIN(1,Y185))^2+(1-MAX(0,MIN(1,Y185)))^2/$B$5))))</f>
        <v>0.858424024150675</v>
      </c>
      <c r="AA186" s="16" t="n">
        <f aca="false">IF(ABS(AA185-$B$11/$B$9*((MAX(0,MIN(1,AA185))^2/(MAX(0,MIN(1,AA185))^2+(1-MAX(0,MIN(1,AA185)))^2/$B$5))-(MAX(0,MIN(1,Z185))^2/(MAX(0,MIN(1,Z185))^2+(1-MAX(0,MIN(1,Z185)))^2/$B$5))))&lt;0.000000001,0,AA185-$B$11/$B$9*((MAX(0,MIN(1,AA185))^2/(MAX(0,MIN(1,AA185))^2+(1-MAX(0,MIN(1,AA185)))^2/$B$5))-(MAX(0,MIN(1,Z185))^2/(MAX(0,MIN(1,Z185))^2+(1-MAX(0,MIN(1,Z185)))^2/$B$5))))</f>
        <v>0.851964648428742</v>
      </c>
      <c r="AB186" s="16" t="n">
        <f aca="false">IF(ABS(AB185-$B$11/$B$9*((MAX(0,MIN(1,AB185))^2/(MAX(0,MIN(1,AB185))^2+(1-MAX(0,MIN(1,AB185)))^2/$B$5))-(MAX(0,MIN(1,AA185))^2/(MAX(0,MIN(1,AA185))^2+(1-MAX(0,MIN(1,AA185)))^2/$B$5))))&lt;0.000000001,0,AB185-$B$11/$B$9*((MAX(0,MIN(1,AB185))^2/(MAX(0,MIN(1,AB185))^2+(1-MAX(0,MIN(1,AB185)))^2/$B$5))-(MAX(0,MIN(1,AA185))^2/(MAX(0,MIN(1,AA185))^2+(1-MAX(0,MIN(1,AA185)))^2/$B$5))))</f>
        <v>0.84570907308921</v>
      </c>
      <c r="AC186" s="16" t="n">
        <f aca="false">IF(ABS(AC185-$B$11/$B$9*((MAX(0,MIN(1,AC185))^2/(MAX(0,MIN(1,AC185))^2+(1-MAX(0,MIN(1,AC185)))^2/$B$5))-(MAX(0,MIN(1,AB185))^2/(MAX(0,MIN(1,AB185))^2+(1-MAX(0,MIN(1,AB185)))^2/$B$5))))&lt;0.000000001,0,AC185-$B$11/$B$9*((MAX(0,MIN(1,AC185))^2/(MAX(0,MIN(1,AC185))^2+(1-MAX(0,MIN(1,AC185)))^2/$B$5))-(MAX(0,MIN(1,AB185))^2/(MAX(0,MIN(1,AB185))^2+(1-MAX(0,MIN(1,AB185)))^2/$B$5))))</f>
        <v>0.839642660920536</v>
      </c>
      <c r="AD186" s="16" t="n">
        <f aca="false">IF(ABS(AD185-$B$11/$B$9*((MAX(0,MIN(1,AD185))^2/(MAX(0,MIN(1,AD185))^2+(1-MAX(0,MIN(1,AD185)))^2/$B$5))-(MAX(0,MIN(1,AC185))^2/(MAX(0,MIN(1,AC185))^2+(1-MAX(0,MIN(1,AC185)))^2/$B$5))))&lt;0.000000001,0,AD185-$B$11/$B$9*((MAX(0,MIN(1,AD185))^2/(MAX(0,MIN(1,AD185))^2+(1-MAX(0,MIN(1,AD185)))^2/$B$5))-(MAX(0,MIN(1,AC185))^2/(MAX(0,MIN(1,AC185))^2+(1-MAX(0,MIN(1,AC185)))^2/$B$5))))</f>
        <v>0.833752347407063</v>
      </c>
      <c r="AE186" s="16" t="n">
        <f aca="false">IF(ABS(AE185-$B$11/$B$9*((MAX(0,MIN(1,AE185))^2/(MAX(0,MIN(1,AE185))^2+(1-MAX(0,MIN(1,AE185)))^2/$B$5))-(MAX(0,MIN(1,AD185))^2/(MAX(0,MIN(1,AD185))^2+(1-MAX(0,MIN(1,AD185)))^2/$B$5))))&lt;0.000000001,0,AE185-$B$11/$B$9*((MAX(0,MIN(1,AE185))^2/(MAX(0,MIN(1,AE185))^2+(1-MAX(0,MIN(1,AE185)))^2/$B$5))-(MAX(0,MIN(1,AD185))^2/(MAX(0,MIN(1,AD185))^2+(1-MAX(0,MIN(1,AD185)))^2/$B$5))))</f>
        <v>0.828026406138572</v>
      </c>
      <c r="AF186" s="16" t="n">
        <f aca="false">IF(ABS(AF185-$B$11/$B$9*((MAX(0,MIN(1,AF185))^2/(MAX(0,MIN(1,AF185))^2+(1-MAX(0,MIN(1,AF185)))^2/$B$5))-(MAX(0,MIN(1,AE185))^2/(MAX(0,MIN(1,AE185))^2+(1-MAX(0,MIN(1,AE185)))^2/$B$5))))&lt;0.000000001,0,AF185-$B$11/$B$9*((MAX(0,MIN(1,AF185))^2/(MAX(0,MIN(1,AF185))^2+(1-MAX(0,MIN(1,AF185)))^2/$B$5))-(MAX(0,MIN(1,AE185))^2/(MAX(0,MIN(1,AE185))^2+(1-MAX(0,MIN(1,AE185)))^2/$B$5))))</f>
        <v>0.822454259438414</v>
      </c>
    </row>
    <row r="187" customFormat="false" ht="15" hidden="false" customHeight="false" outlineLevel="0" collapsed="false">
      <c r="L187" s="0" t="n">
        <v>177</v>
      </c>
      <c r="M187" s="16" t="n">
        <f aca="false">IF(ABS(M186-$B$11/$B$9*((MAX(0,MIN(1,M186))^2/(MAX(0,MIN(1,M186))^2+(1-MAX(0,MIN(1,M186)))^2/$B$5))-(MAX(0,MIN(1,1))^2/(MAX(0,MIN(1,1))^2+(1-MAX(0,MIN(1,1)))^2/$B$5))))&lt;0.000000001,0,M186-$B$11/$B$9*((MAX(0,MIN(1,M186))^2/(MAX(0,MIN(1,M186))^2+(1-MAX(0,MIN(1,M186)))^2/$B$5))-(MAX(0,MIN(1,1))^2/(MAX(0,MIN(1,1))^2+(1-MAX(0,MIN(1,1)))^2/$B$5))))</f>
        <v>0.976110073892315</v>
      </c>
      <c r="N187" s="16" t="n">
        <f aca="false">IF(ABS(N186-$B$11/$B$9*((MAX(0,MIN(1,N186))^2/(MAX(0,MIN(1,N186))^2+(1-MAX(0,MIN(1,N186)))^2/$B$5))-(MAX(0,MIN(1,M186))^2/(MAX(0,MIN(1,M186))^2+(1-MAX(0,MIN(1,M186)))^2/$B$5))))&lt;0.000000001,0,N186-$B$11/$B$9*((MAX(0,MIN(1,N186))^2/(MAX(0,MIN(1,N186))^2+(1-MAX(0,MIN(1,N186)))^2/$B$5))-(MAX(0,MIN(1,M186))^2/(MAX(0,MIN(1,M186))^2+(1-MAX(0,MIN(1,M186)))^2/$B$5))))</f>
        <v>0.962566776681863</v>
      </c>
      <c r="O187" s="16" t="n">
        <f aca="false">IF(ABS(O186-$B$11/$B$9*((MAX(0,MIN(1,O186))^2/(MAX(0,MIN(1,O186))^2+(1-MAX(0,MIN(1,O186)))^2/$B$5))-(MAX(0,MIN(1,N186))^2/(MAX(0,MIN(1,N186))^2+(1-MAX(0,MIN(1,N186)))^2/$B$5))))&lt;0.000000001,0,O186-$B$11/$B$9*((MAX(0,MIN(1,O186))^2/(MAX(0,MIN(1,O186))^2+(1-MAX(0,MIN(1,O186)))^2/$B$5))-(MAX(0,MIN(1,N186))^2/(MAX(0,MIN(1,N186))^2+(1-MAX(0,MIN(1,N186)))^2/$B$5))))</f>
        <v>0.950725489810422</v>
      </c>
      <c r="P187" s="16" t="n">
        <f aca="false">IF(ABS(P186-$B$11/$B$9*((MAX(0,MIN(1,P186))^2/(MAX(0,MIN(1,P186))^2+(1-MAX(0,MIN(1,P186)))^2/$B$5))-(MAX(0,MIN(1,O186))^2/(MAX(0,MIN(1,O186))^2+(1-MAX(0,MIN(1,O186)))^2/$B$5))))&lt;0.000000001,0,P186-$B$11/$B$9*((MAX(0,MIN(1,P186))^2/(MAX(0,MIN(1,P186))^2+(1-MAX(0,MIN(1,P186)))^2/$B$5))-(MAX(0,MIN(1,O186))^2/(MAX(0,MIN(1,O186))^2+(1-MAX(0,MIN(1,O186)))^2/$B$5))))</f>
        <v>0.939910987751681</v>
      </c>
      <c r="Q187" s="16" t="n">
        <f aca="false">IF(ABS(Q186-$B$11/$B$9*((MAX(0,MIN(1,Q186))^2/(MAX(0,MIN(1,Q186))^2+(1-MAX(0,MIN(1,Q186)))^2/$B$5))-(MAX(0,MIN(1,P186))^2/(MAX(0,MIN(1,P186))^2+(1-MAX(0,MIN(1,P186)))^2/$B$5))))&lt;0.000000001,0,Q186-$B$11/$B$9*((MAX(0,MIN(1,Q186))^2/(MAX(0,MIN(1,Q186))^2+(1-MAX(0,MIN(1,Q186)))^2/$B$5))-(MAX(0,MIN(1,P186))^2/(MAX(0,MIN(1,P186))^2+(1-MAX(0,MIN(1,P186)))^2/$B$5))))</f>
        <v>0.929854350625157</v>
      </c>
      <c r="R187" s="16" t="n">
        <f aca="false">IF(ABS(R186-$B$11/$B$9*((MAX(0,MIN(1,R186))^2/(MAX(0,MIN(1,R186))^2+(1-MAX(0,MIN(1,R186)))^2/$B$5))-(MAX(0,MIN(1,Q186))^2/(MAX(0,MIN(1,Q186))^2+(1-MAX(0,MIN(1,Q186)))^2/$B$5))))&lt;0.000000001,0,R186-$B$11/$B$9*((MAX(0,MIN(1,R186))^2/(MAX(0,MIN(1,R186))^2+(1-MAX(0,MIN(1,R186)))^2/$B$5))-(MAX(0,MIN(1,Q186))^2/(MAX(0,MIN(1,Q186))^2+(1-MAX(0,MIN(1,Q186)))^2/$B$5))))</f>
        <v>0.920406971046109</v>
      </c>
      <c r="S187" s="16" t="n">
        <f aca="false">IF(ABS(S186-$B$11/$B$9*((MAX(0,MIN(1,S186))^2/(MAX(0,MIN(1,S186))^2+(1-MAX(0,MIN(1,S186)))^2/$B$5))-(MAX(0,MIN(1,R186))^2/(MAX(0,MIN(1,R186))^2+(1-MAX(0,MIN(1,R186)))^2/$B$5))))&lt;0.000000001,0,S186-$B$11/$B$9*((MAX(0,MIN(1,S186))^2/(MAX(0,MIN(1,S186))^2+(1-MAX(0,MIN(1,S186)))^2/$B$5))-(MAX(0,MIN(1,R186))^2/(MAX(0,MIN(1,R186))^2+(1-MAX(0,MIN(1,R186)))^2/$B$5))))</f>
        <v>0.911472011839425</v>
      </c>
      <c r="T187" s="16" t="n">
        <f aca="false">IF(ABS(T186-$B$11/$B$9*((MAX(0,MIN(1,T186))^2/(MAX(0,MIN(1,T186))^2+(1-MAX(0,MIN(1,T186)))^2/$B$5))-(MAX(0,MIN(1,S186))^2/(MAX(0,MIN(1,S186))^2+(1-MAX(0,MIN(1,S186)))^2/$B$5))))&lt;0.000000001,0,T186-$B$11/$B$9*((MAX(0,MIN(1,T186))^2/(MAX(0,MIN(1,T186))^2+(1-MAX(0,MIN(1,T186)))^2/$B$5))-(MAX(0,MIN(1,S186))^2/(MAX(0,MIN(1,S186))^2+(1-MAX(0,MIN(1,S186)))^2/$B$5))))</f>
        <v>0.902979962233172</v>
      </c>
      <c r="U187" s="16" t="n">
        <f aca="false">IF(ABS(U186-$B$11/$B$9*((MAX(0,MIN(1,U186))^2/(MAX(0,MIN(1,U186))^2+(1-MAX(0,MIN(1,U186)))^2/$B$5))-(MAX(0,MIN(1,T186))^2/(MAX(0,MIN(1,T186))^2+(1-MAX(0,MIN(1,T186)))^2/$B$5))))&lt;0.000000001,0,U186-$B$11/$B$9*((MAX(0,MIN(1,U186))^2/(MAX(0,MIN(1,U186))^2+(1-MAX(0,MIN(1,U186)))^2/$B$5))-(MAX(0,MIN(1,T186))^2/(MAX(0,MIN(1,T186))^2+(1-MAX(0,MIN(1,T186)))^2/$B$5))))</f>
        <v>0.894877754252792</v>
      </c>
      <c r="V187" s="16" t="n">
        <f aca="false">IF(ABS(V186-$B$11/$B$9*((MAX(0,MIN(1,V186))^2/(MAX(0,MIN(1,V186))^2+(1-MAX(0,MIN(1,V186)))^2/$B$5))-(MAX(0,MIN(1,U186))^2/(MAX(0,MIN(1,U186))^2+(1-MAX(0,MIN(1,U186)))^2/$B$5))))&lt;0.000000001,0,V186-$B$11/$B$9*((MAX(0,MIN(1,V186))^2/(MAX(0,MIN(1,V186))^2+(1-MAX(0,MIN(1,V186)))^2/$B$5))-(MAX(0,MIN(1,U186))^2/(MAX(0,MIN(1,U186))^2+(1-MAX(0,MIN(1,U186)))^2/$B$5))))</f>
        <v>0.887123149159037</v>
      </c>
      <c r="W187" s="16" t="n">
        <f aca="false">IF(ABS(W186-$B$11/$B$9*((MAX(0,MIN(1,W186))^2/(MAX(0,MIN(1,W186))^2+(1-MAX(0,MIN(1,W186)))^2/$B$5))-(MAX(0,MIN(1,V186))^2/(MAX(0,MIN(1,V186))^2+(1-MAX(0,MIN(1,V186)))^2/$B$5))))&lt;0.000000001,0,W186-$B$11/$B$9*((MAX(0,MIN(1,W186))^2/(MAX(0,MIN(1,W186))^2+(1-MAX(0,MIN(1,W186)))^2/$B$5))-(MAX(0,MIN(1,V186))^2/(MAX(0,MIN(1,V186))^2+(1-MAX(0,MIN(1,V186)))^2/$B$5))))</f>
        <v>0.879681519124598</v>
      </c>
      <c r="X187" s="16" t="n">
        <f aca="false">IF(ABS(X186-$B$11/$B$9*((MAX(0,MIN(1,X186))^2/(MAX(0,MIN(1,X186))^2+(1-MAX(0,MIN(1,X186)))^2/$B$5))-(MAX(0,MIN(1,W186))^2/(MAX(0,MIN(1,W186))^2+(1-MAX(0,MIN(1,W186)))^2/$B$5))))&lt;0.000000001,0,X186-$B$11/$B$9*((MAX(0,MIN(1,X186))^2/(MAX(0,MIN(1,X186))^2+(1-MAX(0,MIN(1,X186)))^2/$B$5))-(MAX(0,MIN(1,W186))^2/(MAX(0,MIN(1,W186))^2+(1-MAX(0,MIN(1,W186)))^2/$B$5))))</f>
        <v>0.87252384918605</v>
      </c>
      <c r="Y187" s="16" t="n">
        <f aca="false">IF(ABS(Y186-$B$11/$B$9*((MAX(0,MIN(1,Y186))^2/(MAX(0,MIN(1,Y186))^2+(1-MAX(0,MIN(1,Y186)))^2/$B$5))-(MAX(0,MIN(1,X186))^2/(MAX(0,MIN(1,X186))^2+(1-MAX(0,MIN(1,X186)))^2/$B$5))))&lt;0.000000001,0,Y186-$B$11/$B$9*((MAX(0,MIN(1,Y186))^2/(MAX(0,MIN(1,Y186))^2+(1-MAX(0,MIN(1,Y186)))^2/$B$5))-(MAX(0,MIN(1,X186))^2/(MAX(0,MIN(1,X186))^2+(1-MAX(0,MIN(1,X186)))^2/$B$5))))</f>
        <v>0.865625417835181</v>
      </c>
      <c r="Z187" s="16" t="n">
        <f aca="false">IF(ABS(Z186-$B$11/$B$9*((MAX(0,MIN(1,Z186))^2/(MAX(0,MIN(1,Z186))^2+(1-MAX(0,MIN(1,Z186)))^2/$B$5))-(MAX(0,MIN(1,Y186))^2/(MAX(0,MIN(1,Y186))^2+(1-MAX(0,MIN(1,Y186)))^2/$B$5))))&lt;0.000000001,0,Z186-$B$11/$B$9*((MAX(0,MIN(1,Z186))^2/(MAX(0,MIN(1,Z186))^2+(1-MAX(0,MIN(1,Z186)))^2/$B$5))-(MAX(0,MIN(1,Y186))^2/(MAX(0,MIN(1,Y186))^2+(1-MAX(0,MIN(1,Y186)))^2/$B$5))))</f>
        <v>0.858964882226567</v>
      </c>
      <c r="AA187" s="16" t="n">
        <f aca="false">IF(ABS(AA186-$B$11/$B$9*((MAX(0,MIN(1,AA186))^2/(MAX(0,MIN(1,AA186))^2+(1-MAX(0,MIN(1,AA186)))^2/$B$5))-(MAX(0,MIN(1,Z186))^2/(MAX(0,MIN(1,Z186))^2+(1-MAX(0,MIN(1,Z186)))^2/$B$5))))&lt;0.000000001,0,AA186-$B$11/$B$9*((MAX(0,MIN(1,AA186))^2/(MAX(0,MIN(1,AA186))^2+(1-MAX(0,MIN(1,AA186)))^2/$B$5))-(MAX(0,MIN(1,Z186))^2/(MAX(0,MIN(1,Z186))^2+(1-MAX(0,MIN(1,Z186)))^2/$B$5))))</f>
        <v>0.852523618639522</v>
      </c>
      <c r="AB187" s="16" t="n">
        <f aca="false">IF(ABS(AB186-$B$11/$B$9*((MAX(0,MIN(1,AB186))^2/(MAX(0,MIN(1,AB186))^2+(1-MAX(0,MIN(1,AB186)))^2/$B$5))-(MAX(0,MIN(1,AA186))^2/(MAX(0,MIN(1,AA186))^2+(1-MAX(0,MIN(1,AA186)))^2/$B$5))))&lt;0.000000001,0,AB186-$B$11/$B$9*((MAX(0,MIN(1,AB186))^2/(MAX(0,MIN(1,AB186))^2+(1-MAX(0,MIN(1,AB186)))^2/$B$5))-(MAX(0,MIN(1,AA186))^2/(MAX(0,MIN(1,AA186))^2+(1-MAX(0,MIN(1,AA186)))^2/$B$5))))</f>
        <v>0.84628523163863</v>
      </c>
      <c r="AC187" s="16" t="n">
        <f aca="false">IF(ABS(AC186-$B$11/$B$9*((MAX(0,MIN(1,AC186))^2/(MAX(0,MIN(1,AC186))^2+(1-MAX(0,MIN(1,AC186)))^2/$B$5))-(MAX(0,MIN(1,AB186))^2/(MAX(0,MIN(1,AB186))^2+(1-MAX(0,MIN(1,AB186)))^2/$B$5))))&lt;0.000000001,0,AC186-$B$11/$B$9*((MAX(0,MIN(1,AC186))^2/(MAX(0,MIN(1,AC186))^2+(1-MAX(0,MIN(1,AC186)))^2/$B$5))-(MAX(0,MIN(1,AB186))^2/(MAX(0,MIN(1,AB186))^2+(1-MAX(0,MIN(1,AB186)))^2/$B$5))))</f>
        <v>0.840235179135372</v>
      </c>
      <c r="AD187" s="16" t="n">
        <f aca="false">IF(ABS(AD186-$B$11/$B$9*((MAX(0,MIN(1,AD186))^2/(MAX(0,MIN(1,AD186))^2+(1-MAX(0,MIN(1,AD186)))^2/$B$5))-(MAX(0,MIN(1,AC186))^2/(MAX(0,MIN(1,AC186))^2+(1-MAX(0,MIN(1,AC186)))^2/$B$5))))&lt;0.000000001,0,AD186-$B$11/$B$9*((MAX(0,MIN(1,AD186))^2/(MAX(0,MIN(1,AD186))^2+(1-MAX(0,MIN(1,AD186)))^2/$B$5))-(MAX(0,MIN(1,AC186))^2/(MAX(0,MIN(1,AC186))^2+(1-MAX(0,MIN(1,AC186)))^2/$B$5))))</f>
        <v>0.834360479715349</v>
      </c>
      <c r="AE187" s="16" t="n">
        <f aca="false">IF(ABS(AE186-$B$11/$B$9*((MAX(0,MIN(1,AE186))^2/(MAX(0,MIN(1,AE186))^2+(1-MAX(0,MIN(1,AE186)))^2/$B$5))-(MAX(0,MIN(1,AD186))^2/(MAX(0,MIN(1,AD186))^2+(1-MAX(0,MIN(1,AD186)))^2/$B$5))))&lt;0.000000001,0,AE186-$B$11/$B$9*((MAX(0,MIN(1,AE186))^2/(MAX(0,MIN(1,AE186))^2+(1-MAX(0,MIN(1,AE186)))^2/$B$5))-(MAX(0,MIN(1,AD186))^2/(MAX(0,MIN(1,AD186))^2+(1-MAX(0,MIN(1,AD186)))^2/$B$5))))</f>
        <v>0.828649479991235</v>
      </c>
      <c r="AF187" s="16" t="n">
        <f aca="false">IF(ABS(AF186-$B$11/$B$9*((MAX(0,MIN(1,AF186))^2/(MAX(0,MIN(1,AF186))^2+(1-MAX(0,MIN(1,AF186)))^2/$B$5))-(MAX(0,MIN(1,AE186))^2/(MAX(0,MIN(1,AE186))^2+(1-MAX(0,MIN(1,AE186)))^2/$B$5))))&lt;0.000000001,0,AF186-$B$11/$B$9*((MAX(0,MIN(1,AF186))^2/(MAX(0,MIN(1,AF186))^2+(1-MAX(0,MIN(1,AF186)))^2/$B$5))-(MAX(0,MIN(1,AE186))^2/(MAX(0,MIN(1,AE186))^2+(1-MAX(0,MIN(1,AE186)))^2/$B$5))))</f>
        <v>0.823091666797384</v>
      </c>
    </row>
    <row r="188" customFormat="false" ht="15" hidden="false" customHeight="false" outlineLevel="0" collapsed="false">
      <c r="L188" s="0" t="n">
        <v>178</v>
      </c>
      <c r="M188" s="16" t="n">
        <f aca="false">IF(ABS(M187-$B$11/$B$9*((MAX(0,MIN(1,M187))^2/(MAX(0,MIN(1,M187))^2+(1-MAX(0,MIN(1,M187)))^2/$B$5))-(MAX(0,MIN(1,1))^2/(MAX(0,MIN(1,1))^2+(1-MAX(0,MIN(1,1)))^2/$B$5))))&lt;0.000000001,0,M187-$B$11/$B$9*((MAX(0,MIN(1,M187))^2/(MAX(0,MIN(1,M187))^2+(1-MAX(0,MIN(1,M187)))^2/$B$5))-(MAX(0,MIN(1,1))^2/(MAX(0,MIN(1,1))^2+(1-MAX(0,MIN(1,1)))^2/$B$5))))</f>
        <v>0.97622520793825</v>
      </c>
      <c r="N188" s="16" t="n">
        <f aca="false">IF(ABS(N187-$B$11/$B$9*((MAX(0,MIN(1,N187))^2/(MAX(0,MIN(1,N187))^2+(1-MAX(0,MIN(1,N187)))^2/$B$5))-(MAX(0,MIN(1,M187))^2/(MAX(0,MIN(1,M187))^2+(1-MAX(0,MIN(1,M187)))^2/$B$5))))&lt;0.000000001,0,N187-$B$11/$B$9*((MAX(0,MIN(1,N187))^2/(MAX(0,MIN(1,N187))^2+(1-MAX(0,MIN(1,N187)))^2/$B$5))-(MAX(0,MIN(1,M187))^2/(MAX(0,MIN(1,M187))^2+(1-MAX(0,MIN(1,M187)))^2/$B$5))))</f>
        <v>0.962742196217087</v>
      </c>
      <c r="O188" s="16" t="n">
        <f aca="false">IF(ABS(O187-$B$11/$B$9*((MAX(0,MIN(1,O187))^2/(MAX(0,MIN(1,O187))^2+(1-MAX(0,MIN(1,O187)))^2/$B$5))-(MAX(0,MIN(1,N187))^2/(MAX(0,MIN(1,N187))^2+(1-MAX(0,MIN(1,N187)))^2/$B$5))))&lt;0.000000001,0,O187-$B$11/$B$9*((MAX(0,MIN(1,O187))^2/(MAX(0,MIN(1,O187))^2+(1-MAX(0,MIN(1,O187)))^2/$B$5))-(MAX(0,MIN(1,N187))^2/(MAX(0,MIN(1,N187))^2+(1-MAX(0,MIN(1,N187)))^2/$B$5))))</f>
        <v>0.950950702869395</v>
      </c>
      <c r="P188" s="16" t="n">
        <f aca="false">IF(ABS(P187-$B$11/$B$9*((MAX(0,MIN(1,P187))^2/(MAX(0,MIN(1,P187))^2+(1-MAX(0,MIN(1,P187)))^2/$B$5))-(MAX(0,MIN(1,O187))^2/(MAX(0,MIN(1,O187))^2+(1-MAX(0,MIN(1,O187)))^2/$B$5))))&lt;0.000000001,0,P187-$B$11/$B$9*((MAX(0,MIN(1,P187))^2/(MAX(0,MIN(1,P187))^2+(1-MAX(0,MIN(1,P187)))^2/$B$5))-(MAX(0,MIN(1,O187))^2/(MAX(0,MIN(1,O187))^2+(1-MAX(0,MIN(1,O187)))^2/$B$5))))</f>
        <v>0.940179430204769</v>
      </c>
      <c r="Q188" s="16" t="n">
        <f aca="false">IF(ABS(Q187-$B$11/$B$9*((MAX(0,MIN(1,Q187))^2/(MAX(0,MIN(1,Q187))^2+(1-MAX(0,MIN(1,Q187)))^2/$B$5))-(MAX(0,MIN(1,P187))^2/(MAX(0,MIN(1,P187))^2+(1-MAX(0,MIN(1,P187)))^2/$B$5))))&lt;0.000000001,0,Q187-$B$11/$B$9*((MAX(0,MIN(1,Q187))^2/(MAX(0,MIN(1,Q187))^2+(1-MAX(0,MIN(1,Q187)))^2/$B$5))-(MAX(0,MIN(1,P187))^2/(MAX(0,MIN(1,P187))^2+(1-MAX(0,MIN(1,P187)))^2/$B$5))))</f>
        <v>0.930161178434313</v>
      </c>
      <c r="R188" s="16" t="n">
        <f aca="false">IF(ABS(R187-$B$11/$B$9*((MAX(0,MIN(1,R187))^2/(MAX(0,MIN(1,R187))^2+(1-MAX(0,MIN(1,R187)))^2/$B$5))-(MAX(0,MIN(1,Q187))^2/(MAX(0,MIN(1,Q187))^2+(1-MAX(0,MIN(1,Q187)))^2/$B$5))))&lt;0.000000001,0,R187-$B$11/$B$9*((MAX(0,MIN(1,R187))^2/(MAX(0,MIN(1,R187))^2+(1-MAX(0,MIN(1,R187)))^2/$B$5))-(MAX(0,MIN(1,Q187))^2/(MAX(0,MIN(1,Q187))^2+(1-MAX(0,MIN(1,Q187)))^2/$B$5))))</f>
        <v>0.920748357012485</v>
      </c>
      <c r="S188" s="16" t="n">
        <f aca="false">IF(ABS(S187-$B$11/$B$9*((MAX(0,MIN(1,S187))^2/(MAX(0,MIN(1,S187))^2+(1-MAX(0,MIN(1,S187)))^2/$B$5))-(MAX(0,MIN(1,R187))^2/(MAX(0,MIN(1,R187))^2+(1-MAX(0,MIN(1,R187)))^2/$B$5))))&lt;0.000000001,0,S187-$B$11/$B$9*((MAX(0,MIN(1,S187))^2/(MAX(0,MIN(1,S187))^2+(1-MAX(0,MIN(1,S187)))^2/$B$5))-(MAX(0,MIN(1,R187))^2/(MAX(0,MIN(1,R187))^2+(1-MAX(0,MIN(1,R187)))^2/$B$5))))</f>
        <v>0.911844819463895</v>
      </c>
      <c r="T188" s="16" t="n">
        <f aca="false">IF(ABS(T187-$B$11/$B$9*((MAX(0,MIN(1,T187))^2/(MAX(0,MIN(1,T187))^2+(1-MAX(0,MIN(1,T187)))^2/$B$5))-(MAX(0,MIN(1,S187))^2/(MAX(0,MIN(1,S187))^2+(1-MAX(0,MIN(1,S187)))^2/$B$5))))&lt;0.000000001,0,T187-$B$11/$B$9*((MAX(0,MIN(1,T187))^2/(MAX(0,MIN(1,T187))^2+(1-MAX(0,MIN(1,T187)))^2/$B$5))-(MAX(0,MIN(1,S187))^2/(MAX(0,MIN(1,S187))^2+(1-MAX(0,MIN(1,S187)))^2/$B$5))))</f>
        <v>0.903381561585684</v>
      </c>
      <c r="U188" s="16" t="n">
        <f aca="false">IF(ABS(U187-$B$11/$B$9*((MAX(0,MIN(1,U187))^2/(MAX(0,MIN(1,U187))^2+(1-MAX(0,MIN(1,U187)))^2/$B$5))-(MAX(0,MIN(1,T187))^2/(MAX(0,MIN(1,T187))^2+(1-MAX(0,MIN(1,T187)))^2/$B$5))))&lt;0.000000001,0,U187-$B$11/$B$9*((MAX(0,MIN(1,U187))^2/(MAX(0,MIN(1,U187))^2+(1-MAX(0,MIN(1,U187)))^2/$B$5))-(MAX(0,MIN(1,T187))^2/(MAX(0,MIN(1,T187))^2+(1-MAX(0,MIN(1,T187)))^2/$B$5))))</f>
        <v>0.895305904935611</v>
      </c>
      <c r="V188" s="16" t="n">
        <f aca="false">IF(ABS(V187-$B$11/$B$9*((MAX(0,MIN(1,V187))^2/(MAX(0,MIN(1,V187))^2+(1-MAX(0,MIN(1,V187)))^2/$B$5))-(MAX(0,MIN(1,U187))^2/(MAX(0,MIN(1,U187))^2+(1-MAX(0,MIN(1,U187)))^2/$B$5))))&lt;0.000000001,0,V187-$B$11/$B$9*((MAX(0,MIN(1,V187))^2/(MAX(0,MIN(1,V187))^2+(1-MAX(0,MIN(1,V187)))^2/$B$5))-(MAX(0,MIN(1,U187))^2/(MAX(0,MIN(1,U187))^2+(1-MAX(0,MIN(1,U187)))^2/$B$5))))</f>
        <v>0.887575919978929</v>
      </c>
      <c r="W188" s="16" t="n">
        <f aca="false">IF(ABS(W187-$B$11/$B$9*((MAX(0,MIN(1,W187))^2/(MAX(0,MIN(1,W187))^2+(1-MAX(0,MIN(1,W187)))^2/$B$5))-(MAX(0,MIN(1,V187))^2/(MAX(0,MIN(1,V187))^2+(1-MAX(0,MIN(1,V187)))^2/$B$5))))&lt;0.000000001,0,W187-$B$11/$B$9*((MAX(0,MIN(1,W187))^2/(MAX(0,MIN(1,W187))^2+(1-MAX(0,MIN(1,W187)))^2/$B$5))-(MAX(0,MIN(1,V187))^2/(MAX(0,MIN(1,V187))^2+(1-MAX(0,MIN(1,V187)))^2/$B$5))))</f>
        <v>0.880157229990173</v>
      </c>
      <c r="X188" s="16" t="n">
        <f aca="false">IF(ABS(X187-$B$11/$B$9*((MAX(0,MIN(1,X187))^2/(MAX(0,MIN(1,X187))^2+(1-MAX(0,MIN(1,X187)))^2/$B$5))-(MAX(0,MIN(1,W187))^2/(MAX(0,MIN(1,W187))^2+(1-MAX(0,MIN(1,W187)))^2/$B$5))))&lt;0.000000001,0,X187-$B$11/$B$9*((MAX(0,MIN(1,X187))^2/(MAX(0,MIN(1,X187))^2+(1-MAX(0,MIN(1,X187)))^2/$B$5))-(MAX(0,MIN(1,W187))^2/(MAX(0,MIN(1,W187))^2+(1-MAX(0,MIN(1,W187)))^2/$B$5))))</f>
        <v>0.873021027474665</v>
      </c>
      <c r="Y188" s="16" t="n">
        <f aca="false">IF(ABS(Y187-$B$11/$B$9*((MAX(0,MIN(1,Y187))^2/(MAX(0,MIN(1,Y187))^2+(1-MAX(0,MIN(1,Y187)))^2/$B$5))-(MAX(0,MIN(1,X187))^2/(MAX(0,MIN(1,X187))^2+(1-MAX(0,MIN(1,X187)))^2/$B$5))))&lt;0.000000001,0,Y187-$B$11/$B$9*((MAX(0,MIN(1,Y187))^2/(MAX(0,MIN(1,Y187))^2+(1-MAX(0,MIN(1,Y187)))^2/$B$5))-(MAX(0,MIN(1,X187))^2/(MAX(0,MIN(1,X187))^2+(1-MAX(0,MIN(1,X187)))^2/$B$5))))</f>
        <v>0.86614276469877</v>
      </c>
      <c r="Z188" s="16" t="n">
        <f aca="false">IF(ABS(Z187-$B$11/$B$9*((MAX(0,MIN(1,Z187))^2/(MAX(0,MIN(1,Z187))^2+(1-MAX(0,MIN(1,Z187)))^2/$B$5))-(MAX(0,MIN(1,Y187))^2/(MAX(0,MIN(1,Y187))^2+(1-MAX(0,MIN(1,Y187)))^2/$B$5))))&lt;0.000000001,0,Z187-$B$11/$B$9*((MAX(0,MIN(1,Z187))^2/(MAX(0,MIN(1,Z187))^2+(1-MAX(0,MIN(1,Z187)))^2/$B$5))-(MAX(0,MIN(1,Y187))^2/(MAX(0,MIN(1,Y187))^2+(1-MAX(0,MIN(1,Y187)))^2/$B$5))))</f>
        <v>0.859501246006995</v>
      </c>
      <c r="AA188" s="16" t="n">
        <f aca="false">IF(ABS(AA187-$B$11/$B$9*((MAX(0,MIN(1,AA187))^2/(MAX(0,MIN(1,AA187))^2+(1-MAX(0,MIN(1,AA187)))^2/$B$5))-(MAX(0,MIN(1,Z187))^2/(MAX(0,MIN(1,Z187))^2+(1-MAX(0,MIN(1,Z187)))^2/$B$5))))&lt;0.000000001,0,AA187-$B$11/$B$9*((MAX(0,MIN(1,AA187))^2/(MAX(0,MIN(1,AA187))^2+(1-MAX(0,MIN(1,AA187)))^2/$B$5))-(MAX(0,MIN(1,Z187))^2/(MAX(0,MIN(1,Z187))^2+(1-MAX(0,MIN(1,Z187)))^2/$B$5))))</f>
        <v>0.853077973532067</v>
      </c>
      <c r="AB188" s="16" t="n">
        <f aca="false">IF(ABS(AB187-$B$11/$B$9*((MAX(0,MIN(1,AB187))^2/(MAX(0,MIN(1,AB187))^2+(1-MAX(0,MIN(1,AB187)))^2/$B$5))-(MAX(0,MIN(1,AA187))^2/(MAX(0,MIN(1,AA187))^2+(1-MAX(0,MIN(1,AA187)))^2/$B$5))))&lt;0.000000001,0,AB187-$B$11/$B$9*((MAX(0,MIN(1,AB187))^2/(MAX(0,MIN(1,AB187))^2+(1-MAX(0,MIN(1,AB187)))^2/$B$5))-(MAX(0,MIN(1,AA187))^2/(MAX(0,MIN(1,AA187))^2+(1-MAX(0,MIN(1,AA187)))^2/$B$5))))</f>
        <v>0.846856660327436</v>
      </c>
      <c r="AC188" s="16" t="n">
        <f aca="false">IF(ABS(AC187-$B$11/$B$9*((MAX(0,MIN(1,AC187))^2/(MAX(0,MIN(1,AC187))^2+(1-MAX(0,MIN(1,AC187)))^2/$B$5))-(MAX(0,MIN(1,AB187))^2/(MAX(0,MIN(1,AB187))^2+(1-MAX(0,MIN(1,AB187)))^2/$B$5))))&lt;0.000000001,0,AC187-$B$11/$B$9*((MAX(0,MIN(1,AC187))^2/(MAX(0,MIN(1,AC187))^2+(1-MAX(0,MIN(1,AC187)))^2/$B$5))-(MAX(0,MIN(1,AB187))^2/(MAX(0,MIN(1,AB187))^2+(1-MAX(0,MIN(1,AB187)))^2/$B$5))))</f>
        <v>0.840822858496507</v>
      </c>
      <c r="AD188" s="16" t="n">
        <f aca="false">IF(ABS(AD187-$B$11/$B$9*((MAX(0,MIN(1,AD187))^2/(MAX(0,MIN(1,AD187))^2+(1-MAX(0,MIN(1,AD187)))^2/$B$5))-(MAX(0,MIN(1,AC187))^2/(MAX(0,MIN(1,AC187))^2+(1-MAX(0,MIN(1,AC187)))^2/$B$5))))&lt;0.000000001,0,AD187-$B$11/$B$9*((MAX(0,MIN(1,AD187))^2/(MAX(0,MIN(1,AD187))^2+(1-MAX(0,MIN(1,AD187)))^2/$B$5))-(MAX(0,MIN(1,AC187))^2/(MAX(0,MIN(1,AC187))^2+(1-MAX(0,MIN(1,AC187)))^2/$B$5))))</f>
        <v>0.834963668929009</v>
      </c>
      <c r="AE188" s="16" t="n">
        <f aca="false">IF(ABS(AE187-$B$11/$B$9*((MAX(0,MIN(1,AE187))^2/(MAX(0,MIN(1,AE187))^2+(1-MAX(0,MIN(1,AE187)))^2/$B$5))-(MAX(0,MIN(1,AD187))^2/(MAX(0,MIN(1,AD187))^2+(1-MAX(0,MIN(1,AD187)))^2/$B$5))))&lt;0.000000001,0,AE187-$B$11/$B$9*((MAX(0,MIN(1,AE187))^2/(MAX(0,MIN(1,AE187))^2+(1-MAX(0,MIN(1,AE187)))^2/$B$5))-(MAX(0,MIN(1,AD187))^2/(MAX(0,MIN(1,AD187))^2+(1-MAX(0,MIN(1,AD187)))^2/$B$5))))</f>
        <v>0.829267510572869</v>
      </c>
      <c r="AF188" s="16" t="n">
        <f aca="false">IF(ABS(AF187-$B$11/$B$9*((MAX(0,MIN(1,AF187))^2/(MAX(0,MIN(1,AF187))^2+(1-MAX(0,MIN(1,AF187)))^2/$B$5))-(MAX(0,MIN(1,AE187))^2/(MAX(0,MIN(1,AE187))^2+(1-MAX(0,MIN(1,AE187)))^2/$B$5))))&lt;0.000000001,0,AF187-$B$11/$B$9*((MAX(0,MIN(1,AF187))^2/(MAX(0,MIN(1,AF187))^2+(1-MAX(0,MIN(1,AF187)))^2/$B$5))-(MAX(0,MIN(1,AE187))^2/(MAX(0,MIN(1,AE187))^2+(1-MAX(0,MIN(1,AE187)))^2/$B$5))))</f>
        <v>0.823723934175882</v>
      </c>
    </row>
    <row r="189" customFormat="false" ht="15" hidden="false" customHeight="false" outlineLevel="0" collapsed="false">
      <c r="L189" s="0" t="n">
        <v>179</v>
      </c>
      <c r="M189" s="16" t="n">
        <f aca="false">IF(ABS(M188-$B$11/$B$9*((MAX(0,MIN(1,M188))^2/(MAX(0,MIN(1,M188))^2+(1-MAX(0,MIN(1,M188)))^2/$B$5))-(MAX(0,MIN(1,1))^2/(MAX(0,MIN(1,1))^2+(1-MAX(0,MIN(1,1)))^2/$B$5))))&lt;0.000000001,0,M188-$B$11/$B$9*((MAX(0,MIN(1,M188))^2/(MAX(0,MIN(1,M188))^2+(1-MAX(0,MIN(1,M188)))^2/$B$5))-(MAX(0,MIN(1,1))^2/(MAX(0,MIN(1,1))^2+(1-MAX(0,MIN(1,1)))^2/$B$5))))</f>
        <v>0.976339208356065</v>
      </c>
      <c r="N189" s="16" t="n">
        <f aca="false">IF(ABS(N188-$B$11/$B$9*((MAX(0,MIN(1,N188))^2/(MAX(0,MIN(1,N188))^2+(1-MAX(0,MIN(1,N188)))^2/$B$5))-(MAX(0,MIN(1,M188))^2/(MAX(0,MIN(1,M188))^2+(1-MAX(0,MIN(1,M188)))^2/$B$5))))&lt;0.000000001,0,N188-$B$11/$B$9*((MAX(0,MIN(1,N188))^2/(MAX(0,MIN(1,N188))^2+(1-MAX(0,MIN(1,N188)))^2/$B$5))-(MAX(0,MIN(1,M188))^2/(MAX(0,MIN(1,M188))^2+(1-MAX(0,MIN(1,M188)))^2/$B$5))))</f>
        <v>0.962915929805789</v>
      </c>
      <c r="O189" s="16" t="n">
        <f aca="false">IF(ABS(O188-$B$11/$B$9*((MAX(0,MIN(1,O188))^2/(MAX(0,MIN(1,O188))^2+(1-MAX(0,MIN(1,O188)))^2/$B$5))-(MAX(0,MIN(1,N188))^2/(MAX(0,MIN(1,N188))^2+(1-MAX(0,MIN(1,N188)))^2/$B$5))))&lt;0.000000001,0,O188-$B$11/$B$9*((MAX(0,MIN(1,O188))^2/(MAX(0,MIN(1,O188))^2+(1-MAX(0,MIN(1,O188)))^2/$B$5))-(MAX(0,MIN(1,N188))^2/(MAX(0,MIN(1,N188))^2+(1-MAX(0,MIN(1,N188)))^2/$B$5))))</f>
        <v>0.951173796102534</v>
      </c>
      <c r="P189" s="16" t="n">
        <f aca="false">IF(ABS(P188-$B$11/$B$9*((MAX(0,MIN(1,P188))^2/(MAX(0,MIN(1,P188))^2+(1-MAX(0,MIN(1,P188)))^2/$B$5))-(MAX(0,MIN(1,O188))^2/(MAX(0,MIN(1,O188))^2+(1-MAX(0,MIN(1,O188)))^2/$B$5))))&lt;0.000000001,0,P188-$B$11/$B$9*((MAX(0,MIN(1,P188))^2/(MAX(0,MIN(1,P188))^2+(1-MAX(0,MIN(1,P188)))^2/$B$5))-(MAX(0,MIN(1,O188))^2/(MAX(0,MIN(1,O188))^2+(1-MAX(0,MIN(1,O188)))^2/$B$5))))</f>
        <v>0.940445392193091</v>
      </c>
      <c r="Q189" s="16" t="n">
        <f aca="false">IF(ABS(Q188-$B$11/$B$9*((MAX(0,MIN(1,Q188))^2/(MAX(0,MIN(1,Q188))^2+(1-MAX(0,MIN(1,Q188)))^2/$B$5))-(MAX(0,MIN(1,P188))^2/(MAX(0,MIN(1,P188))^2+(1-MAX(0,MIN(1,P188)))^2/$B$5))))&lt;0.000000001,0,Q188-$B$11/$B$9*((MAX(0,MIN(1,Q188))^2/(MAX(0,MIN(1,Q188))^2+(1-MAX(0,MIN(1,Q188)))^2/$B$5))-(MAX(0,MIN(1,P188))^2/(MAX(0,MIN(1,P188))^2+(1-MAX(0,MIN(1,P188)))^2/$B$5))))</f>
        <v>0.930465217644004</v>
      </c>
      <c r="R189" s="16" t="n">
        <f aca="false">IF(ABS(R188-$B$11/$B$9*((MAX(0,MIN(1,R188))^2/(MAX(0,MIN(1,R188))^2+(1-MAX(0,MIN(1,R188)))^2/$B$5))-(MAX(0,MIN(1,Q188))^2/(MAX(0,MIN(1,Q188))^2+(1-MAX(0,MIN(1,Q188)))^2/$B$5))))&lt;0.000000001,0,R188-$B$11/$B$9*((MAX(0,MIN(1,R188))^2/(MAX(0,MIN(1,R188))^2+(1-MAX(0,MIN(1,R188)))^2/$B$5))-(MAX(0,MIN(1,Q188))^2/(MAX(0,MIN(1,Q188))^2+(1-MAX(0,MIN(1,Q188)))^2/$B$5))))</f>
        <v>0.921086686285795</v>
      </c>
      <c r="S189" s="16" t="n">
        <f aca="false">IF(ABS(S188-$B$11/$B$9*((MAX(0,MIN(1,S188))^2/(MAX(0,MIN(1,S188))^2+(1-MAX(0,MIN(1,S188)))^2/$B$5))-(MAX(0,MIN(1,R188))^2/(MAX(0,MIN(1,R188))^2+(1-MAX(0,MIN(1,R188)))^2/$B$5))))&lt;0.000000001,0,S188-$B$11/$B$9*((MAX(0,MIN(1,S188))^2/(MAX(0,MIN(1,S188))^2+(1-MAX(0,MIN(1,S188)))^2/$B$5))-(MAX(0,MIN(1,R188))^2/(MAX(0,MIN(1,R188))^2+(1-MAX(0,MIN(1,R188)))^2/$B$5))))</f>
        <v>0.91221433389692</v>
      </c>
      <c r="T189" s="16" t="n">
        <f aca="false">IF(ABS(T188-$B$11/$B$9*((MAX(0,MIN(1,T188))^2/(MAX(0,MIN(1,T188))^2+(1-MAX(0,MIN(1,T188)))^2/$B$5))-(MAX(0,MIN(1,S188))^2/(MAX(0,MIN(1,S188))^2+(1-MAX(0,MIN(1,S188)))^2/$B$5))))&lt;0.000000001,0,T188-$B$11/$B$9*((MAX(0,MIN(1,T188))^2/(MAX(0,MIN(1,T188))^2+(1-MAX(0,MIN(1,T188)))^2/$B$5))-(MAX(0,MIN(1,S188))^2/(MAX(0,MIN(1,S188))^2+(1-MAX(0,MIN(1,S188)))^2/$B$5))))</f>
        <v>0.903779656731806</v>
      </c>
      <c r="U189" s="16" t="n">
        <f aca="false">IF(ABS(U188-$B$11/$B$9*((MAX(0,MIN(1,U188))^2/(MAX(0,MIN(1,U188))^2+(1-MAX(0,MIN(1,U188)))^2/$B$5))-(MAX(0,MIN(1,T188))^2/(MAX(0,MIN(1,T188))^2+(1-MAX(0,MIN(1,T188)))^2/$B$5))))&lt;0.000000001,0,U188-$B$11/$B$9*((MAX(0,MIN(1,U188))^2/(MAX(0,MIN(1,U188))^2+(1-MAX(0,MIN(1,U188)))^2/$B$5))-(MAX(0,MIN(1,T188))^2/(MAX(0,MIN(1,T188))^2+(1-MAX(0,MIN(1,T188)))^2/$B$5))))</f>
        <v>0.895730361272398</v>
      </c>
      <c r="V189" s="16" t="n">
        <f aca="false">IF(ABS(V188-$B$11/$B$9*((MAX(0,MIN(1,V188))^2/(MAX(0,MIN(1,V188))^2+(1-MAX(0,MIN(1,V188)))^2/$B$5))-(MAX(0,MIN(1,U188))^2/(MAX(0,MIN(1,U188))^2+(1-MAX(0,MIN(1,U188)))^2/$B$5))))&lt;0.000000001,0,V188-$B$11/$B$9*((MAX(0,MIN(1,V188))^2/(MAX(0,MIN(1,V188))^2+(1-MAX(0,MIN(1,V188)))^2/$B$5))-(MAX(0,MIN(1,U188))^2/(MAX(0,MIN(1,U188))^2+(1-MAX(0,MIN(1,U188)))^2/$B$5))))</f>
        <v>0.888024823614176</v>
      </c>
      <c r="W189" s="16" t="n">
        <f aca="false">IF(ABS(W188-$B$11/$B$9*((MAX(0,MIN(1,W188))^2/(MAX(0,MIN(1,W188))^2+(1-MAX(0,MIN(1,W188)))^2/$B$5))-(MAX(0,MIN(1,V188))^2/(MAX(0,MIN(1,V188))^2+(1-MAX(0,MIN(1,V188)))^2/$B$5))))&lt;0.000000001,0,W188-$B$11/$B$9*((MAX(0,MIN(1,W188))^2/(MAX(0,MIN(1,W188))^2+(1-MAX(0,MIN(1,W188)))^2/$B$5))-(MAX(0,MIN(1,V188))^2/(MAX(0,MIN(1,V188))^2+(1-MAX(0,MIN(1,V188)))^2/$B$5))))</f>
        <v>0.8806289153021</v>
      </c>
      <c r="X189" s="16" t="n">
        <f aca="false">IF(ABS(X188-$B$11/$B$9*((MAX(0,MIN(1,X188))^2/(MAX(0,MIN(1,X188))^2+(1-MAX(0,MIN(1,X188)))^2/$B$5))-(MAX(0,MIN(1,W188))^2/(MAX(0,MIN(1,W188))^2+(1-MAX(0,MIN(1,W188)))^2/$B$5))))&lt;0.000000001,0,X188-$B$11/$B$9*((MAX(0,MIN(1,X188))^2/(MAX(0,MIN(1,X188))^2+(1-MAX(0,MIN(1,X188)))^2/$B$5))-(MAX(0,MIN(1,W188))^2/(MAX(0,MIN(1,W188))^2+(1-MAX(0,MIN(1,W188)))^2/$B$5))))</f>
        <v>0.873514034029754</v>
      </c>
      <c r="Y189" s="16" t="n">
        <f aca="false">IF(ABS(Y188-$B$11/$B$9*((MAX(0,MIN(1,Y188))^2/(MAX(0,MIN(1,Y188))^2+(1-MAX(0,MIN(1,Y188)))^2/$B$5))-(MAX(0,MIN(1,X188))^2/(MAX(0,MIN(1,X188))^2+(1-MAX(0,MIN(1,X188)))^2/$B$5))))&lt;0.000000001,0,Y188-$B$11/$B$9*((MAX(0,MIN(1,Y188))^2/(MAX(0,MIN(1,Y188))^2+(1-MAX(0,MIN(1,Y188)))^2/$B$5))-(MAX(0,MIN(1,X188))^2/(MAX(0,MIN(1,X188))^2+(1-MAX(0,MIN(1,X188)))^2/$B$5))))</f>
        <v>0.866655803976051</v>
      </c>
      <c r="Z189" s="16" t="n">
        <f aca="false">IF(ABS(Z188-$B$11/$B$9*((MAX(0,MIN(1,Z188))^2/(MAX(0,MIN(1,Z188))^2+(1-MAX(0,MIN(1,Z188)))^2/$B$5))-(MAX(0,MIN(1,Y188))^2/(MAX(0,MIN(1,Y188))^2+(1-MAX(0,MIN(1,Y188)))^2/$B$5))))&lt;0.000000001,0,Z188-$B$11/$B$9*((MAX(0,MIN(1,Z188))^2/(MAX(0,MIN(1,Z188))^2+(1-MAX(0,MIN(1,Z188)))^2/$B$5))-(MAX(0,MIN(1,Y188))^2/(MAX(0,MIN(1,Y188))^2+(1-MAX(0,MIN(1,Y188)))^2/$B$5))))</f>
        <v>0.86003317513725</v>
      </c>
      <c r="AA189" s="16" t="n">
        <f aca="false">IF(ABS(AA188-$B$11/$B$9*((MAX(0,MIN(1,AA188))^2/(MAX(0,MIN(1,AA188))^2+(1-MAX(0,MIN(1,AA188)))^2/$B$5))-(MAX(0,MIN(1,Z188))^2/(MAX(0,MIN(1,Z188))^2+(1-MAX(0,MIN(1,Z188)))^2/$B$5))))&lt;0.000000001,0,AA188-$B$11/$B$9*((MAX(0,MIN(1,AA188))^2/(MAX(0,MIN(1,AA188))^2+(1-MAX(0,MIN(1,AA188)))^2/$B$5))-(MAX(0,MIN(1,Z188))^2/(MAX(0,MIN(1,Z188))^2+(1-MAX(0,MIN(1,Z188)))^2/$B$5))))</f>
        <v>0.853627774215748</v>
      </c>
      <c r="AB189" s="16" t="n">
        <f aca="false">IF(ABS(AB188-$B$11/$B$9*((MAX(0,MIN(1,AB188))^2/(MAX(0,MIN(1,AB188))^2+(1-MAX(0,MIN(1,AB188)))^2/$B$5))-(MAX(0,MIN(1,AA188))^2/(MAX(0,MIN(1,AA188))^2+(1-MAX(0,MIN(1,AA188)))^2/$B$5))))&lt;0.000000001,0,AB188-$B$11/$B$9*((MAX(0,MIN(1,AB188))^2/(MAX(0,MIN(1,AB188))^2+(1-MAX(0,MIN(1,AB188)))^2/$B$5))-(MAX(0,MIN(1,AA188))^2/(MAX(0,MIN(1,AA188))^2+(1-MAX(0,MIN(1,AA188)))^2/$B$5))))</f>
        <v>0.847423421672556</v>
      </c>
      <c r="AC189" s="16" t="n">
        <f aca="false">IF(ABS(AC188-$B$11/$B$9*((MAX(0,MIN(1,AC188))^2/(MAX(0,MIN(1,AC188))^2+(1-MAX(0,MIN(1,AC188)))^2/$B$5))-(MAX(0,MIN(1,AB188))^2/(MAX(0,MIN(1,AB188))^2+(1-MAX(0,MIN(1,AB188)))^2/$B$5))))&lt;0.000000001,0,AC188-$B$11/$B$9*((MAX(0,MIN(1,AC188))^2/(MAX(0,MIN(1,AC188))^2+(1-MAX(0,MIN(1,AC188)))^2/$B$5))-(MAX(0,MIN(1,AB188))^2/(MAX(0,MIN(1,AB188))^2+(1-MAX(0,MIN(1,AB188)))^2/$B$5))))</f>
        <v>0.841405762884476</v>
      </c>
      <c r="AD189" s="16" t="n">
        <f aca="false">IF(ABS(AD188-$B$11/$B$9*((MAX(0,MIN(1,AD188))^2/(MAX(0,MIN(1,AD188))^2+(1-MAX(0,MIN(1,AD188)))^2/$B$5))-(MAX(0,MIN(1,AC188))^2/(MAX(0,MIN(1,AC188))^2+(1-MAX(0,MIN(1,AC188)))^2/$B$5))))&lt;0.000000001,0,AD188-$B$11/$B$9*((MAX(0,MIN(1,AD188))^2/(MAX(0,MIN(1,AD188))^2+(1-MAX(0,MIN(1,AD188)))^2/$B$5))-(MAX(0,MIN(1,AC188))^2/(MAX(0,MIN(1,AC188))^2+(1-MAX(0,MIN(1,AC188)))^2/$B$5))))</f>
        <v>0.835561980258905</v>
      </c>
      <c r="AE189" s="16" t="n">
        <f aca="false">IF(ABS(AE188-$B$11/$B$9*((MAX(0,MIN(1,AE188))^2/(MAX(0,MIN(1,AE188))^2+(1-MAX(0,MIN(1,AE188)))^2/$B$5))-(MAX(0,MIN(1,AD188))^2/(MAX(0,MIN(1,AD188))^2+(1-MAX(0,MIN(1,AD188)))^2/$B$5))))&lt;0.000000001,0,AE188-$B$11/$B$9*((MAX(0,MIN(1,AE188))^2/(MAX(0,MIN(1,AE188))^2+(1-MAX(0,MIN(1,AE188)))^2/$B$5))-(MAX(0,MIN(1,AD188))^2/(MAX(0,MIN(1,AD188))^2+(1-MAX(0,MIN(1,AD188)))^2/$B$5))))</f>
        <v>0.829880564400553</v>
      </c>
      <c r="AF189" s="16" t="n">
        <f aca="false">IF(ABS(AF188-$B$11/$B$9*((MAX(0,MIN(1,AF188))^2/(MAX(0,MIN(1,AF188))^2+(1-MAX(0,MIN(1,AF188)))^2/$B$5))-(MAX(0,MIN(1,AE188))^2/(MAX(0,MIN(1,AE188))^2+(1-MAX(0,MIN(1,AE188)))^2/$B$5))))&lt;0.000000001,0,AF188-$B$11/$B$9*((MAX(0,MIN(1,AF188))^2/(MAX(0,MIN(1,AF188))^2+(1-MAX(0,MIN(1,AF188)))^2/$B$5))-(MAX(0,MIN(1,AE188))^2/(MAX(0,MIN(1,AE188))^2+(1-MAX(0,MIN(1,AE188)))^2/$B$5))))</f>
        <v>0.82435112938106</v>
      </c>
    </row>
    <row r="190" customFormat="false" ht="15" hidden="false" customHeight="false" outlineLevel="0" collapsed="false">
      <c r="L190" s="0" t="n">
        <v>180</v>
      </c>
      <c r="M190" s="16" t="n">
        <f aca="false">IF(ABS(M189-$B$11/$B$9*((MAX(0,MIN(1,M189))^2/(MAX(0,MIN(1,M189))^2+(1-MAX(0,MIN(1,M189)))^2/$B$5))-(MAX(0,MIN(1,1))^2/(MAX(0,MIN(1,1))^2+(1-MAX(0,MIN(1,1)))^2/$B$5))))&lt;0.000000001,0,M189-$B$11/$B$9*((MAX(0,MIN(1,M189))^2/(MAX(0,MIN(1,M189))^2+(1-MAX(0,MIN(1,M189)))^2/$B$5))-(MAX(0,MIN(1,1))^2/(MAX(0,MIN(1,1))^2+(1-MAX(0,MIN(1,1)))^2/$B$5))))</f>
        <v>0.976452092090262</v>
      </c>
      <c r="N190" s="16" t="n">
        <f aca="false">IF(ABS(N189-$B$11/$B$9*((MAX(0,MIN(1,N189))^2/(MAX(0,MIN(1,N189))^2+(1-MAX(0,MIN(1,N189)))^2/$B$5))-(MAX(0,MIN(1,M189))^2/(MAX(0,MIN(1,M189))^2+(1-MAX(0,MIN(1,M189)))^2/$B$5))))&lt;0.000000001,0,N189-$B$11/$B$9*((MAX(0,MIN(1,N189))^2/(MAX(0,MIN(1,N189))^2+(1-MAX(0,MIN(1,N189)))^2/$B$5))-(MAX(0,MIN(1,M189))^2/(MAX(0,MIN(1,M189))^2+(1-MAX(0,MIN(1,M189)))^2/$B$5))))</f>
        <v>0.963088002127159</v>
      </c>
      <c r="O190" s="16" t="n">
        <f aca="false">IF(ABS(O189-$B$11/$B$9*((MAX(0,MIN(1,O189))^2/(MAX(0,MIN(1,O189))^2+(1-MAX(0,MIN(1,O189)))^2/$B$5))-(MAX(0,MIN(1,N189))^2/(MAX(0,MIN(1,N189))^2+(1-MAX(0,MIN(1,N189)))^2/$B$5))))&lt;0.000000001,0,O189-$B$11/$B$9*((MAX(0,MIN(1,O189))^2/(MAX(0,MIN(1,O189))^2+(1-MAX(0,MIN(1,O189)))^2/$B$5))-(MAX(0,MIN(1,N189))^2/(MAX(0,MIN(1,N189))^2+(1-MAX(0,MIN(1,N189)))^2/$B$5))))</f>
        <v>0.951394800006317</v>
      </c>
      <c r="P190" s="16" t="n">
        <f aca="false">IF(ABS(P189-$B$11/$B$9*((MAX(0,MIN(1,P189))^2/(MAX(0,MIN(1,P189))^2+(1-MAX(0,MIN(1,P189)))^2/$B$5))-(MAX(0,MIN(1,O189))^2/(MAX(0,MIN(1,O189))^2+(1-MAX(0,MIN(1,O189)))^2/$B$5))))&lt;0.000000001,0,P189-$B$11/$B$9*((MAX(0,MIN(1,P189))^2/(MAX(0,MIN(1,P189))^2+(1-MAX(0,MIN(1,P189)))^2/$B$5))-(MAX(0,MIN(1,O189))^2/(MAX(0,MIN(1,O189))^2+(1-MAX(0,MIN(1,O189)))^2/$B$5))))</f>
        <v>0.94070890887688</v>
      </c>
      <c r="Q190" s="16" t="n">
        <f aca="false">IF(ABS(Q189-$B$11/$B$9*((MAX(0,MIN(1,Q189))^2/(MAX(0,MIN(1,Q189))^2+(1-MAX(0,MIN(1,Q189)))^2/$B$5))-(MAX(0,MIN(1,P189))^2/(MAX(0,MIN(1,P189))^2+(1-MAX(0,MIN(1,P189)))^2/$B$5))))&lt;0.000000001,0,Q189-$B$11/$B$9*((MAX(0,MIN(1,Q189))^2/(MAX(0,MIN(1,Q189))^2+(1-MAX(0,MIN(1,Q189)))^2/$B$5))-(MAX(0,MIN(1,P189))^2/(MAX(0,MIN(1,P189))^2+(1-MAX(0,MIN(1,P189)))^2/$B$5))))</f>
        <v>0.930766507281055</v>
      </c>
      <c r="R190" s="16" t="n">
        <f aca="false">IF(ABS(R189-$B$11/$B$9*((MAX(0,MIN(1,R189))^2/(MAX(0,MIN(1,R189))^2+(1-MAX(0,MIN(1,R189)))^2/$B$5))-(MAX(0,MIN(1,Q189))^2/(MAX(0,MIN(1,Q189))^2+(1-MAX(0,MIN(1,Q189)))^2/$B$5))))&lt;0.000000001,0,R189-$B$11/$B$9*((MAX(0,MIN(1,R189))^2/(MAX(0,MIN(1,R189))^2+(1-MAX(0,MIN(1,R189)))^2/$B$5))-(MAX(0,MIN(1,Q189))^2/(MAX(0,MIN(1,Q189))^2+(1-MAX(0,MIN(1,Q189)))^2/$B$5))))</f>
        <v>0.921422001175094</v>
      </c>
      <c r="S190" s="16" t="n">
        <f aca="false">IF(ABS(S189-$B$11/$B$9*((MAX(0,MIN(1,S189))^2/(MAX(0,MIN(1,S189))^2+(1-MAX(0,MIN(1,S189)))^2/$B$5))-(MAX(0,MIN(1,R189))^2/(MAX(0,MIN(1,R189))^2+(1-MAX(0,MIN(1,R189)))^2/$B$5))))&lt;0.000000001,0,S189-$B$11/$B$9*((MAX(0,MIN(1,S189))^2/(MAX(0,MIN(1,S189))^2+(1-MAX(0,MIN(1,S189)))^2/$B$5))-(MAX(0,MIN(1,R189))^2/(MAX(0,MIN(1,R189))^2+(1-MAX(0,MIN(1,R189)))^2/$B$5))))</f>
        <v>0.912580600287036</v>
      </c>
      <c r="T190" s="16" t="n">
        <f aca="false">IF(ABS(T189-$B$11/$B$9*((MAX(0,MIN(1,T189))^2/(MAX(0,MIN(1,T189))^2+(1-MAX(0,MIN(1,T189)))^2/$B$5))-(MAX(0,MIN(1,S189))^2/(MAX(0,MIN(1,S189))^2+(1-MAX(0,MIN(1,S189)))^2/$B$5))))&lt;0.000000001,0,T189-$B$11/$B$9*((MAX(0,MIN(1,T189))^2/(MAX(0,MIN(1,T189))^2+(1-MAX(0,MIN(1,T189)))^2/$B$5))-(MAX(0,MIN(1,S189))^2/(MAX(0,MIN(1,S189))^2+(1-MAX(0,MIN(1,S189)))^2/$B$5))))</f>
        <v>0.904174295316873</v>
      </c>
      <c r="U190" s="16" t="n">
        <f aca="false">IF(ABS(U189-$B$11/$B$9*((MAX(0,MIN(1,U189))^2/(MAX(0,MIN(1,U189))^2+(1-MAX(0,MIN(1,U189)))^2/$B$5))-(MAX(0,MIN(1,T189))^2/(MAX(0,MIN(1,T189))^2+(1-MAX(0,MIN(1,T189)))^2/$B$5))))&lt;0.000000001,0,U189-$B$11/$B$9*((MAX(0,MIN(1,U189))^2/(MAX(0,MIN(1,U189))^2+(1-MAX(0,MIN(1,U189)))^2/$B$5))-(MAX(0,MIN(1,T189))^2/(MAX(0,MIN(1,T189))^2+(1-MAX(0,MIN(1,T189)))^2/$B$5))))</f>
        <v>0.896151173136126</v>
      </c>
      <c r="V190" s="16" t="n">
        <f aca="false">IF(ABS(V189-$B$11/$B$9*((MAX(0,MIN(1,V189))^2/(MAX(0,MIN(1,V189))^2+(1-MAX(0,MIN(1,V189)))^2/$B$5))-(MAX(0,MIN(1,U189))^2/(MAX(0,MIN(1,U189))^2+(1-MAX(0,MIN(1,U189)))^2/$B$5))))&lt;0.000000001,0,V189-$B$11/$B$9*((MAX(0,MIN(1,V189))^2/(MAX(0,MIN(1,V189))^2+(1-MAX(0,MIN(1,V189)))^2/$B$5))-(MAX(0,MIN(1,U189))^2/(MAX(0,MIN(1,U189))^2+(1-MAX(0,MIN(1,U189)))^2/$B$5))))</f>
        <v>0.888469911951747</v>
      </c>
      <c r="W190" s="16" t="n">
        <f aca="false">IF(ABS(W189-$B$11/$B$9*((MAX(0,MIN(1,W189))^2/(MAX(0,MIN(1,W189))^2+(1-MAX(0,MIN(1,W189)))^2/$B$5))-(MAX(0,MIN(1,V189))^2/(MAX(0,MIN(1,V189))^2+(1-MAX(0,MIN(1,V189)))^2/$B$5))))&lt;0.000000001,0,W189-$B$11/$B$9*((MAX(0,MIN(1,W189))^2/(MAX(0,MIN(1,W189))^2+(1-MAX(0,MIN(1,W189)))^2/$B$5))-(MAX(0,MIN(1,V189))^2/(MAX(0,MIN(1,V189))^2+(1-MAX(0,MIN(1,V189)))^2/$B$5))))</f>
        <v>0.881096628790547</v>
      </c>
      <c r="X190" s="16" t="n">
        <f aca="false">IF(ABS(X189-$B$11/$B$9*((MAX(0,MIN(1,X189))^2/(MAX(0,MIN(1,X189))^2+(1-MAX(0,MIN(1,X189)))^2/$B$5))-(MAX(0,MIN(1,W189))^2/(MAX(0,MIN(1,W189))^2+(1-MAX(0,MIN(1,W189)))^2/$B$5))))&lt;0.000000001,0,X189-$B$11/$B$9*((MAX(0,MIN(1,X189))^2/(MAX(0,MIN(1,X189))^2+(1-MAX(0,MIN(1,X189)))^2/$B$5))-(MAX(0,MIN(1,W189))^2/(MAX(0,MIN(1,W189))^2+(1-MAX(0,MIN(1,W189)))^2/$B$5))))</f>
        <v>0.874002924287535</v>
      </c>
      <c r="Y190" s="16" t="n">
        <f aca="false">IF(ABS(Y189-$B$11/$B$9*((MAX(0,MIN(1,Y189))^2/(MAX(0,MIN(1,Y189))^2+(1-MAX(0,MIN(1,Y189)))^2/$B$5))-(MAX(0,MIN(1,X189))^2/(MAX(0,MIN(1,X189))^2+(1-MAX(0,MIN(1,X189)))^2/$B$5))))&lt;0.000000001,0,Y189-$B$11/$B$9*((MAX(0,MIN(1,Y189))^2/(MAX(0,MIN(1,Y189))^2+(1-MAX(0,MIN(1,Y189)))^2/$B$5))-(MAX(0,MIN(1,X189))^2/(MAX(0,MIN(1,X189))^2+(1-MAX(0,MIN(1,X189)))^2/$B$5))))</f>
        <v>0.867164592698984</v>
      </c>
      <c r="Z190" s="16" t="n">
        <f aca="false">IF(ABS(Z189-$B$11/$B$9*((MAX(0,MIN(1,Z189))^2/(MAX(0,MIN(1,Z189))^2+(1-MAX(0,MIN(1,Z189)))^2/$B$5))-(MAX(0,MIN(1,Y189))^2/(MAX(0,MIN(1,Y189))^2+(1-MAX(0,MIN(1,Y189)))^2/$B$5))))&lt;0.000000001,0,Z189-$B$11/$B$9*((MAX(0,MIN(1,Z189))^2/(MAX(0,MIN(1,Z189))^2+(1-MAX(0,MIN(1,Z189)))^2/$B$5))-(MAX(0,MIN(1,Y189))^2/(MAX(0,MIN(1,Y189))^2+(1-MAX(0,MIN(1,Y189)))^2/$B$5))))</f>
        <v>0.860560728156414</v>
      </c>
      <c r="AA190" s="16" t="n">
        <f aca="false">IF(ABS(AA189-$B$11/$B$9*((MAX(0,MIN(1,AA189))^2/(MAX(0,MIN(1,AA189))^2+(1-MAX(0,MIN(1,AA189)))^2/$B$5))-(MAX(0,MIN(1,Z189))^2/(MAX(0,MIN(1,Z189))^2+(1-MAX(0,MIN(1,Z189)))^2/$B$5))))&lt;0.000000001,0,AA189-$B$11/$B$9*((MAX(0,MIN(1,AA189))^2/(MAX(0,MIN(1,AA189))^2+(1-MAX(0,MIN(1,AA189)))^2/$B$5))-(MAX(0,MIN(1,Z189))^2/(MAX(0,MIN(1,Z189))^2+(1-MAX(0,MIN(1,Z189)))^2/$B$5))))</f>
        <v>0.854173080665913</v>
      </c>
      <c r="AB190" s="16" t="n">
        <f aca="false">IF(ABS(AB189-$B$11/$B$9*((MAX(0,MIN(1,AB189))^2/(MAX(0,MIN(1,AB189))^2+(1-MAX(0,MIN(1,AB189)))^2/$B$5))-(MAX(0,MIN(1,AA189))^2/(MAX(0,MIN(1,AA189))^2+(1-MAX(0,MIN(1,AA189)))^2/$B$5))))&lt;0.000000001,0,AB189-$B$11/$B$9*((MAX(0,MIN(1,AB189))^2/(MAX(0,MIN(1,AB189))^2+(1-MAX(0,MIN(1,AB189)))^2/$B$5))-(MAX(0,MIN(1,AA189))^2/(MAX(0,MIN(1,AA189))^2+(1-MAX(0,MIN(1,AA189)))^2/$B$5))))</f>
        <v>0.847985577029476</v>
      </c>
      <c r="AC190" s="16" t="n">
        <f aca="false">IF(ABS(AC189-$B$11/$B$9*((MAX(0,MIN(1,AC189))^2/(MAX(0,MIN(1,AC189))^2+(1-MAX(0,MIN(1,AC189)))^2/$B$5))-(MAX(0,MIN(1,AB189))^2/(MAX(0,MIN(1,AB189))^2+(1-MAX(0,MIN(1,AB189)))^2/$B$5))))&lt;0.000000001,0,AC189-$B$11/$B$9*((MAX(0,MIN(1,AC189))^2/(MAX(0,MIN(1,AC189))^2+(1-MAX(0,MIN(1,AC189)))^2/$B$5))-(MAX(0,MIN(1,AB189))^2/(MAX(0,MIN(1,AB189))^2+(1-MAX(0,MIN(1,AB189)))^2/$B$5))))</f>
        <v>0.841983954991115</v>
      </c>
      <c r="AD190" s="16" t="n">
        <f aca="false">IF(ABS(AD189-$B$11/$B$9*((MAX(0,MIN(1,AD189))^2/(MAX(0,MIN(1,AD189))^2+(1-MAX(0,MIN(1,AD189)))^2/$B$5))-(MAX(0,MIN(1,AC189))^2/(MAX(0,MIN(1,AC189))^2+(1-MAX(0,MIN(1,AC189)))^2/$B$5))))&lt;0.000000001,0,AD189-$B$11/$B$9*((MAX(0,MIN(1,AD189))^2/(MAX(0,MIN(1,AD189))^2+(1-MAX(0,MIN(1,AD189)))^2/$B$5))-(MAX(0,MIN(1,AC189))^2/(MAX(0,MIN(1,AC189))^2+(1-MAX(0,MIN(1,AC189)))^2/$B$5))))</f>
        <v>0.836155477699907</v>
      </c>
      <c r="AE190" s="16" t="n">
        <f aca="false">IF(ABS(AE189-$B$11/$B$9*((MAX(0,MIN(1,AE189))^2/(MAX(0,MIN(1,AE189))^2+(1-MAX(0,MIN(1,AE189)))^2/$B$5))-(MAX(0,MIN(1,AD189))^2/(MAX(0,MIN(1,AD189))^2+(1-MAX(0,MIN(1,AD189)))^2/$B$5))))&lt;0.000000001,0,AE189-$B$11/$B$9*((MAX(0,MIN(1,AE189))^2/(MAX(0,MIN(1,AE189))^2+(1-MAX(0,MIN(1,AE189)))^2/$B$5))-(MAX(0,MIN(1,AD189))^2/(MAX(0,MIN(1,AD189))^2+(1-MAX(0,MIN(1,AD189)))^2/$B$5))))</f>
        <v>0.830488706747862</v>
      </c>
      <c r="AF190" s="16" t="n">
        <f aca="false">IF(ABS(AF189-$B$11/$B$9*((MAX(0,MIN(1,AF189))^2/(MAX(0,MIN(1,AF189))^2+(1-MAX(0,MIN(1,AF189)))^2/$B$5))-(MAX(0,MIN(1,AE189))^2/(MAX(0,MIN(1,AE189))^2+(1-MAX(0,MIN(1,AE189)))^2/$B$5))))&lt;0.000000001,0,AF189-$B$11/$B$9*((MAX(0,MIN(1,AF189))^2/(MAX(0,MIN(1,AF189))^2+(1-MAX(0,MIN(1,AF189)))^2/$B$5))-(MAX(0,MIN(1,AE189))^2/(MAX(0,MIN(1,AE189))^2+(1-MAX(0,MIN(1,AE189)))^2/$B$5))))</f>
        <v>0.824973318948689</v>
      </c>
    </row>
    <row r="191" customFormat="false" ht="15" hidden="false" customHeight="false" outlineLevel="0" collapsed="false">
      <c r="L191" s="0" t="n">
        <v>181</v>
      </c>
      <c r="M191" s="16" t="n">
        <f aca="false">IF(ABS(M190-$B$11/$B$9*((MAX(0,MIN(1,M190))^2/(MAX(0,MIN(1,M190))^2+(1-MAX(0,MIN(1,M190)))^2/$B$5))-(MAX(0,MIN(1,1))^2/(MAX(0,MIN(1,1))^2+(1-MAX(0,MIN(1,1)))^2/$B$5))))&lt;0.000000001,0,M190-$B$11/$B$9*((MAX(0,MIN(1,M190))^2/(MAX(0,MIN(1,M190))^2+(1-MAX(0,MIN(1,M190)))^2/$B$5))-(MAX(0,MIN(1,1))^2/(MAX(0,MIN(1,1))^2+(1-MAX(0,MIN(1,1)))^2/$B$5))))</f>
        <v>0.976563875745199</v>
      </c>
      <c r="N191" s="16" t="n">
        <f aca="false">IF(ABS(N190-$B$11/$B$9*((MAX(0,MIN(1,N190))^2/(MAX(0,MIN(1,N190))^2+(1-MAX(0,MIN(1,N190)))^2/$B$5))-(MAX(0,MIN(1,M190))^2/(MAX(0,MIN(1,M190))^2+(1-MAX(0,MIN(1,M190)))^2/$B$5))))&lt;0.000000001,0,N190-$B$11/$B$9*((MAX(0,MIN(1,N190))^2/(MAX(0,MIN(1,N190))^2+(1-MAX(0,MIN(1,N190)))^2/$B$5))-(MAX(0,MIN(1,M190))^2/(MAX(0,MIN(1,M190))^2+(1-MAX(0,MIN(1,M190)))^2/$B$5))))</f>
        <v>0.963258437373851</v>
      </c>
      <c r="O191" s="16" t="n">
        <f aca="false">IF(ABS(O190-$B$11/$B$9*((MAX(0,MIN(1,O190))^2/(MAX(0,MIN(1,O190))^2+(1-MAX(0,MIN(1,O190)))^2/$B$5))-(MAX(0,MIN(1,N190))^2/(MAX(0,MIN(1,N190))^2+(1-MAX(0,MIN(1,N190)))^2/$B$5))))&lt;0.000000001,0,O190-$B$11/$B$9*((MAX(0,MIN(1,O190))^2/(MAX(0,MIN(1,O190))^2+(1-MAX(0,MIN(1,O190)))^2/$B$5))-(MAX(0,MIN(1,N190))^2/(MAX(0,MIN(1,N190))^2+(1-MAX(0,MIN(1,N190)))^2/$B$5))))</f>
        <v>0.951613744484612</v>
      </c>
      <c r="P191" s="16" t="n">
        <f aca="false">IF(ABS(P190-$B$11/$B$9*((MAX(0,MIN(1,P190))^2/(MAX(0,MIN(1,P190))^2+(1-MAX(0,MIN(1,P190)))^2/$B$5))-(MAX(0,MIN(1,O190))^2/(MAX(0,MIN(1,O190))^2+(1-MAX(0,MIN(1,O190)))^2/$B$5))))&lt;0.000000001,0,P190-$B$11/$B$9*((MAX(0,MIN(1,P190))^2/(MAX(0,MIN(1,P190))^2+(1-MAX(0,MIN(1,P190)))^2/$B$5))-(MAX(0,MIN(1,O190))^2/(MAX(0,MIN(1,O190))^2+(1-MAX(0,MIN(1,O190)))^2/$B$5))))</f>
        <v>0.940970014741119</v>
      </c>
      <c r="Q191" s="16" t="n">
        <f aca="false">IF(ABS(Q190-$B$11/$B$9*((MAX(0,MIN(1,Q190))^2/(MAX(0,MIN(1,Q190))^2+(1-MAX(0,MIN(1,Q190)))^2/$B$5))-(MAX(0,MIN(1,P190))^2/(MAX(0,MIN(1,P190))^2+(1-MAX(0,MIN(1,P190)))^2/$B$5))))&lt;0.000000001,0,Q190-$B$11/$B$9*((MAX(0,MIN(1,Q190))^2/(MAX(0,MIN(1,Q190))^2+(1-MAX(0,MIN(1,Q190)))^2/$B$5))-(MAX(0,MIN(1,P190))^2/(MAX(0,MIN(1,P190))^2+(1-MAX(0,MIN(1,P190)))^2/$B$5))))</f>
        <v>0.931065085629981</v>
      </c>
      <c r="R191" s="16" t="n">
        <f aca="false">IF(ABS(R190-$B$11/$B$9*((MAX(0,MIN(1,R190))^2/(MAX(0,MIN(1,R190))^2+(1-MAX(0,MIN(1,R190)))^2/$B$5))-(MAX(0,MIN(1,Q190))^2/(MAX(0,MIN(1,Q190))^2+(1-MAX(0,MIN(1,Q190)))^2/$B$5))))&lt;0.000000001,0,R190-$B$11/$B$9*((MAX(0,MIN(1,R190))^2/(MAX(0,MIN(1,R190))^2+(1-MAX(0,MIN(1,R190)))^2/$B$5))-(MAX(0,MIN(1,Q190))^2/(MAX(0,MIN(1,Q190))^2+(1-MAX(0,MIN(1,Q190)))^2/$B$5))))</f>
        <v>0.92175434319103</v>
      </c>
      <c r="S191" s="16" t="n">
        <f aca="false">IF(ABS(S190-$B$11/$B$9*((MAX(0,MIN(1,S190))^2/(MAX(0,MIN(1,S190))^2+(1-MAX(0,MIN(1,S190)))^2/$B$5))-(MAX(0,MIN(1,R190))^2/(MAX(0,MIN(1,R190))^2+(1-MAX(0,MIN(1,R190)))^2/$B$5))))&lt;0.000000001,0,S190-$B$11/$B$9*((MAX(0,MIN(1,S190))^2/(MAX(0,MIN(1,S190))^2+(1-MAX(0,MIN(1,S190)))^2/$B$5))-(MAX(0,MIN(1,R190))^2/(MAX(0,MIN(1,R190))^2+(1-MAX(0,MIN(1,R190)))^2/$B$5))))</f>
        <v>0.912943662936229</v>
      </c>
      <c r="T191" s="16" t="n">
        <f aca="false">IF(ABS(T190-$B$11/$B$9*((MAX(0,MIN(1,T190))^2/(MAX(0,MIN(1,T190))^2+(1-MAX(0,MIN(1,T190)))^2/$B$5))-(MAX(0,MIN(1,S190))^2/(MAX(0,MIN(1,S190))^2+(1-MAX(0,MIN(1,S190)))^2/$B$5))))&lt;0.000000001,0,T190-$B$11/$B$9*((MAX(0,MIN(1,T190))^2/(MAX(0,MIN(1,T190))^2+(1-MAX(0,MIN(1,T190)))^2/$B$5))-(MAX(0,MIN(1,S190))^2/(MAX(0,MIN(1,S190))^2+(1-MAX(0,MIN(1,S190)))^2/$B$5))))</f>
        <v>0.904565524097433</v>
      </c>
      <c r="U191" s="16" t="n">
        <f aca="false">IF(ABS(U190-$B$11/$B$9*((MAX(0,MIN(1,U190))^2/(MAX(0,MIN(1,U190))^2+(1-MAX(0,MIN(1,U190)))^2/$B$5))-(MAX(0,MIN(1,T190))^2/(MAX(0,MIN(1,T190))^2+(1-MAX(0,MIN(1,T190)))^2/$B$5))))&lt;0.000000001,0,U190-$B$11/$B$9*((MAX(0,MIN(1,U190))^2/(MAX(0,MIN(1,U190))^2+(1-MAX(0,MIN(1,U190)))^2/$B$5))-(MAX(0,MIN(1,T190))^2/(MAX(0,MIN(1,T190))^2+(1-MAX(0,MIN(1,T190)))^2/$B$5))))</f>
        <v>0.89656838947316</v>
      </c>
      <c r="V191" s="16" t="n">
        <f aca="false">IF(ABS(V190-$B$11/$B$9*((MAX(0,MIN(1,V190))^2/(MAX(0,MIN(1,V190))^2+(1-MAX(0,MIN(1,V190)))^2/$B$5))-(MAX(0,MIN(1,U190))^2/(MAX(0,MIN(1,U190))^2+(1-MAX(0,MIN(1,U190)))^2/$B$5))))&lt;0.000000001,0,V190-$B$11/$B$9*((MAX(0,MIN(1,V190))^2/(MAX(0,MIN(1,V190))^2+(1-MAX(0,MIN(1,V190)))^2/$B$5))-(MAX(0,MIN(1,U190))^2/(MAX(0,MIN(1,U190))^2+(1-MAX(0,MIN(1,U190)))^2/$B$5))))</f>
        <v>0.888911235917513</v>
      </c>
      <c r="W191" s="16" t="n">
        <f aca="false">IF(ABS(W190-$B$11/$B$9*((MAX(0,MIN(1,W190))^2/(MAX(0,MIN(1,W190))^2+(1-MAX(0,MIN(1,W190)))^2/$B$5))-(MAX(0,MIN(1,V190))^2/(MAX(0,MIN(1,V190))^2+(1-MAX(0,MIN(1,V190)))^2/$B$5))))&lt;0.000000001,0,W190-$B$11/$B$9*((MAX(0,MIN(1,W190))^2/(MAX(0,MIN(1,W190))^2+(1-MAX(0,MIN(1,W190)))^2/$B$5))-(MAX(0,MIN(1,V190))^2/(MAX(0,MIN(1,V190))^2+(1-MAX(0,MIN(1,V190)))^2/$B$5))))</f>
        <v>0.881560423192601</v>
      </c>
      <c r="X191" s="16" t="n">
        <f aca="false">IF(ABS(X190-$B$11/$B$9*((MAX(0,MIN(1,X190))^2/(MAX(0,MIN(1,X190))^2+(1-MAX(0,MIN(1,X190)))^2/$B$5))-(MAX(0,MIN(1,W190))^2/(MAX(0,MIN(1,W190))^2+(1-MAX(0,MIN(1,W190)))^2/$B$5))))&lt;0.000000001,0,X190-$B$11/$B$9*((MAX(0,MIN(1,X190))^2/(MAX(0,MIN(1,X190))^2+(1-MAX(0,MIN(1,X190)))^2/$B$5))-(MAX(0,MIN(1,W190))^2/(MAX(0,MIN(1,W190))^2+(1-MAX(0,MIN(1,W190)))^2/$B$5))))</f>
        <v>0.874487752661042</v>
      </c>
      <c r="Y191" s="16" t="n">
        <f aca="false">IF(ABS(Y190-$B$11/$B$9*((MAX(0,MIN(1,Y190))^2/(MAX(0,MIN(1,Y190))^2+(1-MAX(0,MIN(1,Y190)))^2/$B$5))-(MAX(0,MIN(1,X190))^2/(MAX(0,MIN(1,X190))^2+(1-MAX(0,MIN(1,X190)))^2/$B$5))))&lt;0.000000001,0,Y190-$B$11/$B$9*((MAX(0,MIN(1,Y190))^2/(MAX(0,MIN(1,Y190))^2+(1-MAX(0,MIN(1,Y190)))^2/$B$5))-(MAX(0,MIN(1,X190))^2/(MAX(0,MIN(1,X190))^2+(1-MAX(0,MIN(1,X190)))^2/$B$5))))</f>
        <v>0.867669186847618</v>
      </c>
      <c r="Z191" s="16" t="n">
        <f aca="false">IF(ABS(Z190-$B$11/$B$9*((MAX(0,MIN(1,Z190))^2/(MAX(0,MIN(1,Z190))^2+(1-MAX(0,MIN(1,Z190)))^2/$B$5))-(MAX(0,MIN(1,Y190))^2/(MAX(0,MIN(1,Y190))^2+(1-MAX(0,MIN(1,Y190)))^2/$B$5))))&lt;0.000000001,0,Z190-$B$11/$B$9*((MAX(0,MIN(1,Z190))^2/(MAX(0,MIN(1,Z190))^2+(1-MAX(0,MIN(1,Z190)))^2/$B$5))-(MAX(0,MIN(1,Y190))^2/(MAX(0,MIN(1,Y190))^2+(1-MAX(0,MIN(1,Y190)))^2/$B$5))))</f>
        <v>0.861083962523921</v>
      </c>
      <c r="AA191" s="16" t="n">
        <f aca="false">IF(ABS(AA190-$B$11/$B$9*((MAX(0,MIN(1,AA190))^2/(MAX(0,MIN(1,AA190))^2+(1-MAX(0,MIN(1,AA190)))^2/$B$5))-(MAX(0,MIN(1,Z190))^2/(MAX(0,MIN(1,Z190))^2+(1-MAX(0,MIN(1,Z190)))^2/$B$5))))&lt;0.000000001,0,AA190-$B$11/$B$9*((MAX(0,MIN(1,AA190))^2/(MAX(0,MIN(1,AA190))^2+(1-MAX(0,MIN(1,AA190)))^2/$B$5))-(MAX(0,MIN(1,Z190))^2/(MAX(0,MIN(1,Z190))^2+(1-MAX(0,MIN(1,Z190)))^2/$B$5))))</f>
        <v>0.854713951751199</v>
      </c>
      <c r="AB191" s="16" t="n">
        <f aca="false">IF(ABS(AB190-$B$11/$B$9*((MAX(0,MIN(1,AB190))^2/(MAX(0,MIN(1,AB190))^2+(1-MAX(0,MIN(1,AB190)))^2/$B$5))-(MAX(0,MIN(1,AA190))^2/(MAX(0,MIN(1,AA190))^2+(1-MAX(0,MIN(1,AA190)))^2/$B$5))))&lt;0.000000001,0,AB190-$B$11/$B$9*((MAX(0,MIN(1,AB190))^2/(MAX(0,MIN(1,AB190))^2+(1-MAX(0,MIN(1,AB190)))^2/$B$5))-(MAX(0,MIN(1,AA190))^2/(MAX(0,MIN(1,AA190))^2+(1-MAX(0,MIN(1,AA190)))^2/$B$5))))</f>
        <v>0.848543186620299</v>
      </c>
      <c r="AC191" s="16" t="n">
        <f aca="false">IF(ABS(AC190-$B$11/$B$9*((MAX(0,MIN(1,AC190))^2/(MAX(0,MIN(1,AC190))^2+(1-MAX(0,MIN(1,AC190)))^2/$B$5))-(MAX(0,MIN(1,AB190))^2/(MAX(0,MIN(1,AB190))^2+(1-MAX(0,MIN(1,AB190)))^2/$B$5))))&lt;0.000000001,0,AC190-$B$11/$B$9*((MAX(0,MIN(1,AC190))^2/(MAX(0,MIN(1,AC190))^2+(1-MAX(0,MIN(1,AC190)))^2/$B$5))-(MAX(0,MIN(1,AB190))^2/(MAX(0,MIN(1,AB190))^2+(1-MAX(0,MIN(1,AB190)))^2/$B$5))))</f>
        <v>0.842557496348378</v>
      </c>
      <c r="AD191" s="16" t="n">
        <f aca="false">IF(ABS(AD190-$B$11/$B$9*((MAX(0,MIN(1,AD190))^2/(MAX(0,MIN(1,AD190))^2+(1-MAX(0,MIN(1,AD190)))^2/$B$5))-(MAX(0,MIN(1,AC190))^2/(MAX(0,MIN(1,AC190))^2+(1-MAX(0,MIN(1,AC190)))^2/$B$5))))&lt;0.000000001,0,AD190-$B$11/$B$9*((MAX(0,MIN(1,AD190))^2/(MAX(0,MIN(1,AD190))^2+(1-MAX(0,MIN(1,AD190)))^2/$B$5))-(MAX(0,MIN(1,AC190))^2/(MAX(0,MIN(1,AC190))^2+(1-MAX(0,MIN(1,AC190)))^2/$B$5))))</f>
        <v>0.836744224060487</v>
      </c>
      <c r="AE191" s="16" t="n">
        <f aca="false">IF(ABS(AE190-$B$11/$B$9*((MAX(0,MIN(1,AE190))^2/(MAX(0,MIN(1,AE190))^2+(1-MAX(0,MIN(1,AE190)))^2/$B$5))-(MAX(0,MIN(1,AD190))^2/(MAX(0,MIN(1,AD190))^2+(1-MAX(0,MIN(1,AD190)))^2/$B$5))))&lt;0.000000001,0,AE190-$B$11/$B$9*((MAX(0,MIN(1,AE190))^2/(MAX(0,MIN(1,AE190))^2+(1-MAX(0,MIN(1,AE190)))^2/$B$5))-(MAX(0,MIN(1,AD190))^2/(MAX(0,MIN(1,AD190))^2+(1-MAX(0,MIN(1,AD190)))^2/$B$5))))</f>
        <v>0.831092001675274</v>
      </c>
      <c r="AF191" s="16" t="n">
        <f aca="false">IF(ABS(AF190-$B$11/$B$9*((MAX(0,MIN(1,AF190))^2/(MAX(0,MIN(1,AF190))^2+(1-MAX(0,MIN(1,AF190)))^2/$B$5))-(MAX(0,MIN(1,AE190))^2/(MAX(0,MIN(1,AE190))^2+(1-MAX(0,MIN(1,AE190)))^2/$B$5))))&lt;0.000000001,0,AF190-$B$11/$B$9*((MAX(0,MIN(1,AF190))^2/(MAX(0,MIN(1,AF190))^2+(1-MAX(0,MIN(1,AF190)))^2/$B$5))-(MAX(0,MIN(1,AE190))^2/(MAX(0,MIN(1,AE190))^2+(1-MAX(0,MIN(1,AE190)))^2/$B$5))))</f>
        <v>0.825590568174405</v>
      </c>
    </row>
    <row r="192" customFormat="false" ht="15" hidden="false" customHeight="false" outlineLevel="0" collapsed="false">
      <c r="L192" s="0" t="n">
        <v>182</v>
      </c>
      <c r="M192" s="16" t="n">
        <f aca="false">IF(ABS(M191-$B$11/$B$9*((MAX(0,MIN(1,M191))^2/(MAX(0,MIN(1,M191))^2+(1-MAX(0,MIN(1,M191)))^2/$B$5))-(MAX(0,MIN(1,1))^2/(MAX(0,MIN(1,1))^2+(1-MAX(0,MIN(1,1)))^2/$B$5))))&lt;0.000000001,0,M191-$B$11/$B$9*((MAX(0,MIN(1,M191))^2/(MAX(0,MIN(1,M191))^2+(1-MAX(0,MIN(1,M191)))^2/$B$5))-(MAX(0,MIN(1,1))^2/(MAX(0,MIN(1,1))^2+(1-MAX(0,MIN(1,1)))^2/$B$5))))</f>
        <v>0.976674575593659</v>
      </c>
      <c r="N192" s="16" t="n">
        <f aca="false">IF(ABS(N191-$B$11/$B$9*((MAX(0,MIN(1,N191))^2/(MAX(0,MIN(1,N191))^2+(1-MAX(0,MIN(1,N191)))^2/$B$5))-(MAX(0,MIN(1,M191))^2/(MAX(0,MIN(1,M191))^2+(1-MAX(0,MIN(1,M191)))^2/$B$5))))&lt;0.000000001,0,N191-$B$11/$B$9*((MAX(0,MIN(1,N191))^2/(MAX(0,MIN(1,N191))^2+(1-MAX(0,MIN(1,N191)))^2/$B$5))-(MAX(0,MIN(1,M191))^2/(MAX(0,MIN(1,M191))^2+(1-MAX(0,MIN(1,M191)))^2/$B$5))))</f>
        <v>0.963427259264062</v>
      </c>
      <c r="O192" s="16" t="n">
        <f aca="false">IF(ABS(O191-$B$11/$B$9*((MAX(0,MIN(1,O191))^2/(MAX(0,MIN(1,O191))^2+(1-MAX(0,MIN(1,O191)))^2/$B$5))-(MAX(0,MIN(1,N191))^2/(MAX(0,MIN(1,N191))^2+(1-MAX(0,MIN(1,N191)))^2/$B$5))))&lt;0.000000001,0,O191-$B$11/$B$9*((MAX(0,MIN(1,O191))^2/(MAX(0,MIN(1,O191))^2+(1-MAX(0,MIN(1,O191)))^2/$B$5))-(MAX(0,MIN(1,N191))^2/(MAX(0,MIN(1,N191))^2+(1-MAX(0,MIN(1,N191)))^2/$B$5))))</f>
        <v>0.951830658863199</v>
      </c>
      <c r="P192" s="16" t="n">
        <f aca="false">IF(ABS(P191-$B$11/$B$9*((MAX(0,MIN(1,P191))^2/(MAX(0,MIN(1,P191))^2+(1-MAX(0,MIN(1,P191)))^2/$B$5))-(MAX(0,MIN(1,O191))^2/(MAX(0,MIN(1,O191))^2+(1-MAX(0,MIN(1,O191)))^2/$B$5))))&lt;0.000000001,0,P191-$B$11/$B$9*((MAX(0,MIN(1,P191))^2/(MAX(0,MIN(1,P191))^2+(1-MAX(0,MIN(1,P191)))^2/$B$5))-(MAX(0,MIN(1,O191))^2/(MAX(0,MIN(1,O191))^2+(1-MAX(0,MIN(1,O191)))^2/$B$5))))</f>
        <v>0.941228743611943</v>
      </c>
      <c r="Q192" s="16" t="n">
        <f aca="false">IF(ABS(Q191-$B$11/$B$9*((MAX(0,MIN(1,Q191))^2/(MAX(0,MIN(1,Q191))^2+(1-MAX(0,MIN(1,Q191)))^2/$B$5))-(MAX(0,MIN(1,P191))^2/(MAX(0,MIN(1,P191))^2+(1-MAX(0,MIN(1,P191)))^2/$B$5))))&lt;0.000000001,0,Q191-$B$11/$B$9*((MAX(0,MIN(1,Q191))^2/(MAX(0,MIN(1,Q191))^2+(1-MAX(0,MIN(1,Q191)))^2/$B$5))-(MAX(0,MIN(1,P191))^2/(MAX(0,MIN(1,P191))^2+(1-MAX(0,MIN(1,P191)))^2/$B$5))))</f>
        <v>0.931360990250891</v>
      </c>
      <c r="R192" s="16" t="n">
        <f aca="false">IF(ABS(R191-$B$11/$B$9*((MAX(0,MIN(1,R191))^2/(MAX(0,MIN(1,R191))^2+(1-MAX(0,MIN(1,R191)))^2/$B$5))-(MAX(0,MIN(1,Q191))^2/(MAX(0,MIN(1,Q191))^2+(1-MAX(0,MIN(1,Q191)))^2/$B$5))))&lt;0.000000001,0,R191-$B$11/$B$9*((MAX(0,MIN(1,R191))^2/(MAX(0,MIN(1,R191))^2+(1-MAX(0,MIN(1,R191)))^2/$B$5))-(MAX(0,MIN(1,Q191))^2/(MAX(0,MIN(1,Q191))^2+(1-MAX(0,MIN(1,Q191)))^2/$B$5))))</f>
        <v>0.922083753064993</v>
      </c>
      <c r="S192" s="16" t="n">
        <f aca="false">IF(ABS(S191-$B$11/$B$9*((MAX(0,MIN(1,S191))^2/(MAX(0,MIN(1,S191))^2+(1-MAX(0,MIN(1,S191)))^2/$B$5))-(MAX(0,MIN(1,R191))^2/(MAX(0,MIN(1,R191))^2+(1-MAX(0,MIN(1,R191)))^2/$B$5))))&lt;0.000000001,0,S191-$B$11/$B$9*((MAX(0,MIN(1,S191))^2/(MAX(0,MIN(1,S191))^2+(1-MAX(0,MIN(1,S191)))^2/$B$5))-(MAX(0,MIN(1,R191))^2/(MAX(0,MIN(1,R191))^2+(1-MAX(0,MIN(1,R191)))^2/$B$5))))</f>
        <v>0.913303565320171</v>
      </c>
      <c r="T192" s="16" t="n">
        <f aca="false">IF(ABS(T191-$B$11/$B$9*((MAX(0,MIN(1,T191))^2/(MAX(0,MIN(1,T191))^2+(1-MAX(0,MIN(1,T191)))^2/$B$5))-(MAX(0,MIN(1,S191))^2/(MAX(0,MIN(1,S191))^2+(1-MAX(0,MIN(1,S191)))^2/$B$5))))&lt;0.000000001,0,T191-$B$11/$B$9*((MAX(0,MIN(1,T191))^2/(MAX(0,MIN(1,T191))^2+(1-MAX(0,MIN(1,T191)))^2/$B$5))-(MAX(0,MIN(1,S191))^2/(MAX(0,MIN(1,S191))^2+(1-MAX(0,MIN(1,S191)))^2/$B$5))))</f>
        <v>0.90495338896243</v>
      </c>
      <c r="U192" s="16" t="n">
        <f aca="false">IF(ABS(U191-$B$11/$B$9*((MAX(0,MIN(1,U191))^2/(MAX(0,MIN(1,U191))^2+(1-MAX(0,MIN(1,U191)))^2/$B$5))-(MAX(0,MIN(1,T191))^2/(MAX(0,MIN(1,T191))^2+(1-MAX(0,MIN(1,T191)))^2/$B$5))))&lt;0.000000001,0,U191-$B$11/$B$9*((MAX(0,MIN(1,U191))^2/(MAX(0,MIN(1,U191))^2+(1-MAX(0,MIN(1,U191)))^2/$B$5))-(MAX(0,MIN(1,T191))^2/(MAX(0,MIN(1,T191))^2+(1-MAX(0,MIN(1,T191)))^2/$B$5))))</f>
        <v>0.896982058325303</v>
      </c>
      <c r="V192" s="16" t="n">
        <f aca="false">IF(ABS(V191-$B$11/$B$9*((MAX(0,MIN(1,V191))^2/(MAX(0,MIN(1,V191))^2+(1-MAX(0,MIN(1,V191)))^2/$B$5))-(MAX(0,MIN(1,U191))^2/(MAX(0,MIN(1,U191))^2+(1-MAX(0,MIN(1,U191)))^2/$B$5))))&lt;0.000000001,0,V191-$B$11/$B$9*((MAX(0,MIN(1,V191))^2/(MAX(0,MIN(1,V191))^2+(1-MAX(0,MIN(1,V191)))^2/$B$5))-(MAX(0,MIN(1,U191))^2/(MAX(0,MIN(1,U191))^2+(1-MAX(0,MIN(1,U191)))^2/$B$5))))</f>
        <v>0.889348845499094</v>
      </c>
      <c r="W192" s="16" t="n">
        <f aca="false">IF(ABS(W191-$B$11/$B$9*((MAX(0,MIN(1,W191))^2/(MAX(0,MIN(1,W191))^2+(1-MAX(0,MIN(1,W191)))^2/$B$5))-(MAX(0,MIN(1,V191))^2/(MAX(0,MIN(1,V191))^2+(1-MAX(0,MIN(1,V191)))^2/$B$5))))&lt;0.000000001,0,W191-$B$11/$B$9*((MAX(0,MIN(1,W191))^2/(MAX(0,MIN(1,W191))^2+(1-MAX(0,MIN(1,W191)))^2/$B$5))-(MAX(0,MIN(1,V191))^2/(MAX(0,MIN(1,V191))^2+(1-MAX(0,MIN(1,V191)))^2/$B$5))))</f>
        <v>0.882020350275878</v>
      </c>
      <c r="X192" s="16" t="n">
        <f aca="false">IF(ABS(X191-$B$11/$B$9*((MAX(0,MIN(1,X191))^2/(MAX(0,MIN(1,X191))^2+(1-MAX(0,MIN(1,X191)))^2/$B$5))-(MAX(0,MIN(1,W191))^2/(MAX(0,MIN(1,W191))^2+(1-MAX(0,MIN(1,W191)))^2/$B$5))))&lt;0.000000001,0,X191-$B$11/$B$9*((MAX(0,MIN(1,X191))^2/(MAX(0,MIN(1,X191))^2+(1-MAX(0,MIN(1,X191)))^2/$B$5))-(MAX(0,MIN(1,W191))^2/(MAX(0,MIN(1,W191))^2+(1-MAX(0,MIN(1,W191)))^2/$B$5))))</f>
        <v>0.874968572564468</v>
      </c>
      <c r="Y192" s="16" t="n">
        <f aca="false">IF(ABS(Y191-$B$11/$B$9*((MAX(0,MIN(1,Y191))^2/(MAX(0,MIN(1,Y191))^2+(1-MAX(0,MIN(1,Y191)))^2/$B$5))-(MAX(0,MIN(1,X191))^2/(MAX(0,MIN(1,X191))^2+(1-MAX(0,MIN(1,X191)))^2/$B$5))))&lt;0.000000001,0,Y191-$B$11/$B$9*((MAX(0,MIN(1,Y191))^2/(MAX(0,MIN(1,Y191))^2+(1-MAX(0,MIN(1,Y191)))^2/$B$5))-(MAX(0,MIN(1,X191))^2/(MAX(0,MIN(1,X191))^2+(1-MAX(0,MIN(1,X191)))^2/$B$5))))</f>
        <v>0.868169641375159</v>
      </c>
      <c r="Z192" s="16" t="n">
        <f aca="false">IF(ABS(Z191-$B$11/$B$9*((MAX(0,MIN(1,Z191))^2/(MAX(0,MIN(1,Z191))^2+(1-MAX(0,MIN(1,Z191)))^2/$B$5))-(MAX(0,MIN(1,Y191))^2/(MAX(0,MIN(1,Y191))^2+(1-MAX(0,MIN(1,Y191)))^2/$B$5))))&lt;0.000000001,0,Z191-$B$11/$B$9*((MAX(0,MIN(1,Z191))^2/(MAX(0,MIN(1,Z191))^2+(1-MAX(0,MIN(1,Z191)))^2/$B$5))-(MAX(0,MIN(1,Y191))^2/(MAX(0,MIN(1,Y191))^2+(1-MAX(0,MIN(1,Y191)))^2/$B$5))))</f>
        <v>0.861602934645345</v>
      </c>
      <c r="AA192" s="16" t="n">
        <f aca="false">IF(ABS(AA191-$B$11/$B$9*((MAX(0,MIN(1,AA191))^2/(MAX(0,MIN(1,AA191))^2+(1-MAX(0,MIN(1,AA191)))^2/$B$5))-(MAX(0,MIN(1,Z191))^2/(MAX(0,MIN(1,Z191))^2+(1-MAX(0,MIN(1,Z191)))^2/$B$5))))&lt;0.000000001,0,AA191-$B$11/$B$9*((MAX(0,MIN(1,AA191))^2/(MAX(0,MIN(1,AA191))^2+(1-MAX(0,MIN(1,AA191)))^2/$B$5))-(MAX(0,MIN(1,Z191))^2/(MAX(0,MIN(1,Z191))^2+(1-MAX(0,MIN(1,Z191)))^2/$B$5))))</f>
        <v>0.855250445260022</v>
      </c>
      <c r="AB192" s="16" t="n">
        <f aca="false">IF(ABS(AB191-$B$11/$B$9*((MAX(0,MIN(1,AB191))^2/(MAX(0,MIN(1,AB191))^2+(1-MAX(0,MIN(1,AB191)))^2/$B$5))-(MAX(0,MIN(1,AA191))^2/(MAX(0,MIN(1,AA191))^2+(1-MAX(0,MIN(1,AA191)))^2/$B$5))))&lt;0.000000001,0,AB191-$B$11/$B$9*((MAX(0,MIN(1,AB191))^2/(MAX(0,MIN(1,AB191))^2+(1-MAX(0,MIN(1,AB191)))^2/$B$5))-(MAX(0,MIN(1,AA191))^2/(MAX(0,MIN(1,AA191))^2+(1-MAX(0,MIN(1,AA191)))^2/$B$5))))</f>
        <v>0.849096309560959</v>
      </c>
      <c r="AC192" s="16" t="n">
        <f aca="false">IF(ABS(AC191-$B$11/$B$9*((MAX(0,MIN(1,AC191))^2/(MAX(0,MIN(1,AC191))^2+(1-MAX(0,MIN(1,AC191)))^2/$B$5))-(MAX(0,MIN(1,AB191))^2/(MAX(0,MIN(1,AB191))^2+(1-MAX(0,MIN(1,AB191)))^2/$B$5))))&lt;0.000000001,0,AC191-$B$11/$B$9*((MAX(0,MIN(1,AC191))^2/(MAX(0,MIN(1,AC191))^2+(1-MAX(0,MIN(1,AC191)))^2/$B$5))-(MAX(0,MIN(1,AB191))^2/(MAX(0,MIN(1,AB191))^2+(1-MAX(0,MIN(1,AB191)))^2/$B$5))))</f>
        <v>0.843126447356292</v>
      </c>
      <c r="AD192" s="16" t="n">
        <f aca="false">IF(ABS(AD191-$B$11/$B$9*((MAX(0,MIN(1,AD191))^2/(MAX(0,MIN(1,AD191))^2+(1-MAX(0,MIN(1,AD191)))^2/$B$5))-(MAX(0,MIN(1,AC191))^2/(MAX(0,MIN(1,AC191))^2+(1-MAX(0,MIN(1,AC191)))^2/$B$5))))&lt;0.000000001,0,AD191-$B$11/$B$9*((MAX(0,MIN(1,AD191))^2/(MAX(0,MIN(1,AD191))^2+(1-MAX(0,MIN(1,AD191)))^2/$B$5))-(MAX(0,MIN(1,AC191))^2/(MAX(0,MIN(1,AC191))^2+(1-MAX(0,MIN(1,AC191)))^2/$B$5))))</f>
        <v>0.837328280991428</v>
      </c>
      <c r="AE192" s="16" t="n">
        <f aca="false">IF(ABS(AE191-$B$11/$B$9*((MAX(0,MIN(1,AE191))^2/(MAX(0,MIN(1,AE191))^2+(1-MAX(0,MIN(1,AE191)))^2/$B$5))-(MAX(0,MIN(1,AD191))^2/(MAX(0,MIN(1,AD191))^2+(1-MAX(0,MIN(1,AD191)))^2/$B$5))))&lt;0.000000001,0,AE191-$B$11/$B$9*((MAX(0,MIN(1,AE191))^2/(MAX(0,MIN(1,AE191))^2+(1-MAX(0,MIN(1,AE191)))^2/$B$5))-(MAX(0,MIN(1,AD191))^2/(MAX(0,MIN(1,AD191))^2+(1-MAX(0,MIN(1,AD191)))^2/$B$5))))</f>
        <v>0.831690512059653</v>
      </c>
      <c r="AF192" s="16" t="n">
        <f aca="false">IF(ABS(AF191-$B$11/$B$9*((MAX(0,MIN(1,AF191))^2/(MAX(0,MIN(1,AF191))^2+(1-MAX(0,MIN(1,AF191)))^2/$B$5))-(MAX(0,MIN(1,AE191))^2/(MAX(0,MIN(1,AE191))^2+(1-MAX(0,MIN(1,AE191)))^2/$B$5))))&lt;0.000000001,0,AF191-$B$11/$B$9*((MAX(0,MIN(1,AF191))^2/(MAX(0,MIN(1,AF191))^2+(1-MAX(0,MIN(1,AF191)))^2/$B$5))-(MAX(0,MIN(1,AE191))^2/(MAX(0,MIN(1,AE191))^2+(1-MAX(0,MIN(1,AE191)))^2/$B$5))))</f>
        <v>0.82620294114399</v>
      </c>
    </row>
    <row r="193" customFormat="false" ht="15" hidden="false" customHeight="false" outlineLevel="0" collapsed="false">
      <c r="L193" s="0" t="n">
        <v>183</v>
      </c>
      <c r="M193" s="16" t="n">
        <f aca="false">IF(ABS(M192-$B$11/$B$9*((MAX(0,MIN(1,M192))^2/(MAX(0,MIN(1,M192))^2+(1-MAX(0,MIN(1,M192)))^2/$B$5))-(MAX(0,MIN(1,1))^2/(MAX(0,MIN(1,1))^2+(1-MAX(0,MIN(1,1)))^2/$B$5))))&lt;0.000000001,0,M192-$B$11/$B$9*((MAX(0,MIN(1,M192))^2/(MAX(0,MIN(1,M192))^2+(1-MAX(0,MIN(1,M192)))^2/$B$5))-(MAX(0,MIN(1,1))^2/(MAX(0,MIN(1,1))^2+(1-MAX(0,MIN(1,1)))^2/$B$5))))</f>
        <v>0.976784207585165</v>
      </c>
      <c r="N193" s="16" t="n">
        <f aca="false">IF(ABS(N192-$B$11/$B$9*((MAX(0,MIN(1,N192))^2/(MAX(0,MIN(1,N192))^2+(1-MAX(0,MIN(1,N192)))^2/$B$5))-(MAX(0,MIN(1,M192))^2/(MAX(0,MIN(1,M192))^2+(1-MAX(0,MIN(1,M192)))^2/$B$5))))&lt;0.000000001,0,N192-$B$11/$B$9*((MAX(0,MIN(1,N192))^2/(MAX(0,MIN(1,N192))^2+(1-MAX(0,MIN(1,N192)))^2/$B$5))-(MAX(0,MIN(1,M192))^2/(MAX(0,MIN(1,M192))^2+(1-MAX(0,MIN(1,M192)))^2/$B$5))))</f>
        <v>0.963594491053234</v>
      </c>
      <c r="O193" s="16" t="n">
        <f aca="false">IF(ABS(O192-$B$11/$B$9*((MAX(0,MIN(1,O192))^2/(MAX(0,MIN(1,O192))^2+(1-MAX(0,MIN(1,O192)))^2/$B$5))-(MAX(0,MIN(1,N192))^2/(MAX(0,MIN(1,N192))^2+(1-MAX(0,MIN(1,N192)))^2/$B$5))))&lt;0.000000001,0,O192-$B$11/$B$9*((MAX(0,MIN(1,O192))^2/(MAX(0,MIN(1,O192))^2+(1-MAX(0,MIN(1,O192)))^2/$B$5))-(MAX(0,MIN(1,N192))^2/(MAX(0,MIN(1,N192))^2+(1-MAX(0,MIN(1,N192)))^2/$B$5))))</f>
        <v>0.952045571903874</v>
      </c>
      <c r="P193" s="16" t="n">
        <f aca="false">IF(ABS(P192-$B$11/$B$9*((MAX(0,MIN(1,P192))^2/(MAX(0,MIN(1,P192))^2+(1-MAX(0,MIN(1,P192)))^2/$B$5))-(MAX(0,MIN(1,O192))^2/(MAX(0,MIN(1,O192))^2+(1-MAX(0,MIN(1,O192)))^2/$B$5))))&lt;0.000000001,0,P192-$B$11/$B$9*((MAX(0,MIN(1,P192))^2/(MAX(0,MIN(1,P192))^2+(1-MAX(0,MIN(1,P192)))^2/$B$5))-(MAX(0,MIN(1,O192))^2/(MAX(0,MIN(1,O192))^2+(1-MAX(0,MIN(1,O192)))^2/$B$5))))</f>
        <v>0.941485128672556</v>
      </c>
      <c r="Q193" s="16" t="n">
        <f aca="false">IF(ABS(Q192-$B$11/$B$9*((MAX(0,MIN(1,Q192))^2/(MAX(0,MIN(1,Q192))^2+(1-MAX(0,MIN(1,Q192)))^2/$B$5))-(MAX(0,MIN(1,P192))^2/(MAX(0,MIN(1,P192))^2+(1-MAX(0,MIN(1,P192)))^2/$B$5))))&lt;0.000000001,0,Q192-$B$11/$B$9*((MAX(0,MIN(1,Q192))^2/(MAX(0,MIN(1,Q192))^2+(1-MAX(0,MIN(1,Q192)))^2/$B$5))-(MAX(0,MIN(1,P192))^2/(MAX(0,MIN(1,P192))^2+(1-MAX(0,MIN(1,P192)))^2/$B$5))))</f>
        <v>0.931654257996863</v>
      </c>
      <c r="R193" s="16" t="n">
        <f aca="false">IF(ABS(R192-$B$11/$B$9*((MAX(0,MIN(1,R192))^2/(MAX(0,MIN(1,R192))^2+(1-MAX(0,MIN(1,R192)))^2/$B$5))-(MAX(0,MIN(1,Q192))^2/(MAX(0,MIN(1,Q192))^2+(1-MAX(0,MIN(1,Q192)))^2/$B$5))))&lt;0.000000001,0,R192-$B$11/$B$9*((MAX(0,MIN(1,R192))^2/(MAX(0,MIN(1,R192))^2+(1-MAX(0,MIN(1,R192)))^2/$B$5))-(MAX(0,MIN(1,Q192))^2/(MAX(0,MIN(1,Q192))^2+(1-MAX(0,MIN(1,Q192)))^2/$B$5))))</f>
        <v>0.922410270767709</v>
      </c>
      <c r="S193" s="16" t="n">
        <f aca="false">IF(ABS(S192-$B$11/$B$9*((MAX(0,MIN(1,S192))^2/(MAX(0,MIN(1,S192))^2+(1-MAX(0,MIN(1,S192)))^2/$B$5))-(MAX(0,MIN(1,R192))^2/(MAX(0,MIN(1,R192))^2+(1-MAX(0,MIN(1,R192)))^2/$B$5))))&lt;0.000000001,0,S192-$B$11/$B$9*((MAX(0,MIN(1,S192))^2/(MAX(0,MIN(1,S192))^2+(1-MAX(0,MIN(1,S192)))^2/$B$5))-(MAX(0,MIN(1,R192))^2/(MAX(0,MIN(1,R192))^2+(1-MAX(0,MIN(1,R192)))^2/$B$5))))</f>
        <v>0.913660350107849</v>
      </c>
      <c r="T193" s="16" t="n">
        <f aca="false">IF(ABS(T192-$B$11/$B$9*((MAX(0,MIN(1,T192))^2/(MAX(0,MIN(1,T192))^2+(1-MAX(0,MIN(1,T192)))^2/$B$5))-(MAX(0,MIN(1,S192))^2/(MAX(0,MIN(1,S192))^2+(1-MAX(0,MIN(1,S192)))^2/$B$5))))&lt;0.000000001,0,T192-$B$11/$B$9*((MAX(0,MIN(1,T192))^2/(MAX(0,MIN(1,T192))^2+(1-MAX(0,MIN(1,T192)))^2/$B$5))-(MAX(0,MIN(1,S192))^2/(MAX(0,MIN(1,S192))^2+(1-MAX(0,MIN(1,S192)))^2/$B$5))))</f>
        <v>0.90533793495376</v>
      </c>
      <c r="U193" s="16" t="n">
        <f aca="false">IF(ABS(U192-$B$11/$B$9*((MAX(0,MIN(1,U192))^2/(MAX(0,MIN(1,U192))^2+(1-MAX(0,MIN(1,U192)))^2/$B$5))-(MAX(0,MIN(1,T192))^2/(MAX(0,MIN(1,T192))^2+(1-MAX(0,MIN(1,T192)))^2/$B$5))))&lt;0.000000001,0,U192-$B$11/$B$9*((MAX(0,MIN(1,U192))^2/(MAX(0,MIN(1,U192))^2+(1-MAX(0,MIN(1,U192)))^2/$B$5))-(MAX(0,MIN(1,T192))^2/(MAX(0,MIN(1,T192))^2+(1-MAX(0,MIN(1,T192)))^2/$B$5))))</f>
        <v>0.897392226851195</v>
      </c>
      <c r="V193" s="16" t="n">
        <f aca="false">IF(ABS(V192-$B$11/$B$9*((MAX(0,MIN(1,V192))^2/(MAX(0,MIN(1,V192))^2+(1-MAX(0,MIN(1,V192)))^2/$B$5))-(MAX(0,MIN(1,U192))^2/(MAX(0,MIN(1,U192))^2+(1-MAX(0,MIN(1,U192)))^2/$B$5))))&lt;0.000000001,0,V192-$B$11/$B$9*((MAX(0,MIN(1,V192))^2/(MAX(0,MIN(1,V192))^2+(1-MAX(0,MIN(1,V192)))^2/$B$5))-(MAX(0,MIN(1,U192))^2/(MAX(0,MIN(1,U192))^2+(1-MAX(0,MIN(1,U192)))^2/$B$5))))</f>
        <v>0.889782789768039</v>
      </c>
      <c r="W193" s="16" t="n">
        <f aca="false">IF(ABS(W192-$B$11/$B$9*((MAX(0,MIN(1,W192))^2/(MAX(0,MIN(1,W192))^2+(1-MAX(0,MIN(1,W192)))^2/$B$5))-(MAX(0,MIN(1,V192))^2/(MAX(0,MIN(1,V192))^2+(1-MAX(0,MIN(1,V192)))^2/$B$5))))&lt;0.000000001,0,W192-$B$11/$B$9*((MAX(0,MIN(1,W192))^2/(MAX(0,MIN(1,W192))^2+(1-MAX(0,MIN(1,W192)))^2/$B$5))-(MAX(0,MIN(1,V192))^2/(MAX(0,MIN(1,V192))^2+(1-MAX(0,MIN(1,V192)))^2/$B$5))))</f>
        <v>0.882476460861445</v>
      </c>
      <c r="X193" s="16" t="n">
        <f aca="false">IF(ABS(X192-$B$11/$B$9*((MAX(0,MIN(1,X192))^2/(MAX(0,MIN(1,X192))^2+(1-MAX(0,MIN(1,X192)))^2/$B$5))-(MAX(0,MIN(1,W192))^2/(MAX(0,MIN(1,W192))^2+(1-MAX(0,MIN(1,W192)))^2/$B$5))))&lt;0.000000001,0,X192-$B$11/$B$9*((MAX(0,MIN(1,X192))^2/(MAX(0,MIN(1,X192))^2+(1-MAX(0,MIN(1,X192)))^2/$B$5))-(MAX(0,MIN(1,W192))^2/(MAX(0,MIN(1,W192))^2+(1-MAX(0,MIN(1,W192)))^2/$B$5))))</f>
        <v>0.8754454364368</v>
      </c>
      <c r="Y193" s="16" t="n">
        <f aca="false">IF(ABS(Y192-$B$11/$B$9*((MAX(0,MIN(1,Y192))^2/(MAX(0,MIN(1,Y192))^2+(1-MAX(0,MIN(1,Y192)))^2/$B$5))-(MAX(0,MIN(1,X192))^2/(MAX(0,MIN(1,X192))^2+(1-MAX(0,MIN(1,X192)))^2/$B$5))))&lt;0.000000001,0,Y192-$B$11/$B$9*((MAX(0,MIN(1,Y192))^2/(MAX(0,MIN(1,Y192))^2+(1-MAX(0,MIN(1,Y192)))^2/$B$5))-(MAX(0,MIN(1,X192))^2/(MAX(0,MIN(1,X192))^2+(1-MAX(0,MIN(1,X192)))^2/$B$5))))</f>
        <v>0.868666010232305</v>
      </c>
      <c r="Z193" s="16" t="n">
        <f aca="false">IF(ABS(Z192-$B$11/$B$9*((MAX(0,MIN(1,Z192))^2/(MAX(0,MIN(1,Z192))^2+(1-MAX(0,MIN(1,Z192)))^2/$B$5))-(MAX(0,MIN(1,Y192))^2/(MAX(0,MIN(1,Y192))^2+(1-MAX(0,MIN(1,Y192)))^2/$B$5))))&lt;0.000000001,0,Z192-$B$11/$B$9*((MAX(0,MIN(1,Z192))^2/(MAX(0,MIN(1,Z192))^2+(1-MAX(0,MIN(1,Z192)))^2/$B$5))-(MAX(0,MIN(1,Y192))^2/(MAX(0,MIN(1,Y192))^2+(1-MAX(0,MIN(1,Y192)))^2/$B$5))))</f>
        <v>0.862117699897414</v>
      </c>
      <c r="AA193" s="16" t="n">
        <f aca="false">IF(ABS(AA192-$B$11/$B$9*((MAX(0,MIN(1,AA192))^2/(MAX(0,MIN(1,AA192))^2+(1-MAX(0,MIN(1,AA192)))^2/$B$5))-(MAX(0,MIN(1,Z192))^2/(MAX(0,MIN(1,Z192))^2+(1-MAX(0,MIN(1,Z192)))^2/$B$5))))&lt;0.000000001,0,AA192-$B$11/$B$9*((MAX(0,MIN(1,AA192))^2/(MAX(0,MIN(1,AA192))^2+(1-MAX(0,MIN(1,AA192)))^2/$B$5))-(MAX(0,MIN(1,Z192))^2/(MAX(0,MIN(1,Z192))^2+(1-MAX(0,MIN(1,Z192)))^2/$B$5))))</f>
        <v>0.85578261792629</v>
      </c>
      <c r="AB193" s="16" t="n">
        <f aca="false">IF(ABS(AB192-$B$11/$B$9*((MAX(0,MIN(1,AB192))^2/(MAX(0,MIN(1,AB192))^2+(1-MAX(0,MIN(1,AB192)))^2/$B$5))-(MAX(0,MIN(1,AA192))^2/(MAX(0,MIN(1,AA192))^2+(1-MAX(0,MIN(1,AA192)))^2/$B$5))))&lt;0.000000001,0,AB192-$B$11/$B$9*((MAX(0,MIN(1,AB192))^2/(MAX(0,MIN(1,AB192))^2+(1-MAX(0,MIN(1,AB192)))^2/$B$5))-(MAX(0,MIN(1,AA192))^2/(MAX(0,MIN(1,AA192))^2+(1-MAX(0,MIN(1,AA192)))^2/$B$5))))</f>
        <v>0.849645003887629</v>
      </c>
      <c r="AC193" s="16" t="n">
        <f aca="false">IF(ABS(AC192-$B$11/$B$9*((MAX(0,MIN(1,AC192))^2/(MAX(0,MIN(1,AC192))^2+(1-MAX(0,MIN(1,AC192)))^2/$B$5))-(MAX(0,MIN(1,AB192))^2/(MAX(0,MIN(1,AB192))^2+(1-MAX(0,MIN(1,AB192)))^2/$B$5))))&lt;0.000000001,0,AC192-$B$11/$B$9*((MAX(0,MIN(1,AC192))^2/(MAX(0,MIN(1,AC192))^2+(1-MAX(0,MIN(1,AC192)))^2/$B$5))-(MAX(0,MIN(1,AB192))^2/(MAX(0,MIN(1,AB192))^2+(1-MAX(0,MIN(1,AB192)))^2/$B$5))))</f>
        <v>0.84369086731007</v>
      </c>
      <c r="AD193" s="16" t="n">
        <f aca="false">IF(ABS(AD192-$B$11/$B$9*((MAX(0,MIN(1,AD192))^2/(MAX(0,MIN(1,AD192))^2+(1-MAX(0,MIN(1,AD192)))^2/$B$5))-(MAX(0,MIN(1,AC192))^2/(MAX(0,MIN(1,AC192))^2+(1-MAX(0,MIN(1,AC192)))^2/$B$5))))&lt;0.000000001,0,AD192-$B$11/$B$9*((MAX(0,MIN(1,AD192))^2/(MAX(0,MIN(1,AD192))^2+(1-MAX(0,MIN(1,AD192)))^2/$B$5))-(MAX(0,MIN(1,AC192))^2/(MAX(0,MIN(1,AC192))^2+(1-MAX(0,MIN(1,AC192)))^2/$B$5))))</f>
        <v>0.837907709013668</v>
      </c>
      <c r="AE193" s="16" t="n">
        <f aca="false">IF(ABS(AE192-$B$11/$B$9*((MAX(0,MIN(1,AE192))^2/(MAX(0,MIN(1,AE192))^2+(1-MAX(0,MIN(1,AE192)))^2/$B$5))-(MAX(0,MIN(1,AD192))^2/(MAX(0,MIN(1,AD192))^2+(1-MAX(0,MIN(1,AD192)))^2/$B$5))))&lt;0.000000001,0,AE192-$B$11/$B$9*((MAX(0,MIN(1,AE192))^2/(MAX(0,MIN(1,AE192))^2+(1-MAX(0,MIN(1,AE192)))^2/$B$5))-(MAX(0,MIN(1,AD192))^2/(MAX(0,MIN(1,AD192))^2+(1-MAX(0,MIN(1,AD192)))^2/$B$5))))</f>
        <v>0.83228429962284</v>
      </c>
      <c r="AF193" s="16" t="n">
        <f aca="false">IF(ABS(AF192-$B$11/$B$9*((MAX(0,MIN(1,AF192))^2/(MAX(0,MIN(1,AF192))^2+(1-MAX(0,MIN(1,AF192)))^2/$B$5))-(MAX(0,MIN(1,AE192))^2/(MAX(0,MIN(1,AE192))^2+(1-MAX(0,MIN(1,AE192)))^2/$B$5))))&lt;0.000000001,0,AF192-$B$11/$B$9*((MAX(0,MIN(1,AF192))^2/(MAX(0,MIN(1,AF192))^2+(1-MAX(0,MIN(1,AF192)))^2/$B$5))-(MAX(0,MIN(1,AE192))^2/(MAX(0,MIN(1,AE192))^2+(1-MAX(0,MIN(1,AE192)))^2/$B$5))))</f>
        <v>0.826810500762741</v>
      </c>
    </row>
    <row r="194" customFormat="false" ht="15" hidden="false" customHeight="false" outlineLevel="0" collapsed="false">
      <c r="L194" s="0" t="n">
        <v>184</v>
      </c>
      <c r="M194" s="16" t="n">
        <f aca="false">IF(ABS(M193-$B$11/$B$9*((MAX(0,MIN(1,M193))^2/(MAX(0,MIN(1,M193))^2+(1-MAX(0,MIN(1,M193)))^2/$B$5))-(MAX(0,MIN(1,1))^2/(MAX(0,MIN(1,1))^2+(1-MAX(0,MIN(1,1)))^2/$B$5))))&lt;0.000000001,0,M193-$B$11/$B$9*((MAX(0,MIN(1,M193))^2/(MAX(0,MIN(1,M193))^2+(1-MAX(0,MIN(1,M193)))^2/$B$5))-(MAX(0,MIN(1,1))^2/(MAX(0,MIN(1,1))^2+(1-MAX(0,MIN(1,1)))^2/$B$5))))</f>
        <v>0.976892787354041</v>
      </c>
      <c r="N194" s="16" t="n">
        <f aca="false">IF(ABS(N193-$B$11/$B$9*((MAX(0,MIN(1,N193))^2/(MAX(0,MIN(1,N193))^2+(1-MAX(0,MIN(1,N193)))^2/$B$5))-(MAX(0,MIN(1,M193))^2/(MAX(0,MIN(1,M193))^2+(1-MAX(0,MIN(1,M193)))^2/$B$5))))&lt;0.000000001,0,N193-$B$11/$B$9*((MAX(0,MIN(1,N193))^2/(MAX(0,MIN(1,N193))^2+(1-MAX(0,MIN(1,N193)))^2/$B$5))-(MAX(0,MIN(1,M193))^2/(MAX(0,MIN(1,M193))^2+(1-MAX(0,MIN(1,M193)))^2/$B$5))))</f>
        <v>0.963760155545422</v>
      </c>
      <c r="O194" s="16" t="n">
        <f aca="false">IF(ABS(O193-$B$11/$B$9*((MAX(0,MIN(1,O193))^2/(MAX(0,MIN(1,O193))^2+(1-MAX(0,MIN(1,O193)))^2/$B$5))-(MAX(0,MIN(1,N193))^2/(MAX(0,MIN(1,N193))^2+(1-MAX(0,MIN(1,N193)))^2/$B$5))))&lt;0.000000001,0,O193-$B$11/$B$9*((MAX(0,MIN(1,O193))^2/(MAX(0,MIN(1,O193))^2+(1-MAX(0,MIN(1,O193)))^2/$B$5))-(MAX(0,MIN(1,N193))^2/(MAX(0,MIN(1,N193))^2+(1-MAX(0,MIN(1,N193)))^2/$B$5))))</f>
        <v>0.952258511818129</v>
      </c>
      <c r="P194" s="16" t="n">
        <f aca="false">IF(ABS(P193-$B$11/$B$9*((MAX(0,MIN(1,P193))^2/(MAX(0,MIN(1,P193))^2+(1-MAX(0,MIN(1,P193)))^2/$B$5))-(MAX(0,MIN(1,O193))^2/(MAX(0,MIN(1,O193))^2+(1-MAX(0,MIN(1,O193)))^2/$B$5))))&lt;0.000000001,0,P193-$B$11/$B$9*((MAX(0,MIN(1,P193))^2/(MAX(0,MIN(1,P193))^2+(1-MAX(0,MIN(1,P193)))^2/$B$5))-(MAX(0,MIN(1,O193))^2/(MAX(0,MIN(1,O193))^2+(1-MAX(0,MIN(1,O193)))^2/$B$5))))</f>
        <v>0.941739202478689</v>
      </c>
      <c r="Q194" s="16" t="n">
        <f aca="false">IF(ABS(Q193-$B$11/$B$9*((MAX(0,MIN(1,Q193))^2/(MAX(0,MIN(1,Q193))^2+(1-MAX(0,MIN(1,Q193)))^2/$B$5))-(MAX(0,MIN(1,P193))^2/(MAX(0,MIN(1,P193))^2+(1-MAX(0,MIN(1,P193)))^2/$B$5))))&lt;0.000000001,0,Q193-$B$11/$B$9*((MAX(0,MIN(1,Q193))^2/(MAX(0,MIN(1,Q193))^2+(1-MAX(0,MIN(1,Q193)))^2/$B$5))-(MAX(0,MIN(1,P193))^2/(MAX(0,MIN(1,P193))^2+(1-MAX(0,MIN(1,P193)))^2/$B$5))))</f>
        <v>0.931944925030822</v>
      </c>
      <c r="R194" s="16" t="n">
        <f aca="false">IF(ABS(R193-$B$11/$B$9*((MAX(0,MIN(1,R193))^2/(MAX(0,MIN(1,R193))^2+(1-MAX(0,MIN(1,R193)))^2/$B$5))-(MAX(0,MIN(1,Q193))^2/(MAX(0,MIN(1,Q193))^2+(1-MAX(0,MIN(1,Q193)))^2/$B$5))))&lt;0.000000001,0,R193-$B$11/$B$9*((MAX(0,MIN(1,R193))^2/(MAX(0,MIN(1,R193))^2+(1-MAX(0,MIN(1,R193)))^2/$B$5))-(MAX(0,MIN(1,Q193))^2/(MAX(0,MIN(1,Q193))^2+(1-MAX(0,MIN(1,Q193)))^2/$B$5))))</f>
        <v>0.922733935527298</v>
      </c>
      <c r="S194" s="16" t="n">
        <f aca="false">IF(ABS(S193-$B$11/$B$9*((MAX(0,MIN(1,S193))^2/(MAX(0,MIN(1,S193))^2+(1-MAX(0,MIN(1,S193)))^2/$B$5))-(MAX(0,MIN(1,R193))^2/(MAX(0,MIN(1,R193))^2+(1-MAX(0,MIN(1,R193)))^2/$B$5))))&lt;0.000000001,0,S193-$B$11/$B$9*((MAX(0,MIN(1,S193))^2/(MAX(0,MIN(1,S193))^2+(1-MAX(0,MIN(1,S193)))^2/$B$5))-(MAX(0,MIN(1,R193))^2/(MAX(0,MIN(1,R193))^2+(1-MAX(0,MIN(1,R193)))^2/$B$5))))</f>
        <v>0.914014059180645</v>
      </c>
      <c r="T194" s="16" t="n">
        <f aca="false">IF(ABS(T193-$B$11/$B$9*((MAX(0,MIN(1,T193))^2/(MAX(0,MIN(1,T193))^2+(1-MAX(0,MIN(1,T193)))^2/$B$5))-(MAX(0,MIN(1,S193))^2/(MAX(0,MIN(1,S193))^2+(1-MAX(0,MIN(1,S193)))^2/$B$5))))&lt;0.000000001,0,T193-$B$11/$B$9*((MAX(0,MIN(1,T193))^2/(MAX(0,MIN(1,T193))^2+(1-MAX(0,MIN(1,T193)))^2/$B$5))-(MAX(0,MIN(1,S193))^2/(MAX(0,MIN(1,S193))^2+(1-MAX(0,MIN(1,S193)))^2/$B$5))))</f>
        <v>0.905719206286247</v>
      </c>
      <c r="U194" s="16" t="n">
        <f aca="false">IF(ABS(U193-$B$11/$B$9*((MAX(0,MIN(1,U193))^2/(MAX(0,MIN(1,U193))^2+(1-MAX(0,MIN(1,U193)))^2/$B$5))-(MAX(0,MIN(1,T193))^2/(MAX(0,MIN(1,T193))^2+(1-MAX(0,MIN(1,T193)))^2/$B$5))))&lt;0.000000001,0,U193-$B$11/$B$9*((MAX(0,MIN(1,U193))^2/(MAX(0,MIN(1,U193))^2+(1-MAX(0,MIN(1,U193)))^2/$B$5))-(MAX(0,MIN(1,T193))^2/(MAX(0,MIN(1,T193))^2+(1-MAX(0,MIN(1,T193)))^2/$B$5))))</f>
        <v>0.8977989413471</v>
      </c>
      <c r="V194" s="16" t="n">
        <f aca="false">IF(ABS(V193-$B$11/$B$9*((MAX(0,MIN(1,V193))^2/(MAX(0,MIN(1,V193))^2+(1-MAX(0,MIN(1,V193)))^2/$B$5))-(MAX(0,MIN(1,U193))^2/(MAX(0,MIN(1,U193))^2+(1-MAX(0,MIN(1,U193)))^2/$B$5))))&lt;0.000000001,0,V193-$B$11/$B$9*((MAX(0,MIN(1,V193))^2/(MAX(0,MIN(1,V193))^2+(1-MAX(0,MIN(1,V193)))^2/$B$5))-(MAX(0,MIN(1,U193))^2/(MAX(0,MIN(1,U193))^2+(1-MAX(0,MIN(1,U193)))^2/$B$5))))</f>
        <v>0.890213116901373</v>
      </c>
      <c r="W194" s="16" t="n">
        <f aca="false">IF(ABS(W193-$B$11/$B$9*((MAX(0,MIN(1,W193))^2/(MAX(0,MIN(1,W193))^2+(1-MAX(0,MIN(1,W193)))^2/$B$5))-(MAX(0,MIN(1,V193))^2/(MAX(0,MIN(1,V193))^2+(1-MAX(0,MIN(1,V193)))^2/$B$5))))&lt;0.000000001,0,W193-$B$11/$B$9*((MAX(0,MIN(1,W193))^2/(MAX(0,MIN(1,W193))^2+(1-MAX(0,MIN(1,W193)))^2/$B$5))-(MAX(0,MIN(1,V193))^2/(MAX(0,MIN(1,V193))^2+(1-MAX(0,MIN(1,V193)))^2/$B$5))))</f>
        <v>0.882928804846077</v>
      </c>
      <c r="X194" s="16" t="n">
        <f aca="false">IF(ABS(X193-$B$11/$B$9*((MAX(0,MIN(1,X193))^2/(MAX(0,MIN(1,X193))^2+(1-MAX(0,MIN(1,X193)))^2/$B$5))-(MAX(0,MIN(1,W193))^2/(MAX(0,MIN(1,W193))^2+(1-MAX(0,MIN(1,W193)))^2/$B$5))))&lt;0.000000001,0,X193-$B$11/$B$9*((MAX(0,MIN(1,X193))^2/(MAX(0,MIN(1,X193))^2+(1-MAX(0,MIN(1,X193)))^2/$B$5))-(MAX(0,MIN(1,W193))^2/(MAX(0,MIN(1,W193))^2+(1-MAX(0,MIN(1,W193)))^2/$B$5))))</f>
        <v>0.875918395764768</v>
      </c>
      <c r="Y194" s="16" t="n">
        <f aca="false">IF(ABS(Y193-$B$11/$B$9*((MAX(0,MIN(1,Y193))^2/(MAX(0,MIN(1,Y193))^2+(1-MAX(0,MIN(1,Y193)))^2/$B$5))-(MAX(0,MIN(1,X193))^2/(MAX(0,MIN(1,X193))^2+(1-MAX(0,MIN(1,X193)))^2/$B$5))))&lt;0.000000001,0,Y193-$B$11/$B$9*((MAX(0,MIN(1,Y193))^2/(MAX(0,MIN(1,Y193))^2+(1-MAX(0,MIN(1,Y193)))^2/$B$5))-(MAX(0,MIN(1,X193))^2/(MAX(0,MIN(1,X193))^2+(1-MAX(0,MIN(1,X193)))^2/$B$5))))</f>
        <v>0.869158346390863</v>
      </c>
      <c r="Z194" s="16" t="n">
        <f aca="false">IF(ABS(Z193-$B$11/$B$9*((MAX(0,MIN(1,Z193))^2/(MAX(0,MIN(1,Z193))^2+(1-MAX(0,MIN(1,Z193)))^2/$B$5))-(MAX(0,MIN(1,Y193))^2/(MAX(0,MIN(1,Y193))^2+(1-MAX(0,MIN(1,Y193)))^2/$B$5))))&lt;0.000000001,0,Z193-$B$11/$B$9*((MAX(0,MIN(1,Z193))^2/(MAX(0,MIN(1,Z193))^2+(1-MAX(0,MIN(1,Z193)))^2/$B$5))-(MAX(0,MIN(1,Y193))^2/(MAX(0,MIN(1,Y193))^2+(1-MAX(0,MIN(1,Y193)))^2/$B$5))))</f>
        <v>0.862628312652306</v>
      </c>
      <c r="AA194" s="16" t="n">
        <f aca="false">IF(ABS(AA193-$B$11/$B$9*((MAX(0,MIN(1,AA193))^2/(MAX(0,MIN(1,AA193))^2+(1-MAX(0,MIN(1,AA193)))^2/$B$5))-(MAX(0,MIN(1,Z193))^2/(MAX(0,MIN(1,Z193))^2+(1-MAX(0,MIN(1,Z193)))^2/$B$5))))&lt;0.000000001,0,AA193-$B$11/$B$9*((MAX(0,MIN(1,AA193))^2/(MAX(0,MIN(1,AA193))^2+(1-MAX(0,MIN(1,AA193)))^2/$B$5))-(MAX(0,MIN(1,Z193))^2/(MAX(0,MIN(1,Z193))^2+(1-MAX(0,MIN(1,Z193)))^2/$B$5))))</f>
        <v>0.856310525454362</v>
      </c>
      <c r="AB194" s="16" t="n">
        <f aca="false">IF(ABS(AB193-$B$11/$B$9*((MAX(0,MIN(1,AB193))^2/(MAX(0,MIN(1,AB193))^2+(1-MAX(0,MIN(1,AB193)))^2/$B$5))-(MAX(0,MIN(1,AA193))^2/(MAX(0,MIN(1,AA193))^2+(1-MAX(0,MIN(1,AA193)))^2/$B$5))))&lt;0.000000001,0,AB193-$B$11/$B$9*((MAX(0,MIN(1,AB193))^2/(MAX(0,MIN(1,AB193))^2+(1-MAX(0,MIN(1,AB193)))^2/$B$5))-(MAX(0,MIN(1,AA193))^2/(MAX(0,MIN(1,AA193))^2+(1-MAX(0,MIN(1,AA193)))^2/$B$5))))</f>
        <v>0.850189326582357</v>
      </c>
      <c r="AC194" s="16" t="n">
        <f aca="false">IF(ABS(AC193-$B$11/$B$9*((MAX(0,MIN(1,AC193))^2/(MAX(0,MIN(1,AC193))^2+(1-MAX(0,MIN(1,AC193)))^2/$B$5))-(MAX(0,MIN(1,AB193))^2/(MAX(0,MIN(1,AB193))^2+(1-MAX(0,MIN(1,AB193)))^2/$B$5))))&lt;0.000000001,0,AC193-$B$11/$B$9*((MAX(0,MIN(1,AC193))^2/(MAX(0,MIN(1,AC193))^2+(1-MAX(0,MIN(1,AC193)))^2/$B$5))-(MAX(0,MIN(1,AB193))^2/(MAX(0,MIN(1,AB193))^2+(1-MAX(0,MIN(1,AB193)))^2/$B$5))))</f>
        <v>0.844250814426432</v>
      </c>
      <c r="AD194" s="16" t="n">
        <f aca="false">IF(ABS(AD193-$B$11/$B$9*((MAX(0,MIN(1,AD193))^2/(MAX(0,MIN(1,AD193))^2+(1-MAX(0,MIN(1,AD193)))^2/$B$5))-(MAX(0,MIN(1,AC193))^2/(MAX(0,MIN(1,AC193))^2+(1-MAX(0,MIN(1,AC193)))^2/$B$5))))&lt;0.000000001,0,AD193-$B$11/$B$9*((MAX(0,MIN(1,AD193))^2/(MAX(0,MIN(1,AD193))^2+(1-MAX(0,MIN(1,AD193)))^2/$B$5))-(MAX(0,MIN(1,AC193))^2/(MAX(0,MIN(1,AC193))^2+(1-MAX(0,MIN(1,AC193)))^2/$B$5))))</f>
        <v>0.838482567545315</v>
      </c>
      <c r="AE194" s="16" t="n">
        <f aca="false">IF(ABS(AE193-$B$11/$B$9*((MAX(0,MIN(1,AE193))^2/(MAX(0,MIN(1,AE193))^2+(1-MAX(0,MIN(1,AE193)))^2/$B$5))-(MAX(0,MIN(1,AD193))^2/(MAX(0,MIN(1,AD193))^2+(1-MAX(0,MIN(1,AD193)))^2/$B$5))))&lt;0.000000001,0,AE193-$B$11/$B$9*((MAX(0,MIN(1,AE193))^2/(MAX(0,MIN(1,AE193))^2+(1-MAX(0,MIN(1,AE193)))^2/$B$5))-(MAX(0,MIN(1,AD193))^2/(MAX(0,MIN(1,AD193))^2+(1-MAX(0,MIN(1,AD193)))^2/$B$5))))</f>
        <v>0.832873424959389</v>
      </c>
      <c r="AF194" s="16" t="n">
        <f aca="false">IF(ABS(AF193-$B$11/$B$9*((MAX(0,MIN(1,AF193))^2/(MAX(0,MIN(1,AF193))^2+(1-MAX(0,MIN(1,AF193)))^2/$B$5))-(MAX(0,MIN(1,AE193))^2/(MAX(0,MIN(1,AE193))^2+(1-MAX(0,MIN(1,AE193)))^2/$B$5))))&lt;0.000000001,0,AF193-$B$11/$B$9*((MAX(0,MIN(1,AF193))^2/(MAX(0,MIN(1,AF193))^2+(1-MAX(0,MIN(1,AF193)))^2/$B$5))-(MAX(0,MIN(1,AE193))^2/(MAX(0,MIN(1,AE193))^2+(1-MAX(0,MIN(1,AE193)))^2/$B$5))))</f>
        <v>0.827413308783947</v>
      </c>
    </row>
    <row r="195" customFormat="false" ht="15" hidden="false" customHeight="false" outlineLevel="0" collapsed="false">
      <c r="L195" s="0" t="n">
        <v>185</v>
      </c>
      <c r="M195" s="16" t="n">
        <f aca="false">IF(ABS(M194-$B$11/$B$9*((MAX(0,MIN(1,M194))^2/(MAX(0,MIN(1,M194))^2+(1-MAX(0,MIN(1,M194)))^2/$B$5))-(MAX(0,MIN(1,1))^2/(MAX(0,MIN(1,1))^2+(1-MAX(0,MIN(1,1)))^2/$B$5))))&lt;0.000000001,0,M194-$B$11/$B$9*((MAX(0,MIN(1,M194))^2/(MAX(0,MIN(1,M194))^2+(1-MAX(0,MIN(1,M194)))^2/$B$5))-(MAX(0,MIN(1,1))^2/(MAX(0,MIN(1,1))^2+(1-MAX(0,MIN(1,1)))^2/$B$5))))</f>
        <v>0.977000330227232</v>
      </c>
      <c r="N195" s="16" t="n">
        <f aca="false">IF(ABS(N194-$B$11/$B$9*((MAX(0,MIN(1,N194))^2/(MAX(0,MIN(1,N194))^2+(1-MAX(0,MIN(1,N194)))^2/$B$5))-(MAX(0,MIN(1,M194))^2/(MAX(0,MIN(1,M194))^2+(1-MAX(0,MIN(1,M194)))^2/$B$5))))&lt;0.000000001,0,N194-$B$11/$B$9*((MAX(0,MIN(1,N194))^2/(MAX(0,MIN(1,N194))^2+(1-MAX(0,MIN(1,N194)))^2/$B$5))-(MAX(0,MIN(1,M194))^2/(MAX(0,MIN(1,M194))^2+(1-MAX(0,MIN(1,M194)))^2/$B$5))))</f>
        <v>0.963924275104314</v>
      </c>
      <c r="O195" s="16" t="n">
        <f aca="false">IF(ABS(O194-$B$11/$B$9*((MAX(0,MIN(1,O194))^2/(MAX(0,MIN(1,O194))^2+(1-MAX(0,MIN(1,O194)))^2/$B$5))-(MAX(0,MIN(1,N194))^2/(MAX(0,MIN(1,N194))^2+(1-MAX(0,MIN(1,N194)))^2/$B$5))))&lt;0.000000001,0,O194-$B$11/$B$9*((MAX(0,MIN(1,O194))^2/(MAX(0,MIN(1,O194))^2+(1-MAX(0,MIN(1,O194)))^2/$B$5))-(MAX(0,MIN(1,N194))^2/(MAX(0,MIN(1,N194))^2+(1-MAX(0,MIN(1,N194)))^2/$B$5))))</f>
        <v>0.952469506280433</v>
      </c>
      <c r="P195" s="16" t="n">
        <f aca="false">IF(ABS(P194-$B$11/$B$9*((MAX(0,MIN(1,P194))^2/(MAX(0,MIN(1,P194))^2+(1-MAX(0,MIN(1,P194)))^2/$B$5))-(MAX(0,MIN(1,O194))^2/(MAX(0,MIN(1,O194))^2+(1-MAX(0,MIN(1,O194)))^2/$B$5))))&lt;0.000000001,0,P194-$B$11/$B$9*((MAX(0,MIN(1,P194))^2/(MAX(0,MIN(1,P194))^2+(1-MAX(0,MIN(1,P194)))^2/$B$5))-(MAX(0,MIN(1,O194))^2/(MAX(0,MIN(1,O194))^2+(1-MAX(0,MIN(1,O194)))^2/$B$5))))</f>
        <v>0.9419909969736</v>
      </c>
      <c r="Q195" s="16" t="n">
        <f aca="false">IF(ABS(Q194-$B$11/$B$9*((MAX(0,MIN(1,Q194))^2/(MAX(0,MIN(1,Q194))^2+(1-MAX(0,MIN(1,Q194)))^2/$B$5))-(MAX(0,MIN(1,P194))^2/(MAX(0,MIN(1,P194))^2+(1-MAX(0,MIN(1,P194)))^2/$B$5))))&lt;0.000000001,0,Q194-$B$11/$B$9*((MAX(0,MIN(1,Q194))^2/(MAX(0,MIN(1,Q194))^2+(1-MAX(0,MIN(1,Q194)))^2/$B$5))-(MAX(0,MIN(1,P194))^2/(MAX(0,MIN(1,P194))^2+(1-MAX(0,MIN(1,P194)))^2/$B$5))))</f>
        <v>0.93223302684192</v>
      </c>
      <c r="R195" s="16" t="n">
        <f aca="false">IF(ABS(R194-$B$11/$B$9*((MAX(0,MIN(1,R194))^2/(MAX(0,MIN(1,R194))^2+(1-MAX(0,MIN(1,R194)))^2/$B$5))-(MAX(0,MIN(1,Q194))^2/(MAX(0,MIN(1,Q194))^2+(1-MAX(0,MIN(1,Q194)))^2/$B$5))))&lt;0.000000001,0,R194-$B$11/$B$9*((MAX(0,MIN(1,R194))^2/(MAX(0,MIN(1,R194))^2+(1-MAX(0,MIN(1,R194)))^2/$B$5))-(MAX(0,MIN(1,Q194))^2/(MAX(0,MIN(1,Q194))^2+(1-MAX(0,MIN(1,Q194)))^2/$B$5))))</f>
        <v>0.923054785846808</v>
      </c>
      <c r="S195" s="16" t="n">
        <f aca="false">IF(ABS(S194-$B$11/$B$9*((MAX(0,MIN(1,S194))^2/(MAX(0,MIN(1,S194))^2+(1-MAX(0,MIN(1,S194)))^2/$B$5))-(MAX(0,MIN(1,R194))^2/(MAX(0,MIN(1,R194))^2+(1-MAX(0,MIN(1,R194)))^2/$B$5))))&lt;0.000000001,0,S194-$B$11/$B$9*((MAX(0,MIN(1,S194))^2/(MAX(0,MIN(1,S194))^2+(1-MAX(0,MIN(1,S194)))^2/$B$5))-(MAX(0,MIN(1,R194))^2/(MAX(0,MIN(1,R194))^2+(1-MAX(0,MIN(1,R194)))^2/$B$5))))</f>
        <v>0.914364733650852</v>
      </c>
      <c r="T195" s="16" t="n">
        <f aca="false">IF(ABS(T194-$B$11/$B$9*((MAX(0,MIN(1,T194))^2/(MAX(0,MIN(1,T194))^2+(1-MAX(0,MIN(1,T194)))^2/$B$5))-(MAX(0,MIN(1,S194))^2/(MAX(0,MIN(1,S194))^2+(1-MAX(0,MIN(1,S194)))^2/$B$5))))&lt;0.000000001,0,T194-$B$11/$B$9*((MAX(0,MIN(1,T194))^2/(MAX(0,MIN(1,T194))^2+(1-MAX(0,MIN(1,T194)))^2/$B$5))-(MAX(0,MIN(1,S194))^2/(MAX(0,MIN(1,S194))^2+(1-MAX(0,MIN(1,S194)))^2/$B$5))))</f>
        <v>0.906097246367036</v>
      </c>
      <c r="U195" s="16" t="n">
        <f aca="false">IF(ABS(U194-$B$11/$B$9*((MAX(0,MIN(1,U194))^2/(MAX(0,MIN(1,U194))^2+(1-MAX(0,MIN(1,U194)))^2/$B$5))-(MAX(0,MIN(1,T194))^2/(MAX(0,MIN(1,T194))^2+(1-MAX(0,MIN(1,T194)))^2/$B$5))))&lt;0.000000001,0,U194-$B$11/$B$9*((MAX(0,MIN(1,U194))^2/(MAX(0,MIN(1,U194))^2+(1-MAX(0,MIN(1,U194)))^2/$B$5))-(MAX(0,MIN(1,T194))^2/(MAX(0,MIN(1,T194))^2+(1-MAX(0,MIN(1,T194)))^2/$B$5))))</f>
        <v>0.898202247267093</v>
      </c>
      <c r="V195" s="16" t="n">
        <f aca="false">IF(ABS(V194-$B$11/$B$9*((MAX(0,MIN(1,V194))^2/(MAX(0,MIN(1,V194))^2+(1-MAX(0,MIN(1,V194)))^2/$B$5))-(MAX(0,MIN(1,U194))^2/(MAX(0,MIN(1,U194))^2+(1-MAX(0,MIN(1,U194)))^2/$B$5))))&lt;0.000000001,0,V194-$B$11/$B$9*((MAX(0,MIN(1,V194))^2/(MAX(0,MIN(1,V194))^2+(1-MAX(0,MIN(1,V194)))^2/$B$5))-(MAX(0,MIN(1,U194))^2/(MAX(0,MIN(1,U194))^2+(1-MAX(0,MIN(1,U194)))^2/$B$5))))</f>
        <v>0.890639874202514</v>
      </c>
      <c r="W195" s="16" t="n">
        <f aca="false">IF(ABS(W194-$B$11/$B$9*((MAX(0,MIN(1,W194))^2/(MAX(0,MIN(1,W194))^2+(1-MAX(0,MIN(1,W194)))^2/$B$5))-(MAX(0,MIN(1,V194))^2/(MAX(0,MIN(1,V194))^2+(1-MAX(0,MIN(1,V194)))^2/$B$5))))&lt;0.000000001,0,W194-$B$11/$B$9*((MAX(0,MIN(1,W194))^2/(MAX(0,MIN(1,W194))^2+(1-MAX(0,MIN(1,W194)))^2/$B$5))-(MAX(0,MIN(1,V194))^2/(MAX(0,MIN(1,V194))^2+(1-MAX(0,MIN(1,V194)))^2/$B$5))))</f>
        <v>0.883377431223876</v>
      </c>
      <c r="X195" s="16" t="n">
        <f aca="false">IF(ABS(X194-$B$11/$B$9*((MAX(0,MIN(1,X194))^2/(MAX(0,MIN(1,X194))^2+(1-MAX(0,MIN(1,X194)))^2/$B$5))-(MAX(0,MIN(1,W194))^2/(MAX(0,MIN(1,W194))^2+(1-MAX(0,MIN(1,W194)))^2/$B$5))))&lt;0.000000001,0,X194-$B$11/$B$9*((MAX(0,MIN(1,X194))^2/(MAX(0,MIN(1,X194))^2+(1-MAX(0,MIN(1,X194)))^2/$B$5))-(MAX(0,MIN(1,W194))^2/(MAX(0,MIN(1,W194))^2+(1-MAX(0,MIN(1,W194)))^2/$B$5))))</f>
        <v>0.876387501105131</v>
      </c>
      <c r="Y195" s="16" t="n">
        <f aca="false">IF(ABS(Y194-$B$11/$B$9*((MAX(0,MIN(1,Y194))^2/(MAX(0,MIN(1,Y194))^2+(1-MAX(0,MIN(1,Y194)))^2/$B$5))-(MAX(0,MIN(1,X194))^2/(MAX(0,MIN(1,X194))^2+(1-MAX(0,MIN(1,X194)))^2/$B$5))))&lt;0.000000001,0,Y194-$B$11/$B$9*((MAX(0,MIN(1,Y194))^2/(MAX(0,MIN(1,Y194))^2+(1-MAX(0,MIN(1,Y194)))^2/$B$5))-(MAX(0,MIN(1,X194))^2/(MAX(0,MIN(1,X194))^2+(1-MAX(0,MIN(1,X194)))^2/$B$5))))</f>
        <v>0.869646701866691</v>
      </c>
      <c r="Z195" s="16" t="n">
        <f aca="false">IF(ABS(Z194-$B$11/$B$9*((MAX(0,MIN(1,Z194))^2/(MAX(0,MIN(1,Z194))^2+(1-MAX(0,MIN(1,Z194)))^2/$B$5))-(MAX(0,MIN(1,Y194))^2/(MAX(0,MIN(1,Y194))^2+(1-MAX(0,MIN(1,Y194)))^2/$B$5))))&lt;0.000000001,0,Z194-$B$11/$B$9*((MAX(0,MIN(1,Z194))^2/(MAX(0,MIN(1,Z194))^2+(1-MAX(0,MIN(1,Z194)))^2/$B$5))-(MAX(0,MIN(1,Y194))^2/(MAX(0,MIN(1,Y194))^2+(1-MAX(0,MIN(1,Y194)))^2/$B$5))))</f>
        <v>0.863134826301228</v>
      </c>
      <c r="AA195" s="16" t="n">
        <f aca="false">IF(ABS(AA194-$B$11/$B$9*((MAX(0,MIN(1,AA194))^2/(MAX(0,MIN(1,AA194))^2+(1-MAX(0,MIN(1,AA194)))^2/$B$5))-(MAX(0,MIN(1,Z194))^2/(MAX(0,MIN(1,Z194))^2+(1-MAX(0,MIN(1,Z194)))^2/$B$5))))&lt;0.000000001,0,AA194-$B$11/$B$9*((MAX(0,MIN(1,AA194))^2/(MAX(0,MIN(1,AA194))^2+(1-MAX(0,MIN(1,AA194)))^2/$B$5))-(MAX(0,MIN(1,Z194))^2/(MAX(0,MIN(1,Z194))^2+(1-MAX(0,MIN(1,Z194)))^2/$B$5))))</f>
        <v>0.856834222543272</v>
      </c>
      <c r="AB195" s="16" t="n">
        <f aca="false">IF(ABS(AB194-$B$11/$B$9*((MAX(0,MIN(1,AB194))^2/(MAX(0,MIN(1,AB194))^2+(1-MAX(0,MIN(1,AB194)))^2/$B$5))-(MAX(0,MIN(1,AA194))^2/(MAX(0,MIN(1,AA194))^2+(1-MAX(0,MIN(1,AA194)))^2/$B$5))))&lt;0.000000001,0,AB194-$B$11/$B$9*((MAX(0,MIN(1,AB194))^2/(MAX(0,MIN(1,AB194))^2+(1-MAX(0,MIN(1,AB194)))^2/$B$5))-(MAX(0,MIN(1,AA194))^2/(MAX(0,MIN(1,AA194))^2+(1-MAX(0,MIN(1,AA194)))^2/$B$5))))</f>
        <v>0.850729333597937</v>
      </c>
      <c r="AC195" s="16" t="n">
        <f aca="false">IF(ABS(AC194-$B$11/$B$9*((MAX(0,MIN(1,AC194))^2/(MAX(0,MIN(1,AC194))^2+(1-MAX(0,MIN(1,AC194)))^2/$B$5))-(MAX(0,MIN(1,AB194))^2/(MAX(0,MIN(1,AB194))^2+(1-MAX(0,MIN(1,AB194)))^2/$B$5))))&lt;0.000000001,0,AC194-$B$11/$B$9*((MAX(0,MIN(1,AC194))^2/(MAX(0,MIN(1,AC194))^2+(1-MAX(0,MIN(1,AC194)))^2/$B$5))-(MAX(0,MIN(1,AB194))^2/(MAX(0,MIN(1,AB194))^2+(1-MAX(0,MIN(1,AB194)))^2/$B$5))))</f>
        <v>0.844806345869141</v>
      </c>
      <c r="AD195" s="16" t="n">
        <f aca="false">IF(ABS(AD194-$B$11/$B$9*((MAX(0,MIN(1,AD194))^2/(MAX(0,MIN(1,AD194))^2+(1-MAX(0,MIN(1,AD194)))^2/$B$5))-(MAX(0,MIN(1,AC194))^2/(MAX(0,MIN(1,AC194))^2+(1-MAX(0,MIN(1,AC194)))^2/$B$5))))&lt;0.000000001,0,AD194-$B$11/$B$9*((MAX(0,MIN(1,AD194))^2/(MAX(0,MIN(1,AD194))^2+(1-MAX(0,MIN(1,AD194)))^2/$B$5))-(MAX(0,MIN(1,AC194))^2/(MAX(0,MIN(1,AC194))^2+(1-MAX(0,MIN(1,AC194)))^2/$B$5))))</f>
        <v>0.839052914927862</v>
      </c>
      <c r="AE195" s="16" t="n">
        <f aca="false">IF(ABS(AE194-$B$11/$B$9*((MAX(0,MIN(1,AE194))^2/(MAX(0,MIN(1,AE194))^2+(1-MAX(0,MIN(1,AE194)))^2/$B$5))-(MAX(0,MIN(1,AD194))^2/(MAX(0,MIN(1,AD194))^2+(1-MAX(0,MIN(1,AD194)))^2/$B$5))))&lt;0.000000001,0,AE194-$B$11/$B$9*((MAX(0,MIN(1,AE194))^2/(MAX(0,MIN(1,AE194))^2+(1-MAX(0,MIN(1,AE194)))^2/$B$5))-(MAX(0,MIN(1,AD194))^2/(MAX(0,MIN(1,AD194))^2+(1-MAX(0,MIN(1,AD194)))^2/$B$5))))</f>
        <v>0.833457947563476</v>
      </c>
      <c r="AF195" s="16" t="n">
        <f aca="false">IF(ABS(AF194-$B$11/$B$9*((MAX(0,MIN(1,AF194))^2/(MAX(0,MIN(1,AF194))^2+(1-MAX(0,MIN(1,AF194)))^2/$B$5))-(MAX(0,MIN(1,AE194))^2/(MAX(0,MIN(1,AE194))^2+(1-MAX(0,MIN(1,AE194)))^2/$B$5))))&lt;0.000000001,0,AF194-$B$11/$B$9*((MAX(0,MIN(1,AF194))^2/(MAX(0,MIN(1,AF194))^2+(1-MAX(0,MIN(1,AF194)))^2/$B$5))-(MAX(0,MIN(1,AE194))^2/(MAX(0,MIN(1,AE194))^2+(1-MAX(0,MIN(1,AE194)))^2/$B$5))))</f>
        <v>0.828011425836518</v>
      </c>
    </row>
    <row r="196" customFormat="false" ht="15" hidden="false" customHeight="false" outlineLevel="0" collapsed="false">
      <c r="L196" s="0" t="n">
        <v>186</v>
      </c>
      <c r="M196" s="16" t="n">
        <f aca="false">IF(ABS(M195-$B$11/$B$9*((MAX(0,MIN(1,M195))^2/(MAX(0,MIN(1,M195))^2+(1-MAX(0,MIN(1,M195)))^2/$B$5))-(MAX(0,MIN(1,1))^2/(MAX(0,MIN(1,1))^2+(1-MAX(0,MIN(1,1)))^2/$B$5))))&lt;0.000000001,0,M195-$B$11/$B$9*((MAX(0,MIN(1,M195))^2/(MAX(0,MIN(1,M195))^2+(1-MAX(0,MIN(1,M195)))^2/$B$5))-(MAX(0,MIN(1,1))^2/(MAX(0,MIN(1,1))^2+(1-MAX(0,MIN(1,1)))^2/$B$5))))</f>
        <v>0.97710685123189</v>
      </c>
      <c r="N196" s="16" t="n">
        <f aca="false">IF(ABS(N195-$B$11/$B$9*((MAX(0,MIN(1,N195))^2/(MAX(0,MIN(1,N195))^2+(1-MAX(0,MIN(1,N195)))^2/$B$5))-(MAX(0,MIN(1,M195))^2/(MAX(0,MIN(1,M195))^2+(1-MAX(0,MIN(1,M195)))^2/$B$5))))&lt;0.000000001,0,N195-$B$11/$B$9*((MAX(0,MIN(1,N195))^2/(MAX(0,MIN(1,N195))^2+(1-MAX(0,MIN(1,N195)))^2/$B$5))-(MAX(0,MIN(1,M195))^2/(MAX(0,MIN(1,M195))^2+(1-MAX(0,MIN(1,M195)))^2/$B$5))))</f>
        <v>0.964086871663936</v>
      </c>
      <c r="O196" s="16" t="n">
        <f aca="false">IF(ABS(O195-$B$11/$B$9*((MAX(0,MIN(1,O195))^2/(MAX(0,MIN(1,O195))^2+(1-MAX(0,MIN(1,O195)))^2/$B$5))-(MAX(0,MIN(1,N195))^2/(MAX(0,MIN(1,N195))^2+(1-MAX(0,MIN(1,N195)))^2/$B$5))))&lt;0.000000001,0,O195-$B$11/$B$9*((MAX(0,MIN(1,O195))^2/(MAX(0,MIN(1,O195))^2+(1-MAX(0,MIN(1,O195)))^2/$B$5))-(MAX(0,MIN(1,N195))^2/(MAX(0,MIN(1,N195))^2+(1-MAX(0,MIN(1,N195)))^2/$B$5))))</f>
        <v>0.952678582441127</v>
      </c>
      <c r="P196" s="16" t="n">
        <f aca="false">IF(ABS(P195-$B$11/$B$9*((MAX(0,MIN(1,P195))^2/(MAX(0,MIN(1,P195))^2+(1-MAX(0,MIN(1,P195)))^2/$B$5))-(MAX(0,MIN(1,O195))^2/(MAX(0,MIN(1,O195))^2+(1-MAX(0,MIN(1,O195)))^2/$B$5))))&lt;0.000000001,0,P195-$B$11/$B$9*((MAX(0,MIN(1,P195))^2/(MAX(0,MIN(1,P195))^2+(1-MAX(0,MIN(1,P195)))^2/$B$5))-(MAX(0,MIN(1,O195))^2/(MAX(0,MIN(1,O195))^2+(1-MAX(0,MIN(1,O195)))^2/$B$5))))</f>
        <v>0.942240543502649</v>
      </c>
      <c r="Q196" s="16" t="n">
        <f aca="false">IF(ABS(Q195-$B$11/$B$9*((MAX(0,MIN(1,Q195))^2/(MAX(0,MIN(1,Q195))^2+(1-MAX(0,MIN(1,Q195)))^2/$B$5))-(MAX(0,MIN(1,P195))^2/(MAX(0,MIN(1,P195))^2+(1-MAX(0,MIN(1,P195)))^2/$B$5))))&lt;0.000000001,0,Q195-$B$11/$B$9*((MAX(0,MIN(1,Q195))^2/(MAX(0,MIN(1,Q195))^2+(1-MAX(0,MIN(1,Q195)))^2/$B$5))-(MAX(0,MIN(1,P195))^2/(MAX(0,MIN(1,P195))^2+(1-MAX(0,MIN(1,P195)))^2/$B$5))))</f>
        <v>0.932518598261455</v>
      </c>
      <c r="R196" s="16" t="n">
        <f aca="false">IF(ABS(R195-$B$11/$B$9*((MAX(0,MIN(1,R195))^2/(MAX(0,MIN(1,R195))^2+(1-MAX(0,MIN(1,R195)))^2/$B$5))-(MAX(0,MIN(1,Q195))^2/(MAX(0,MIN(1,Q195))^2+(1-MAX(0,MIN(1,Q195)))^2/$B$5))))&lt;0.000000001,0,R195-$B$11/$B$9*((MAX(0,MIN(1,R195))^2/(MAX(0,MIN(1,R195))^2+(1-MAX(0,MIN(1,R195)))^2/$B$5))-(MAX(0,MIN(1,Q195))^2/(MAX(0,MIN(1,Q195))^2+(1-MAX(0,MIN(1,Q195)))^2/$B$5))))</f>
        <v>0.923372859521239</v>
      </c>
      <c r="S196" s="16" t="n">
        <f aca="false">IF(ABS(S195-$B$11/$B$9*((MAX(0,MIN(1,S195))^2/(MAX(0,MIN(1,S195))^2+(1-MAX(0,MIN(1,S195)))^2/$B$5))-(MAX(0,MIN(1,R195))^2/(MAX(0,MIN(1,R195))^2+(1-MAX(0,MIN(1,R195)))^2/$B$5))))&lt;0.000000001,0,S195-$B$11/$B$9*((MAX(0,MIN(1,S195))^2/(MAX(0,MIN(1,S195))^2+(1-MAX(0,MIN(1,S195)))^2/$B$5))-(MAX(0,MIN(1,R195))^2/(MAX(0,MIN(1,R195))^2+(1-MAX(0,MIN(1,R195)))^2/$B$5))))</f>
        <v>0.914712413879665</v>
      </c>
      <c r="T196" s="16" t="n">
        <f aca="false">IF(ABS(T195-$B$11/$B$9*((MAX(0,MIN(1,T195))^2/(MAX(0,MIN(1,T195))^2+(1-MAX(0,MIN(1,T195)))^2/$B$5))-(MAX(0,MIN(1,S195))^2/(MAX(0,MIN(1,S195))^2+(1-MAX(0,MIN(1,S195)))^2/$B$5))))&lt;0.000000001,0,T195-$B$11/$B$9*((MAX(0,MIN(1,T195))^2/(MAX(0,MIN(1,T195))^2+(1-MAX(0,MIN(1,T195)))^2/$B$5))-(MAX(0,MIN(1,S195))^2/(MAX(0,MIN(1,S195))^2+(1-MAX(0,MIN(1,S195)))^2/$B$5))))</f>
        <v>0.906472097814431</v>
      </c>
      <c r="U196" s="16" t="n">
        <f aca="false">IF(ABS(U195-$B$11/$B$9*((MAX(0,MIN(1,U195))^2/(MAX(0,MIN(1,U195))^2+(1-MAX(0,MIN(1,U195)))^2/$B$5))-(MAX(0,MIN(1,T195))^2/(MAX(0,MIN(1,T195))^2+(1-MAX(0,MIN(1,T195)))^2/$B$5))))&lt;0.000000001,0,U195-$B$11/$B$9*((MAX(0,MIN(1,U195))^2/(MAX(0,MIN(1,U195))^2+(1-MAX(0,MIN(1,U195)))^2/$B$5))-(MAX(0,MIN(1,T195))^2/(MAX(0,MIN(1,T195))^2+(1-MAX(0,MIN(1,T195)))^2/$B$5))))</f>
        <v>0.898602189242671</v>
      </c>
      <c r="V196" s="16" t="n">
        <f aca="false">IF(ABS(V195-$B$11/$B$9*((MAX(0,MIN(1,V195))^2/(MAX(0,MIN(1,V195))^2+(1-MAX(0,MIN(1,V195)))^2/$B$5))-(MAX(0,MIN(1,U195))^2/(MAX(0,MIN(1,U195))^2+(1-MAX(0,MIN(1,U195)))^2/$B$5))))&lt;0.000000001,0,V195-$B$11/$B$9*((MAX(0,MIN(1,V195))^2/(MAX(0,MIN(1,V195))^2+(1-MAX(0,MIN(1,V195)))^2/$B$5))-(MAX(0,MIN(1,U195))^2/(MAX(0,MIN(1,U195))^2+(1-MAX(0,MIN(1,U195)))^2/$B$5))))</f>
        <v>0.891063108121599</v>
      </c>
      <c r="W196" s="16" t="n">
        <f aca="false">IF(ABS(W195-$B$11/$B$9*((MAX(0,MIN(1,W195))^2/(MAX(0,MIN(1,W195))^2+(1-MAX(0,MIN(1,W195)))^2/$B$5))-(MAX(0,MIN(1,V195))^2/(MAX(0,MIN(1,V195))^2+(1-MAX(0,MIN(1,V195)))^2/$B$5))))&lt;0.000000001,0,W195-$B$11/$B$9*((MAX(0,MIN(1,W195))^2/(MAX(0,MIN(1,W195))^2+(1-MAX(0,MIN(1,W195)))^2/$B$5))-(MAX(0,MIN(1,V195))^2/(MAX(0,MIN(1,V195))^2+(1-MAX(0,MIN(1,V195)))^2/$B$5))))</f>
        <v>0.883822388107265</v>
      </c>
      <c r="X196" s="16" t="n">
        <f aca="false">IF(ABS(X195-$B$11/$B$9*((MAX(0,MIN(1,X195))^2/(MAX(0,MIN(1,X195))^2+(1-MAX(0,MIN(1,X195)))^2/$B$5))-(MAX(0,MIN(1,W195))^2/(MAX(0,MIN(1,W195))^2+(1-MAX(0,MIN(1,W195)))^2/$B$5))))&lt;0.000000001,0,X195-$B$11/$B$9*((MAX(0,MIN(1,X195))^2/(MAX(0,MIN(1,X195))^2+(1-MAX(0,MIN(1,X195)))^2/$B$5))-(MAX(0,MIN(1,W195))^2/(MAX(0,MIN(1,W195))^2+(1-MAX(0,MIN(1,W195)))^2/$B$5))))</f>
        <v>0.876852802106318</v>
      </c>
      <c r="Y196" s="16" t="n">
        <f aca="false">IF(ABS(Y195-$B$11/$B$9*((MAX(0,MIN(1,Y195))^2/(MAX(0,MIN(1,Y195))^2+(1-MAX(0,MIN(1,Y195)))^2/$B$5))-(MAX(0,MIN(1,X195))^2/(MAX(0,MIN(1,X195))^2+(1-MAX(0,MIN(1,X195)))^2/$B$5))))&lt;0.000000001,0,Y195-$B$11/$B$9*((MAX(0,MIN(1,Y195))^2/(MAX(0,MIN(1,Y195))^2+(1-MAX(0,MIN(1,Y195)))^2/$B$5))-(MAX(0,MIN(1,X195))^2/(MAX(0,MIN(1,X195))^2+(1-MAX(0,MIN(1,X195)))^2/$B$5))))</f>
        <v>0.87013112774197</v>
      </c>
      <c r="Z196" s="16" t="n">
        <f aca="false">IF(ABS(Z195-$B$11/$B$9*((MAX(0,MIN(1,Z195))^2/(MAX(0,MIN(1,Z195))^2+(1-MAX(0,MIN(1,Z195)))^2/$B$5))-(MAX(0,MIN(1,Y195))^2/(MAX(0,MIN(1,Y195))^2+(1-MAX(0,MIN(1,Y195)))^2/$B$5))))&lt;0.000000001,0,Z195-$B$11/$B$9*((MAX(0,MIN(1,Z195))^2/(MAX(0,MIN(1,Z195))^2+(1-MAX(0,MIN(1,Z195)))^2/$B$5))-(MAX(0,MIN(1,Y195))^2/(MAX(0,MIN(1,Y195))^2+(1-MAX(0,MIN(1,Y195)))^2/$B$5))))</f>
        <v>0.863637293277316</v>
      </c>
      <c r="AA196" s="16" t="n">
        <f aca="false">IF(ABS(AA195-$B$11/$B$9*((MAX(0,MIN(1,AA195))^2/(MAX(0,MIN(1,AA195))^2+(1-MAX(0,MIN(1,AA195)))^2/$B$5))-(MAX(0,MIN(1,Z195))^2/(MAX(0,MIN(1,Z195))^2+(1-MAX(0,MIN(1,Z195)))^2/$B$5))))&lt;0.000000001,0,AA195-$B$11/$B$9*((MAX(0,MIN(1,AA195))^2/(MAX(0,MIN(1,AA195))^2+(1-MAX(0,MIN(1,AA195)))^2/$B$5))-(MAX(0,MIN(1,Z195))^2/(MAX(0,MIN(1,Z195))^2+(1-MAX(0,MIN(1,Z195)))^2/$B$5))))</f>
        <v>0.857353762910258</v>
      </c>
      <c r="AB196" s="16" t="n">
        <f aca="false">IF(ABS(AB195-$B$11/$B$9*((MAX(0,MIN(1,AB195))^2/(MAX(0,MIN(1,AB195))^2+(1-MAX(0,MIN(1,AB195)))^2/$B$5))-(MAX(0,MIN(1,AA195))^2/(MAX(0,MIN(1,AA195))^2+(1-MAX(0,MIN(1,AA195)))^2/$B$5))))&lt;0.000000001,0,AB195-$B$11/$B$9*((MAX(0,MIN(1,AB195))^2/(MAX(0,MIN(1,AB195))^2+(1-MAX(0,MIN(1,AB195)))^2/$B$5))-(MAX(0,MIN(1,AA195))^2/(MAX(0,MIN(1,AA195))^2+(1-MAX(0,MIN(1,AA195)))^2/$B$5))))</f>
        <v>0.851265079882067</v>
      </c>
      <c r="AC196" s="16" t="n">
        <f aca="false">IF(ABS(AC195-$B$11/$B$9*((MAX(0,MIN(1,AC195))^2/(MAX(0,MIN(1,AC195))^2+(1-MAX(0,MIN(1,AC195)))^2/$B$5))-(MAX(0,MIN(1,AB195))^2/(MAX(0,MIN(1,AB195))^2+(1-MAX(0,MIN(1,AB195)))^2/$B$5))))&lt;0.000000001,0,AC195-$B$11/$B$9*((MAX(0,MIN(1,AC195))^2/(MAX(0,MIN(1,AC195))^2+(1-MAX(0,MIN(1,AC195)))^2/$B$5))-(MAX(0,MIN(1,AB195))^2/(MAX(0,MIN(1,AB195))^2+(1-MAX(0,MIN(1,AB195)))^2/$B$5))))</f>
        <v>0.845357517773792</v>
      </c>
      <c r="AD196" s="16" t="n">
        <f aca="false">IF(ABS(AD195-$B$11/$B$9*((MAX(0,MIN(1,AD195))^2/(MAX(0,MIN(1,AD195))^2+(1-MAX(0,MIN(1,AD195)))^2/$B$5))-(MAX(0,MIN(1,AC195))^2/(MAX(0,MIN(1,AC195))^2+(1-MAX(0,MIN(1,AC195)))^2/$B$5))))&lt;0.000000001,0,AD195-$B$11/$B$9*((MAX(0,MIN(1,AD195))^2/(MAX(0,MIN(1,AD195))^2+(1-MAX(0,MIN(1,AD195)))^2/$B$5))-(MAX(0,MIN(1,AC195))^2/(MAX(0,MIN(1,AC195))^2+(1-MAX(0,MIN(1,AC195)))^2/$B$5))))</f>
        <v>0.839618808451628</v>
      </c>
      <c r="AE196" s="16" t="n">
        <f aca="false">IF(ABS(AE195-$B$11/$B$9*((MAX(0,MIN(1,AE195))^2/(MAX(0,MIN(1,AE195))^2+(1-MAX(0,MIN(1,AE195)))^2/$B$5))-(MAX(0,MIN(1,AD195))^2/(MAX(0,MIN(1,AD195))^2+(1-MAX(0,MIN(1,AD195)))^2/$B$5))))&lt;0.000000001,0,AE195-$B$11/$B$9*((MAX(0,MIN(1,AE195))^2/(MAX(0,MIN(1,AE195))^2+(1-MAX(0,MIN(1,AE195)))^2/$B$5))-(MAX(0,MIN(1,AD195))^2/(MAX(0,MIN(1,AD195))^2+(1-MAX(0,MIN(1,AD195)))^2/$B$5))))</f>
        <v>0.834037925855009</v>
      </c>
      <c r="AF196" s="16" t="n">
        <f aca="false">IF(ABS(AF195-$B$11/$B$9*((MAX(0,MIN(1,AF195))^2/(MAX(0,MIN(1,AF195))^2+(1-MAX(0,MIN(1,AF195)))^2/$B$5))-(MAX(0,MIN(1,AE195))^2/(MAX(0,MIN(1,AE195))^2+(1-MAX(0,MIN(1,AE195)))^2/$B$5))))&lt;0.000000001,0,AF195-$B$11/$B$9*((MAX(0,MIN(1,AF195))^2/(MAX(0,MIN(1,AF195))^2+(1-MAX(0,MIN(1,AF195)))^2/$B$5))-(MAX(0,MIN(1,AE195))^2/(MAX(0,MIN(1,AE195))^2+(1-MAX(0,MIN(1,AE195)))^2/$B$5))))</f>
        <v>0.828604911451788</v>
      </c>
    </row>
    <row r="197" customFormat="false" ht="15" hidden="false" customHeight="false" outlineLevel="0" collapsed="false">
      <c r="L197" s="0" t="n">
        <v>187</v>
      </c>
      <c r="M197" s="16" t="n">
        <f aca="false">IF(ABS(M196-$B$11/$B$9*((MAX(0,MIN(1,M196))^2/(MAX(0,MIN(1,M196))^2+(1-MAX(0,MIN(1,M196)))^2/$B$5))-(MAX(0,MIN(1,1))^2/(MAX(0,MIN(1,1))^2+(1-MAX(0,MIN(1,1)))^2/$B$5))))&lt;0.000000001,0,M196-$B$11/$B$9*((MAX(0,MIN(1,M196))^2/(MAX(0,MIN(1,M196))^2+(1-MAX(0,MIN(1,M196)))^2/$B$5))-(MAX(0,MIN(1,1))^2/(MAX(0,MIN(1,1))^2+(1-MAX(0,MIN(1,1)))^2/$B$5))))</f>
        <v>0.977212365102738</v>
      </c>
      <c r="N197" s="16" t="n">
        <f aca="false">IF(ABS(N196-$B$11/$B$9*((MAX(0,MIN(1,N196))^2/(MAX(0,MIN(1,N196))^2+(1-MAX(0,MIN(1,N196)))^2/$B$5))-(MAX(0,MIN(1,M196))^2/(MAX(0,MIN(1,M196))^2+(1-MAX(0,MIN(1,M196)))^2/$B$5))))&lt;0.000000001,0,N196-$B$11/$B$9*((MAX(0,MIN(1,N196))^2/(MAX(0,MIN(1,N196))^2+(1-MAX(0,MIN(1,N196)))^2/$B$5))-(MAX(0,MIN(1,M196))^2/(MAX(0,MIN(1,M196))^2+(1-MAX(0,MIN(1,M196)))^2/$B$5))))</f>
        <v>0.964247966739036</v>
      </c>
      <c r="O197" s="16" t="n">
        <f aca="false">IF(ABS(O196-$B$11/$B$9*((MAX(0,MIN(1,O196))^2/(MAX(0,MIN(1,O196))^2+(1-MAX(0,MIN(1,O196)))^2/$B$5))-(MAX(0,MIN(1,N196))^2/(MAX(0,MIN(1,N196))^2+(1-MAX(0,MIN(1,N196)))^2/$B$5))))&lt;0.000000001,0,O196-$B$11/$B$9*((MAX(0,MIN(1,O196))^2/(MAX(0,MIN(1,O196))^2+(1-MAX(0,MIN(1,O196)))^2/$B$5))-(MAX(0,MIN(1,N196))^2/(MAX(0,MIN(1,N196))^2+(1-MAX(0,MIN(1,N196)))^2/$B$5))))</f>
        <v>0.952885766938946</v>
      </c>
      <c r="P197" s="16" t="n">
        <f aca="false">IF(ABS(P196-$B$11/$B$9*((MAX(0,MIN(1,P196))^2/(MAX(0,MIN(1,P196))^2+(1-MAX(0,MIN(1,P196)))^2/$B$5))-(MAX(0,MIN(1,O196))^2/(MAX(0,MIN(1,O196))^2+(1-MAX(0,MIN(1,O196)))^2/$B$5))))&lt;0.000000001,0,P196-$B$11/$B$9*((MAX(0,MIN(1,P196))^2/(MAX(0,MIN(1,P196))^2+(1-MAX(0,MIN(1,P196)))^2/$B$5))-(MAX(0,MIN(1,O196))^2/(MAX(0,MIN(1,O196))^2+(1-MAX(0,MIN(1,O196)))^2/$B$5))))</f>
        <v>0.942487872827442</v>
      </c>
      <c r="Q197" s="16" t="n">
        <f aca="false">IF(ABS(Q196-$B$11/$B$9*((MAX(0,MIN(1,Q196))^2/(MAX(0,MIN(1,Q196))^2+(1-MAX(0,MIN(1,Q196)))^2/$B$5))-(MAX(0,MIN(1,P196))^2/(MAX(0,MIN(1,P196))^2+(1-MAX(0,MIN(1,P196)))^2/$B$5))))&lt;0.000000001,0,Q196-$B$11/$B$9*((MAX(0,MIN(1,Q196))^2/(MAX(0,MIN(1,Q196))^2+(1-MAX(0,MIN(1,Q196)))^2/$B$5))-(MAX(0,MIN(1,P196))^2/(MAX(0,MIN(1,P196))^2+(1-MAX(0,MIN(1,P196)))^2/$B$5))))</f>
        <v>0.932801673478323</v>
      </c>
      <c r="R197" s="16" t="n">
        <f aca="false">IF(ABS(R196-$B$11/$B$9*((MAX(0,MIN(1,R196))^2/(MAX(0,MIN(1,R196))^2+(1-MAX(0,MIN(1,R196)))^2/$B$5))-(MAX(0,MIN(1,Q196))^2/(MAX(0,MIN(1,Q196))^2+(1-MAX(0,MIN(1,Q196)))^2/$B$5))))&lt;0.000000001,0,R196-$B$11/$B$9*((MAX(0,MIN(1,R196))^2/(MAX(0,MIN(1,R196))^2+(1-MAX(0,MIN(1,R196)))^2/$B$5))-(MAX(0,MIN(1,Q196))^2/(MAX(0,MIN(1,Q196))^2+(1-MAX(0,MIN(1,Q196)))^2/$B$5))))</f>
        <v>0.923688193654096</v>
      </c>
      <c r="S197" s="16" t="n">
        <f aca="false">IF(ABS(S196-$B$11/$B$9*((MAX(0,MIN(1,S196))^2/(MAX(0,MIN(1,S196))^2+(1-MAX(0,MIN(1,S196)))^2/$B$5))-(MAX(0,MIN(1,R196))^2/(MAX(0,MIN(1,R196))^2+(1-MAX(0,MIN(1,R196)))^2/$B$5))))&lt;0.000000001,0,S196-$B$11/$B$9*((MAX(0,MIN(1,S196))^2/(MAX(0,MIN(1,S196))^2+(1-MAX(0,MIN(1,S196)))^2/$B$5))-(MAX(0,MIN(1,R196))^2/(MAX(0,MIN(1,R196))^2+(1-MAX(0,MIN(1,R196)))^2/$B$5))))</f>
        <v>0.915057139494662</v>
      </c>
      <c r="T197" s="16" t="n">
        <f aca="false">IF(ABS(T196-$B$11/$B$9*((MAX(0,MIN(1,T196))^2/(MAX(0,MIN(1,T196))^2+(1-MAX(0,MIN(1,T196)))^2/$B$5))-(MAX(0,MIN(1,S196))^2/(MAX(0,MIN(1,S196))^2+(1-MAX(0,MIN(1,S196)))^2/$B$5))))&lt;0.000000001,0,T196-$B$11/$B$9*((MAX(0,MIN(1,T196))^2/(MAX(0,MIN(1,T196))^2+(1-MAX(0,MIN(1,T196)))^2/$B$5))-(MAX(0,MIN(1,S196))^2/(MAX(0,MIN(1,S196))^2+(1-MAX(0,MIN(1,S196)))^2/$B$5))))</f>
        <v>0.906843802476199</v>
      </c>
      <c r="U197" s="16" t="n">
        <f aca="false">IF(ABS(U196-$B$11/$B$9*((MAX(0,MIN(1,U196))^2/(MAX(0,MIN(1,U196))^2+(1-MAX(0,MIN(1,U196)))^2/$B$5))-(MAX(0,MIN(1,T196))^2/(MAX(0,MIN(1,T196))^2+(1-MAX(0,MIN(1,T196)))^2/$B$5))))&lt;0.000000001,0,U196-$B$11/$B$9*((MAX(0,MIN(1,U196))^2/(MAX(0,MIN(1,U196))^2+(1-MAX(0,MIN(1,U196)))^2/$B$5))-(MAX(0,MIN(1,T196))^2/(MAX(0,MIN(1,T196))^2+(1-MAX(0,MIN(1,T196)))^2/$B$5))))</f>
        <v>0.898998811101799</v>
      </c>
      <c r="V197" s="16" t="n">
        <f aca="false">IF(ABS(V196-$B$11/$B$9*((MAX(0,MIN(1,V196))^2/(MAX(0,MIN(1,V196))^2+(1-MAX(0,MIN(1,V196)))^2/$B$5))-(MAX(0,MIN(1,U196))^2/(MAX(0,MIN(1,U196))^2+(1-MAX(0,MIN(1,U196)))^2/$B$5))))&lt;0.000000001,0,V196-$B$11/$B$9*((MAX(0,MIN(1,V196))^2/(MAX(0,MIN(1,V196))^2+(1-MAX(0,MIN(1,V196)))^2/$B$5))-(MAX(0,MIN(1,U196))^2/(MAX(0,MIN(1,U196))^2+(1-MAX(0,MIN(1,U196)))^2/$B$5))))</f>
        <v>0.891482864275224</v>
      </c>
      <c r="W197" s="16" t="n">
        <f aca="false">IF(ABS(W196-$B$11/$B$9*((MAX(0,MIN(1,W196))^2/(MAX(0,MIN(1,W196))^2+(1-MAX(0,MIN(1,W196)))^2/$B$5))-(MAX(0,MIN(1,V196))^2/(MAX(0,MIN(1,V196))^2+(1-MAX(0,MIN(1,V196)))^2/$B$5))))&lt;0.000000001,0,W196-$B$11/$B$9*((MAX(0,MIN(1,W196))^2/(MAX(0,MIN(1,W196))^2+(1-MAX(0,MIN(1,W196)))^2/$B$5))-(MAX(0,MIN(1,V196))^2/(MAX(0,MIN(1,V196))^2+(1-MAX(0,MIN(1,V196)))^2/$B$5))))</f>
        <v>0.884263722747388</v>
      </c>
      <c r="X197" s="16" t="n">
        <f aca="false">IF(ABS(X196-$B$11/$B$9*((MAX(0,MIN(1,X196))^2/(MAX(0,MIN(1,X196))^2+(1-MAX(0,MIN(1,X196)))^2/$B$5))-(MAX(0,MIN(1,W196))^2/(MAX(0,MIN(1,W196))^2+(1-MAX(0,MIN(1,W196)))^2/$B$5))))&lt;0.000000001,0,X196-$B$11/$B$9*((MAX(0,MIN(1,X196))^2/(MAX(0,MIN(1,X196))^2+(1-MAX(0,MIN(1,X196)))^2/$B$5))-(MAX(0,MIN(1,W196))^2/(MAX(0,MIN(1,W196))^2+(1-MAX(0,MIN(1,W196)))^2/$B$5))))</f>
        <v>0.877314347529455</v>
      </c>
      <c r="Y197" s="16" t="n">
        <f aca="false">IF(ABS(Y196-$B$11/$B$9*((MAX(0,MIN(1,Y196))^2/(MAX(0,MIN(1,Y196))^2+(1-MAX(0,MIN(1,Y196)))^2/$B$5))-(MAX(0,MIN(1,X196))^2/(MAX(0,MIN(1,X196))^2+(1-MAX(0,MIN(1,X196)))^2/$B$5))))&lt;0.000000001,0,Y196-$B$11/$B$9*((MAX(0,MIN(1,Y196))^2/(MAX(0,MIN(1,Y196))^2+(1-MAX(0,MIN(1,Y196)))^2/$B$5))-(MAX(0,MIN(1,X196))^2/(MAX(0,MIN(1,X196))^2+(1-MAX(0,MIN(1,X196)))^2/$B$5))))</f>
        <v>0.870611674186848</v>
      </c>
      <c r="Z197" s="16" t="n">
        <f aca="false">IF(ABS(Z196-$B$11/$B$9*((MAX(0,MIN(1,Z196))^2/(MAX(0,MIN(1,Z196))^2+(1-MAX(0,MIN(1,Z196)))^2/$B$5))-(MAX(0,MIN(1,Y196))^2/(MAX(0,MIN(1,Y196))^2+(1-MAX(0,MIN(1,Y196)))^2/$B$5))))&lt;0.000000001,0,Z196-$B$11/$B$9*((MAX(0,MIN(1,Z196))^2/(MAX(0,MIN(1,Z196))^2+(1-MAX(0,MIN(1,Z196)))^2/$B$5))-(MAX(0,MIN(1,Y196))^2/(MAX(0,MIN(1,Y196))^2+(1-MAX(0,MIN(1,Y196)))^2/$B$5))))</f>
        <v>0.86413576507788</v>
      </c>
      <c r="AA197" s="16" t="n">
        <f aca="false">IF(ABS(AA196-$B$11/$B$9*((MAX(0,MIN(1,AA196))^2/(MAX(0,MIN(1,AA196))^2+(1-MAX(0,MIN(1,AA196)))^2/$B$5))-(MAX(0,MIN(1,Z196))^2/(MAX(0,MIN(1,Z196))^2+(1-MAX(0,MIN(1,Z196)))^2/$B$5))))&lt;0.000000001,0,AA196-$B$11/$B$9*((MAX(0,MIN(1,AA196))^2/(MAX(0,MIN(1,AA196))^2+(1-MAX(0,MIN(1,AA196)))^2/$B$5))-(MAX(0,MIN(1,Z196))^2/(MAX(0,MIN(1,Z196))^2+(1-MAX(0,MIN(1,Z196)))^2/$B$5))))</f>
        <v>0.857869199313603</v>
      </c>
      <c r="AB197" s="16" t="n">
        <f aca="false">IF(ABS(AB196-$B$11/$B$9*((MAX(0,MIN(1,AB196))^2/(MAX(0,MIN(1,AB196))^2+(1-MAX(0,MIN(1,AB196)))^2/$B$5))-(MAX(0,MIN(1,AA196))^2/(MAX(0,MIN(1,AA196))^2+(1-MAX(0,MIN(1,AA196)))^2/$B$5))))&lt;0.000000001,0,AB196-$B$11/$B$9*((MAX(0,MIN(1,AB196))^2/(MAX(0,MIN(1,AB196))^2+(1-MAX(0,MIN(1,AB196)))^2/$B$5))-(MAX(0,MIN(1,AA196))^2/(MAX(0,MIN(1,AA196))^2+(1-MAX(0,MIN(1,AA196)))^2/$B$5))))</f>
        <v>0.851796619400798</v>
      </c>
      <c r="AC197" s="16" t="n">
        <f aca="false">IF(ABS(AC196-$B$11/$B$9*((MAX(0,MIN(1,AC196))^2/(MAX(0,MIN(1,AC196))^2+(1-MAX(0,MIN(1,AC196)))^2/$B$5))-(MAX(0,MIN(1,AB196))^2/(MAX(0,MIN(1,AB196))^2+(1-MAX(0,MIN(1,AB196)))^2/$B$5))))&lt;0.000000001,0,AC196-$B$11/$B$9*((MAX(0,MIN(1,AC196))^2/(MAX(0,MIN(1,AC196))^2+(1-MAX(0,MIN(1,AC196)))^2/$B$5))-(MAX(0,MIN(1,AB196))^2/(MAX(0,MIN(1,AB196))^2+(1-MAX(0,MIN(1,AB196)))^2/$B$5))))</f>
        <v>0.845904385271884</v>
      </c>
      <c r="AD197" s="16" t="n">
        <f aca="false">IF(ABS(AD196-$B$11/$B$9*((MAX(0,MIN(1,AD196))^2/(MAX(0,MIN(1,AD196))^2+(1-MAX(0,MIN(1,AD196)))^2/$B$5))-(MAX(0,MIN(1,AC196))^2/(MAX(0,MIN(1,AC196))^2+(1-MAX(0,MIN(1,AC196)))^2/$B$5))))&lt;0.000000001,0,AD196-$B$11/$B$9*((MAX(0,MIN(1,AD196))^2/(MAX(0,MIN(1,AD196))^2+(1-MAX(0,MIN(1,AD196)))^2/$B$5))-(MAX(0,MIN(1,AC196))^2/(MAX(0,MIN(1,AC196))^2+(1-MAX(0,MIN(1,AC196)))^2/$B$5))))</f>
        <v>0.840180304380456</v>
      </c>
      <c r="AE197" s="16" t="n">
        <f aca="false">IF(ABS(AE196-$B$11/$B$9*((MAX(0,MIN(1,AE196))^2/(MAX(0,MIN(1,AE196))^2+(1-MAX(0,MIN(1,AE196)))^2/$B$5))-(MAX(0,MIN(1,AD196))^2/(MAX(0,MIN(1,AD196))^2+(1-MAX(0,MIN(1,AD196)))^2/$B$5))))&lt;0.000000001,0,AE196-$B$11/$B$9*((MAX(0,MIN(1,AE196))^2/(MAX(0,MIN(1,AE196))^2+(1-MAX(0,MIN(1,AE196)))^2/$B$5))-(MAX(0,MIN(1,AD196))^2/(MAX(0,MIN(1,AD196))^2+(1-MAX(0,MIN(1,AD196)))^2/$B$5))))</f>
        <v>0.834613417204973</v>
      </c>
      <c r="AF197" s="16" t="n">
        <f aca="false">IF(ABS(AF196-$B$11/$B$9*((MAX(0,MIN(1,AF196))^2/(MAX(0,MIN(1,AF196))^2+(1-MAX(0,MIN(1,AF196)))^2/$B$5))-(MAX(0,MIN(1,AE196))^2/(MAX(0,MIN(1,AE196))^2+(1-MAX(0,MIN(1,AE196)))^2/$B$5))))&lt;0.000000001,0,AF196-$B$11/$B$9*((MAX(0,MIN(1,AF196))^2/(MAX(0,MIN(1,AF196))^2+(1-MAX(0,MIN(1,AF196)))^2/$B$5))-(MAX(0,MIN(1,AE196))^2/(MAX(0,MIN(1,AE196))^2+(1-MAX(0,MIN(1,AE196)))^2/$B$5))))</f>
        <v>0.829193824089517</v>
      </c>
    </row>
    <row r="198" customFormat="false" ht="15" hidden="false" customHeight="false" outlineLevel="0" collapsed="false">
      <c r="L198" s="0" t="n">
        <v>188</v>
      </c>
      <c r="M198" s="16" t="n">
        <f aca="false">IF(ABS(M197-$B$11/$B$9*((MAX(0,MIN(1,M197))^2/(MAX(0,MIN(1,M197))^2+(1-MAX(0,MIN(1,M197)))^2/$B$5))-(MAX(0,MIN(1,1))^2/(MAX(0,MIN(1,1))^2+(1-MAX(0,MIN(1,1)))^2/$B$5))))&lt;0.000000001,0,M197-$B$11/$B$9*((MAX(0,MIN(1,M197))^2/(MAX(0,MIN(1,M197))^2+(1-MAX(0,MIN(1,M197)))^2/$B$5))-(MAX(0,MIN(1,1))^2/(MAX(0,MIN(1,1))^2+(1-MAX(0,MIN(1,1)))^2/$B$5))))</f>
        <v>0.97731688628921</v>
      </c>
      <c r="N198" s="16" t="n">
        <f aca="false">IF(ABS(N197-$B$11/$B$9*((MAX(0,MIN(1,N197))^2/(MAX(0,MIN(1,N197))^2+(1-MAX(0,MIN(1,N197)))^2/$B$5))-(MAX(0,MIN(1,M197))^2/(MAX(0,MIN(1,M197))^2+(1-MAX(0,MIN(1,M197)))^2/$B$5))))&lt;0.000000001,0,N197-$B$11/$B$9*((MAX(0,MIN(1,N197))^2/(MAX(0,MIN(1,N197))^2+(1-MAX(0,MIN(1,N197)))^2/$B$5))-(MAX(0,MIN(1,M197))^2/(MAX(0,MIN(1,M197))^2+(1-MAX(0,MIN(1,M197)))^2/$B$5))))</f>
        <v>0.964407581435167</v>
      </c>
      <c r="O198" s="16" t="n">
        <f aca="false">IF(ABS(O197-$B$11/$B$9*((MAX(0,MIN(1,O197))^2/(MAX(0,MIN(1,O197))^2+(1-MAX(0,MIN(1,O197)))^2/$B$5))-(MAX(0,MIN(1,N197))^2/(MAX(0,MIN(1,N197))^2+(1-MAX(0,MIN(1,N197)))^2/$B$5))))&lt;0.000000001,0,O197-$B$11/$B$9*((MAX(0,MIN(1,O197))^2/(MAX(0,MIN(1,O197))^2+(1-MAX(0,MIN(1,O197)))^2/$B$5))-(MAX(0,MIN(1,N197))^2/(MAX(0,MIN(1,N197))^2+(1-MAX(0,MIN(1,N197)))^2/$B$5))))</f>
        <v>0.953091085913175</v>
      </c>
      <c r="P198" s="16" t="n">
        <f aca="false">IF(ABS(P197-$B$11/$B$9*((MAX(0,MIN(1,P197))^2/(MAX(0,MIN(1,P197))^2+(1-MAX(0,MIN(1,P197)))^2/$B$5))-(MAX(0,MIN(1,O197))^2/(MAX(0,MIN(1,O197))^2+(1-MAX(0,MIN(1,O197)))^2/$B$5))))&lt;0.000000001,0,P197-$B$11/$B$9*((MAX(0,MIN(1,P197))^2/(MAX(0,MIN(1,P197))^2+(1-MAX(0,MIN(1,P197)))^2/$B$5))-(MAX(0,MIN(1,O197))^2/(MAX(0,MIN(1,O197))^2+(1-MAX(0,MIN(1,O197)))^2/$B$5))))</f>
        <v>0.942733015139581</v>
      </c>
      <c r="Q198" s="16" t="n">
        <f aca="false">IF(ABS(Q197-$B$11/$B$9*((MAX(0,MIN(1,Q197))^2/(MAX(0,MIN(1,Q197))^2+(1-MAX(0,MIN(1,Q197)))^2/$B$5))-(MAX(0,MIN(1,P197))^2/(MAX(0,MIN(1,P197))^2+(1-MAX(0,MIN(1,P197)))^2/$B$5))))&lt;0.000000001,0,Q197-$B$11/$B$9*((MAX(0,MIN(1,Q197))^2/(MAX(0,MIN(1,Q197))^2+(1-MAX(0,MIN(1,Q197)))^2/$B$5))-(MAX(0,MIN(1,P197))^2/(MAX(0,MIN(1,P197))^2+(1-MAX(0,MIN(1,P197)))^2/$B$5))))</f>
        <v>0.933082286054036</v>
      </c>
      <c r="R198" s="16" t="n">
        <f aca="false">IF(ABS(R197-$B$11/$B$9*((MAX(0,MIN(1,R197))^2/(MAX(0,MIN(1,R197))^2+(1-MAX(0,MIN(1,R197)))^2/$B$5))-(MAX(0,MIN(1,Q197))^2/(MAX(0,MIN(1,Q197))^2+(1-MAX(0,MIN(1,Q197)))^2/$B$5))))&lt;0.000000001,0,R197-$B$11/$B$9*((MAX(0,MIN(1,R197))^2/(MAX(0,MIN(1,R197))^2+(1-MAX(0,MIN(1,R197)))^2/$B$5))-(MAX(0,MIN(1,Q197))^2/(MAX(0,MIN(1,Q197))^2+(1-MAX(0,MIN(1,Q197)))^2/$B$5))))</f>
        <v>0.924000824673459</v>
      </c>
      <c r="S198" s="16" t="n">
        <f aca="false">IF(ABS(S197-$B$11/$B$9*((MAX(0,MIN(1,S197))^2/(MAX(0,MIN(1,S197))^2+(1-MAX(0,MIN(1,S197)))^2/$B$5))-(MAX(0,MIN(1,R197))^2/(MAX(0,MIN(1,R197))^2+(1-MAX(0,MIN(1,R197)))^2/$B$5))))&lt;0.000000001,0,S197-$B$11/$B$9*((MAX(0,MIN(1,S197))^2/(MAX(0,MIN(1,S197))^2+(1-MAX(0,MIN(1,S197)))^2/$B$5))-(MAX(0,MIN(1,R197))^2/(MAX(0,MIN(1,R197))^2+(1-MAX(0,MIN(1,R197)))^2/$B$5))))</f>
        <v>0.915398949406786</v>
      </c>
      <c r="T198" s="16" t="n">
        <f aca="false">IF(ABS(T197-$B$11/$B$9*((MAX(0,MIN(1,T197))^2/(MAX(0,MIN(1,T197))^2+(1-MAX(0,MIN(1,T197)))^2/$B$5))-(MAX(0,MIN(1,S197))^2/(MAX(0,MIN(1,S197))^2+(1-MAX(0,MIN(1,S197)))^2/$B$5))))&lt;0.000000001,0,T197-$B$11/$B$9*((MAX(0,MIN(1,T197))^2/(MAX(0,MIN(1,T197))^2+(1-MAX(0,MIN(1,T197)))^2/$B$5))-(MAX(0,MIN(1,S197))^2/(MAX(0,MIN(1,S197))^2+(1-MAX(0,MIN(1,S197)))^2/$B$5))))</f>
        <v>0.90721240144736</v>
      </c>
      <c r="U198" s="16" t="n">
        <f aca="false">IF(ABS(U197-$B$11/$B$9*((MAX(0,MIN(1,U197))^2/(MAX(0,MIN(1,U197))^2+(1-MAX(0,MIN(1,U197)))^2/$B$5))-(MAX(0,MIN(1,T197))^2/(MAX(0,MIN(1,T197))^2+(1-MAX(0,MIN(1,T197)))^2/$B$5))))&lt;0.000000001,0,U197-$B$11/$B$9*((MAX(0,MIN(1,U197))^2/(MAX(0,MIN(1,U197))^2+(1-MAX(0,MIN(1,U197)))^2/$B$5))-(MAX(0,MIN(1,T197))^2/(MAX(0,MIN(1,T197))^2+(1-MAX(0,MIN(1,T197)))^2/$B$5))))</f>
        <v>0.899392155887428</v>
      </c>
      <c r="V198" s="16" t="n">
        <f aca="false">IF(ABS(V197-$B$11/$B$9*((MAX(0,MIN(1,V197))^2/(MAX(0,MIN(1,V197))^2+(1-MAX(0,MIN(1,V197)))^2/$B$5))-(MAX(0,MIN(1,U197))^2/(MAX(0,MIN(1,U197))^2+(1-MAX(0,MIN(1,U197)))^2/$B$5))))&lt;0.000000001,0,V197-$B$11/$B$9*((MAX(0,MIN(1,V197))^2/(MAX(0,MIN(1,V197))^2+(1-MAX(0,MIN(1,V197)))^2/$B$5))-(MAX(0,MIN(1,U197))^2/(MAX(0,MIN(1,U197))^2+(1-MAX(0,MIN(1,U197)))^2/$B$5))))</f>
        <v>0.891899187465631</v>
      </c>
      <c r="W198" s="16" t="n">
        <f aca="false">IF(ABS(W197-$B$11/$B$9*((MAX(0,MIN(1,W197))^2/(MAX(0,MIN(1,W197))^2+(1-MAX(0,MIN(1,W197)))^2/$B$5))-(MAX(0,MIN(1,V197))^2/(MAX(0,MIN(1,V197))^2+(1-MAX(0,MIN(1,V197)))^2/$B$5))))&lt;0.000000001,0,W197-$B$11/$B$9*((MAX(0,MIN(1,W197))^2/(MAX(0,MIN(1,W197))^2+(1-MAX(0,MIN(1,W197)))^2/$B$5))-(MAX(0,MIN(1,V197))^2/(MAX(0,MIN(1,V197))^2+(1-MAX(0,MIN(1,V197)))^2/$B$5))))</f>
        <v>0.884701481553924</v>
      </c>
      <c r="X198" s="16" t="n">
        <f aca="false">IF(ABS(X197-$B$11/$B$9*((MAX(0,MIN(1,X197))^2/(MAX(0,MIN(1,X197))^2+(1-MAX(0,MIN(1,X197)))^2/$B$5))-(MAX(0,MIN(1,W197))^2/(MAX(0,MIN(1,W197))^2+(1-MAX(0,MIN(1,W197)))^2/$B$5))))&lt;0.000000001,0,X197-$B$11/$B$9*((MAX(0,MIN(1,X197))^2/(MAX(0,MIN(1,X197))^2+(1-MAX(0,MIN(1,X197)))^2/$B$5))-(MAX(0,MIN(1,W197))^2/(MAX(0,MIN(1,W197))^2+(1-MAX(0,MIN(1,W197)))^2/$B$5))))</f>
        <v>0.877772185268794</v>
      </c>
      <c r="Y198" s="16" t="n">
        <f aca="false">IF(ABS(Y197-$B$11/$B$9*((MAX(0,MIN(1,Y197))^2/(MAX(0,MIN(1,Y197))^2+(1-MAX(0,MIN(1,Y197)))^2/$B$5))-(MAX(0,MIN(1,X197))^2/(MAX(0,MIN(1,X197))^2+(1-MAX(0,MIN(1,X197)))^2/$B$5))))&lt;0.000000001,0,Y197-$B$11/$B$9*((MAX(0,MIN(1,Y197))^2/(MAX(0,MIN(1,Y197))^2+(1-MAX(0,MIN(1,Y197)))^2/$B$5))-(MAX(0,MIN(1,X197))^2/(MAX(0,MIN(1,X197))^2+(1-MAX(0,MIN(1,X197)))^2/$B$5))))</f>
        <v>0.871088390480454</v>
      </c>
      <c r="Z198" s="16" t="n">
        <f aca="false">IF(ABS(Z197-$B$11/$B$9*((MAX(0,MIN(1,Z197))^2/(MAX(0,MIN(1,Z197))^2+(1-MAX(0,MIN(1,Z197)))^2/$B$5))-(MAX(0,MIN(1,Y197))^2/(MAX(0,MIN(1,Y197))^2+(1-MAX(0,MIN(1,Y197)))^2/$B$5))))&lt;0.000000001,0,Z197-$B$11/$B$9*((MAX(0,MIN(1,Z197))^2/(MAX(0,MIN(1,Z197))^2+(1-MAX(0,MIN(1,Z197)))^2/$B$5))-(MAX(0,MIN(1,Y197))^2/(MAX(0,MIN(1,Y197))^2+(1-MAX(0,MIN(1,Y197)))^2/$B$5))))</f>
        <v>0.864630292286011</v>
      </c>
      <c r="AA198" s="16" t="n">
        <f aca="false">IF(ABS(AA197-$B$11/$B$9*((MAX(0,MIN(1,AA197))^2/(MAX(0,MIN(1,AA197))^2+(1-MAX(0,MIN(1,AA197)))^2/$B$5))-(MAX(0,MIN(1,Z197))^2/(MAX(0,MIN(1,Z197))^2+(1-MAX(0,MIN(1,Z197)))^2/$B$5))))&lt;0.000000001,0,AA197-$B$11/$B$9*((MAX(0,MIN(1,AA197))^2/(MAX(0,MIN(1,AA197))^2+(1-MAX(0,MIN(1,AA197)))^2/$B$5))-(MAX(0,MIN(1,Z197))^2/(MAX(0,MIN(1,Z197))^2+(1-MAX(0,MIN(1,Z197)))^2/$B$5))))</f>
        <v>0.858380583574827</v>
      </c>
      <c r="AB198" s="16" t="n">
        <f aca="false">IF(ABS(AB197-$B$11/$B$9*((MAX(0,MIN(1,AB197))^2/(MAX(0,MIN(1,AB197))^2+(1-MAX(0,MIN(1,AB197)))^2/$B$5))-(MAX(0,MIN(1,AA197))^2/(MAX(0,MIN(1,AA197))^2+(1-MAX(0,MIN(1,AA197)))^2/$B$5))))&lt;0.000000001,0,AB197-$B$11/$B$9*((MAX(0,MIN(1,AB197))^2/(MAX(0,MIN(1,AB197))^2+(1-MAX(0,MIN(1,AB197)))^2/$B$5))-(MAX(0,MIN(1,AA197))^2/(MAX(0,MIN(1,AA197))^2+(1-MAX(0,MIN(1,AA197)))^2/$B$5))))</f>
        <v>0.852324005161313</v>
      </c>
      <c r="AC198" s="16" t="n">
        <f aca="false">IF(ABS(AC197-$B$11/$B$9*((MAX(0,MIN(1,AC197))^2/(MAX(0,MIN(1,AC197))^2+(1-MAX(0,MIN(1,AC197)))^2/$B$5))-(MAX(0,MIN(1,AB197))^2/(MAX(0,MIN(1,AB197))^2+(1-MAX(0,MIN(1,AB197)))^2/$B$5))))&lt;0.000000001,0,AC197-$B$11/$B$9*((MAX(0,MIN(1,AC197))^2/(MAX(0,MIN(1,AC197))^2+(1-MAX(0,MIN(1,AC197)))^2/$B$5))-(MAX(0,MIN(1,AB197))^2/(MAX(0,MIN(1,AB197))^2+(1-MAX(0,MIN(1,AB197)))^2/$B$5))))</f>
        <v>0.846447002514186</v>
      </c>
      <c r="AD198" s="16" t="n">
        <f aca="false">IF(ABS(AD197-$B$11/$B$9*((MAX(0,MIN(1,AD197))^2/(MAX(0,MIN(1,AD197))^2+(1-MAX(0,MIN(1,AD197)))^2/$B$5))-(MAX(0,MIN(1,AC197))^2/(MAX(0,MIN(1,AC197))^2+(1-MAX(0,MIN(1,AC197)))^2/$B$5))))&lt;0.000000001,0,AD197-$B$11/$B$9*((MAX(0,MIN(1,AD197))^2/(MAX(0,MIN(1,AD197))^2+(1-MAX(0,MIN(1,AD197)))^2/$B$5))-(MAX(0,MIN(1,AC197))^2/(MAX(0,MIN(1,AC197))^2+(1-MAX(0,MIN(1,AC197)))^2/$B$5))))</f>
        <v>0.840737457975689</v>
      </c>
      <c r="AE198" s="16" t="n">
        <f aca="false">IF(ABS(AE197-$B$11/$B$9*((MAX(0,MIN(1,AE197))^2/(MAX(0,MIN(1,AE197))^2+(1-MAX(0,MIN(1,AE197)))^2/$B$5))-(MAX(0,MIN(1,AD197))^2/(MAX(0,MIN(1,AD197))^2+(1-MAX(0,MIN(1,AD197)))^2/$B$5))))&lt;0.000000001,0,AE197-$B$11/$B$9*((MAX(0,MIN(1,AE197))^2/(MAX(0,MIN(1,AE197))^2+(1-MAX(0,MIN(1,AE197)))^2/$B$5))-(MAX(0,MIN(1,AD197))^2/(MAX(0,MIN(1,AD197))^2+(1-MAX(0,MIN(1,AD197)))^2/$B$5))))</f>
        <v>0.835184477960028</v>
      </c>
      <c r="AF198" s="16" t="n">
        <f aca="false">IF(ABS(AF197-$B$11/$B$9*((MAX(0,MIN(1,AF197))^2/(MAX(0,MIN(1,AF197))^2+(1-MAX(0,MIN(1,AF197)))^2/$B$5))-(MAX(0,MIN(1,AE197))^2/(MAX(0,MIN(1,AE197))^2+(1-MAX(0,MIN(1,AE197)))^2/$B$5))))&lt;0.000000001,0,AF197-$B$11/$B$9*((MAX(0,MIN(1,AF197))^2/(MAX(0,MIN(1,AF197))^2+(1-MAX(0,MIN(1,AF197)))^2/$B$5))-(MAX(0,MIN(1,AE197))^2/(MAX(0,MIN(1,AE197))^2+(1-MAX(0,MIN(1,AE197)))^2/$B$5))))</f>
        <v>0.829778221163142</v>
      </c>
    </row>
    <row r="199" customFormat="false" ht="15" hidden="false" customHeight="false" outlineLevel="0" collapsed="false">
      <c r="L199" s="0" t="n">
        <v>189</v>
      </c>
      <c r="M199" s="16" t="n">
        <f aca="false">IF(ABS(M198-$B$11/$B$9*((MAX(0,MIN(1,M198))^2/(MAX(0,MIN(1,M198))^2+(1-MAX(0,MIN(1,M198)))^2/$B$5))-(MAX(0,MIN(1,1))^2/(MAX(0,MIN(1,1))^2+(1-MAX(0,MIN(1,1)))^2/$B$5))))&lt;0.000000001,0,M198-$B$11/$B$9*((MAX(0,MIN(1,M198))^2/(MAX(0,MIN(1,M198))^2+(1-MAX(0,MIN(1,M198)))^2/$B$5))-(MAX(0,MIN(1,1))^2/(MAX(0,MIN(1,1))^2+(1-MAX(0,MIN(1,1)))^2/$B$5))))</f>
        <v>0.97742042896239</v>
      </c>
      <c r="N199" s="16" t="n">
        <f aca="false">IF(ABS(N198-$B$11/$B$9*((MAX(0,MIN(1,N198))^2/(MAX(0,MIN(1,N198))^2+(1-MAX(0,MIN(1,N198)))^2/$B$5))-(MAX(0,MIN(1,M198))^2/(MAX(0,MIN(1,M198))^2+(1-MAX(0,MIN(1,M198)))^2/$B$5))))&lt;0.000000001,0,N198-$B$11/$B$9*((MAX(0,MIN(1,N198))^2/(MAX(0,MIN(1,N198))^2+(1-MAX(0,MIN(1,N198)))^2/$B$5))-(MAX(0,MIN(1,M198))^2/(MAX(0,MIN(1,M198))^2+(1-MAX(0,MIN(1,M198)))^2/$B$5))))</f>
        <v>0.964565736458486</v>
      </c>
      <c r="O199" s="16" t="n">
        <f aca="false">IF(ABS(O198-$B$11/$B$9*((MAX(0,MIN(1,O198))^2/(MAX(0,MIN(1,O198))^2+(1-MAX(0,MIN(1,O198)))^2/$B$5))-(MAX(0,MIN(1,N198))^2/(MAX(0,MIN(1,N198))^2+(1-MAX(0,MIN(1,N198)))^2/$B$5))))&lt;0.000000001,0,O198-$B$11/$B$9*((MAX(0,MIN(1,O198))^2/(MAX(0,MIN(1,O198))^2+(1-MAX(0,MIN(1,O198)))^2/$B$5))-(MAX(0,MIN(1,N198))^2/(MAX(0,MIN(1,N198))^2+(1-MAX(0,MIN(1,N198)))^2/$B$5))))</f>
        <v>0.953294565015463</v>
      </c>
      <c r="P199" s="16" t="n">
        <f aca="false">IF(ABS(P198-$B$11/$B$9*((MAX(0,MIN(1,P198))^2/(MAX(0,MIN(1,P198))^2+(1-MAX(0,MIN(1,P198)))^2/$B$5))-(MAX(0,MIN(1,O198))^2/(MAX(0,MIN(1,O198))^2+(1-MAX(0,MIN(1,O198)))^2/$B$5))))&lt;0.000000001,0,P198-$B$11/$B$9*((MAX(0,MIN(1,P198))^2/(MAX(0,MIN(1,P198))^2+(1-MAX(0,MIN(1,P198)))^2/$B$5))-(MAX(0,MIN(1,O198))^2/(MAX(0,MIN(1,O198))^2+(1-MAX(0,MIN(1,O198)))^2/$B$5))))</f>
        <v>0.942976000074017</v>
      </c>
      <c r="Q199" s="16" t="n">
        <f aca="false">IF(ABS(Q198-$B$11/$B$9*((MAX(0,MIN(1,Q198))^2/(MAX(0,MIN(1,Q198))^2+(1-MAX(0,MIN(1,Q198)))^2/$B$5))-(MAX(0,MIN(1,P198))^2/(MAX(0,MIN(1,P198))^2+(1-MAX(0,MIN(1,P198)))^2/$B$5))))&lt;0.000000001,0,Q198-$B$11/$B$9*((MAX(0,MIN(1,Q198))^2/(MAX(0,MIN(1,Q198))^2+(1-MAX(0,MIN(1,Q198)))^2/$B$5))-(MAX(0,MIN(1,P198))^2/(MAX(0,MIN(1,P198))^2+(1-MAX(0,MIN(1,P198)))^2/$B$5))))</f>
        <v>0.933360468937316</v>
      </c>
      <c r="R199" s="16" t="n">
        <f aca="false">IF(ABS(R198-$B$11/$B$9*((MAX(0,MIN(1,R198))^2/(MAX(0,MIN(1,R198))^2+(1-MAX(0,MIN(1,R198)))^2/$B$5))-(MAX(0,MIN(1,Q198))^2/(MAX(0,MIN(1,Q198))^2+(1-MAX(0,MIN(1,Q198)))^2/$B$5))))&lt;0.000000001,0,R198-$B$11/$B$9*((MAX(0,MIN(1,R198))^2/(MAX(0,MIN(1,R198))^2+(1-MAX(0,MIN(1,R198)))^2/$B$5))-(MAX(0,MIN(1,Q198))^2/(MAX(0,MIN(1,Q198))^2+(1-MAX(0,MIN(1,Q198)))^2/$B$5))))</f>
        <v>0.924310788347607</v>
      </c>
      <c r="S199" s="16" t="n">
        <f aca="false">IF(ABS(S198-$B$11/$B$9*((MAX(0,MIN(1,S198))^2/(MAX(0,MIN(1,S198))^2+(1-MAX(0,MIN(1,S198)))^2/$B$5))-(MAX(0,MIN(1,R198))^2/(MAX(0,MIN(1,R198))^2+(1-MAX(0,MIN(1,R198)))^2/$B$5))))&lt;0.000000001,0,S198-$B$11/$B$9*((MAX(0,MIN(1,S198))^2/(MAX(0,MIN(1,S198))^2+(1-MAX(0,MIN(1,S198)))^2/$B$5))-(MAX(0,MIN(1,R198))^2/(MAX(0,MIN(1,R198))^2+(1-MAX(0,MIN(1,R198)))^2/$B$5))))</f>
        <v>0.915737881826853</v>
      </c>
      <c r="T199" s="16" t="n">
        <f aca="false">IF(ABS(T198-$B$11/$B$9*((MAX(0,MIN(1,T198))^2/(MAX(0,MIN(1,T198))^2+(1-MAX(0,MIN(1,T198)))^2/$B$5))-(MAX(0,MIN(1,S198))^2/(MAX(0,MIN(1,S198))^2+(1-MAX(0,MIN(1,S198)))^2/$B$5))))&lt;0.000000001,0,T198-$B$11/$B$9*((MAX(0,MIN(1,T198))^2/(MAX(0,MIN(1,T198))^2+(1-MAX(0,MIN(1,T198)))^2/$B$5))-(MAX(0,MIN(1,S198))^2/(MAX(0,MIN(1,S198))^2+(1-MAX(0,MIN(1,S198)))^2/$B$5))))</f>
        <v>0.907577935087467</v>
      </c>
      <c r="U199" s="16" t="n">
        <f aca="false">IF(ABS(U198-$B$11/$B$9*((MAX(0,MIN(1,U198))^2/(MAX(0,MIN(1,U198))^2+(1-MAX(0,MIN(1,U198)))^2/$B$5))-(MAX(0,MIN(1,T198))^2/(MAX(0,MIN(1,T198))^2+(1-MAX(0,MIN(1,T198)))^2/$B$5))))&lt;0.000000001,0,U198-$B$11/$B$9*((MAX(0,MIN(1,U198))^2/(MAX(0,MIN(1,U198))^2+(1-MAX(0,MIN(1,U198)))^2/$B$5))-(MAX(0,MIN(1,T198))^2/(MAX(0,MIN(1,T198))^2+(1-MAX(0,MIN(1,T198)))^2/$B$5))))</f>
        <v>0.899782265875484</v>
      </c>
      <c r="V199" s="16" t="n">
        <f aca="false">IF(ABS(V198-$B$11/$B$9*((MAX(0,MIN(1,V198))^2/(MAX(0,MIN(1,V198))^2+(1-MAX(0,MIN(1,V198)))^2/$B$5))-(MAX(0,MIN(1,U198))^2/(MAX(0,MIN(1,U198))^2+(1-MAX(0,MIN(1,U198)))^2/$B$5))))&lt;0.000000001,0,V198-$B$11/$B$9*((MAX(0,MIN(1,V198))^2/(MAX(0,MIN(1,V198))^2+(1-MAX(0,MIN(1,V198)))^2/$B$5))-(MAX(0,MIN(1,U198))^2/(MAX(0,MIN(1,U198))^2+(1-MAX(0,MIN(1,U198)))^2/$B$5))))</f>
        <v>0.89231212169935</v>
      </c>
      <c r="W199" s="16" t="n">
        <f aca="false">IF(ABS(W198-$B$11/$B$9*((MAX(0,MIN(1,W198))^2/(MAX(0,MIN(1,W198))^2+(1-MAX(0,MIN(1,W198)))^2/$B$5))-(MAX(0,MIN(1,V198))^2/(MAX(0,MIN(1,V198))^2+(1-MAX(0,MIN(1,V198)))^2/$B$5))))&lt;0.000000001,0,W198-$B$11/$B$9*((MAX(0,MIN(1,W198))^2/(MAX(0,MIN(1,W198))^2+(1-MAX(0,MIN(1,W198)))^2/$B$5))-(MAX(0,MIN(1,V198))^2/(MAX(0,MIN(1,V198))^2+(1-MAX(0,MIN(1,V198)))^2/$B$5))))</f>
        <v>0.88513571011435</v>
      </c>
      <c r="X199" s="16" t="n">
        <f aca="false">IF(ABS(X198-$B$11/$B$9*((MAX(0,MIN(1,X198))^2/(MAX(0,MIN(1,X198))^2+(1-MAX(0,MIN(1,X198)))^2/$B$5))-(MAX(0,MIN(1,W198))^2/(MAX(0,MIN(1,W198))^2+(1-MAX(0,MIN(1,W198)))^2/$B$5))))&lt;0.000000001,0,X198-$B$11/$B$9*((MAX(0,MIN(1,X198))^2/(MAX(0,MIN(1,X198))^2+(1-MAX(0,MIN(1,X198)))^2/$B$5))-(MAX(0,MIN(1,W198))^2/(MAX(0,MIN(1,W198))^2+(1-MAX(0,MIN(1,W198)))^2/$B$5))))</f>
        <v>0.878226362371561</v>
      </c>
      <c r="Y199" s="16" t="n">
        <f aca="false">IF(ABS(Y198-$B$11/$B$9*((MAX(0,MIN(1,Y198))^2/(MAX(0,MIN(1,Y198))^2+(1-MAX(0,MIN(1,Y198)))^2/$B$5))-(MAX(0,MIN(1,X198))^2/(MAX(0,MIN(1,X198))^2+(1-MAX(0,MIN(1,X198)))^2/$B$5))))&lt;0.000000001,0,Y198-$B$11/$B$9*((MAX(0,MIN(1,Y198))^2/(MAX(0,MIN(1,Y198))^2+(1-MAX(0,MIN(1,Y198)))^2/$B$5))-(MAX(0,MIN(1,X198))^2/(MAX(0,MIN(1,X198))^2+(1-MAX(0,MIN(1,X198)))^2/$B$5))))</f>
        <v>0.871561325031327</v>
      </c>
      <c r="Z199" s="16" t="n">
        <f aca="false">IF(ABS(Z198-$B$11/$B$9*((MAX(0,MIN(1,Z198))^2/(MAX(0,MIN(1,Z198))^2+(1-MAX(0,MIN(1,Z198)))^2/$B$5))-(MAX(0,MIN(1,Y198))^2/(MAX(0,MIN(1,Y198))^2+(1-MAX(0,MIN(1,Y198)))^2/$B$5))))&lt;0.000000001,0,Z198-$B$11/$B$9*((MAX(0,MIN(1,Z198))^2/(MAX(0,MIN(1,Z198))^2+(1-MAX(0,MIN(1,Z198)))^2/$B$5))-(MAX(0,MIN(1,Y198))^2/(MAX(0,MIN(1,Y198))^2+(1-MAX(0,MIN(1,Y198)))^2/$B$5))))</f>
        <v>0.865120924591568</v>
      </c>
      <c r="AA199" s="16" t="n">
        <f aca="false">IF(ABS(AA198-$B$11/$B$9*((MAX(0,MIN(1,AA198))^2/(MAX(0,MIN(1,AA198))^2+(1-MAX(0,MIN(1,AA198)))^2/$B$5))-(MAX(0,MIN(1,Z198))^2/(MAX(0,MIN(1,Z198))^2+(1-MAX(0,MIN(1,Z198)))^2/$B$5))))&lt;0.000000001,0,AA198-$B$11/$B$9*((MAX(0,MIN(1,AA198))^2/(MAX(0,MIN(1,AA198))^2+(1-MAX(0,MIN(1,AA198)))^2/$B$5))-(MAX(0,MIN(1,Z198))^2/(MAX(0,MIN(1,Z198))^2+(1-MAX(0,MIN(1,Z198)))^2/$B$5))))</f>
        <v>0.858887966600244</v>
      </c>
      <c r="AB199" s="16" t="n">
        <f aca="false">IF(ABS(AB198-$B$11/$B$9*((MAX(0,MIN(1,AB198))^2/(MAX(0,MIN(1,AB198))^2+(1-MAX(0,MIN(1,AB198)))^2/$B$5))-(MAX(0,MIN(1,AA198))^2/(MAX(0,MIN(1,AA198))^2+(1-MAX(0,MIN(1,AA198)))^2/$B$5))))&lt;0.000000001,0,AB198-$B$11/$B$9*((MAX(0,MIN(1,AB198))^2/(MAX(0,MIN(1,AB198))^2+(1-MAX(0,MIN(1,AB198)))^2/$B$5))-(MAX(0,MIN(1,AA198))^2/(MAX(0,MIN(1,AA198))^2+(1-MAX(0,MIN(1,AA198)))^2/$B$5))))</f>
        <v>0.852847289234048</v>
      </c>
      <c r="AC199" s="16" t="n">
        <f aca="false">IF(ABS(AC198-$B$11/$B$9*((MAX(0,MIN(1,AC198))^2/(MAX(0,MIN(1,AC198))^2+(1-MAX(0,MIN(1,AC198)))^2/$B$5))-(MAX(0,MIN(1,AB198))^2/(MAX(0,MIN(1,AB198))^2+(1-MAX(0,MIN(1,AB198)))^2/$B$5))))&lt;0.000000001,0,AC198-$B$11/$B$9*((MAX(0,MIN(1,AC198))^2/(MAX(0,MIN(1,AC198))^2+(1-MAX(0,MIN(1,AC198)))^2/$B$5))-(MAX(0,MIN(1,AB198))^2/(MAX(0,MIN(1,AB198))^2+(1-MAX(0,MIN(1,AB198)))^2/$B$5))))</f>
        <v>0.84698542269344</v>
      </c>
      <c r="AD199" s="16" t="n">
        <f aca="false">IF(ABS(AD198-$B$11/$B$9*((MAX(0,MIN(1,AD198))^2/(MAX(0,MIN(1,AD198))^2+(1-MAX(0,MIN(1,AD198)))^2/$B$5))-(MAX(0,MIN(1,AC198))^2/(MAX(0,MIN(1,AC198))^2+(1-MAX(0,MIN(1,AC198)))^2/$B$5))))&lt;0.000000001,0,AD198-$B$11/$B$9*((MAX(0,MIN(1,AD198))^2/(MAX(0,MIN(1,AD198))^2+(1-MAX(0,MIN(1,AD198)))^2/$B$5))-(MAX(0,MIN(1,AC198))^2/(MAX(0,MIN(1,AC198))^2+(1-MAX(0,MIN(1,AC198)))^2/$B$5))))</f>
        <v>0.841290323519458</v>
      </c>
      <c r="AE199" s="16" t="n">
        <f aca="false">IF(ABS(AE198-$B$11/$B$9*((MAX(0,MIN(1,AE198))^2/(MAX(0,MIN(1,AE198))^2+(1-MAX(0,MIN(1,AE198)))^2/$B$5))-(MAX(0,MIN(1,AD198))^2/(MAX(0,MIN(1,AD198))^2+(1-MAX(0,MIN(1,AD198)))^2/$B$5))))&lt;0.000000001,0,AE198-$B$11/$B$9*((MAX(0,MIN(1,AE198))^2/(MAX(0,MIN(1,AE198))^2+(1-MAX(0,MIN(1,AE198)))^2/$B$5))-(MAX(0,MIN(1,AD198))^2/(MAX(0,MIN(1,AD198))^2+(1-MAX(0,MIN(1,AD198)))^2/$B$5))))</f>
        <v>0.835751163466396</v>
      </c>
      <c r="AF199" s="16" t="n">
        <f aca="false">IF(ABS(AF198-$B$11/$B$9*((MAX(0,MIN(1,AF198))^2/(MAX(0,MIN(1,AF198))^2+(1-MAX(0,MIN(1,AF198)))^2/$B$5))-(MAX(0,MIN(1,AE198))^2/(MAX(0,MIN(1,AE198))^2+(1-MAX(0,MIN(1,AE198)))^2/$B$5))))&lt;0.000000001,0,AF198-$B$11/$B$9*((MAX(0,MIN(1,AF198))^2/(MAX(0,MIN(1,AF198))^2+(1-MAX(0,MIN(1,AF198)))^2/$B$5))-(MAX(0,MIN(1,AE198))^2/(MAX(0,MIN(1,AE198))^2+(1-MAX(0,MIN(1,AE198)))^2/$B$5))))</f>
        <v>0.830358159064273</v>
      </c>
    </row>
    <row r="200" customFormat="false" ht="15" hidden="false" customHeight="false" outlineLevel="0" collapsed="false">
      <c r="L200" s="0" t="n">
        <v>190</v>
      </c>
      <c r="M200" s="16" t="n">
        <f aca="false">IF(ABS(M199-$B$11/$B$9*((MAX(0,MIN(1,M199))^2/(MAX(0,MIN(1,M199))^2+(1-MAX(0,MIN(1,M199)))^2/$B$5))-(MAX(0,MIN(1,1))^2/(MAX(0,MIN(1,1))^2+(1-MAX(0,MIN(1,1)))^2/$B$5))))&lt;0.000000001,0,M199-$B$11/$B$9*((MAX(0,MIN(1,M199))^2/(MAX(0,MIN(1,M199))^2+(1-MAX(0,MIN(1,M199)))^2/$B$5))-(MAX(0,MIN(1,1))^2/(MAX(0,MIN(1,1))^2+(1-MAX(0,MIN(1,1)))^2/$B$5))))</f>
        <v>0.977523007021738</v>
      </c>
      <c r="N200" s="16" t="n">
        <f aca="false">IF(ABS(N199-$B$11/$B$9*((MAX(0,MIN(1,N199))^2/(MAX(0,MIN(1,N199))^2+(1-MAX(0,MIN(1,N199)))^2/$B$5))-(MAX(0,MIN(1,M199))^2/(MAX(0,MIN(1,M199))^2+(1-MAX(0,MIN(1,M199)))^2/$B$5))))&lt;0.000000001,0,N199-$B$11/$B$9*((MAX(0,MIN(1,N199))^2/(MAX(0,MIN(1,N199))^2+(1-MAX(0,MIN(1,N199)))^2/$B$5))-(MAX(0,MIN(1,M199))^2/(MAX(0,MIN(1,M199))^2+(1-MAX(0,MIN(1,M199)))^2/$B$5))))</f>
        <v>0.964722452125256</v>
      </c>
      <c r="O200" s="16" t="n">
        <f aca="false">IF(ABS(O199-$B$11/$B$9*((MAX(0,MIN(1,O199))^2/(MAX(0,MIN(1,O199))^2+(1-MAX(0,MIN(1,O199)))^2/$B$5))-(MAX(0,MIN(1,N199))^2/(MAX(0,MIN(1,N199))^2+(1-MAX(0,MIN(1,N199)))^2/$B$5))))&lt;0.000000001,0,O199-$B$11/$B$9*((MAX(0,MIN(1,O199))^2/(MAX(0,MIN(1,O199))^2+(1-MAX(0,MIN(1,O199)))^2/$B$5))-(MAX(0,MIN(1,N199))^2/(MAX(0,MIN(1,N199))^2+(1-MAX(0,MIN(1,N199)))^2/$B$5))))</f>
        <v>0.953496229421292</v>
      </c>
      <c r="P200" s="16" t="n">
        <f aca="false">IF(ABS(P199-$B$11/$B$9*((MAX(0,MIN(1,P199))^2/(MAX(0,MIN(1,P199))^2+(1-MAX(0,MIN(1,P199)))^2/$B$5))-(MAX(0,MIN(1,O199))^2/(MAX(0,MIN(1,O199))^2+(1-MAX(0,MIN(1,O199)))^2/$B$5))))&lt;0.000000001,0,P199-$B$11/$B$9*((MAX(0,MIN(1,P199))^2/(MAX(0,MIN(1,P199))^2+(1-MAX(0,MIN(1,P199)))^2/$B$5))-(MAX(0,MIN(1,O199))^2/(MAX(0,MIN(1,O199))^2+(1-MAX(0,MIN(1,O199)))^2/$B$5))))</f>
        <v>0.943216856722023</v>
      </c>
      <c r="Q200" s="16" t="n">
        <f aca="false">IF(ABS(Q199-$B$11/$B$9*((MAX(0,MIN(1,Q199))^2/(MAX(0,MIN(1,Q199))^2+(1-MAX(0,MIN(1,Q199)))^2/$B$5))-(MAX(0,MIN(1,P199))^2/(MAX(0,MIN(1,P199))^2+(1-MAX(0,MIN(1,P199)))^2/$B$5))))&lt;0.000000001,0,Q199-$B$11/$B$9*((MAX(0,MIN(1,Q199))^2/(MAX(0,MIN(1,Q199))^2+(1-MAX(0,MIN(1,Q199)))^2/$B$5))-(MAX(0,MIN(1,P199))^2/(MAX(0,MIN(1,P199))^2+(1-MAX(0,MIN(1,P199)))^2/$B$5))))</f>
        <v>0.933636254478272</v>
      </c>
      <c r="R200" s="16" t="n">
        <f aca="false">IF(ABS(R199-$B$11/$B$9*((MAX(0,MIN(1,R199))^2/(MAX(0,MIN(1,R199))^2+(1-MAX(0,MIN(1,R199)))^2/$B$5))-(MAX(0,MIN(1,Q199))^2/(MAX(0,MIN(1,Q199))^2+(1-MAX(0,MIN(1,Q199)))^2/$B$5))))&lt;0.000000001,0,R199-$B$11/$B$9*((MAX(0,MIN(1,R199))^2/(MAX(0,MIN(1,R199))^2+(1-MAX(0,MIN(1,R199)))^2/$B$5))-(MAX(0,MIN(1,Q199))^2/(MAX(0,MIN(1,Q199))^2+(1-MAX(0,MIN(1,Q199)))^2/$B$5))))</f>
        <v>0.924618119800197</v>
      </c>
      <c r="S200" s="16" t="n">
        <f aca="false">IF(ABS(S199-$B$11/$B$9*((MAX(0,MIN(1,S199))^2/(MAX(0,MIN(1,S199))^2+(1-MAX(0,MIN(1,S199)))^2/$B$5))-(MAX(0,MIN(1,R199))^2/(MAX(0,MIN(1,R199))^2+(1-MAX(0,MIN(1,R199)))^2/$B$5))))&lt;0.000000001,0,S199-$B$11/$B$9*((MAX(0,MIN(1,S199))^2/(MAX(0,MIN(1,S199))^2+(1-MAX(0,MIN(1,S199)))^2/$B$5))-(MAX(0,MIN(1,R199))^2/(MAX(0,MIN(1,R199))^2+(1-MAX(0,MIN(1,R199)))^2/$B$5))))</f>
        <v>0.916073974281588</v>
      </c>
      <c r="T200" s="16" t="n">
        <f aca="false">IF(ABS(T199-$B$11/$B$9*((MAX(0,MIN(1,T199))^2/(MAX(0,MIN(1,T199))^2+(1-MAX(0,MIN(1,T199)))^2/$B$5))-(MAX(0,MIN(1,S199))^2/(MAX(0,MIN(1,S199))^2+(1-MAX(0,MIN(1,S199)))^2/$B$5))))&lt;0.000000001,0,T199-$B$11/$B$9*((MAX(0,MIN(1,T199))^2/(MAX(0,MIN(1,T199))^2+(1-MAX(0,MIN(1,T199)))^2/$B$5))-(MAX(0,MIN(1,S199))^2/(MAX(0,MIN(1,S199))^2+(1-MAX(0,MIN(1,S199)))^2/$B$5))))</f>
        <v>0.90794044303741</v>
      </c>
      <c r="U200" s="16" t="n">
        <f aca="false">IF(ABS(U199-$B$11/$B$9*((MAX(0,MIN(1,U199))^2/(MAX(0,MIN(1,U199))^2+(1-MAX(0,MIN(1,U199)))^2/$B$5))-(MAX(0,MIN(1,T199))^2/(MAX(0,MIN(1,T199))^2+(1-MAX(0,MIN(1,T199)))^2/$B$5))))&lt;0.000000001,0,U199-$B$11/$B$9*((MAX(0,MIN(1,U199))^2/(MAX(0,MIN(1,U199))^2+(1-MAX(0,MIN(1,U199)))^2/$B$5))-(MAX(0,MIN(1,T199))^2/(MAX(0,MIN(1,T199))^2+(1-MAX(0,MIN(1,T199)))^2/$B$5))))</f>
        <v>0.900169182592352</v>
      </c>
      <c r="V200" s="16" t="n">
        <f aca="false">IF(ABS(V199-$B$11/$B$9*((MAX(0,MIN(1,V199))^2/(MAX(0,MIN(1,V199))^2+(1-MAX(0,MIN(1,V199)))^2/$B$5))-(MAX(0,MIN(1,U199))^2/(MAX(0,MIN(1,U199))^2+(1-MAX(0,MIN(1,U199)))^2/$B$5))))&lt;0.000000001,0,V199-$B$11/$B$9*((MAX(0,MIN(1,V199))^2/(MAX(0,MIN(1,V199))^2+(1-MAX(0,MIN(1,V199)))^2/$B$5))-(MAX(0,MIN(1,U199))^2/(MAX(0,MIN(1,U199))^2+(1-MAX(0,MIN(1,U199)))^2/$B$5))))</f>
        <v>0.892721710205322</v>
      </c>
      <c r="W200" s="16" t="n">
        <f aca="false">IF(ABS(W199-$B$11/$B$9*((MAX(0,MIN(1,W199))^2/(MAX(0,MIN(1,W199))^2+(1-MAX(0,MIN(1,W199)))^2/$B$5))-(MAX(0,MIN(1,V199))^2/(MAX(0,MIN(1,V199))^2+(1-MAX(0,MIN(1,V199)))^2/$B$5))))&lt;0.000000001,0,W199-$B$11/$B$9*((MAX(0,MIN(1,W199))^2/(MAX(0,MIN(1,W199))^2+(1-MAX(0,MIN(1,W199)))^2/$B$5))-(MAX(0,MIN(1,V199))^2/(MAX(0,MIN(1,V199))^2+(1-MAX(0,MIN(1,V199)))^2/$B$5))))</f>
        <v>0.885566453212664</v>
      </c>
      <c r="X200" s="16" t="n">
        <f aca="false">IF(ABS(X199-$B$11/$B$9*((MAX(0,MIN(1,X199))^2/(MAX(0,MIN(1,X199))^2+(1-MAX(0,MIN(1,X199)))^2/$B$5))-(MAX(0,MIN(1,W199))^2/(MAX(0,MIN(1,W199))^2+(1-MAX(0,MIN(1,W199)))^2/$B$5))))&lt;0.000000001,0,X199-$B$11/$B$9*((MAX(0,MIN(1,X199))^2/(MAX(0,MIN(1,X199))^2+(1-MAX(0,MIN(1,X199)))^2/$B$5))-(MAX(0,MIN(1,W199))^2/(MAX(0,MIN(1,W199))^2+(1-MAX(0,MIN(1,W199)))^2/$B$5))))</f>
        <v>0.878676925057251</v>
      </c>
      <c r="Y200" s="16" t="n">
        <f aca="false">IF(ABS(Y199-$B$11/$B$9*((MAX(0,MIN(1,Y199))^2/(MAX(0,MIN(1,Y199))^2+(1-MAX(0,MIN(1,Y199)))^2/$B$5))-(MAX(0,MIN(1,X199))^2/(MAX(0,MIN(1,X199))^2+(1-MAX(0,MIN(1,X199)))^2/$B$5))))&lt;0.000000001,0,Y199-$B$11/$B$9*((MAX(0,MIN(1,Y199))^2/(MAX(0,MIN(1,Y199))^2+(1-MAX(0,MIN(1,Y199)))^2/$B$5))-(MAX(0,MIN(1,X199))^2/(MAX(0,MIN(1,X199))^2+(1-MAX(0,MIN(1,X199)))^2/$B$5))))</f>
        <v>0.872030525397265</v>
      </c>
      <c r="Z200" s="16" t="n">
        <f aca="false">IF(ABS(Z199-$B$11/$B$9*((MAX(0,MIN(1,Z199))^2/(MAX(0,MIN(1,Z199))^2+(1-MAX(0,MIN(1,Z199)))^2/$B$5))-(MAX(0,MIN(1,Y199))^2/(MAX(0,MIN(1,Y199))^2+(1-MAX(0,MIN(1,Y199)))^2/$B$5))))&lt;0.000000001,0,Z199-$B$11/$B$9*((MAX(0,MIN(1,Z199))^2/(MAX(0,MIN(1,Z199))^2+(1-MAX(0,MIN(1,Z199)))^2/$B$5))-(MAX(0,MIN(1,Y199))^2/(MAX(0,MIN(1,Y199))^2+(1-MAX(0,MIN(1,Y199)))^2/$B$5))))</f>
        <v>0.865607710811581</v>
      </c>
      <c r="AA200" s="16" t="n">
        <f aca="false">IF(ABS(AA199-$B$11/$B$9*((MAX(0,MIN(1,AA199))^2/(MAX(0,MIN(1,AA199))^2+(1-MAX(0,MIN(1,AA199)))^2/$B$5))-(MAX(0,MIN(1,Z199))^2/(MAX(0,MIN(1,Z199))^2+(1-MAX(0,MIN(1,Z199)))^2/$B$5))))&lt;0.000000001,0,AA199-$B$11/$B$9*((MAX(0,MIN(1,AA199))^2/(MAX(0,MIN(1,AA199))^2+(1-MAX(0,MIN(1,AA199)))^2/$B$5))-(MAX(0,MIN(1,Z199))^2/(MAX(0,MIN(1,Z199))^2+(1-MAX(0,MIN(1,Z199)))^2/$B$5))))</f>
        <v>0.859391398401903</v>
      </c>
      <c r="AB200" s="16" t="n">
        <f aca="false">IF(ABS(AB199-$B$11/$B$9*((MAX(0,MIN(1,AB199))^2/(MAX(0,MIN(1,AB199))^2+(1-MAX(0,MIN(1,AB199)))^2/$B$5))-(MAX(0,MIN(1,AA199))^2/(MAX(0,MIN(1,AA199))^2+(1-MAX(0,MIN(1,AA199)))^2/$B$5))))&lt;0.000000001,0,AB199-$B$11/$B$9*((MAX(0,MIN(1,AB199))^2/(MAX(0,MIN(1,AB199))^2+(1-MAX(0,MIN(1,AB199)))^2/$B$5))-(MAX(0,MIN(1,AA199))^2/(MAX(0,MIN(1,AA199))^2+(1-MAX(0,MIN(1,AA199)))^2/$B$5))))</f>
        <v>0.853366522774188</v>
      </c>
      <c r="AC200" s="16" t="n">
        <f aca="false">IF(ABS(AC199-$B$11/$B$9*((MAX(0,MIN(1,AC199))^2/(MAX(0,MIN(1,AC199))^2+(1-MAX(0,MIN(1,AC199)))^2/$B$5))-(MAX(0,MIN(1,AB199))^2/(MAX(0,MIN(1,AB199))^2+(1-MAX(0,MIN(1,AB199)))^2/$B$5))))&lt;0.000000001,0,AC199-$B$11/$B$9*((MAX(0,MIN(1,AC199))^2/(MAX(0,MIN(1,AC199))^2+(1-MAX(0,MIN(1,AC199)))^2/$B$5))-(MAX(0,MIN(1,AB199))^2/(MAX(0,MIN(1,AB199))^2+(1-MAX(0,MIN(1,AB199)))^2/$B$5))))</f>
        <v>0.847519698066407</v>
      </c>
      <c r="AD200" s="16" t="n">
        <f aca="false">IF(ABS(AD199-$B$11/$B$9*((MAX(0,MIN(1,AD199))^2/(MAX(0,MIN(1,AD199))^2+(1-MAX(0,MIN(1,AD199)))^2/$B$5))-(MAX(0,MIN(1,AC199))^2/(MAX(0,MIN(1,AC199))^2+(1-MAX(0,MIN(1,AC199)))^2/$B$5))))&lt;0.000000001,0,AD199-$B$11/$B$9*((MAX(0,MIN(1,AD199))^2/(MAX(0,MIN(1,AD199))^2+(1-MAX(0,MIN(1,AD199)))^2/$B$5))-(MAX(0,MIN(1,AC199))^2/(MAX(0,MIN(1,AC199))^2+(1-MAX(0,MIN(1,AC199)))^2/$B$5))))</f>
        <v>0.841838954337292</v>
      </c>
      <c r="AE200" s="16" t="n">
        <f aca="false">IF(ABS(AE199-$B$11/$B$9*((MAX(0,MIN(1,AE199))^2/(MAX(0,MIN(1,AE199))^2+(1-MAX(0,MIN(1,AE199)))^2/$B$5))-(MAX(0,MIN(1,AD199))^2/(MAX(0,MIN(1,AD199))^2+(1-MAX(0,MIN(1,AD199)))^2/$B$5))))&lt;0.000000001,0,AE199-$B$11/$B$9*((MAX(0,MIN(1,AE199))^2/(MAX(0,MIN(1,AE199))^2+(1-MAX(0,MIN(1,AE199)))^2/$B$5))-(MAX(0,MIN(1,AD199))^2/(MAX(0,MIN(1,AD199))^2+(1-MAX(0,MIN(1,AD199)))^2/$B$5))))</f>
        <v>0.836313528093055</v>
      </c>
      <c r="AF200" s="16" t="n">
        <f aca="false">IF(ABS(AF199-$B$11/$B$9*((MAX(0,MIN(1,AF199))^2/(MAX(0,MIN(1,AF199))^2+(1-MAX(0,MIN(1,AF199)))^2/$B$5))-(MAX(0,MIN(1,AE199))^2/(MAX(0,MIN(1,AE199))^2+(1-MAX(0,MIN(1,AE199)))^2/$B$5))))&lt;0.000000001,0,AF199-$B$11/$B$9*((MAX(0,MIN(1,AF199))^2/(MAX(0,MIN(1,AF199))^2+(1-MAX(0,MIN(1,AF199)))^2/$B$5))-(MAX(0,MIN(1,AE199))^2/(MAX(0,MIN(1,AE199))^2+(1-MAX(0,MIN(1,AE199)))^2/$B$5))))</f>
        <v>0.830933693186491</v>
      </c>
    </row>
    <row r="201" customFormat="false" ht="15" hidden="false" customHeight="false" outlineLevel="0" collapsed="false">
      <c r="L201" s="0" t="n">
        <v>191</v>
      </c>
      <c r="M201" s="16" t="n">
        <f aca="false">IF(ABS(M200-$B$11/$B$9*((MAX(0,MIN(1,M200))^2/(MAX(0,MIN(1,M200))^2+(1-MAX(0,MIN(1,M200)))^2/$B$5))-(MAX(0,MIN(1,1))^2/(MAX(0,MIN(1,1))^2+(1-MAX(0,MIN(1,1)))^2/$B$5))))&lt;0.000000001,0,M200-$B$11/$B$9*((MAX(0,MIN(1,M200))^2/(MAX(0,MIN(1,M200))^2+(1-MAX(0,MIN(1,M200)))^2/$B$5))-(MAX(0,MIN(1,1))^2/(MAX(0,MIN(1,1))^2+(1-MAX(0,MIN(1,1)))^2/$B$5))))</f>
        <v>0.97762463410163</v>
      </c>
      <c r="N201" s="16" t="n">
        <f aca="false">IF(ABS(N200-$B$11/$B$9*((MAX(0,MIN(1,N200))^2/(MAX(0,MIN(1,N200))^2+(1-MAX(0,MIN(1,N200)))^2/$B$5))-(MAX(0,MIN(1,M200))^2/(MAX(0,MIN(1,M200))^2+(1-MAX(0,MIN(1,M200)))^2/$B$5))))&lt;0.000000001,0,N200-$B$11/$B$9*((MAX(0,MIN(1,N200))^2/(MAX(0,MIN(1,N200))^2+(1-MAX(0,MIN(1,N200)))^2/$B$5))-(MAX(0,MIN(1,M200))^2/(MAX(0,MIN(1,M200))^2+(1-MAX(0,MIN(1,M200)))^2/$B$5))))</f>
        <v>0.964877748371088</v>
      </c>
      <c r="O201" s="16" t="n">
        <f aca="false">IF(ABS(O200-$B$11/$B$9*((MAX(0,MIN(1,O200))^2/(MAX(0,MIN(1,O200))^2+(1-MAX(0,MIN(1,O200)))^2/$B$5))-(MAX(0,MIN(1,N200))^2/(MAX(0,MIN(1,N200))^2+(1-MAX(0,MIN(1,N200)))^2/$B$5))))&lt;0.000000001,0,O200-$B$11/$B$9*((MAX(0,MIN(1,O200))^2/(MAX(0,MIN(1,O200))^2+(1-MAX(0,MIN(1,O200)))^2/$B$5))-(MAX(0,MIN(1,N200))^2/(MAX(0,MIN(1,N200))^2+(1-MAX(0,MIN(1,N200)))^2/$B$5))))</f>
        <v>0.953696103841128</v>
      </c>
      <c r="P201" s="16" t="n">
        <f aca="false">IF(ABS(P200-$B$11/$B$9*((MAX(0,MIN(1,P200))^2/(MAX(0,MIN(1,P200))^2+(1-MAX(0,MIN(1,P200)))^2/$B$5))-(MAX(0,MIN(1,O200))^2/(MAX(0,MIN(1,O200))^2+(1-MAX(0,MIN(1,O200)))^2/$B$5))))&lt;0.000000001,0,P200-$B$11/$B$9*((MAX(0,MIN(1,P200))^2/(MAX(0,MIN(1,P200))^2+(1-MAX(0,MIN(1,P200)))^2/$B$5))-(MAX(0,MIN(1,O200))^2/(MAX(0,MIN(1,O200))^2+(1-MAX(0,MIN(1,O200)))^2/$B$5))))</f>
        <v>0.943455613643805</v>
      </c>
      <c r="Q201" s="16" t="n">
        <f aca="false">IF(ABS(Q200-$B$11/$B$9*((MAX(0,MIN(1,Q200))^2/(MAX(0,MIN(1,Q200))^2+(1-MAX(0,MIN(1,Q200)))^2/$B$5))-(MAX(0,MIN(1,P200))^2/(MAX(0,MIN(1,P200))^2+(1-MAX(0,MIN(1,P200)))^2/$B$5))))&lt;0.000000001,0,Q200-$B$11/$B$9*((MAX(0,MIN(1,Q200))^2/(MAX(0,MIN(1,Q200))^2+(1-MAX(0,MIN(1,Q200)))^2/$B$5))-(MAX(0,MIN(1,P200))^2/(MAX(0,MIN(1,P200))^2+(1-MAX(0,MIN(1,P200)))^2/$B$5))))</f>
        <v>0.933909674442184</v>
      </c>
      <c r="R201" s="16" t="n">
        <f aca="false">IF(ABS(R200-$B$11/$B$9*((MAX(0,MIN(1,R200))^2/(MAX(0,MIN(1,R200))^2+(1-MAX(0,MIN(1,R200)))^2/$B$5))-(MAX(0,MIN(1,Q200))^2/(MAX(0,MIN(1,Q200))^2+(1-MAX(0,MIN(1,Q200)))^2/$B$5))))&lt;0.000000001,0,R200-$B$11/$B$9*((MAX(0,MIN(1,R200))^2/(MAX(0,MIN(1,R200))^2+(1-MAX(0,MIN(1,R200)))^2/$B$5))-(MAX(0,MIN(1,Q200))^2/(MAX(0,MIN(1,Q200))^2+(1-MAX(0,MIN(1,Q200)))^2/$B$5))))</f>
        <v>0.924922853525023</v>
      </c>
      <c r="S201" s="16" t="n">
        <f aca="false">IF(ABS(S200-$B$11/$B$9*((MAX(0,MIN(1,S200))^2/(MAX(0,MIN(1,S200))^2+(1-MAX(0,MIN(1,S200)))^2/$B$5))-(MAX(0,MIN(1,R200))^2/(MAX(0,MIN(1,R200))^2+(1-MAX(0,MIN(1,R200)))^2/$B$5))))&lt;0.000000001,0,S200-$B$11/$B$9*((MAX(0,MIN(1,S200))^2/(MAX(0,MIN(1,S200))^2+(1-MAX(0,MIN(1,S200)))^2/$B$5))-(MAX(0,MIN(1,R200))^2/(MAX(0,MIN(1,R200))^2+(1-MAX(0,MIN(1,R200)))^2/$B$5))))</f>
        <v>0.916407263629227</v>
      </c>
      <c r="T201" s="16" t="n">
        <f aca="false">IF(ABS(T200-$B$11/$B$9*((MAX(0,MIN(1,T200))^2/(MAX(0,MIN(1,T200))^2+(1-MAX(0,MIN(1,T200)))^2/$B$5))-(MAX(0,MIN(1,S200))^2/(MAX(0,MIN(1,S200))^2+(1-MAX(0,MIN(1,S200)))^2/$B$5))))&lt;0.000000001,0,T200-$B$11/$B$9*((MAX(0,MIN(1,T200))^2/(MAX(0,MIN(1,T200))^2+(1-MAX(0,MIN(1,T200)))^2/$B$5))-(MAX(0,MIN(1,S200))^2/(MAX(0,MIN(1,S200))^2+(1-MAX(0,MIN(1,S200)))^2/$B$5))))</f>
        <v>0.908299964235748</v>
      </c>
      <c r="U201" s="16" t="n">
        <f aca="false">IF(ABS(U200-$B$11/$B$9*((MAX(0,MIN(1,U200))^2/(MAX(0,MIN(1,U200))^2+(1-MAX(0,MIN(1,U200)))^2/$B$5))-(MAX(0,MIN(1,T200))^2/(MAX(0,MIN(1,T200))^2+(1-MAX(0,MIN(1,T200)))^2/$B$5))))&lt;0.000000001,0,U200-$B$11/$B$9*((MAX(0,MIN(1,U200))^2/(MAX(0,MIN(1,U200))^2+(1-MAX(0,MIN(1,U200)))^2/$B$5))-(MAX(0,MIN(1,T200))^2/(MAX(0,MIN(1,T200))^2+(1-MAX(0,MIN(1,T200)))^2/$B$5))))</f>
        <v>0.900552946831882</v>
      </c>
      <c r="V201" s="16" t="n">
        <f aca="false">IF(ABS(V200-$B$11/$B$9*((MAX(0,MIN(1,V200))^2/(MAX(0,MIN(1,V200))^2+(1-MAX(0,MIN(1,V200)))^2/$B$5))-(MAX(0,MIN(1,U200))^2/(MAX(0,MIN(1,U200))^2+(1-MAX(0,MIN(1,U200)))^2/$B$5))))&lt;0.000000001,0,V200-$B$11/$B$9*((MAX(0,MIN(1,V200))^2/(MAX(0,MIN(1,V200))^2+(1-MAX(0,MIN(1,V200)))^2/$B$5))-(MAX(0,MIN(1,U200))^2/(MAX(0,MIN(1,U200))^2+(1-MAX(0,MIN(1,U200)))^2/$B$5))))</f>
        <v>0.893127995452517</v>
      </c>
      <c r="W201" s="16" t="n">
        <f aca="false">IF(ABS(W200-$B$11/$B$9*((MAX(0,MIN(1,W200))^2/(MAX(0,MIN(1,W200))^2+(1-MAX(0,MIN(1,W200)))^2/$B$5))-(MAX(0,MIN(1,V200))^2/(MAX(0,MIN(1,V200))^2+(1-MAX(0,MIN(1,V200)))^2/$B$5))))&lt;0.000000001,0,W200-$B$11/$B$9*((MAX(0,MIN(1,W200))^2/(MAX(0,MIN(1,W200))^2+(1-MAX(0,MIN(1,W200)))^2/$B$5))-(MAX(0,MIN(1,V200))^2/(MAX(0,MIN(1,V200))^2+(1-MAX(0,MIN(1,V200)))^2/$B$5))))</f>
        <v>0.885993754847573</v>
      </c>
      <c r="X201" s="16" t="n">
        <f aca="false">IF(ABS(X200-$B$11/$B$9*((MAX(0,MIN(1,X200))^2/(MAX(0,MIN(1,X200))^2+(1-MAX(0,MIN(1,X200)))^2/$B$5))-(MAX(0,MIN(1,W200))^2/(MAX(0,MIN(1,W200))^2+(1-MAX(0,MIN(1,W200)))^2/$B$5))))&lt;0.000000001,0,X200-$B$11/$B$9*((MAX(0,MIN(1,X200))^2/(MAX(0,MIN(1,X200))^2+(1-MAX(0,MIN(1,X200)))^2/$B$5))-(MAX(0,MIN(1,W200))^2/(MAX(0,MIN(1,W200))^2+(1-MAX(0,MIN(1,W200)))^2/$B$5))))</f>
        <v>0.879123918736378</v>
      </c>
      <c r="Y201" s="16" t="n">
        <f aca="false">IF(ABS(Y200-$B$11/$B$9*((MAX(0,MIN(1,Y200))^2/(MAX(0,MIN(1,Y200))^2+(1-MAX(0,MIN(1,Y200)))^2/$B$5))-(MAX(0,MIN(1,X200))^2/(MAX(0,MIN(1,X200))^2+(1-MAX(0,MIN(1,X200)))^2/$B$5))))&lt;0.000000001,0,Y200-$B$11/$B$9*((MAX(0,MIN(1,Y200))^2/(MAX(0,MIN(1,Y200))^2+(1-MAX(0,MIN(1,Y200)))^2/$B$5))-(MAX(0,MIN(1,X200))^2/(MAX(0,MIN(1,X200))^2+(1-MAX(0,MIN(1,X200)))^2/$B$5))))</f>
        <v>0.87249603830462</v>
      </c>
      <c r="Z201" s="16" t="n">
        <f aca="false">IF(ABS(Z200-$B$11/$B$9*((MAX(0,MIN(1,Z200))^2/(MAX(0,MIN(1,Z200))^2+(1-MAX(0,MIN(1,Z200)))^2/$B$5))-(MAX(0,MIN(1,Y200))^2/(MAX(0,MIN(1,Y200))^2+(1-MAX(0,MIN(1,Y200)))^2/$B$5))))&lt;0.000000001,0,Z200-$B$11/$B$9*((MAX(0,MIN(1,Z200))^2/(MAX(0,MIN(1,Z200))^2+(1-MAX(0,MIN(1,Z200)))^2/$B$5))-(MAX(0,MIN(1,Y200))^2/(MAX(0,MIN(1,Y200))^2+(1-MAX(0,MIN(1,Y200)))^2/$B$5))))</f>
        <v>0.866090698910074</v>
      </c>
      <c r="AA201" s="16" t="n">
        <f aca="false">IF(ABS(AA200-$B$11/$B$9*((MAX(0,MIN(1,AA200))^2/(MAX(0,MIN(1,AA200))^2+(1-MAX(0,MIN(1,AA200)))^2/$B$5))-(MAX(0,MIN(1,Z200))^2/(MAX(0,MIN(1,Z200))^2+(1-MAX(0,MIN(1,Z200)))^2/$B$5))))&lt;0.000000001,0,AA200-$B$11/$B$9*((MAX(0,MIN(1,AA200))^2/(MAX(0,MIN(1,AA200))^2+(1-MAX(0,MIN(1,AA200)))^2/$B$5))-(MAX(0,MIN(1,Z200))^2/(MAX(0,MIN(1,Z200))^2+(1-MAX(0,MIN(1,Z200)))^2/$B$5))))</f>
        <v>0.859890928117944</v>
      </c>
      <c r="AB201" s="16" t="n">
        <f aca="false">IF(ABS(AB200-$B$11/$B$9*((MAX(0,MIN(1,AB200))^2/(MAX(0,MIN(1,AB200))^2+(1-MAX(0,MIN(1,AB200)))^2/$B$5))-(MAX(0,MIN(1,AA200))^2/(MAX(0,MIN(1,AA200))^2+(1-MAX(0,MIN(1,AA200)))^2/$B$5))))&lt;0.000000001,0,AB200-$B$11/$B$9*((MAX(0,MIN(1,AB200))^2/(MAX(0,MIN(1,AB200))^2+(1-MAX(0,MIN(1,AB200)))^2/$B$5))-(MAX(0,MIN(1,AA200))^2/(MAX(0,MIN(1,AA200))^2+(1-MAX(0,MIN(1,AA200)))^2/$B$5))))</f>
        <v>0.853881756042548</v>
      </c>
      <c r="AC201" s="16" t="n">
        <f aca="false">IF(ABS(AC200-$B$11/$B$9*((MAX(0,MIN(1,AC200))^2/(MAX(0,MIN(1,AC200))^2+(1-MAX(0,MIN(1,AC200)))^2/$B$5))-(MAX(0,MIN(1,AB200))^2/(MAX(0,MIN(1,AB200))^2+(1-MAX(0,MIN(1,AB200)))^2/$B$5))))&lt;0.000000001,0,AC200-$B$11/$B$9*((MAX(0,MIN(1,AC200))^2/(MAX(0,MIN(1,AC200))^2+(1-MAX(0,MIN(1,AC200)))^2/$B$5))-(MAX(0,MIN(1,AB200))^2/(MAX(0,MIN(1,AB200))^2+(1-MAX(0,MIN(1,AB200)))^2/$B$5))))</f>
        <v>0.84804987997529</v>
      </c>
      <c r="AD201" s="16" t="n">
        <f aca="false">IF(ABS(AD200-$B$11/$B$9*((MAX(0,MIN(1,AD200))^2/(MAX(0,MIN(1,AD200))^2+(1-MAX(0,MIN(1,AD200)))^2/$B$5))-(MAX(0,MIN(1,AC200))^2/(MAX(0,MIN(1,AC200))^2+(1-MAX(0,MIN(1,AC200)))^2/$B$5))))&lt;0.000000001,0,AD200-$B$11/$B$9*((MAX(0,MIN(1,AD200))^2/(MAX(0,MIN(1,AD200))^2+(1-MAX(0,MIN(1,AD200)))^2/$B$5))-(MAX(0,MIN(1,AC200))^2/(MAX(0,MIN(1,AC200))^2+(1-MAX(0,MIN(1,AC200)))^2/$B$5))))</f>
        <v>0.842383402820089</v>
      </c>
      <c r="AE201" s="16" t="n">
        <f aca="false">IF(ABS(AE200-$B$11/$B$9*((MAX(0,MIN(1,AE200))^2/(MAX(0,MIN(1,AE200))^2+(1-MAX(0,MIN(1,AE200)))^2/$B$5))-(MAX(0,MIN(1,AD200))^2/(MAX(0,MIN(1,AD200))^2+(1-MAX(0,MIN(1,AD200)))^2/$B$5))))&lt;0.000000001,0,AE200-$B$11/$B$9*((MAX(0,MIN(1,AE200))^2/(MAX(0,MIN(1,AE200))^2+(1-MAX(0,MIN(1,AE200)))^2/$B$5))-(MAX(0,MIN(1,AD200))^2/(MAX(0,MIN(1,AD200))^2+(1-MAX(0,MIN(1,AD200)))^2/$B$5))))</f>
        <v>0.836871625254265</v>
      </c>
      <c r="AF201" s="16" t="n">
        <f aca="false">IF(ABS(AF200-$B$11/$B$9*((MAX(0,MIN(1,AF200))^2/(MAX(0,MIN(1,AF200))^2+(1-MAX(0,MIN(1,AF200)))^2/$B$5))-(MAX(0,MIN(1,AE200))^2/(MAX(0,MIN(1,AE200))^2+(1-MAX(0,MIN(1,AE200)))^2/$B$5))))&lt;0.000000001,0,AF200-$B$11/$B$9*((MAX(0,MIN(1,AF200))^2/(MAX(0,MIN(1,AF200))^2+(1-MAX(0,MIN(1,AF200)))^2/$B$5))-(MAX(0,MIN(1,AE200))^2/(MAX(0,MIN(1,AE200))^2+(1-MAX(0,MIN(1,AE200)))^2/$B$5))))</f>
        <v>0.831504877948445</v>
      </c>
    </row>
    <row r="202" customFormat="false" ht="15" hidden="false" customHeight="false" outlineLevel="0" collapsed="false">
      <c r="L202" s="0" t="n">
        <v>192</v>
      </c>
      <c r="M202" s="16" t="n">
        <f aca="false">IF(ABS(M201-$B$11/$B$9*((MAX(0,MIN(1,M201))^2/(MAX(0,MIN(1,M201))^2+(1-MAX(0,MIN(1,M201)))^2/$B$5))-(MAX(0,MIN(1,1))^2/(MAX(0,MIN(1,1))^2+(1-MAX(0,MIN(1,1)))^2/$B$5))))&lt;0.000000001,0,M201-$B$11/$B$9*((MAX(0,MIN(1,M201))^2/(MAX(0,MIN(1,M201))^2+(1-MAX(0,MIN(1,M201)))^2/$B$5))-(MAX(0,MIN(1,1))^2/(MAX(0,MIN(1,1))^2+(1-MAX(0,MIN(1,1)))^2/$B$5))))</f>
        <v>0.9777253235777</v>
      </c>
      <c r="N202" s="16" t="n">
        <f aca="false">IF(ABS(N201-$B$11/$B$9*((MAX(0,MIN(1,N201))^2/(MAX(0,MIN(1,N201))^2+(1-MAX(0,MIN(1,N201)))^2/$B$5))-(MAX(0,MIN(1,M201))^2/(MAX(0,MIN(1,M201))^2+(1-MAX(0,MIN(1,M201)))^2/$B$5))))&lt;0.000000001,0,N201-$B$11/$B$9*((MAX(0,MIN(1,N201))^2/(MAX(0,MIN(1,N201))^2+(1-MAX(0,MIN(1,N201)))^2/$B$5))-(MAX(0,MIN(1,M201))^2/(MAX(0,MIN(1,M201))^2+(1-MAX(0,MIN(1,M201)))^2/$B$5))))</f>
        <v>0.96503164475991</v>
      </c>
      <c r="O202" s="16" t="n">
        <f aca="false">IF(ABS(O201-$B$11/$B$9*((MAX(0,MIN(1,O201))^2/(MAX(0,MIN(1,O201))^2+(1-MAX(0,MIN(1,O201)))^2/$B$5))-(MAX(0,MIN(1,N201))^2/(MAX(0,MIN(1,N201))^2+(1-MAX(0,MIN(1,N201)))^2/$B$5))))&lt;0.000000001,0,O201-$B$11/$B$9*((MAX(0,MIN(1,O201))^2/(MAX(0,MIN(1,O201))^2+(1-MAX(0,MIN(1,O201)))^2/$B$5))-(MAX(0,MIN(1,N201))^2/(MAX(0,MIN(1,N201))^2+(1-MAX(0,MIN(1,N201)))^2/$B$5))))</f>
        <v>0.953894212531251</v>
      </c>
      <c r="P202" s="16" t="n">
        <f aca="false">IF(ABS(P201-$B$11/$B$9*((MAX(0,MIN(1,P201))^2/(MAX(0,MIN(1,P201))^2+(1-MAX(0,MIN(1,P201)))^2/$B$5))-(MAX(0,MIN(1,O201))^2/(MAX(0,MIN(1,O201))^2+(1-MAX(0,MIN(1,O201)))^2/$B$5))))&lt;0.000000001,0,P201-$B$11/$B$9*((MAX(0,MIN(1,P201))^2/(MAX(0,MIN(1,P201))^2+(1-MAX(0,MIN(1,P201)))^2/$B$5))-(MAX(0,MIN(1,O201))^2/(MAX(0,MIN(1,O201))^2+(1-MAX(0,MIN(1,O201)))^2/$B$5))))</f>
        <v>0.943692298880756</v>
      </c>
      <c r="Q202" s="16" t="n">
        <f aca="false">IF(ABS(Q201-$B$11/$B$9*((MAX(0,MIN(1,Q201))^2/(MAX(0,MIN(1,Q201))^2+(1-MAX(0,MIN(1,Q201)))^2/$B$5))-(MAX(0,MIN(1,P201))^2/(MAX(0,MIN(1,P201))^2+(1-MAX(0,MIN(1,P201)))^2/$B$5))))&lt;0.000000001,0,Q201-$B$11/$B$9*((MAX(0,MIN(1,Q201))^2/(MAX(0,MIN(1,Q201))^2+(1-MAX(0,MIN(1,Q201)))^2/$B$5))-(MAX(0,MIN(1,P201))^2/(MAX(0,MIN(1,P201))^2+(1-MAX(0,MIN(1,P201)))^2/$B$5))))</f>
        <v>0.934180760022895</v>
      </c>
      <c r="R202" s="16" t="n">
        <f aca="false">IF(ABS(R201-$B$11/$B$9*((MAX(0,MIN(1,R201))^2/(MAX(0,MIN(1,R201))^2+(1-MAX(0,MIN(1,R201)))^2/$B$5))-(MAX(0,MIN(1,Q201))^2/(MAX(0,MIN(1,Q201))^2+(1-MAX(0,MIN(1,Q201)))^2/$B$5))))&lt;0.000000001,0,R201-$B$11/$B$9*((MAX(0,MIN(1,R201))^2/(MAX(0,MIN(1,R201))^2+(1-MAX(0,MIN(1,R201)))^2/$B$5))-(MAX(0,MIN(1,Q201))^2/(MAX(0,MIN(1,Q201))^2+(1-MAX(0,MIN(1,Q201)))^2/$B$5))))</f>
        <v>0.925225023400364</v>
      </c>
      <c r="S202" s="16" t="n">
        <f aca="false">IF(ABS(S201-$B$11/$B$9*((MAX(0,MIN(1,S201))^2/(MAX(0,MIN(1,S201))^2+(1-MAX(0,MIN(1,S201)))^2/$B$5))-(MAX(0,MIN(1,R201))^2/(MAX(0,MIN(1,R201))^2+(1-MAX(0,MIN(1,R201)))^2/$B$5))))&lt;0.000000001,0,S201-$B$11/$B$9*((MAX(0,MIN(1,S201))^2/(MAX(0,MIN(1,S201))^2+(1-MAX(0,MIN(1,S201)))^2/$B$5))-(MAX(0,MIN(1,R201))^2/(MAX(0,MIN(1,R201))^2+(1-MAX(0,MIN(1,R201)))^2/$B$5))))</f>
        <v>0.916737786074674</v>
      </c>
      <c r="T202" s="16" t="n">
        <f aca="false">IF(ABS(T201-$B$11/$B$9*((MAX(0,MIN(1,T201))^2/(MAX(0,MIN(1,T201))^2+(1-MAX(0,MIN(1,T201)))^2/$B$5))-(MAX(0,MIN(1,S201))^2/(MAX(0,MIN(1,S201))^2+(1-MAX(0,MIN(1,S201)))^2/$B$5))))&lt;0.000000001,0,T201-$B$11/$B$9*((MAX(0,MIN(1,T201))^2/(MAX(0,MIN(1,T201))^2+(1-MAX(0,MIN(1,T201)))^2/$B$5))-(MAX(0,MIN(1,S201))^2/(MAX(0,MIN(1,S201))^2+(1-MAX(0,MIN(1,S201)))^2/$B$5))))</f>
        <v>0.90865653693459</v>
      </c>
      <c r="U202" s="16" t="n">
        <f aca="false">IF(ABS(U201-$B$11/$B$9*((MAX(0,MIN(1,U201))^2/(MAX(0,MIN(1,U201))^2+(1-MAX(0,MIN(1,U201)))^2/$B$5))-(MAX(0,MIN(1,T201))^2/(MAX(0,MIN(1,T201))^2+(1-MAX(0,MIN(1,T201)))^2/$B$5))))&lt;0.000000001,0,U201-$B$11/$B$9*((MAX(0,MIN(1,U201))^2/(MAX(0,MIN(1,U201))^2+(1-MAX(0,MIN(1,U201)))^2/$B$5))-(MAX(0,MIN(1,T201))^2/(MAX(0,MIN(1,T201))^2+(1-MAX(0,MIN(1,T201)))^2/$B$5))))</f>
        <v>0.900933598671915</v>
      </c>
      <c r="V202" s="16" t="n">
        <f aca="false">IF(ABS(V201-$B$11/$B$9*((MAX(0,MIN(1,V201))^2/(MAX(0,MIN(1,V201))^2+(1-MAX(0,MIN(1,V201)))^2/$B$5))-(MAX(0,MIN(1,U201))^2/(MAX(0,MIN(1,U201))^2+(1-MAX(0,MIN(1,U201)))^2/$B$5))))&lt;0.000000001,0,V201-$B$11/$B$9*((MAX(0,MIN(1,V201))^2/(MAX(0,MIN(1,V201))^2+(1-MAX(0,MIN(1,V201)))^2/$B$5))-(MAX(0,MIN(1,U201))^2/(MAX(0,MIN(1,U201))^2+(1-MAX(0,MIN(1,U201)))^2/$B$5))))</f>
        <v>0.893531019167059</v>
      </c>
      <c r="W202" s="16" t="n">
        <f aca="false">IF(ABS(W201-$B$11/$B$9*((MAX(0,MIN(1,W201))^2/(MAX(0,MIN(1,W201))^2+(1-MAX(0,MIN(1,W201)))^2/$B$5))-(MAX(0,MIN(1,V201))^2/(MAX(0,MIN(1,V201))^2+(1-MAX(0,MIN(1,V201)))^2/$B$5))))&lt;0.000000001,0,W201-$B$11/$B$9*((MAX(0,MIN(1,W201))^2/(MAX(0,MIN(1,W201))^2+(1-MAX(0,MIN(1,W201)))^2/$B$5))-(MAX(0,MIN(1,V201))^2/(MAX(0,MIN(1,V201))^2+(1-MAX(0,MIN(1,V201)))^2/$B$5))))</f>
        <v>0.886417658250193</v>
      </c>
      <c r="X202" s="16" t="n">
        <f aca="false">IF(ABS(X201-$B$11/$B$9*((MAX(0,MIN(1,X201))^2/(MAX(0,MIN(1,X201))^2+(1-MAX(0,MIN(1,X201)))^2/$B$5))-(MAX(0,MIN(1,W201))^2/(MAX(0,MIN(1,W201))^2+(1-MAX(0,MIN(1,W201)))^2/$B$5))))&lt;0.000000001,0,X201-$B$11/$B$9*((MAX(0,MIN(1,X201))^2/(MAX(0,MIN(1,X201))^2+(1-MAX(0,MIN(1,X201)))^2/$B$5))-(MAX(0,MIN(1,W201))^2/(MAX(0,MIN(1,W201))^2+(1-MAX(0,MIN(1,W201)))^2/$B$5))))</f>
        <v>0.879567388028709</v>
      </c>
      <c r="Y202" s="16" t="n">
        <f aca="false">IF(ABS(Y201-$B$11/$B$9*((MAX(0,MIN(1,Y201))^2/(MAX(0,MIN(1,Y201))^2+(1-MAX(0,MIN(1,Y201)))^2/$B$5))-(MAX(0,MIN(1,X201))^2/(MAX(0,MIN(1,X201))^2+(1-MAX(0,MIN(1,X201)))^2/$B$5))))&lt;0.000000001,0,Y201-$B$11/$B$9*((MAX(0,MIN(1,Y201))^2/(MAX(0,MIN(1,Y201))^2+(1-MAX(0,MIN(1,Y201)))^2/$B$5))-(MAX(0,MIN(1,X201))^2/(MAX(0,MIN(1,X201))^2+(1-MAX(0,MIN(1,X201)))^2/$B$5))))</f>
        <v>0.872957909667049</v>
      </c>
      <c r="Z202" s="16" t="n">
        <f aca="false">IF(ABS(Z201-$B$11/$B$9*((MAX(0,MIN(1,Z201))^2/(MAX(0,MIN(1,Z201))^2+(1-MAX(0,MIN(1,Z201)))^2/$B$5))-(MAX(0,MIN(1,Y201))^2/(MAX(0,MIN(1,Y201))^2+(1-MAX(0,MIN(1,Y201)))^2/$B$5))))&lt;0.000000001,0,Z201-$B$11/$B$9*((MAX(0,MIN(1,Z201))^2/(MAX(0,MIN(1,Z201))^2+(1-MAX(0,MIN(1,Z201)))^2/$B$5))-(MAX(0,MIN(1,Y201))^2/(MAX(0,MIN(1,Y201))^2+(1-MAX(0,MIN(1,Y201)))^2/$B$5))))</f>
        <v>0.866569936017334</v>
      </c>
      <c r="AA202" s="16" t="n">
        <f aca="false">IF(ABS(AA201-$B$11/$B$9*((MAX(0,MIN(1,AA201))^2/(MAX(0,MIN(1,AA201))^2+(1-MAX(0,MIN(1,AA201)))^2/$B$5))-(MAX(0,MIN(1,Z201))^2/(MAX(0,MIN(1,Z201))^2+(1-MAX(0,MIN(1,Z201)))^2/$B$5))))&lt;0.000000001,0,AA201-$B$11/$B$9*((MAX(0,MIN(1,AA201))^2/(MAX(0,MIN(1,AA201))^2+(1-MAX(0,MIN(1,AA201)))^2/$B$5))-(MAX(0,MIN(1,Z201))^2/(MAX(0,MIN(1,Z201))^2+(1-MAX(0,MIN(1,Z201)))^2/$B$5))))</f>
        <v>0.860386604032381</v>
      </c>
      <c r="AB202" s="16" t="n">
        <f aca="false">IF(ABS(AB201-$B$11/$B$9*((MAX(0,MIN(1,AB201))^2/(MAX(0,MIN(1,AB201))^2+(1-MAX(0,MIN(1,AB201)))^2/$B$5))-(MAX(0,MIN(1,AA201))^2/(MAX(0,MIN(1,AA201))^2+(1-MAX(0,MIN(1,AA201)))^2/$B$5))))&lt;0.000000001,0,AB201-$B$11/$B$9*((MAX(0,MIN(1,AB201))^2/(MAX(0,MIN(1,AB201))^2+(1-MAX(0,MIN(1,AB201)))^2/$B$5))-(MAX(0,MIN(1,AA201))^2/(MAX(0,MIN(1,AA201))^2+(1-MAX(0,MIN(1,AA201)))^2/$B$5))))</f>
        <v>0.854393038425871</v>
      </c>
      <c r="AC202" s="16" t="n">
        <f aca="false">IF(ABS(AC201-$B$11/$B$9*((MAX(0,MIN(1,AC201))^2/(MAX(0,MIN(1,AC201))^2+(1-MAX(0,MIN(1,AC201)))^2/$B$5))-(MAX(0,MIN(1,AB201))^2/(MAX(0,MIN(1,AB201))^2+(1-MAX(0,MIN(1,AB201)))^2/$B$5))))&lt;0.000000001,0,AC201-$B$11/$B$9*((MAX(0,MIN(1,AC201))^2/(MAX(0,MIN(1,AC201))^2+(1-MAX(0,MIN(1,AC201)))^2/$B$5))-(MAX(0,MIN(1,AB201))^2/(MAX(0,MIN(1,AB201))^2+(1-MAX(0,MIN(1,AB201)))^2/$B$5))))</f>
        <v>0.848576018868545</v>
      </c>
      <c r="AD202" s="16" t="n">
        <f aca="false">IF(ABS(AD201-$B$11/$B$9*((MAX(0,MIN(1,AD201))^2/(MAX(0,MIN(1,AD201))^2+(1-MAX(0,MIN(1,AD201)))^2/$B$5))-(MAX(0,MIN(1,AC201))^2/(MAX(0,MIN(1,AC201))^2+(1-MAX(0,MIN(1,AC201)))^2/$B$5))))&lt;0.000000001,0,AD201-$B$11/$B$9*((MAX(0,MIN(1,AD201))^2/(MAX(0,MIN(1,AD201))^2+(1-MAX(0,MIN(1,AD201)))^2/$B$5))-(MAX(0,MIN(1,AC201))^2/(MAX(0,MIN(1,AC201))^2+(1-MAX(0,MIN(1,AC201)))^2/$B$5))))</f>
        <v>0.842923720445458</v>
      </c>
      <c r="AE202" s="16" t="n">
        <f aca="false">IF(ABS(AE201-$B$11/$B$9*((MAX(0,MIN(1,AE201))^2/(MAX(0,MIN(1,AE201))^2+(1-MAX(0,MIN(1,AE201)))^2/$B$5))-(MAX(0,MIN(1,AD201))^2/(MAX(0,MIN(1,AD201))^2+(1-MAX(0,MIN(1,AD201)))^2/$B$5))))&lt;0.000000001,0,AE201-$B$11/$B$9*((MAX(0,MIN(1,AE201))^2/(MAX(0,MIN(1,AE201))^2+(1-MAX(0,MIN(1,AE201)))^2/$B$5))-(MAX(0,MIN(1,AD201))^2/(MAX(0,MIN(1,AD201))^2+(1-MAX(0,MIN(1,AD201)))^2/$B$5))))</f>
        <v>0.837425507431452</v>
      </c>
      <c r="AF202" s="16" t="n">
        <f aca="false">IF(ABS(AF201-$B$11/$B$9*((MAX(0,MIN(1,AF201))^2/(MAX(0,MIN(1,AF201))^2+(1-MAX(0,MIN(1,AF201)))^2/$B$5))-(MAX(0,MIN(1,AE201))^2/(MAX(0,MIN(1,AE201))^2+(1-MAX(0,MIN(1,AE201)))^2/$B$5))))&lt;0.000000001,0,AF201-$B$11/$B$9*((MAX(0,MIN(1,AF201))^2/(MAX(0,MIN(1,AF201))^2+(1-MAX(0,MIN(1,AF201)))^2/$B$5))-(MAX(0,MIN(1,AE201))^2/(MAX(0,MIN(1,AE201))^2+(1-MAX(0,MIN(1,AE201)))^2/$B$5))))</f>
        <v>0.832071766816297</v>
      </c>
    </row>
    <row r="203" customFormat="false" ht="15" hidden="false" customHeight="false" outlineLevel="0" collapsed="false">
      <c r="L203" s="0" t="n">
        <v>193</v>
      </c>
      <c r="M203" s="16" t="n">
        <f aca="false">IF(ABS(M202-$B$11/$B$9*((MAX(0,MIN(1,M202))^2/(MAX(0,MIN(1,M202))^2+(1-MAX(0,MIN(1,M202)))^2/$B$5))-(MAX(0,MIN(1,1))^2/(MAX(0,MIN(1,1))^2+(1-MAX(0,MIN(1,1)))^2/$B$5))))&lt;0.000000001,0,M202-$B$11/$B$9*((MAX(0,MIN(1,M202))^2/(MAX(0,MIN(1,M202))^2+(1-MAX(0,MIN(1,M202)))^2/$B$5))-(MAX(0,MIN(1,1))^2/(MAX(0,MIN(1,1))^2+(1-MAX(0,MIN(1,1)))^2/$B$5))))</f>
        <v>0.977825088573008</v>
      </c>
      <c r="N203" s="16" t="n">
        <f aca="false">IF(ABS(N202-$B$11/$B$9*((MAX(0,MIN(1,N202))^2/(MAX(0,MIN(1,N202))^2+(1-MAX(0,MIN(1,N202)))^2/$B$5))-(MAX(0,MIN(1,M202))^2/(MAX(0,MIN(1,M202))^2+(1-MAX(0,MIN(1,M202)))^2/$B$5))))&lt;0.000000001,0,N202-$B$11/$B$9*((MAX(0,MIN(1,N202))^2/(MAX(0,MIN(1,N202))^2+(1-MAX(0,MIN(1,N202)))^2/$B$5))-(MAX(0,MIN(1,M202))^2/(MAX(0,MIN(1,M202))^2+(1-MAX(0,MIN(1,M202)))^2/$B$5))))</f>
        <v>0.965184160492689</v>
      </c>
      <c r="O203" s="16" t="n">
        <f aca="false">IF(ABS(O202-$B$11/$B$9*((MAX(0,MIN(1,O202))^2/(MAX(0,MIN(1,O202))^2+(1-MAX(0,MIN(1,O202)))^2/$B$5))-(MAX(0,MIN(1,N202))^2/(MAX(0,MIN(1,N202))^2+(1-MAX(0,MIN(1,N202)))^2/$B$5))))&lt;0.000000001,0,O202-$B$11/$B$9*((MAX(0,MIN(1,O202))^2/(MAX(0,MIN(1,O202))^2+(1-MAX(0,MIN(1,O202)))^2/$B$5))-(MAX(0,MIN(1,N202))^2/(MAX(0,MIN(1,N202))^2+(1-MAX(0,MIN(1,N202)))^2/$B$5))))</f>
        <v>0.954090579304279</v>
      </c>
      <c r="P203" s="16" t="n">
        <f aca="false">IF(ABS(P202-$B$11/$B$9*((MAX(0,MIN(1,P202))^2/(MAX(0,MIN(1,P202))^2+(1-MAX(0,MIN(1,P202)))^2/$B$5))-(MAX(0,MIN(1,O202))^2/(MAX(0,MIN(1,O202))^2+(1-MAX(0,MIN(1,O202)))^2/$B$5))))&lt;0.000000001,0,P202-$B$11/$B$9*((MAX(0,MIN(1,P202))^2/(MAX(0,MIN(1,P202))^2+(1-MAX(0,MIN(1,P202)))^2/$B$5))-(MAX(0,MIN(1,O202))^2/(MAX(0,MIN(1,O202))^2+(1-MAX(0,MIN(1,O202)))^2/$B$5))))</f>
        <v>0.943926939967368</v>
      </c>
      <c r="Q203" s="16" t="n">
        <f aca="false">IF(ABS(Q202-$B$11/$B$9*((MAX(0,MIN(1,Q202))^2/(MAX(0,MIN(1,Q202))^2+(1-MAX(0,MIN(1,Q202)))^2/$B$5))-(MAX(0,MIN(1,P202))^2/(MAX(0,MIN(1,P202))^2+(1-MAX(0,MIN(1,P202)))^2/$B$5))))&lt;0.000000001,0,Q202-$B$11/$B$9*((MAX(0,MIN(1,Q202))^2/(MAX(0,MIN(1,Q202))^2+(1-MAX(0,MIN(1,Q202)))^2/$B$5))-(MAX(0,MIN(1,P202))^2/(MAX(0,MIN(1,P202))^2+(1-MAX(0,MIN(1,P202)))^2/$B$5))))</f>
        <v>0.934449541855844</v>
      </c>
      <c r="R203" s="16" t="n">
        <f aca="false">IF(ABS(R202-$B$11/$B$9*((MAX(0,MIN(1,R202))^2/(MAX(0,MIN(1,R202))^2+(1-MAX(0,MIN(1,R202)))^2/$B$5))-(MAX(0,MIN(1,Q202))^2/(MAX(0,MIN(1,Q202))^2+(1-MAX(0,MIN(1,Q202)))^2/$B$5))))&lt;0.000000001,0,R202-$B$11/$B$9*((MAX(0,MIN(1,R202))^2/(MAX(0,MIN(1,R202))^2+(1-MAX(0,MIN(1,R202)))^2/$B$5))-(MAX(0,MIN(1,Q202))^2/(MAX(0,MIN(1,Q202))^2+(1-MAX(0,MIN(1,Q202)))^2/$B$5))))</f>
        <v>0.925524662702932</v>
      </c>
      <c r="S203" s="16" t="n">
        <f aca="false">IF(ABS(S202-$B$11/$B$9*((MAX(0,MIN(1,S202))^2/(MAX(0,MIN(1,S202))^2+(1-MAX(0,MIN(1,S202)))^2/$B$5))-(MAX(0,MIN(1,R202))^2/(MAX(0,MIN(1,R202))^2+(1-MAX(0,MIN(1,R202)))^2/$B$5))))&lt;0.000000001,0,S202-$B$11/$B$9*((MAX(0,MIN(1,S202))^2/(MAX(0,MIN(1,S202))^2+(1-MAX(0,MIN(1,S202)))^2/$B$5))-(MAX(0,MIN(1,R202))^2/(MAX(0,MIN(1,R202))^2+(1-MAX(0,MIN(1,R202)))^2/$B$5))))</f>
        <v>0.917065577184246</v>
      </c>
      <c r="T203" s="16" t="n">
        <f aca="false">IF(ABS(T202-$B$11/$B$9*((MAX(0,MIN(1,T202))^2/(MAX(0,MIN(1,T202))^2+(1-MAX(0,MIN(1,T202)))^2/$B$5))-(MAX(0,MIN(1,S202))^2/(MAX(0,MIN(1,S202))^2+(1-MAX(0,MIN(1,S202)))^2/$B$5))))&lt;0.000000001,0,T202-$B$11/$B$9*((MAX(0,MIN(1,T202))^2/(MAX(0,MIN(1,T202))^2+(1-MAX(0,MIN(1,T202)))^2/$B$5))-(MAX(0,MIN(1,S202))^2/(MAX(0,MIN(1,S202))^2+(1-MAX(0,MIN(1,S202)))^2/$B$5))))</f>
        <v>0.909010198715039</v>
      </c>
      <c r="U203" s="16" t="n">
        <f aca="false">IF(ABS(U202-$B$11/$B$9*((MAX(0,MIN(1,U202))^2/(MAX(0,MIN(1,U202))^2+(1-MAX(0,MIN(1,U202)))^2/$B$5))-(MAX(0,MIN(1,T202))^2/(MAX(0,MIN(1,T202))^2+(1-MAX(0,MIN(1,T202)))^2/$B$5))))&lt;0.000000001,0,U202-$B$11/$B$9*((MAX(0,MIN(1,U202))^2/(MAX(0,MIN(1,U202))^2+(1-MAX(0,MIN(1,U202)))^2/$B$5))-(MAX(0,MIN(1,T202))^2/(MAX(0,MIN(1,T202))^2+(1-MAX(0,MIN(1,T202)))^2/$B$5))))</f>
        <v>0.901311177490358</v>
      </c>
      <c r="V203" s="16" t="n">
        <f aca="false">IF(ABS(V202-$B$11/$B$9*((MAX(0,MIN(1,V202))^2/(MAX(0,MIN(1,V202))^2+(1-MAX(0,MIN(1,V202)))^2/$B$5))-(MAX(0,MIN(1,U202))^2/(MAX(0,MIN(1,U202))^2+(1-MAX(0,MIN(1,U202)))^2/$B$5))))&lt;0.000000001,0,V202-$B$11/$B$9*((MAX(0,MIN(1,V202))^2/(MAX(0,MIN(1,V202))^2+(1-MAX(0,MIN(1,V202)))^2/$B$5))-(MAX(0,MIN(1,U202))^2/(MAX(0,MIN(1,U202))^2+(1-MAX(0,MIN(1,U202)))^2/$B$5))))</f>
        <v>0.893930822348885</v>
      </c>
      <c r="W203" s="16" t="n">
        <f aca="false">IF(ABS(W202-$B$11/$B$9*((MAX(0,MIN(1,W202))^2/(MAX(0,MIN(1,W202))^2+(1-MAX(0,MIN(1,W202)))^2/$B$5))-(MAX(0,MIN(1,V202))^2/(MAX(0,MIN(1,V202))^2+(1-MAX(0,MIN(1,V202)))^2/$B$5))))&lt;0.000000001,0,W202-$B$11/$B$9*((MAX(0,MIN(1,W202))^2/(MAX(0,MIN(1,W202))^2+(1-MAX(0,MIN(1,W202)))^2/$B$5))-(MAX(0,MIN(1,V202))^2/(MAX(0,MIN(1,V202))^2+(1-MAX(0,MIN(1,V202)))^2/$B$5))))</f>
        <v>0.88683820590125</v>
      </c>
      <c r="X203" s="16" t="n">
        <f aca="false">IF(ABS(X202-$B$11/$B$9*((MAX(0,MIN(1,X202))^2/(MAX(0,MIN(1,X202))^2+(1-MAX(0,MIN(1,X202)))^2/$B$5))-(MAX(0,MIN(1,W202))^2/(MAX(0,MIN(1,W202))^2+(1-MAX(0,MIN(1,W202)))^2/$B$5))))&lt;0.000000001,0,X202-$B$11/$B$9*((MAX(0,MIN(1,X202))^2/(MAX(0,MIN(1,X202))^2+(1-MAX(0,MIN(1,X202)))^2/$B$5))-(MAX(0,MIN(1,W202))^2/(MAX(0,MIN(1,W202))^2+(1-MAX(0,MIN(1,W202)))^2/$B$5))))</f>
        <v>0.880007376780991</v>
      </c>
      <c r="Y203" s="16" t="n">
        <f aca="false">IF(ABS(Y202-$B$11/$B$9*((MAX(0,MIN(1,Y202))^2/(MAX(0,MIN(1,Y202))^2+(1-MAX(0,MIN(1,Y202)))^2/$B$5))-(MAX(0,MIN(1,X202))^2/(MAX(0,MIN(1,X202))^2+(1-MAX(0,MIN(1,X202)))^2/$B$5))))&lt;0.000000001,0,Y202-$B$11/$B$9*((MAX(0,MIN(1,Y202))^2/(MAX(0,MIN(1,Y202))^2+(1-MAX(0,MIN(1,Y202)))^2/$B$5))-(MAX(0,MIN(1,X202))^2/(MAX(0,MIN(1,X202))^2+(1-MAX(0,MIN(1,X202)))^2/$B$5))))</f>
        <v>0.873416184603751</v>
      </c>
      <c r="Z203" s="16" t="n">
        <f aca="false">IF(ABS(Z202-$B$11/$B$9*((MAX(0,MIN(1,Z202))^2/(MAX(0,MIN(1,Z202))^2+(1-MAX(0,MIN(1,Z202)))^2/$B$5))-(MAX(0,MIN(1,Y202))^2/(MAX(0,MIN(1,Y202))^2+(1-MAX(0,MIN(1,Y202)))^2/$B$5))))&lt;0.000000001,0,Z202-$B$11/$B$9*((MAX(0,MIN(1,Z202))^2/(MAX(0,MIN(1,Z202))^2+(1-MAX(0,MIN(1,Z202)))^2/$B$5))-(MAX(0,MIN(1,Y202))^2/(MAX(0,MIN(1,Y202))^2+(1-MAX(0,MIN(1,Y202)))^2/$B$5))))</f>
        <v>0.867045468448646</v>
      </c>
      <c r="AA203" s="16" t="n">
        <f aca="false">IF(ABS(AA202-$B$11/$B$9*((MAX(0,MIN(1,AA202))^2/(MAX(0,MIN(1,AA202))^2+(1-MAX(0,MIN(1,AA202)))^2/$B$5))-(MAX(0,MIN(1,Z202))^2/(MAX(0,MIN(1,Z202))^2+(1-MAX(0,MIN(1,Z202)))^2/$B$5))))&lt;0.000000001,0,AA202-$B$11/$B$9*((MAX(0,MIN(1,AA202))^2/(MAX(0,MIN(1,AA202))^2+(1-MAX(0,MIN(1,AA202)))^2/$B$5))-(MAX(0,MIN(1,Z202))^2/(MAX(0,MIN(1,Z202))^2+(1-MAX(0,MIN(1,Z202)))^2/$B$5))))</f>
        <v>0.86087847359433</v>
      </c>
      <c r="AB203" s="16" t="n">
        <f aca="false">IF(ABS(AB202-$B$11/$B$9*((MAX(0,MIN(1,AB202))^2/(MAX(0,MIN(1,AB202))^2+(1-MAX(0,MIN(1,AB202)))^2/$B$5))-(MAX(0,MIN(1,AA202))^2/(MAX(0,MIN(1,AA202))^2+(1-MAX(0,MIN(1,AA202)))^2/$B$5))))&lt;0.000000001,0,AB202-$B$11/$B$9*((MAX(0,MIN(1,AB202))^2/(MAX(0,MIN(1,AB202))^2+(1-MAX(0,MIN(1,AB202)))^2/$B$5))-(MAX(0,MIN(1,AA202))^2/(MAX(0,MIN(1,AA202))^2+(1-MAX(0,MIN(1,AA202)))^2/$B$5))))</f>
        <v>0.854900418456552</v>
      </c>
      <c r="AC203" s="16" t="n">
        <f aca="false">IF(ABS(AC202-$B$11/$B$9*((MAX(0,MIN(1,AC202))^2/(MAX(0,MIN(1,AC202))^2+(1-MAX(0,MIN(1,AC202)))^2/$B$5))-(MAX(0,MIN(1,AB202))^2/(MAX(0,MIN(1,AB202))^2+(1-MAX(0,MIN(1,AB202)))^2/$B$5))))&lt;0.000000001,0,AC202-$B$11/$B$9*((MAX(0,MIN(1,AC202))^2/(MAX(0,MIN(1,AC202))^2+(1-MAX(0,MIN(1,AC202)))^2/$B$5))-(MAX(0,MIN(1,AB202))^2/(MAX(0,MIN(1,AB202))^2+(1-MAX(0,MIN(1,AB202)))^2/$B$5))))</f>
        <v>0.849098164321114</v>
      </c>
      <c r="AD203" s="16" t="n">
        <f aca="false">IF(ABS(AD202-$B$11/$B$9*((MAX(0,MIN(1,AD202))^2/(MAX(0,MIN(1,AD202))^2+(1-MAX(0,MIN(1,AD202)))^2/$B$5))-(MAX(0,MIN(1,AC202))^2/(MAX(0,MIN(1,AC202))^2+(1-MAX(0,MIN(1,AC202)))^2/$B$5))))&lt;0.000000001,0,AD202-$B$11/$B$9*((MAX(0,MIN(1,AD202))^2/(MAX(0,MIN(1,AD202))^2+(1-MAX(0,MIN(1,AD202)))^2/$B$5))-(MAX(0,MIN(1,AC202))^2/(MAX(0,MIN(1,AC202))^2+(1-MAX(0,MIN(1,AC202)))^2/$B$5))))</f>
        <v>0.843459957798456</v>
      </c>
      <c r="AE203" s="16" t="n">
        <f aca="false">IF(ABS(AE202-$B$11/$B$9*((MAX(0,MIN(1,AE202))^2/(MAX(0,MIN(1,AE202))^2+(1-MAX(0,MIN(1,AE202)))^2/$B$5))-(MAX(0,MIN(1,AD202))^2/(MAX(0,MIN(1,AD202))^2+(1-MAX(0,MIN(1,AD202)))^2/$B$5))))&lt;0.000000001,0,AE202-$B$11/$B$9*((MAX(0,MIN(1,AE202))^2/(MAX(0,MIN(1,AE202))^2+(1-MAX(0,MIN(1,AE202)))^2/$B$5))-(MAX(0,MIN(1,AD202))^2/(MAX(0,MIN(1,AD202))^2+(1-MAX(0,MIN(1,AD202)))^2/$B$5))))</f>
        <v>0.837975226194469</v>
      </c>
      <c r="AF203" s="16" t="n">
        <f aca="false">IF(ABS(AF202-$B$11/$B$9*((MAX(0,MIN(1,AF202))^2/(MAX(0,MIN(1,AF202))^2+(1-MAX(0,MIN(1,AF202)))^2/$B$5))-(MAX(0,MIN(1,AE202))^2/(MAX(0,MIN(1,AE202))^2+(1-MAX(0,MIN(1,AE202)))^2/$B$5))))&lt;0.000000001,0,AF202-$B$11/$B$9*((MAX(0,MIN(1,AF202))^2/(MAX(0,MIN(1,AF202))^2+(1-MAX(0,MIN(1,AF202)))^2/$B$5))-(MAX(0,MIN(1,AE202))^2/(MAX(0,MIN(1,AE202))^2+(1-MAX(0,MIN(1,AE202)))^2/$B$5))))</f>
        <v>0.832634412325513</v>
      </c>
    </row>
    <row r="204" customFormat="false" ht="15" hidden="false" customHeight="false" outlineLevel="0" collapsed="false">
      <c r="L204" s="0" t="n">
        <v>194</v>
      </c>
      <c r="M204" s="16" t="n">
        <f aca="false">IF(ABS(M203-$B$11/$B$9*((MAX(0,MIN(1,M203))^2/(MAX(0,MIN(1,M203))^2+(1-MAX(0,MIN(1,M203)))^2/$B$5))-(MAX(0,MIN(1,1))^2/(MAX(0,MIN(1,1))^2+(1-MAX(0,MIN(1,1)))^2/$B$5))))&lt;0.000000001,0,M203-$B$11/$B$9*((MAX(0,MIN(1,M203))^2/(MAX(0,MIN(1,M203))^2+(1-MAX(0,MIN(1,M203)))^2/$B$5))-(MAX(0,MIN(1,1))^2/(MAX(0,MIN(1,1))^2+(1-MAX(0,MIN(1,1)))^2/$B$5))))</f>
        <v>0.977923941964024</v>
      </c>
      <c r="N204" s="16" t="n">
        <f aca="false">IF(ABS(N203-$B$11/$B$9*((MAX(0,MIN(1,N203))^2/(MAX(0,MIN(1,N203))^2+(1-MAX(0,MIN(1,N203)))^2/$B$5))-(MAX(0,MIN(1,M203))^2/(MAX(0,MIN(1,M203))^2+(1-MAX(0,MIN(1,M203)))^2/$B$5))))&lt;0.000000001,0,N203-$B$11/$B$9*((MAX(0,MIN(1,N203))^2/(MAX(0,MIN(1,N203))^2+(1-MAX(0,MIN(1,N203)))^2/$B$5))-(MAX(0,MIN(1,M203))^2/(MAX(0,MIN(1,M203))^2+(1-MAX(0,MIN(1,M203)))^2/$B$5))))</f>
        <v>0.9653353144159</v>
      </c>
      <c r="O204" s="16" t="n">
        <f aca="false">IF(ABS(O203-$B$11/$B$9*((MAX(0,MIN(1,O203))^2/(MAX(0,MIN(1,O203))^2+(1-MAX(0,MIN(1,O203)))^2/$B$5))-(MAX(0,MIN(1,N203))^2/(MAX(0,MIN(1,N203))^2+(1-MAX(0,MIN(1,N203)))^2/$B$5))))&lt;0.000000001,0,O203-$B$11/$B$9*((MAX(0,MIN(1,O203))^2/(MAX(0,MIN(1,O203))^2+(1-MAX(0,MIN(1,O203)))^2/$B$5))-(MAX(0,MIN(1,N203))^2/(MAX(0,MIN(1,N203))^2+(1-MAX(0,MIN(1,N203)))^2/$B$5))))</f>
        <v>0.954285227539408</v>
      </c>
      <c r="P204" s="16" t="n">
        <f aca="false">IF(ABS(P203-$B$11/$B$9*((MAX(0,MIN(1,P203))^2/(MAX(0,MIN(1,P203))^2+(1-MAX(0,MIN(1,P203)))^2/$B$5))-(MAX(0,MIN(1,O203))^2/(MAX(0,MIN(1,O203))^2+(1-MAX(0,MIN(1,O203)))^2/$B$5))))&lt;0.000000001,0,P203-$B$11/$B$9*((MAX(0,MIN(1,P203))^2/(MAX(0,MIN(1,P203))^2+(1-MAX(0,MIN(1,P203)))^2/$B$5))-(MAX(0,MIN(1,O203))^2/(MAX(0,MIN(1,O203))^2+(1-MAX(0,MIN(1,O203)))^2/$B$5))))</f>
        <v>0.944159563942816</v>
      </c>
      <c r="Q204" s="16" t="n">
        <f aca="false">IF(ABS(Q203-$B$11/$B$9*((MAX(0,MIN(1,Q203))^2/(MAX(0,MIN(1,Q203))^2+(1-MAX(0,MIN(1,Q203)))^2/$B$5))-(MAX(0,MIN(1,P203))^2/(MAX(0,MIN(1,P203))^2+(1-MAX(0,MIN(1,P203)))^2/$B$5))))&lt;0.000000001,0,Q203-$B$11/$B$9*((MAX(0,MIN(1,Q203))^2/(MAX(0,MIN(1,Q203))^2+(1-MAX(0,MIN(1,Q203)))^2/$B$5))-(MAX(0,MIN(1,P203))^2/(MAX(0,MIN(1,P203))^2+(1-MAX(0,MIN(1,P203)))^2/$B$5))))</f>
        <v>0.934716050030723</v>
      </c>
      <c r="R204" s="16" t="n">
        <f aca="false">IF(ABS(R203-$B$11/$B$9*((MAX(0,MIN(1,R203))^2/(MAX(0,MIN(1,R203))^2+(1-MAX(0,MIN(1,R203)))^2/$B$5))-(MAX(0,MIN(1,Q203))^2/(MAX(0,MIN(1,Q203))^2+(1-MAX(0,MIN(1,Q203)))^2/$B$5))))&lt;0.000000001,0,R203-$B$11/$B$9*((MAX(0,MIN(1,R203))^2/(MAX(0,MIN(1,R203))^2+(1-MAX(0,MIN(1,R203)))^2/$B$5))-(MAX(0,MIN(1,Q203))^2/(MAX(0,MIN(1,Q203))^2+(1-MAX(0,MIN(1,Q203)))^2/$B$5))))</f>
        <v>0.925821804121441</v>
      </c>
      <c r="S204" s="16" t="n">
        <f aca="false">IF(ABS(S203-$B$11/$B$9*((MAX(0,MIN(1,S203))^2/(MAX(0,MIN(1,S203))^2+(1-MAX(0,MIN(1,S203)))^2/$B$5))-(MAX(0,MIN(1,R203))^2/(MAX(0,MIN(1,R203))^2+(1-MAX(0,MIN(1,R203)))^2/$B$5))))&lt;0.000000001,0,S203-$B$11/$B$9*((MAX(0,MIN(1,S203))^2/(MAX(0,MIN(1,S203))^2+(1-MAX(0,MIN(1,S203)))^2/$B$5))-(MAX(0,MIN(1,R203))^2/(MAX(0,MIN(1,R203))^2+(1-MAX(0,MIN(1,R203)))^2/$B$5))))</f>
        <v>0.917390671900011</v>
      </c>
      <c r="T204" s="16" t="n">
        <f aca="false">IF(ABS(T203-$B$11/$B$9*((MAX(0,MIN(1,T203))^2/(MAX(0,MIN(1,T203))^2+(1-MAX(0,MIN(1,T203)))^2/$B$5))-(MAX(0,MIN(1,S203))^2/(MAX(0,MIN(1,S203))^2+(1-MAX(0,MIN(1,S203)))^2/$B$5))))&lt;0.000000001,0,T203-$B$11/$B$9*((MAX(0,MIN(1,T203))^2/(MAX(0,MIN(1,T203))^2+(1-MAX(0,MIN(1,T203)))^2/$B$5))-(MAX(0,MIN(1,S203))^2/(MAX(0,MIN(1,S203))^2+(1-MAX(0,MIN(1,S203)))^2/$B$5))))</f>
        <v>0.909360986502207</v>
      </c>
      <c r="U204" s="16" t="n">
        <f aca="false">IF(ABS(U203-$B$11/$B$9*((MAX(0,MIN(1,U203))^2/(MAX(0,MIN(1,U203))^2+(1-MAX(0,MIN(1,U203)))^2/$B$5))-(MAX(0,MIN(1,T203))^2/(MAX(0,MIN(1,T203))^2+(1-MAX(0,MIN(1,T203)))^2/$B$5))))&lt;0.000000001,0,U203-$B$11/$B$9*((MAX(0,MIN(1,U203))^2/(MAX(0,MIN(1,U203))^2+(1-MAX(0,MIN(1,U203)))^2/$B$5))-(MAX(0,MIN(1,T203))^2/(MAX(0,MIN(1,T203))^2+(1-MAX(0,MIN(1,T203)))^2/$B$5))))</f>
        <v>0.901685721980816</v>
      </c>
      <c r="V204" s="16" t="n">
        <f aca="false">IF(ABS(V203-$B$11/$B$9*((MAX(0,MIN(1,V203))^2/(MAX(0,MIN(1,V203))^2+(1-MAX(0,MIN(1,V203)))^2/$B$5))-(MAX(0,MIN(1,U203))^2/(MAX(0,MIN(1,U203))^2+(1-MAX(0,MIN(1,U203)))^2/$B$5))))&lt;0.000000001,0,V203-$B$11/$B$9*((MAX(0,MIN(1,V203))^2/(MAX(0,MIN(1,V203))^2+(1-MAX(0,MIN(1,V203)))^2/$B$5))-(MAX(0,MIN(1,U203))^2/(MAX(0,MIN(1,U203))^2+(1-MAX(0,MIN(1,U203)))^2/$B$5))))</f>
        <v>0.894327445287941</v>
      </c>
      <c r="W204" s="16" t="n">
        <f aca="false">IF(ABS(W203-$B$11/$B$9*((MAX(0,MIN(1,W203))^2/(MAX(0,MIN(1,W203))^2+(1-MAX(0,MIN(1,W203)))^2/$B$5))-(MAX(0,MIN(1,V203))^2/(MAX(0,MIN(1,V203))^2+(1-MAX(0,MIN(1,V203)))^2/$B$5))))&lt;0.000000001,0,W203-$B$11/$B$9*((MAX(0,MIN(1,W203))^2/(MAX(0,MIN(1,W203))^2+(1-MAX(0,MIN(1,W203)))^2/$B$5))-(MAX(0,MIN(1,V203))^2/(MAX(0,MIN(1,V203))^2+(1-MAX(0,MIN(1,V203)))^2/$B$5))))</f>
        <v>0.887255439547809</v>
      </c>
      <c r="X204" s="16" t="n">
        <f aca="false">IF(ABS(X203-$B$11/$B$9*((MAX(0,MIN(1,X203))^2/(MAX(0,MIN(1,X203))^2+(1-MAX(0,MIN(1,X203)))^2/$B$5))-(MAX(0,MIN(1,W203))^2/(MAX(0,MIN(1,W203))^2+(1-MAX(0,MIN(1,W203)))^2/$B$5))))&lt;0.000000001,0,X203-$B$11/$B$9*((MAX(0,MIN(1,X203))^2/(MAX(0,MIN(1,X203))^2+(1-MAX(0,MIN(1,X203)))^2/$B$5))-(MAX(0,MIN(1,W203))^2/(MAX(0,MIN(1,W203))^2+(1-MAX(0,MIN(1,W203)))^2/$B$5))))</f>
        <v>0.880443928084186</v>
      </c>
      <c r="Y204" s="16" t="n">
        <f aca="false">IF(ABS(Y203-$B$11/$B$9*((MAX(0,MIN(1,Y203))^2/(MAX(0,MIN(1,Y203))^2+(1-MAX(0,MIN(1,Y203)))^2/$B$5))-(MAX(0,MIN(1,X203))^2/(MAX(0,MIN(1,X203))^2+(1-MAX(0,MIN(1,X203)))^2/$B$5))))&lt;0.000000001,0,Y203-$B$11/$B$9*((MAX(0,MIN(1,Y203))^2/(MAX(0,MIN(1,Y203))^2+(1-MAX(0,MIN(1,Y203)))^2/$B$5))-(MAX(0,MIN(1,X203))^2/(MAX(0,MIN(1,X203))^2+(1-MAX(0,MIN(1,X203)))^2/$B$5))))</f>
        <v>0.873870907457201</v>
      </c>
      <c r="Z204" s="16" t="n">
        <f aca="false">IF(ABS(Z203-$B$11/$B$9*((MAX(0,MIN(1,Z203))^2/(MAX(0,MIN(1,Z203))^2+(1-MAX(0,MIN(1,Z203)))^2/$B$5))-(MAX(0,MIN(1,Y203))^2/(MAX(0,MIN(1,Y203))^2+(1-MAX(0,MIN(1,Y203)))^2/$B$5))))&lt;0.000000001,0,Z203-$B$11/$B$9*((MAX(0,MIN(1,Z203))^2/(MAX(0,MIN(1,Z203))^2+(1-MAX(0,MIN(1,Z203)))^2/$B$5))-(MAX(0,MIN(1,Y203))^2/(MAX(0,MIN(1,Y203))^2+(1-MAX(0,MIN(1,Y203)))^2/$B$5))))</f>
        <v>0.86751734172251</v>
      </c>
      <c r="AA204" s="16" t="n">
        <f aca="false">IF(ABS(AA203-$B$11/$B$9*((MAX(0,MIN(1,AA203))^2/(MAX(0,MIN(1,AA203))^2+(1-MAX(0,MIN(1,AA203)))^2/$B$5))-(MAX(0,MIN(1,Z203))^2/(MAX(0,MIN(1,Z203))^2+(1-MAX(0,MIN(1,Z203)))^2/$B$5))))&lt;0.000000001,0,AA203-$B$11/$B$9*((MAX(0,MIN(1,AA203))^2/(MAX(0,MIN(1,AA203))^2+(1-MAX(0,MIN(1,AA203)))^2/$B$5))-(MAX(0,MIN(1,Z203))^2/(MAX(0,MIN(1,Z203))^2+(1-MAX(0,MIN(1,Z203)))^2/$B$5))))</f>
        <v>0.861366583436704</v>
      </c>
      <c r="AB204" s="16" t="n">
        <f aca="false">IF(ABS(AB203-$B$11/$B$9*((MAX(0,MIN(1,AB203))^2/(MAX(0,MIN(1,AB203))^2+(1-MAX(0,MIN(1,AB203)))^2/$B$5))-(MAX(0,MIN(1,AA203))^2/(MAX(0,MIN(1,AA203))^2+(1-MAX(0,MIN(1,AA203)))^2/$B$5))))&lt;0.000000001,0,AB203-$B$11/$B$9*((MAX(0,MIN(1,AB203))^2/(MAX(0,MIN(1,AB203))^2+(1-MAX(0,MIN(1,AB203)))^2/$B$5))-(MAX(0,MIN(1,AA203))^2/(MAX(0,MIN(1,AA203))^2+(1-MAX(0,MIN(1,AA203)))^2/$B$5))))</f>
        <v>0.855403943831821</v>
      </c>
      <c r="AC204" s="16" t="n">
        <f aca="false">IF(ABS(AC203-$B$11/$B$9*((MAX(0,MIN(1,AC203))^2/(MAX(0,MIN(1,AC203))^2+(1-MAX(0,MIN(1,AC203)))^2/$B$5))-(MAX(0,MIN(1,AB203))^2/(MAX(0,MIN(1,AB203))^2+(1-MAX(0,MIN(1,AB203)))^2/$B$5))))&lt;0.000000001,0,AC203-$B$11/$B$9*((MAX(0,MIN(1,AC203))^2/(MAX(0,MIN(1,AC203))^2+(1-MAX(0,MIN(1,AC203)))^2/$B$5))-(MAX(0,MIN(1,AB203))^2/(MAX(0,MIN(1,AB203))^2+(1-MAX(0,MIN(1,AB203)))^2/$B$5))))</f>
        <v>0.849616365054084</v>
      </c>
      <c r="AD204" s="16" t="n">
        <f aca="false">IF(ABS(AD203-$B$11/$B$9*((MAX(0,MIN(1,AD203))^2/(MAX(0,MIN(1,AD203))^2+(1-MAX(0,MIN(1,AD203)))^2/$B$5))-(MAX(0,MIN(1,AC203))^2/(MAX(0,MIN(1,AC203))^2+(1-MAX(0,MIN(1,AC203)))^2/$B$5))))&lt;0.000000001,0,AD203-$B$11/$B$9*((MAX(0,MIN(1,AD203))^2/(MAX(0,MIN(1,AD203))^2+(1-MAX(0,MIN(1,AD203)))^2/$B$5))-(MAX(0,MIN(1,AC203))^2/(MAX(0,MIN(1,AC203))^2+(1-MAX(0,MIN(1,AC203)))^2/$B$5))))</f>
        <v>0.843992164591747</v>
      </c>
      <c r="AE204" s="16" t="n">
        <f aca="false">IF(ABS(AE203-$B$11/$B$9*((MAX(0,MIN(1,AE203))^2/(MAX(0,MIN(1,AE203))^2+(1-MAX(0,MIN(1,AE203)))^2/$B$5))-(MAX(0,MIN(1,AD203))^2/(MAX(0,MIN(1,AD203))^2+(1-MAX(0,MIN(1,AD203)))^2/$B$5))))&lt;0.000000001,0,AE203-$B$11/$B$9*((MAX(0,MIN(1,AE203))^2/(MAX(0,MIN(1,AE203))^2+(1-MAX(0,MIN(1,AE203)))^2/$B$5))-(MAX(0,MIN(1,AD203))^2/(MAX(0,MIN(1,AD203))^2+(1-MAX(0,MIN(1,AD203)))^2/$B$5))))</f>
        <v>0.838520832222257</v>
      </c>
      <c r="AF204" s="16" t="n">
        <f aca="false">IF(ABS(AF203-$B$11/$B$9*((MAX(0,MIN(1,AF203))^2/(MAX(0,MIN(1,AF203))^2+(1-MAX(0,MIN(1,AF203)))^2/$B$5))-(MAX(0,MIN(1,AE203))^2/(MAX(0,MIN(1,AE203))^2+(1-MAX(0,MIN(1,AE203)))^2/$B$5))))&lt;0.000000001,0,AF203-$B$11/$B$9*((MAX(0,MIN(1,AF203))^2/(MAX(0,MIN(1,AF203))^2+(1-MAX(0,MIN(1,AF203)))^2/$B$5))-(MAX(0,MIN(1,AE203))^2/(MAX(0,MIN(1,AE203))^2+(1-MAX(0,MIN(1,AE203)))^2/$B$5))))</f>
        <v>0.833192866102045</v>
      </c>
    </row>
    <row r="205" customFormat="false" ht="15" hidden="false" customHeight="false" outlineLevel="0" collapsed="false">
      <c r="L205" s="0" t="n">
        <v>195</v>
      </c>
      <c r="M205" s="16" t="n">
        <f aca="false">IF(ABS(M204-$B$11/$B$9*((MAX(0,MIN(1,M204))^2/(MAX(0,MIN(1,M204))^2+(1-MAX(0,MIN(1,M204)))^2/$B$5))-(MAX(0,MIN(1,1))^2/(MAX(0,MIN(1,1))^2+(1-MAX(0,MIN(1,1)))^2/$B$5))))&lt;0.000000001,0,M204-$B$11/$B$9*((MAX(0,MIN(1,M204))^2/(MAX(0,MIN(1,M204))^2+(1-MAX(0,MIN(1,M204)))^2/$B$5))-(MAX(0,MIN(1,1))^2/(MAX(0,MIN(1,1))^2+(1-MAX(0,MIN(1,1)))^2/$B$5))))</f>
        <v>0.978021896386446</v>
      </c>
      <c r="N205" s="16" t="n">
        <f aca="false">IF(ABS(N204-$B$11/$B$9*((MAX(0,MIN(1,N204))^2/(MAX(0,MIN(1,N204))^2+(1-MAX(0,MIN(1,N204)))^2/$B$5))-(MAX(0,MIN(1,M204))^2/(MAX(0,MIN(1,M204))^2+(1-MAX(0,MIN(1,M204)))^2/$B$5))))&lt;0.000000001,0,N204-$B$11/$B$9*((MAX(0,MIN(1,N204))^2/(MAX(0,MIN(1,N204))^2+(1-MAX(0,MIN(1,N204)))^2/$B$5))-(MAX(0,MIN(1,M204))^2/(MAX(0,MIN(1,M204))^2+(1-MAX(0,MIN(1,M204)))^2/$B$5))))</f>
        <v>0.965485125029762</v>
      </c>
      <c r="O205" s="16" t="n">
        <f aca="false">IF(ABS(O204-$B$11/$B$9*((MAX(0,MIN(1,O204))^2/(MAX(0,MIN(1,O204))^2+(1-MAX(0,MIN(1,O204)))^2/$B$5))-(MAX(0,MIN(1,N204))^2/(MAX(0,MIN(1,N204))^2+(1-MAX(0,MIN(1,N204)))^2/$B$5))))&lt;0.000000001,0,O204-$B$11/$B$9*((MAX(0,MIN(1,O204))^2/(MAX(0,MIN(1,O204))^2+(1-MAX(0,MIN(1,O204)))^2/$B$5))-(MAX(0,MIN(1,N204))^2/(MAX(0,MIN(1,N204))^2+(1-MAX(0,MIN(1,N204)))^2/$B$5))))</f>
        <v>0.954478180192351</v>
      </c>
      <c r="P205" s="16" t="n">
        <f aca="false">IF(ABS(P204-$B$11/$B$9*((MAX(0,MIN(1,P204))^2/(MAX(0,MIN(1,P204))^2+(1-MAX(0,MIN(1,P204)))^2/$B$5))-(MAX(0,MIN(1,O204))^2/(MAX(0,MIN(1,O204))^2+(1-MAX(0,MIN(1,O204)))^2/$B$5))))&lt;0.000000001,0,P204-$B$11/$B$9*((MAX(0,MIN(1,P204))^2/(MAX(0,MIN(1,P204))^2+(1-MAX(0,MIN(1,P204)))^2/$B$5))-(MAX(0,MIN(1,O204))^2/(MAX(0,MIN(1,O204))^2+(1-MAX(0,MIN(1,O204)))^2/$B$5))))</f>
        <v>0.944390197362219</v>
      </c>
      <c r="Q205" s="16" t="n">
        <f aca="false">IF(ABS(Q204-$B$11/$B$9*((MAX(0,MIN(1,Q204))^2/(MAX(0,MIN(1,Q204))^2+(1-MAX(0,MIN(1,Q204)))^2/$B$5))-(MAX(0,MIN(1,P204))^2/(MAX(0,MIN(1,P204))^2+(1-MAX(0,MIN(1,P204)))^2/$B$5))))&lt;0.000000001,0,Q204-$B$11/$B$9*((MAX(0,MIN(1,Q204))^2/(MAX(0,MIN(1,Q204))^2+(1-MAX(0,MIN(1,Q204)))^2/$B$5))-(MAX(0,MIN(1,P204))^2/(MAX(0,MIN(1,P204))^2+(1-MAX(0,MIN(1,P204)))^2/$B$5))))</f>
        <v>0.934980314103802</v>
      </c>
      <c r="R205" s="16" t="n">
        <f aca="false">IF(ABS(R204-$B$11/$B$9*((MAX(0,MIN(1,R204))^2/(MAX(0,MIN(1,R204))^2+(1-MAX(0,MIN(1,R204)))^2/$B$5))-(MAX(0,MIN(1,Q204))^2/(MAX(0,MIN(1,Q204))^2+(1-MAX(0,MIN(1,Q204)))^2/$B$5))))&lt;0.000000001,0,R204-$B$11/$B$9*((MAX(0,MIN(1,R204))^2/(MAX(0,MIN(1,R204))^2+(1-MAX(0,MIN(1,R204)))^2/$B$5))-(MAX(0,MIN(1,Q204))^2/(MAX(0,MIN(1,Q204))^2+(1-MAX(0,MIN(1,Q204)))^2/$B$5))))</f>
        <v>0.926116479769797</v>
      </c>
      <c r="S205" s="16" t="n">
        <f aca="false">IF(ABS(S204-$B$11/$B$9*((MAX(0,MIN(1,S204))^2/(MAX(0,MIN(1,S204))^2+(1-MAX(0,MIN(1,S204)))^2/$B$5))-(MAX(0,MIN(1,R204))^2/(MAX(0,MIN(1,R204))^2+(1-MAX(0,MIN(1,R204)))^2/$B$5))))&lt;0.000000001,0,S204-$B$11/$B$9*((MAX(0,MIN(1,S204))^2/(MAX(0,MIN(1,S204))^2+(1-MAX(0,MIN(1,S204)))^2/$B$5))-(MAX(0,MIN(1,R204))^2/(MAX(0,MIN(1,R204))^2+(1-MAX(0,MIN(1,R204)))^2/$B$5))))</f>
        <v>0.917713104553738</v>
      </c>
      <c r="T205" s="16" t="n">
        <f aca="false">IF(ABS(T204-$B$11/$B$9*((MAX(0,MIN(1,T204))^2/(MAX(0,MIN(1,T204))^2+(1-MAX(0,MIN(1,T204)))^2/$B$5))-(MAX(0,MIN(1,S204))^2/(MAX(0,MIN(1,S204))^2+(1-MAX(0,MIN(1,S204)))^2/$B$5))))&lt;0.000000001,0,T204-$B$11/$B$9*((MAX(0,MIN(1,T204))^2/(MAX(0,MIN(1,T204))^2+(1-MAX(0,MIN(1,T204)))^2/$B$5))-(MAX(0,MIN(1,S204))^2/(MAX(0,MIN(1,S204))^2+(1-MAX(0,MIN(1,S204)))^2/$B$5))))</f>
        <v>0.90970893657983</v>
      </c>
      <c r="U205" s="16" t="n">
        <f aca="false">IF(ABS(U204-$B$11/$B$9*((MAX(0,MIN(1,U204))^2/(MAX(0,MIN(1,U204))^2+(1-MAX(0,MIN(1,U204)))^2/$B$5))-(MAX(0,MIN(1,T204))^2/(MAX(0,MIN(1,T204))^2+(1-MAX(0,MIN(1,T204)))^2/$B$5))))&lt;0.000000001,0,U204-$B$11/$B$9*((MAX(0,MIN(1,U204))^2/(MAX(0,MIN(1,U204))^2+(1-MAX(0,MIN(1,U204)))^2/$B$5))-(MAX(0,MIN(1,T204))^2/(MAX(0,MIN(1,T204))^2+(1-MAX(0,MIN(1,T204)))^2/$B$5))))</f>
        <v>0.902057270167799</v>
      </c>
      <c r="V205" s="16" t="n">
        <f aca="false">IF(ABS(V204-$B$11/$B$9*((MAX(0,MIN(1,V204))^2/(MAX(0,MIN(1,V204))^2+(1-MAX(0,MIN(1,V204)))^2/$B$5))-(MAX(0,MIN(1,U204))^2/(MAX(0,MIN(1,U204))^2+(1-MAX(0,MIN(1,U204)))^2/$B$5))))&lt;0.000000001,0,V204-$B$11/$B$9*((MAX(0,MIN(1,V204))^2/(MAX(0,MIN(1,V204))^2+(1-MAX(0,MIN(1,V204)))^2/$B$5))-(MAX(0,MIN(1,U204))^2/(MAX(0,MIN(1,U204))^2+(1-MAX(0,MIN(1,U204)))^2/$B$5))))</f>
        <v>0.894720927579942</v>
      </c>
      <c r="W205" s="16" t="n">
        <f aca="false">IF(ABS(W204-$B$11/$B$9*((MAX(0,MIN(1,W204))^2/(MAX(0,MIN(1,W204))^2+(1-MAX(0,MIN(1,W204)))^2/$B$5))-(MAX(0,MIN(1,V204))^2/(MAX(0,MIN(1,V204))^2+(1-MAX(0,MIN(1,V204)))^2/$B$5))))&lt;0.000000001,0,W204-$B$11/$B$9*((MAX(0,MIN(1,W204))^2/(MAX(0,MIN(1,W204))^2+(1-MAX(0,MIN(1,W204)))^2/$B$5))-(MAX(0,MIN(1,V204))^2/(MAX(0,MIN(1,V204))^2+(1-MAX(0,MIN(1,V204)))^2/$B$5))))</f>
        <v>0.887669400219549</v>
      </c>
      <c r="X205" s="16" t="n">
        <f aca="false">IF(ABS(X204-$B$11/$B$9*((MAX(0,MIN(1,X204))^2/(MAX(0,MIN(1,X204))^2+(1-MAX(0,MIN(1,X204)))^2/$B$5))-(MAX(0,MIN(1,W204))^2/(MAX(0,MIN(1,W204))^2+(1-MAX(0,MIN(1,W204)))^2/$B$5))))&lt;0.000000001,0,X204-$B$11/$B$9*((MAX(0,MIN(1,X204))^2/(MAX(0,MIN(1,X204))^2+(1-MAX(0,MIN(1,X204)))^2/$B$5))-(MAX(0,MIN(1,W204))^2/(MAX(0,MIN(1,W204))^2+(1-MAX(0,MIN(1,W204)))^2/$B$5))))</f>
        <v>0.880877084290244</v>
      </c>
      <c r="Y205" s="16" t="n">
        <f aca="false">IF(ABS(Y204-$B$11/$B$9*((MAX(0,MIN(1,Y204))^2/(MAX(0,MIN(1,Y204))^2+(1-MAX(0,MIN(1,Y204)))^2/$B$5))-(MAX(0,MIN(1,X204))^2/(MAX(0,MIN(1,X204))^2+(1-MAX(0,MIN(1,X204)))^2/$B$5))))&lt;0.000000001,0,Y204-$B$11/$B$9*((MAX(0,MIN(1,Y204))^2/(MAX(0,MIN(1,Y204))^2+(1-MAX(0,MIN(1,Y204)))^2/$B$5))-(MAX(0,MIN(1,X204))^2/(MAX(0,MIN(1,X204))^2+(1-MAX(0,MIN(1,X204)))^2/$B$5))))</f>
        <v>0.874322121810392</v>
      </c>
      <c r="Z205" s="16" t="n">
        <f aca="false">IF(ABS(Z204-$B$11/$B$9*((MAX(0,MIN(1,Z204))^2/(MAX(0,MIN(1,Z204))^2+(1-MAX(0,MIN(1,Z204)))^2/$B$5))-(MAX(0,MIN(1,Y204))^2/(MAX(0,MIN(1,Y204))^2+(1-MAX(0,MIN(1,Y204)))^2/$B$5))))&lt;0.000000001,0,Z204-$B$11/$B$9*((MAX(0,MIN(1,Z204))^2/(MAX(0,MIN(1,Z204))^2+(1-MAX(0,MIN(1,Z204)))^2/$B$5))-(MAX(0,MIN(1,Y204))^2/(MAX(0,MIN(1,Y204))^2+(1-MAX(0,MIN(1,Y204)))^2/$B$5))))</f>
        <v>0.867985600578354</v>
      </c>
      <c r="AA205" s="16" t="n">
        <f aca="false">IF(ABS(AA204-$B$11/$B$9*((MAX(0,MIN(1,AA204))^2/(MAX(0,MIN(1,AA204))^2+(1-MAX(0,MIN(1,AA204)))^2/$B$5))-(MAX(0,MIN(1,Z204))^2/(MAX(0,MIN(1,Z204))^2+(1-MAX(0,MIN(1,Z204)))^2/$B$5))))&lt;0.000000001,0,AA204-$B$11/$B$9*((MAX(0,MIN(1,AA204))^2/(MAX(0,MIN(1,AA204))^2+(1-MAX(0,MIN(1,AA204)))^2/$B$5))-(MAX(0,MIN(1,Z204))^2/(MAX(0,MIN(1,Z204))^2+(1-MAX(0,MIN(1,Z204)))^2/$B$5))))</f>
        <v>0.861850979394396</v>
      </c>
      <c r="AB205" s="16" t="n">
        <f aca="false">IF(ABS(AB204-$B$11/$B$9*((MAX(0,MIN(1,AB204))^2/(MAX(0,MIN(1,AB204))^2+(1-MAX(0,MIN(1,AB204)))^2/$B$5))-(MAX(0,MIN(1,AA204))^2/(MAX(0,MIN(1,AA204))^2+(1-MAX(0,MIN(1,AA204)))^2/$B$5))))&lt;0.000000001,0,AB204-$B$11/$B$9*((MAX(0,MIN(1,AB204))^2/(MAX(0,MIN(1,AB204))^2+(1-MAX(0,MIN(1,AB204)))^2/$B$5))-(MAX(0,MIN(1,AA204))^2/(MAX(0,MIN(1,AA204))^2+(1-MAX(0,MIN(1,AA204)))^2/$B$5))))</f>
        <v>0.855903661432381</v>
      </c>
      <c r="AC205" s="16" t="n">
        <f aca="false">IF(ABS(AC204-$B$11/$B$9*((MAX(0,MIN(1,AC204))^2/(MAX(0,MIN(1,AC204))^2+(1-MAX(0,MIN(1,AC204)))^2/$B$5))-(MAX(0,MIN(1,AB204))^2/(MAX(0,MIN(1,AB204))^2+(1-MAX(0,MIN(1,AB204)))^2/$B$5))))&lt;0.000000001,0,AC204-$B$11/$B$9*((MAX(0,MIN(1,AC204))^2/(MAX(0,MIN(1,AC204))^2+(1-MAX(0,MIN(1,AC204)))^2/$B$5))-(MAX(0,MIN(1,AB204))^2/(MAX(0,MIN(1,AB204))^2+(1-MAX(0,MIN(1,AB204)))^2/$B$5))))</f>
        <v>0.850130668953807</v>
      </c>
      <c r="AD205" s="16" t="n">
        <f aca="false">IF(ABS(AD204-$B$11/$B$9*((MAX(0,MIN(1,AD204))^2/(MAX(0,MIN(1,AD204))^2+(1-MAX(0,MIN(1,AD204)))^2/$B$5))-(MAX(0,MIN(1,AC204))^2/(MAX(0,MIN(1,AC204))^2+(1-MAX(0,MIN(1,AC204)))^2/$B$5))))&lt;0.000000001,0,AD204-$B$11/$B$9*((MAX(0,MIN(1,AD204))^2/(MAX(0,MIN(1,AD204))^2+(1-MAX(0,MIN(1,AD204)))^2/$B$5))-(MAX(0,MIN(1,AC204))^2/(MAX(0,MIN(1,AC204))^2+(1-MAX(0,MIN(1,AC204)))^2/$B$5))))</f>
        <v>0.844520389685194</v>
      </c>
      <c r="AE205" s="16" t="n">
        <f aca="false">IF(ABS(AE204-$B$11/$B$9*((MAX(0,MIN(1,AE204))^2/(MAX(0,MIN(1,AE204))^2+(1-MAX(0,MIN(1,AE204)))^2/$B$5))-(MAX(0,MIN(1,AD204))^2/(MAX(0,MIN(1,AD204))^2+(1-MAX(0,MIN(1,AD204)))^2/$B$5))))&lt;0.000000001,0,AE204-$B$11/$B$9*((MAX(0,MIN(1,AE204))^2/(MAX(0,MIN(1,AE204))^2+(1-MAX(0,MIN(1,AE204)))^2/$B$5))-(MAX(0,MIN(1,AD204))^2/(MAX(0,MIN(1,AD204))^2+(1-MAX(0,MIN(1,AD204)))^2/$B$5))))</f>
        <v>0.839062375322923</v>
      </c>
      <c r="AF205" s="16" t="n">
        <f aca="false">IF(ABS(AF204-$B$11/$B$9*((MAX(0,MIN(1,AF204))^2/(MAX(0,MIN(1,AF204))^2+(1-MAX(0,MIN(1,AF204)))^2/$B$5))-(MAX(0,MIN(1,AE204))^2/(MAX(0,MIN(1,AE204))^2+(1-MAX(0,MIN(1,AE204)))^2/$B$5))))&lt;0.000000001,0,AF204-$B$11/$B$9*((MAX(0,MIN(1,AF204))^2/(MAX(0,MIN(1,AF204))^2+(1-MAX(0,MIN(1,AF204)))^2/$B$5))-(MAX(0,MIN(1,AE204))^2/(MAX(0,MIN(1,AE204))^2+(1-MAX(0,MIN(1,AE204)))^2/$B$5))))</f>
        <v>0.833747178882911</v>
      </c>
    </row>
    <row r="206" customFormat="false" ht="15" hidden="false" customHeight="false" outlineLevel="0" collapsed="false">
      <c r="L206" s="0" t="n">
        <v>196</v>
      </c>
      <c r="M206" s="16" t="n">
        <f aca="false">IF(ABS(M205-$B$11/$B$9*((MAX(0,MIN(1,M205))^2/(MAX(0,MIN(1,M205))^2+(1-MAX(0,MIN(1,M205)))^2/$B$5))-(MAX(0,MIN(1,1))^2/(MAX(0,MIN(1,1))^2+(1-MAX(0,MIN(1,1)))^2/$B$5))))&lt;0.000000001,0,M205-$B$11/$B$9*((MAX(0,MIN(1,M205))^2/(MAX(0,MIN(1,M205))^2+(1-MAX(0,MIN(1,M205)))^2/$B$5))-(MAX(0,MIN(1,1))^2/(MAX(0,MIN(1,1))^2+(1-MAX(0,MIN(1,1)))^2/$B$5))))</f>
        <v>0.978118964240848</v>
      </c>
      <c r="N206" s="16" t="n">
        <f aca="false">IF(ABS(N205-$B$11/$B$9*((MAX(0,MIN(1,N205))^2/(MAX(0,MIN(1,N205))^2+(1-MAX(0,MIN(1,N205)))^2/$B$5))-(MAX(0,MIN(1,M205))^2/(MAX(0,MIN(1,M205))^2+(1-MAX(0,MIN(1,M205)))^2/$B$5))))&lt;0.000000001,0,N205-$B$11/$B$9*((MAX(0,MIN(1,N205))^2/(MAX(0,MIN(1,N205))^2+(1-MAX(0,MIN(1,N205)))^2/$B$5))-(MAX(0,MIN(1,M205))^2/(MAX(0,MIN(1,M205))^2+(1-MAX(0,MIN(1,M205)))^2/$B$5))))</f>
        <v>0.965633610496236</v>
      </c>
      <c r="O206" s="16" t="n">
        <f aca="false">IF(ABS(O205-$B$11/$B$9*((MAX(0,MIN(1,O205))^2/(MAX(0,MIN(1,O205))^2+(1-MAX(0,MIN(1,O205)))^2/$B$5))-(MAX(0,MIN(1,N205))^2/(MAX(0,MIN(1,N205))^2+(1-MAX(0,MIN(1,N205)))^2/$B$5))))&lt;0.000000001,0,O205-$B$11/$B$9*((MAX(0,MIN(1,O205))^2/(MAX(0,MIN(1,O205))^2+(1-MAX(0,MIN(1,O205)))^2/$B$5))-(MAX(0,MIN(1,N205))^2/(MAX(0,MIN(1,N205))^2+(1-MAX(0,MIN(1,N205)))^2/$B$5))))</f>
        <v>0.954669459805015</v>
      </c>
      <c r="P206" s="16" t="n">
        <f aca="false">IF(ABS(P205-$B$11/$B$9*((MAX(0,MIN(1,P205))^2/(MAX(0,MIN(1,P205))^2+(1-MAX(0,MIN(1,P205)))^2/$B$5))-(MAX(0,MIN(1,O205))^2/(MAX(0,MIN(1,O205))^2+(1-MAX(0,MIN(1,O205)))^2/$B$5))))&lt;0.000000001,0,P205-$B$11/$B$9*((MAX(0,MIN(1,P205))^2/(MAX(0,MIN(1,P205))^2+(1-MAX(0,MIN(1,P205)))^2/$B$5))-(MAX(0,MIN(1,O205))^2/(MAX(0,MIN(1,O205))^2+(1-MAX(0,MIN(1,O205)))^2/$B$5))))</f>
        <v>0.944618866307591</v>
      </c>
      <c r="Q206" s="16" t="n">
        <f aca="false">IF(ABS(Q205-$B$11/$B$9*((MAX(0,MIN(1,Q205))^2/(MAX(0,MIN(1,Q205))^2+(1-MAX(0,MIN(1,Q205)))^2/$B$5))-(MAX(0,MIN(1,P205))^2/(MAX(0,MIN(1,P205))^2+(1-MAX(0,MIN(1,P205)))^2/$B$5))))&lt;0.000000001,0,Q205-$B$11/$B$9*((MAX(0,MIN(1,Q205))^2/(MAX(0,MIN(1,Q205))^2+(1-MAX(0,MIN(1,Q205)))^2/$B$5))-(MAX(0,MIN(1,P205))^2/(MAX(0,MIN(1,P205))^2+(1-MAX(0,MIN(1,P205)))^2/$B$5))))</f>
        <v>0.935242363109901</v>
      </c>
      <c r="R206" s="16" t="n">
        <f aca="false">IF(ABS(R205-$B$11/$B$9*((MAX(0,MIN(1,R205))^2/(MAX(0,MIN(1,R205))^2+(1-MAX(0,MIN(1,R205)))^2/$B$5))-(MAX(0,MIN(1,Q205))^2/(MAX(0,MIN(1,Q205))^2+(1-MAX(0,MIN(1,Q205)))^2/$B$5))))&lt;0.000000001,0,R205-$B$11/$B$9*((MAX(0,MIN(1,R205))^2/(MAX(0,MIN(1,R205))^2+(1-MAX(0,MIN(1,R205)))^2/$B$5))-(MAX(0,MIN(1,Q205))^2/(MAX(0,MIN(1,Q205))^2+(1-MAX(0,MIN(1,Q205)))^2/$B$5))))</f>
        <v>0.926408721199939</v>
      </c>
      <c r="S206" s="16" t="n">
        <f aca="false">IF(ABS(S205-$B$11/$B$9*((MAX(0,MIN(1,S205))^2/(MAX(0,MIN(1,S205))^2+(1-MAX(0,MIN(1,S205)))^2/$B$5))-(MAX(0,MIN(1,R205))^2/(MAX(0,MIN(1,R205))^2+(1-MAX(0,MIN(1,R205)))^2/$B$5))))&lt;0.000000001,0,S205-$B$11/$B$9*((MAX(0,MIN(1,S205))^2/(MAX(0,MIN(1,S205))^2+(1-MAX(0,MIN(1,S205)))^2/$B$5))-(MAX(0,MIN(1,R205))^2/(MAX(0,MIN(1,R205))^2+(1-MAX(0,MIN(1,R205)))^2/$B$5))))</f>
        <v>0.918032908880461</v>
      </c>
      <c r="T206" s="16" t="n">
        <f aca="false">IF(ABS(T205-$B$11/$B$9*((MAX(0,MIN(1,T205))^2/(MAX(0,MIN(1,T205))^2+(1-MAX(0,MIN(1,T205)))^2/$B$5))-(MAX(0,MIN(1,S205))^2/(MAX(0,MIN(1,S205))^2+(1-MAX(0,MIN(1,S205)))^2/$B$5))))&lt;0.000000001,0,T205-$B$11/$B$9*((MAX(0,MIN(1,T205))^2/(MAX(0,MIN(1,T205))^2+(1-MAX(0,MIN(1,T205)))^2/$B$5))-(MAX(0,MIN(1,S205))^2/(MAX(0,MIN(1,S205))^2+(1-MAX(0,MIN(1,S205)))^2/$B$5))))</f>
        <v>0.910054084604474</v>
      </c>
      <c r="U206" s="16" t="n">
        <f aca="false">IF(ABS(U205-$B$11/$B$9*((MAX(0,MIN(1,U205))^2/(MAX(0,MIN(1,U205))^2+(1-MAX(0,MIN(1,U205)))^2/$B$5))-(MAX(0,MIN(1,T205))^2/(MAX(0,MIN(1,T205))^2+(1-MAX(0,MIN(1,T205)))^2/$B$5))))&lt;0.000000001,0,U205-$B$11/$B$9*((MAX(0,MIN(1,U205))^2/(MAX(0,MIN(1,U205))^2+(1-MAX(0,MIN(1,U205)))^2/$B$5))-(MAX(0,MIN(1,T205))^2/(MAX(0,MIN(1,T205))^2+(1-MAX(0,MIN(1,T205)))^2/$B$5))))</f>
        <v>0.902425859421516</v>
      </c>
      <c r="V206" s="16" t="n">
        <f aca="false">IF(ABS(V205-$B$11/$B$9*((MAX(0,MIN(1,V205))^2/(MAX(0,MIN(1,V205))^2+(1-MAX(0,MIN(1,V205)))^2/$B$5))-(MAX(0,MIN(1,U205))^2/(MAX(0,MIN(1,U205))^2+(1-MAX(0,MIN(1,U205)))^2/$B$5))))&lt;0.000000001,0,V205-$B$11/$B$9*((MAX(0,MIN(1,V205))^2/(MAX(0,MIN(1,V205))^2+(1-MAX(0,MIN(1,V205)))^2/$B$5))-(MAX(0,MIN(1,U205))^2/(MAX(0,MIN(1,U205))^2+(1-MAX(0,MIN(1,U205)))^2/$B$5))))</f>
        <v>0.8951113081417</v>
      </c>
      <c r="W206" s="16" t="n">
        <f aca="false">IF(ABS(W205-$B$11/$B$9*((MAX(0,MIN(1,W205))^2/(MAX(0,MIN(1,W205))^2+(1-MAX(0,MIN(1,W205)))^2/$B$5))-(MAX(0,MIN(1,V205))^2/(MAX(0,MIN(1,V205))^2+(1-MAX(0,MIN(1,V205)))^2/$B$5))))&lt;0.000000001,0,W205-$B$11/$B$9*((MAX(0,MIN(1,W205))^2/(MAX(0,MIN(1,W205))^2+(1-MAX(0,MIN(1,W205)))^2/$B$5))-(MAX(0,MIN(1,V205))^2/(MAX(0,MIN(1,V205))^2+(1-MAX(0,MIN(1,V205)))^2/$B$5))))</f>
        <v>0.888080128244597</v>
      </c>
      <c r="X206" s="16" t="n">
        <f aca="false">IF(ABS(X205-$B$11/$B$9*((MAX(0,MIN(1,X205))^2/(MAX(0,MIN(1,X205))^2+(1-MAX(0,MIN(1,X205)))^2/$B$5))-(MAX(0,MIN(1,W205))^2/(MAX(0,MIN(1,W205))^2+(1-MAX(0,MIN(1,W205)))^2/$B$5))))&lt;0.000000001,0,X205-$B$11/$B$9*((MAX(0,MIN(1,X205))^2/(MAX(0,MIN(1,X205))^2+(1-MAX(0,MIN(1,X205)))^2/$B$5))-(MAX(0,MIN(1,W205))^2/(MAX(0,MIN(1,W205))^2+(1-MAX(0,MIN(1,W205)))^2/$B$5))))</f>
        <v>0.881306887028409</v>
      </c>
      <c r="Y206" s="16" t="n">
        <f aca="false">IF(ABS(Y205-$B$11/$B$9*((MAX(0,MIN(1,Y205))^2/(MAX(0,MIN(1,Y205))^2+(1-MAX(0,MIN(1,Y205)))^2/$B$5))-(MAX(0,MIN(1,X205))^2/(MAX(0,MIN(1,X205))^2+(1-MAX(0,MIN(1,X205)))^2/$B$5))))&lt;0.000000001,0,Y205-$B$11/$B$9*((MAX(0,MIN(1,Y205))^2/(MAX(0,MIN(1,Y205))^2+(1-MAX(0,MIN(1,Y205)))^2/$B$5))-(MAX(0,MIN(1,X205))^2/(MAX(0,MIN(1,X205))^2+(1-MAX(0,MIN(1,X205)))^2/$B$5))))</f>
        <v>0.874769870503612</v>
      </c>
      <c r="Z206" s="16" t="n">
        <f aca="false">IF(ABS(Z205-$B$11/$B$9*((MAX(0,MIN(1,Z205))^2/(MAX(0,MIN(1,Z205))^2+(1-MAX(0,MIN(1,Z205)))^2/$B$5))-(MAX(0,MIN(1,Y205))^2/(MAX(0,MIN(1,Y205))^2+(1-MAX(0,MIN(1,Y205)))^2/$B$5))))&lt;0.000000001,0,Z205-$B$11/$B$9*((MAX(0,MIN(1,Z205))^2/(MAX(0,MIN(1,Z205))^2+(1-MAX(0,MIN(1,Z205)))^2/$B$5))-(MAX(0,MIN(1,Y205))^2/(MAX(0,MIN(1,Y205))^2+(1-MAX(0,MIN(1,Y205)))^2/$B$5))))</f>
        <v>0.868450288993766</v>
      </c>
      <c r="AA206" s="16" t="n">
        <f aca="false">IF(ABS(AA205-$B$11/$B$9*((MAX(0,MIN(1,AA205))^2/(MAX(0,MIN(1,AA205))^2+(1-MAX(0,MIN(1,AA205)))^2/$B$5))-(MAX(0,MIN(1,Z205))^2/(MAX(0,MIN(1,Z205))^2+(1-MAX(0,MIN(1,Z205)))^2/$B$5))))&lt;0.000000001,0,AA205-$B$11/$B$9*((MAX(0,MIN(1,AA205))^2/(MAX(0,MIN(1,AA205))^2+(1-MAX(0,MIN(1,AA205)))^2/$B$5))-(MAX(0,MIN(1,Z205))^2/(MAX(0,MIN(1,Z205))^2+(1-MAX(0,MIN(1,Z205)))^2/$B$5))))</f>
        <v>0.86233170652196</v>
      </c>
      <c r="AB206" s="16" t="n">
        <f aca="false">IF(ABS(AB205-$B$11/$B$9*((MAX(0,MIN(1,AB205))^2/(MAX(0,MIN(1,AB205))^2+(1-MAX(0,MIN(1,AB205)))^2/$B$5))-(MAX(0,MIN(1,AA205))^2/(MAX(0,MIN(1,AA205))^2+(1-MAX(0,MIN(1,AA205)))^2/$B$5))))&lt;0.000000001,0,AB205-$B$11/$B$9*((MAX(0,MIN(1,AB205))^2/(MAX(0,MIN(1,AB205))^2+(1-MAX(0,MIN(1,AB205)))^2/$B$5))-(MAX(0,MIN(1,AA205))^2/(MAX(0,MIN(1,AA205))^2+(1-MAX(0,MIN(1,AA205)))^2/$B$5))))</f>
        <v>0.856399617340547</v>
      </c>
      <c r="AC206" s="16" t="n">
        <f aca="false">IF(ABS(AC205-$B$11/$B$9*((MAX(0,MIN(1,AC205))^2/(MAX(0,MIN(1,AC205))^2+(1-MAX(0,MIN(1,AC205)))^2/$B$5))-(MAX(0,MIN(1,AB205))^2/(MAX(0,MIN(1,AB205))^2+(1-MAX(0,MIN(1,AB205)))^2/$B$5))))&lt;0.000000001,0,AC205-$B$11/$B$9*((MAX(0,MIN(1,AC205))^2/(MAX(0,MIN(1,AC205))^2+(1-MAX(0,MIN(1,AC205)))^2/$B$5))-(MAX(0,MIN(1,AB205))^2/(MAX(0,MIN(1,AB205))^2+(1-MAX(0,MIN(1,AB205)))^2/$B$5))))</f>
        <v>0.850641123090483</v>
      </c>
      <c r="AD206" s="16" t="n">
        <f aca="false">IF(ABS(AD205-$B$11/$B$9*((MAX(0,MIN(1,AD205))^2/(MAX(0,MIN(1,AD205))^2+(1-MAX(0,MIN(1,AD205)))^2/$B$5))-(MAX(0,MIN(1,AC205))^2/(MAX(0,MIN(1,AC205))^2+(1-MAX(0,MIN(1,AC205)))^2/$B$5))))&lt;0.000000001,0,AD205-$B$11/$B$9*((MAX(0,MIN(1,AD205))^2/(MAX(0,MIN(1,AD205))^2+(1-MAX(0,MIN(1,AD205)))^2/$B$5))-(MAX(0,MIN(1,AC205))^2/(MAX(0,MIN(1,AC205))^2+(1-MAX(0,MIN(1,AC205)))^2/$B$5))))</f>
        <v>0.845044681104907</v>
      </c>
      <c r="AE206" s="16" t="n">
        <f aca="false">IF(ABS(AE205-$B$11/$B$9*((MAX(0,MIN(1,AE205))^2/(MAX(0,MIN(1,AE205))^2+(1-MAX(0,MIN(1,AE205)))^2/$B$5))-(MAX(0,MIN(1,AD205))^2/(MAX(0,MIN(1,AD205))^2+(1-MAX(0,MIN(1,AD205)))^2/$B$5))))&lt;0.000000001,0,AE205-$B$11/$B$9*((MAX(0,MIN(1,AE205))^2/(MAX(0,MIN(1,AE205))^2+(1-MAX(0,MIN(1,AE205)))^2/$B$5))-(MAX(0,MIN(1,AD205))^2/(MAX(0,MIN(1,AD205))^2+(1-MAX(0,MIN(1,AD205)))^2/$B$5))))</f>
        <v>0.839599904453264</v>
      </c>
      <c r="AF206" s="16" t="n">
        <f aca="false">IF(ABS(AF205-$B$11/$B$9*((MAX(0,MIN(1,AF205))^2/(MAX(0,MIN(1,AF205))^2+(1-MAX(0,MIN(1,AF205)))^2/$B$5))-(MAX(0,MIN(1,AE205))^2/(MAX(0,MIN(1,AE205))^2+(1-MAX(0,MIN(1,AE205)))^2/$B$5))))&lt;0.000000001,0,AF205-$B$11/$B$9*((MAX(0,MIN(1,AF205))^2/(MAX(0,MIN(1,AF205))^2+(1-MAX(0,MIN(1,AF205)))^2/$B$5))-(MAX(0,MIN(1,AE205))^2/(MAX(0,MIN(1,AE205))^2+(1-MAX(0,MIN(1,AE205)))^2/$B$5))))</f>
        <v>0.834297400536196</v>
      </c>
    </row>
    <row r="207" customFormat="false" ht="15" hidden="false" customHeight="false" outlineLevel="0" collapsed="false">
      <c r="L207" s="0" t="n">
        <v>197</v>
      </c>
      <c r="M207" s="16" t="n">
        <f aca="false">IF(ABS(M206-$B$11/$B$9*((MAX(0,MIN(1,M206))^2/(MAX(0,MIN(1,M206))^2+(1-MAX(0,MIN(1,M206)))^2/$B$5))-(MAX(0,MIN(1,1))^2/(MAX(0,MIN(1,1))^2+(1-MAX(0,MIN(1,1)))^2/$B$5))))&lt;0.000000001,0,M206-$B$11/$B$9*((MAX(0,MIN(1,M206))^2/(MAX(0,MIN(1,M206))^2+(1-MAX(0,MIN(1,M206)))^2/$B$5))-(MAX(0,MIN(1,1))^2/(MAX(0,MIN(1,1))^2+(1-MAX(0,MIN(1,1)))^2/$B$5))))</f>
        <v>0.978215157698178</v>
      </c>
      <c r="N207" s="16" t="n">
        <f aca="false">IF(ABS(N206-$B$11/$B$9*((MAX(0,MIN(1,N206))^2/(MAX(0,MIN(1,N206))^2+(1-MAX(0,MIN(1,N206)))^2/$B$5))-(MAX(0,MIN(1,M206))^2/(MAX(0,MIN(1,M206))^2+(1-MAX(0,MIN(1,M206)))^2/$B$5))))&lt;0.000000001,0,N206-$B$11/$B$9*((MAX(0,MIN(1,N206))^2/(MAX(0,MIN(1,N206))^2+(1-MAX(0,MIN(1,N206)))^2/$B$5))-(MAX(0,MIN(1,M206))^2/(MAX(0,MIN(1,M206))^2+(1-MAX(0,MIN(1,M206)))^2/$B$5))))</f>
        <v>0.965780788646811</v>
      </c>
      <c r="O207" s="16" t="n">
        <f aca="false">IF(ABS(O206-$B$11/$B$9*((MAX(0,MIN(1,O206))^2/(MAX(0,MIN(1,O206))^2+(1-MAX(0,MIN(1,O206)))^2/$B$5))-(MAX(0,MIN(1,N206))^2/(MAX(0,MIN(1,N206))^2+(1-MAX(0,MIN(1,N206)))^2/$B$5))))&lt;0.000000001,0,O206-$B$11/$B$9*((MAX(0,MIN(1,O206))^2/(MAX(0,MIN(1,O206))^2+(1-MAX(0,MIN(1,O206)))^2/$B$5))-(MAX(0,MIN(1,N206))^2/(MAX(0,MIN(1,N206))^2+(1-MAX(0,MIN(1,N206)))^2/$B$5))))</f>
        <v>0.954859088514905</v>
      </c>
      <c r="P207" s="16" t="n">
        <f aca="false">IF(ABS(P206-$B$11/$B$9*((MAX(0,MIN(1,P206))^2/(MAX(0,MIN(1,P206))^2+(1-MAX(0,MIN(1,P206)))^2/$B$5))-(MAX(0,MIN(1,O206))^2/(MAX(0,MIN(1,O206))^2+(1-MAX(0,MIN(1,O206)))^2/$B$5))))&lt;0.000000001,0,P206-$B$11/$B$9*((MAX(0,MIN(1,P206))^2/(MAX(0,MIN(1,P206))^2+(1-MAX(0,MIN(1,P206)))^2/$B$5))-(MAX(0,MIN(1,O206))^2/(MAX(0,MIN(1,O206))^2+(1-MAX(0,MIN(1,O206)))^2/$B$5))))</f>
        <v>0.944845596398494</v>
      </c>
      <c r="Q207" s="16" t="n">
        <f aca="false">IF(ABS(Q206-$B$11/$B$9*((MAX(0,MIN(1,Q206))^2/(MAX(0,MIN(1,Q206))^2+(1-MAX(0,MIN(1,Q206)))^2/$B$5))-(MAX(0,MIN(1,P206))^2/(MAX(0,MIN(1,P206))^2+(1-MAX(0,MIN(1,P206)))^2/$B$5))))&lt;0.000000001,0,Q206-$B$11/$B$9*((MAX(0,MIN(1,Q206))^2/(MAX(0,MIN(1,Q206))^2+(1-MAX(0,MIN(1,Q206)))^2/$B$5))-(MAX(0,MIN(1,P206))^2/(MAX(0,MIN(1,P206))^2+(1-MAX(0,MIN(1,P206)))^2/$B$5))))</f>
        <v>0.935502225574048</v>
      </c>
      <c r="R207" s="16" t="n">
        <f aca="false">IF(ABS(R206-$B$11/$B$9*((MAX(0,MIN(1,R206))^2/(MAX(0,MIN(1,R206))^2+(1-MAX(0,MIN(1,R206)))^2/$B$5))-(MAX(0,MIN(1,Q206))^2/(MAX(0,MIN(1,Q206))^2+(1-MAX(0,MIN(1,Q206)))^2/$B$5))))&lt;0.000000001,0,R206-$B$11/$B$9*((MAX(0,MIN(1,R206))^2/(MAX(0,MIN(1,R206))^2+(1-MAX(0,MIN(1,R206)))^2/$B$5))-(MAX(0,MIN(1,Q206))^2/(MAX(0,MIN(1,Q206))^2+(1-MAX(0,MIN(1,Q206)))^2/$B$5))))</f>
        <v>0.926698559414319</v>
      </c>
      <c r="S207" s="16" t="n">
        <f aca="false">IF(ABS(S206-$B$11/$B$9*((MAX(0,MIN(1,S206))^2/(MAX(0,MIN(1,S206))^2+(1-MAX(0,MIN(1,S206)))^2/$B$5))-(MAX(0,MIN(1,R206))^2/(MAX(0,MIN(1,R206))^2+(1-MAX(0,MIN(1,R206)))^2/$B$5))))&lt;0.000000001,0,S206-$B$11/$B$9*((MAX(0,MIN(1,S206))^2/(MAX(0,MIN(1,S206))^2+(1-MAX(0,MIN(1,S206)))^2/$B$5))-(MAX(0,MIN(1,R206))^2/(MAX(0,MIN(1,R206))^2+(1-MAX(0,MIN(1,R206)))^2/$B$5))))</f>
        <v>0.91835011803168</v>
      </c>
      <c r="T207" s="16" t="n">
        <f aca="false">IF(ABS(T206-$B$11/$B$9*((MAX(0,MIN(1,T206))^2/(MAX(0,MIN(1,T206))^2+(1-MAX(0,MIN(1,T206)))^2/$B$5))-(MAX(0,MIN(1,S206))^2/(MAX(0,MIN(1,S206))^2+(1-MAX(0,MIN(1,S206)))^2/$B$5))))&lt;0.000000001,0,T206-$B$11/$B$9*((MAX(0,MIN(1,T206))^2/(MAX(0,MIN(1,T206))^2+(1-MAX(0,MIN(1,T206)))^2/$B$5))-(MAX(0,MIN(1,S206))^2/(MAX(0,MIN(1,S206))^2+(1-MAX(0,MIN(1,S206)))^2/$B$5))))</f>
        <v>0.91039646561937</v>
      </c>
      <c r="U207" s="16" t="n">
        <f aca="false">IF(ABS(U206-$B$11/$B$9*((MAX(0,MIN(1,U206))^2/(MAX(0,MIN(1,U206))^2+(1-MAX(0,MIN(1,U206)))^2/$B$5))-(MAX(0,MIN(1,T206))^2/(MAX(0,MIN(1,T206))^2+(1-MAX(0,MIN(1,T206)))^2/$B$5))))&lt;0.000000001,0,U206-$B$11/$B$9*((MAX(0,MIN(1,U206))^2/(MAX(0,MIN(1,U206))^2+(1-MAX(0,MIN(1,U206)))^2/$B$5))-(MAX(0,MIN(1,T206))^2/(MAX(0,MIN(1,T206))^2+(1-MAX(0,MIN(1,T206)))^2/$B$5))))</f>
        <v>0.90279152647227</v>
      </c>
      <c r="V207" s="16" t="n">
        <f aca="false">IF(ABS(V206-$B$11/$B$9*((MAX(0,MIN(1,V206))^2/(MAX(0,MIN(1,V206))^2+(1-MAX(0,MIN(1,V206)))^2/$B$5))-(MAX(0,MIN(1,U206))^2/(MAX(0,MIN(1,U206))^2+(1-MAX(0,MIN(1,U206)))^2/$B$5))))&lt;0.000000001,0,V206-$B$11/$B$9*((MAX(0,MIN(1,V206))^2/(MAX(0,MIN(1,V206))^2+(1-MAX(0,MIN(1,V206)))^2/$B$5))-(MAX(0,MIN(1,U206))^2/(MAX(0,MIN(1,U206))^2+(1-MAX(0,MIN(1,U206)))^2/$B$5))))</f>
        <v>0.89549862522604</v>
      </c>
      <c r="W207" s="16" t="n">
        <f aca="false">IF(ABS(W206-$B$11/$B$9*((MAX(0,MIN(1,W206))^2/(MAX(0,MIN(1,W206))^2+(1-MAX(0,MIN(1,W206)))^2/$B$5))-(MAX(0,MIN(1,V206))^2/(MAX(0,MIN(1,V206))^2+(1-MAX(0,MIN(1,V206)))^2/$B$5))))&lt;0.000000001,0,W206-$B$11/$B$9*((MAX(0,MIN(1,W206))^2/(MAX(0,MIN(1,W206))^2+(1-MAX(0,MIN(1,W206)))^2/$B$5))-(MAX(0,MIN(1,V206))^2/(MAX(0,MIN(1,V206))^2+(1-MAX(0,MIN(1,V206)))^2/$B$5))))</f>
        <v>0.888487663264928</v>
      </c>
      <c r="X207" s="16" t="n">
        <f aca="false">IF(ABS(X206-$B$11/$B$9*((MAX(0,MIN(1,X206))^2/(MAX(0,MIN(1,X206))^2+(1-MAX(0,MIN(1,X206)))^2/$B$5))-(MAX(0,MIN(1,W206))^2/(MAX(0,MIN(1,W206))^2+(1-MAX(0,MIN(1,W206)))^2/$B$5))))&lt;0.000000001,0,X206-$B$11/$B$9*((MAX(0,MIN(1,X206))^2/(MAX(0,MIN(1,X206))^2+(1-MAX(0,MIN(1,X206)))^2/$B$5))-(MAX(0,MIN(1,W206))^2/(MAX(0,MIN(1,W206))^2+(1-MAX(0,MIN(1,W206)))^2/$B$5))))</f>
        <v>0.881733377221093</v>
      </c>
      <c r="Y207" s="16" t="n">
        <f aca="false">IF(ABS(Y206-$B$11/$B$9*((MAX(0,MIN(1,Y206))^2/(MAX(0,MIN(1,Y206))^2+(1-MAX(0,MIN(1,Y206)))^2/$B$5))-(MAX(0,MIN(1,X206))^2/(MAX(0,MIN(1,X206))^2+(1-MAX(0,MIN(1,X206)))^2/$B$5))))&lt;0.000000001,0,Y206-$B$11/$B$9*((MAX(0,MIN(1,Y206))^2/(MAX(0,MIN(1,Y206))^2+(1-MAX(0,MIN(1,Y206)))^2/$B$5))-(MAX(0,MIN(1,X206))^2/(MAX(0,MIN(1,X206))^2+(1-MAX(0,MIN(1,X206)))^2/$B$5))))</f>
        <v>0.875214195650764</v>
      </c>
      <c r="Z207" s="16" t="n">
        <f aca="false">IF(ABS(Z206-$B$11/$B$9*((MAX(0,MIN(1,Z206))^2/(MAX(0,MIN(1,Z206))^2+(1-MAX(0,MIN(1,Z206)))^2/$B$5))-(MAX(0,MIN(1,Y206))^2/(MAX(0,MIN(1,Y206))^2+(1-MAX(0,MIN(1,Y206)))^2/$B$5))))&lt;0.000000001,0,Z206-$B$11/$B$9*((MAX(0,MIN(1,Z206))^2/(MAX(0,MIN(1,Z206))^2+(1-MAX(0,MIN(1,Z206)))^2/$B$5))-(MAX(0,MIN(1,Y206))^2/(MAX(0,MIN(1,Y206))^2+(1-MAX(0,MIN(1,Y206)))^2/$B$5))))</f>
        <v>0.868911450201252</v>
      </c>
      <c r="AA207" s="16" t="n">
        <f aca="false">IF(ABS(AA206-$B$11/$B$9*((MAX(0,MIN(1,AA206))^2/(MAX(0,MIN(1,AA206))^2+(1-MAX(0,MIN(1,AA206)))^2/$B$5))-(MAX(0,MIN(1,Z206))^2/(MAX(0,MIN(1,Z206))^2+(1-MAX(0,MIN(1,Z206)))^2/$B$5))))&lt;0.000000001,0,AA206-$B$11/$B$9*((MAX(0,MIN(1,AA206))^2/(MAX(0,MIN(1,AA206))^2+(1-MAX(0,MIN(1,AA206)))^2/$B$5))-(MAX(0,MIN(1,Z206))^2/(MAX(0,MIN(1,Z206))^2+(1-MAX(0,MIN(1,Z206)))^2/$B$5))))</f>
        <v>0.862808809110804</v>
      </c>
      <c r="AB207" s="16" t="n">
        <f aca="false">IF(ABS(AB206-$B$11/$B$9*((MAX(0,MIN(1,AB206))^2/(MAX(0,MIN(1,AB206))^2+(1-MAX(0,MIN(1,AB206)))^2/$B$5))-(MAX(0,MIN(1,AA206))^2/(MAX(0,MIN(1,AA206))^2+(1-MAX(0,MIN(1,AA206)))^2/$B$5))))&lt;0.000000001,0,AB206-$B$11/$B$9*((MAX(0,MIN(1,AB206))^2/(MAX(0,MIN(1,AB206))^2+(1-MAX(0,MIN(1,AB206)))^2/$B$5))-(MAX(0,MIN(1,AA206))^2/(MAX(0,MIN(1,AA206))^2+(1-MAX(0,MIN(1,AA206)))^2/$B$5))))</f>
        <v>0.856891856857876</v>
      </c>
      <c r="AC207" s="16" t="n">
        <f aca="false">IF(ABS(AC206-$B$11/$B$9*((MAX(0,MIN(1,AC206))^2/(MAX(0,MIN(1,AC206))^2+(1-MAX(0,MIN(1,AC206)))^2/$B$5))-(MAX(0,MIN(1,AB206))^2/(MAX(0,MIN(1,AB206))^2+(1-MAX(0,MIN(1,AB206)))^2/$B$5))))&lt;0.000000001,0,AC206-$B$11/$B$9*((MAX(0,MIN(1,AC206))^2/(MAX(0,MIN(1,AC206))^2+(1-MAX(0,MIN(1,AC206)))^2/$B$5))-(MAX(0,MIN(1,AB206))^2/(MAX(0,MIN(1,AB206))^2+(1-MAX(0,MIN(1,AB206)))^2/$B$5))))</f>
        <v>0.851147773736235</v>
      </c>
      <c r="AD207" s="16" t="n">
        <f aca="false">IF(ABS(AD206-$B$11/$B$9*((MAX(0,MIN(1,AD206))^2/(MAX(0,MIN(1,AD206))^2+(1-MAX(0,MIN(1,AD206)))^2/$B$5))-(MAX(0,MIN(1,AC206))^2/(MAX(0,MIN(1,AC206))^2+(1-MAX(0,MIN(1,AC206)))^2/$B$5))))&lt;0.000000001,0,AD206-$B$11/$B$9*((MAX(0,MIN(1,AD206))^2/(MAX(0,MIN(1,AD206))^2+(1-MAX(0,MIN(1,AD206)))^2/$B$5))-(MAX(0,MIN(1,AC206))^2/(MAX(0,MIN(1,AC206))^2+(1-MAX(0,MIN(1,AC206)))^2/$B$5))))</f>
        <v>0.845565086061764</v>
      </c>
      <c r="AE207" s="16" t="n">
        <f aca="false">IF(ABS(AE206-$B$11/$B$9*((MAX(0,MIN(1,AE206))^2/(MAX(0,MIN(1,AE206))^2+(1-MAX(0,MIN(1,AE206)))^2/$B$5))-(MAX(0,MIN(1,AD206))^2/(MAX(0,MIN(1,AD206))^2+(1-MAX(0,MIN(1,AD206)))^2/$B$5))))&lt;0.000000001,0,AE206-$B$11/$B$9*((MAX(0,MIN(1,AE206))^2/(MAX(0,MIN(1,AE206))^2+(1-MAX(0,MIN(1,AE206)))^2/$B$5))-(MAX(0,MIN(1,AD206))^2/(MAX(0,MIN(1,AD206))^2+(1-MAX(0,MIN(1,AD206)))^2/$B$5))))</f>
        <v>0.840133467737736</v>
      </c>
      <c r="AF207" s="16" t="n">
        <f aca="false">IF(ABS(AF206-$B$11/$B$9*((MAX(0,MIN(1,AF206))^2/(MAX(0,MIN(1,AF206))^2+(1-MAX(0,MIN(1,AF206)))^2/$B$5))-(MAX(0,MIN(1,AE206))^2/(MAX(0,MIN(1,AE206))^2+(1-MAX(0,MIN(1,AE206)))^2/$B$5))))&lt;0.000000001,0,AF206-$B$11/$B$9*((MAX(0,MIN(1,AF206))^2/(MAX(0,MIN(1,AF206))^2+(1-MAX(0,MIN(1,AF206)))^2/$B$5))-(MAX(0,MIN(1,AE206))^2/(MAX(0,MIN(1,AE206))^2+(1-MAX(0,MIN(1,AE206)))^2/$B$5))))</f>
        <v>0.834843580080497</v>
      </c>
    </row>
    <row r="208" customFormat="false" ht="15" hidden="false" customHeight="false" outlineLevel="0" collapsed="false">
      <c r="L208" s="0" t="n">
        <v>198</v>
      </c>
      <c r="M208" s="16" t="n">
        <f aca="false">IF(ABS(M207-$B$11/$B$9*((MAX(0,MIN(1,M207))^2/(MAX(0,MIN(1,M207))^2+(1-MAX(0,MIN(1,M207)))^2/$B$5))-(MAX(0,MIN(1,1))^2/(MAX(0,MIN(1,1))^2+(1-MAX(0,MIN(1,1)))^2/$B$5))))&lt;0.000000001,0,M207-$B$11/$B$9*((MAX(0,MIN(1,M207))^2/(MAX(0,MIN(1,M207))^2+(1-MAX(0,MIN(1,M207)))^2/$B$5))-(MAX(0,MIN(1,1))^2/(MAX(0,MIN(1,1))^2+(1-MAX(0,MIN(1,1)))^2/$B$5))))</f>
        <v>0.978310488705088</v>
      </c>
      <c r="N208" s="16" t="n">
        <f aca="false">IF(ABS(N207-$B$11/$B$9*((MAX(0,MIN(1,N207))^2/(MAX(0,MIN(1,N207))^2+(1-MAX(0,MIN(1,N207)))^2/$B$5))-(MAX(0,MIN(1,M207))^2/(MAX(0,MIN(1,M207))^2+(1-MAX(0,MIN(1,M207)))^2/$B$5))))&lt;0.000000001,0,N207-$B$11/$B$9*((MAX(0,MIN(1,N207))^2/(MAX(0,MIN(1,N207))^2+(1-MAX(0,MIN(1,N207)))^2/$B$5))-(MAX(0,MIN(1,M207))^2/(MAX(0,MIN(1,M207))^2+(1-MAX(0,MIN(1,M207)))^2/$B$5))))</f>
        <v>0.965926676990064</v>
      </c>
      <c r="O208" s="16" t="n">
        <f aca="false">IF(ABS(O207-$B$11/$B$9*((MAX(0,MIN(1,O207))^2/(MAX(0,MIN(1,O207))^2+(1-MAX(0,MIN(1,O207)))^2/$B$5))-(MAX(0,MIN(1,N207))^2/(MAX(0,MIN(1,N207))^2+(1-MAX(0,MIN(1,N207)))^2/$B$5))))&lt;0.000000001,0,O207-$B$11/$B$9*((MAX(0,MIN(1,O207))^2/(MAX(0,MIN(1,O207))^2+(1-MAX(0,MIN(1,O207)))^2/$B$5))-(MAX(0,MIN(1,N207))^2/(MAX(0,MIN(1,N207))^2+(1-MAX(0,MIN(1,N207)))^2/$B$5))))</f>
        <v>0.955047088064272</v>
      </c>
      <c r="P208" s="16" t="n">
        <f aca="false">IF(ABS(P207-$B$11/$B$9*((MAX(0,MIN(1,P207))^2/(MAX(0,MIN(1,P207))^2+(1-MAX(0,MIN(1,P207)))^2/$B$5))-(MAX(0,MIN(1,O207))^2/(MAX(0,MIN(1,O207))^2+(1-MAX(0,MIN(1,O207)))^2/$B$5))))&lt;0.000000001,0,P207-$B$11/$B$9*((MAX(0,MIN(1,P207))^2/(MAX(0,MIN(1,P207))^2+(1-MAX(0,MIN(1,P207)))^2/$B$5))-(MAX(0,MIN(1,O207))^2/(MAX(0,MIN(1,O207))^2+(1-MAX(0,MIN(1,O207)))^2/$B$5))))</f>
        <v>0.945070412802398</v>
      </c>
      <c r="Q208" s="16" t="n">
        <f aca="false">IF(ABS(Q207-$B$11/$B$9*((MAX(0,MIN(1,Q207))^2/(MAX(0,MIN(1,Q207))^2+(1-MAX(0,MIN(1,Q207)))^2/$B$5))-(MAX(0,MIN(1,P207))^2/(MAX(0,MIN(1,P207))^2+(1-MAX(0,MIN(1,P207)))^2/$B$5))))&lt;0.000000001,0,Q207-$B$11/$B$9*((MAX(0,MIN(1,Q207))^2/(MAX(0,MIN(1,Q207))^2+(1-MAX(0,MIN(1,Q207)))^2/$B$5))-(MAX(0,MIN(1,P207))^2/(MAX(0,MIN(1,P207))^2+(1-MAX(0,MIN(1,P207)))^2/$B$5))))</f>
        <v>0.935759929522817</v>
      </c>
      <c r="R208" s="16" t="n">
        <f aca="false">IF(ABS(R207-$B$11/$B$9*((MAX(0,MIN(1,R207))^2/(MAX(0,MIN(1,R207))^2+(1-MAX(0,MIN(1,R207)))^2/$B$5))-(MAX(0,MIN(1,Q207))^2/(MAX(0,MIN(1,Q207))^2+(1-MAX(0,MIN(1,Q207)))^2/$B$5))))&lt;0.000000001,0,R207-$B$11/$B$9*((MAX(0,MIN(1,R207))^2/(MAX(0,MIN(1,R207))^2+(1-MAX(0,MIN(1,R207)))^2/$B$5))-(MAX(0,MIN(1,Q207))^2/(MAX(0,MIN(1,Q207))^2+(1-MAX(0,MIN(1,Q207)))^2/$B$5))))</f>
        <v>0.926986024878058</v>
      </c>
      <c r="S208" s="16" t="n">
        <f aca="false">IF(ABS(S207-$B$11/$B$9*((MAX(0,MIN(1,S207))^2/(MAX(0,MIN(1,S207))^2+(1-MAX(0,MIN(1,S207)))^2/$B$5))-(MAX(0,MIN(1,R207))^2/(MAX(0,MIN(1,R207))^2+(1-MAX(0,MIN(1,R207)))^2/$B$5))))&lt;0.000000001,0,S207-$B$11/$B$9*((MAX(0,MIN(1,S207))^2/(MAX(0,MIN(1,S207))^2+(1-MAX(0,MIN(1,S207)))^2/$B$5))-(MAX(0,MIN(1,R207))^2/(MAX(0,MIN(1,R207))^2+(1-MAX(0,MIN(1,R207)))^2/$B$5))))</f>
        <v>0.918664764588208</v>
      </c>
      <c r="T208" s="16" t="n">
        <f aca="false">IF(ABS(T207-$B$11/$B$9*((MAX(0,MIN(1,T207))^2/(MAX(0,MIN(1,T207))^2+(1-MAX(0,MIN(1,T207)))^2/$B$5))-(MAX(0,MIN(1,S207))^2/(MAX(0,MIN(1,S207))^2+(1-MAX(0,MIN(1,S207)))^2/$B$5))))&lt;0.000000001,0,T207-$B$11/$B$9*((MAX(0,MIN(1,T207))^2/(MAX(0,MIN(1,T207))^2+(1-MAX(0,MIN(1,T207)))^2/$B$5))-(MAX(0,MIN(1,S207))^2/(MAX(0,MIN(1,S207))^2+(1-MAX(0,MIN(1,S207)))^2/$B$5))))</f>
        <v>0.910736114067866</v>
      </c>
      <c r="U208" s="16" t="n">
        <f aca="false">IF(ABS(U207-$B$11/$B$9*((MAX(0,MIN(1,U207))^2/(MAX(0,MIN(1,U207))^2+(1-MAX(0,MIN(1,U207)))^2/$B$5))-(MAX(0,MIN(1,T207))^2/(MAX(0,MIN(1,T207))^2+(1-MAX(0,MIN(1,T207)))^2/$B$5))))&lt;0.000000001,0,U207-$B$11/$B$9*((MAX(0,MIN(1,U207))^2/(MAX(0,MIN(1,U207))^2+(1-MAX(0,MIN(1,U207)))^2/$B$5))-(MAX(0,MIN(1,T207))^2/(MAX(0,MIN(1,T207))^2+(1-MAX(0,MIN(1,T207)))^2/$B$5))))</f>
        <v>0.903154307424465</v>
      </c>
      <c r="V208" s="16" t="n">
        <f aca="false">IF(ABS(V207-$B$11/$B$9*((MAX(0,MIN(1,V207))^2/(MAX(0,MIN(1,V207))^2+(1-MAX(0,MIN(1,V207)))^2/$B$5))-(MAX(0,MIN(1,U207))^2/(MAX(0,MIN(1,U207))^2+(1-MAX(0,MIN(1,U207)))^2/$B$5))))&lt;0.000000001,0,V207-$B$11/$B$9*((MAX(0,MIN(1,V207))^2/(MAX(0,MIN(1,V207))^2+(1-MAX(0,MIN(1,V207)))^2/$B$5))-(MAX(0,MIN(1,U207))^2/(MAX(0,MIN(1,U207))^2+(1-MAX(0,MIN(1,U207)))^2/$B$5))))</f>
        <v>0.895882916436311</v>
      </c>
      <c r="W208" s="16" t="n">
        <f aca="false">IF(ABS(W207-$B$11/$B$9*((MAX(0,MIN(1,W207))^2/(MAX(0,MIN(1,W207))^2+(1-MAX(0,MIN(1,W207)))^2/$B$5))-(MAX(0,MIN(1,V207))^2/(MAX(0,MIN(1,V207))^2+(1-MAX(0,MIN(1,V207)))^2/$B$5))))&lt;0.000000001,0,W207-$B$11/$B$9*((MAX(0,MIN(1,W207))^2/(MAX(0,MIN(1,W207))^2+(1-MAX(0,MIN(1,W207)))^2/$B$5))-(MAX(0,MIN(1,V207))^2/(MAX(0,MIN(1,V207))^2+(1-MAX(0,MIN(1,V207)))^2/$B$5))))</f>
        <v>0.888892044251356</v>
      </c>
      <c r="X208" s="16" t="n">
        <f aca="false">IF(ABS(X207-$B$11/$B$9*((MAX(0,MIN(1,X207))^2/(MAX(0,MIN(1,X207))^2+(1-MAX(0,MIN(1,X207)))^2/$B$5))-(MAX(0,MIN(1,W207))^2/(MAX(0,MIN(1,W207))^2+(1-MAX(0,MIN(1,W207)))^2/$B$5))))&lt;0.000000001,0,X207-$B$11/$B$9*((MAX(0,MIN(1,X207))^2/(MAX(0,MIN(1,X207))^2+(1-MAX(0,MIN(1,X207)))^2/$B$5))-(MAX(0,MIN(1,W207))^2/(MAX(0,MIN(1,W207))^2+(1-MAX(0,MIN(1,W207)))^2/$B$5))))</f>
        <v>0.882156595099312</v>
      </c>
      <c r="Y208" s="16" t="n">
        <f aca="false">IF(ABS(Y207-$B$11/$B$9*((MAX(0,MIN(1,Y207))^2/(MAX(0,MIN(1,Y207))^2+(1-MAX(0,MIN(1,Y207)))^2/$B$5))-(MAX(0,MIN(1,X207))^2/(MAX(0,MIN(1,X207))^2+(1-MAX(0,MIN(1,X207)))^2/$B$5))))&lt;0.000000001,0,Y207-$B$11/$B$9*((MAX(0,MIN(1,Y207))^2/(MAX(0,MIN(1,Y207))^2+(1-MAX(0,MIN(1,Y207)))^2/$B$5))-(MAX(0,MIN(1,X207))^2/(MAX(0,MIN(1,X207))^2+(1-MAX(0,MIN(1,X207)))^2/$B$5))))</f>
        <v>0.875655138655245</v>
      </c>
      <c r="Z208" s="16" t="n">
        <f aca="false">IF(ABS(Z207-$B$11/$B$9*((MAX(0,MIN(1,Z207))^2/(MAX(0,MIN(1,Z207))^2+(1-MAX(0,MIN(1,Z207)))^2/$B$5))-(MAX(0,MIN(1,Y207))^2/(MAX(0,MIN(1,Y207))^2+(1-MAX(0,MIN(1,Y207)))^2/$B$5))))&lt;0.000000001,0,Z207-$B$11/$B$9*((MAX(0,MIN(1,Z207))^2/(MAX(0,MIN(1,Z207))^2+(1-MAX(0,MIN(1,Z207)))^2/$B$5))-(MAX(0,MIN(1,Y207))^2/(MAX(0,MIN(1,Y207))^2+(1-MAX(0,MIN(1,Y207)))^2/$B$5))))</f>
        <v>0.869369126704547</v>
      </c>
      <c r="AA208" s="16" t="n">
        <f aca="false">IF(ABS(AA207-$B$11/$B$9*((MAX(0,MIN(1,AA207))^2/(MAX(0,MIN(1,AA207))^2+(1-MAX(0,MIN(1,AA207)))^2/$B$5))-(MAX(0,MIN(1,Z207))^2/(MAX(0,MIN(1,Z207))^2+(1-MAX(0,MIN(1,Z207)))^2/$B$5))))&lt;0.000000001,0,AA207-$B$11/$B$9*((MAX(0,MIN(1,AA207))^2/(MAX(0,MIN(1,AA207))^2+(1-MAX(0,MIN(1,AA207)))^2/$B$5))-(MAX(0,MIN(1,Z207))^2/(MAX(0,MIN(1,Z207))^2+(1-MAX(0,MIN(1,Z207)))^2/$B$5))))</f>
        <v>0.86328233070593</v>
      </c>
      <c r="AB208" s="16" t="n">
        <f aca="false">IF(ABS(AB207-$B$11/$B$9*((MAX(0,MIN(1,AB207))^2/(MAX(0,MIN(1,AB207))^2+(1-MAX(0,MIN(1,AB207)))^2/$B$5))-(MAX(0,MIN(1,AA207))^2/(MAX(0,MIN(1,AA207))^2+(1-MAX(0,MIN(1,AA207)))^2/$B$5))))&lt;0.000000001,0,AB207-$B$11/$B$9*((MAX(0,MIN(1,AB207))^2/(MAX(0,MIN(1,AB207))^2+(1-MAX(0,MIN(1,AB207)))^2/$B$5))-(MAX(0,MIN(1,AA207))^2/(MAX(0,MIN(1,AA207))^2+(1-MAX(0,MIN(1,AA207)))^2/$B$5))))</f>
        <v>0.857380424522325</v>
      </c>
      <c r="AC208" s="16" t="n">
        <f aca="false">IF(ABS(AC207-$B$11/$B$9*((MAX(0,MIN(1,AC207))^2/(MAX(0,MIN(1,AC207))^2+(1-MAX(0,MIN(1,AC207)))^2/$B$5))-(MAX(0,MIN(1,AB207))^2/(MAX(0,MIN(1,AB207))^2+(1-MAX(0,MIN(1,AB207)))^2/$B$5))))&lt;0.000000001,0,AC207-$B$11/$B$9*((MAX(0,MIN(1,AC207))^2/(MAX(0,MIN(1,AC207))^2+(1-MAX(0,MIN(1,AC207)))^2/$B$5))-(MAX(0,MIN(1,AB207))^2/(MAX(0,MIN(1,AB207))^2+(1-MAX(0,MIN(1,AB207)))^2/$B$5))))</f>
        <v>0.851650666382693</v>
      </c>
      <c r="AD208" s="16" t="n">
        <f aca="false">IF(ABS(AD207-$B$11/$B$9*((MAX(0,MIN(1,AD207))^2/(MAX(0,MIN(1,AD207))^2+(1-MAX(0,MIN(1,AD207)))^2/$B$5))-(MAX(0,MIN(1,AC207))^2/(MAX(0,MIN(1,AC207))^2+(1-MAX(0,MIN(1,AC207)))^2/$B$5))))&lt;0.000000001,0,AD207-$B$11/$B$9*((MAX(0,MIN(1,AD207))^2/(MAX(0,MIN(1,AD207))^2+(1-MAX(0,MIN(1,AD207)))^2/$B$5))-(MAX(0,MIN(1,AC207))^2/(MAX(0,MIN(1,AC207))^2+(1-MAX(0,MIN(1,AC207)))^2/$B$5))))</f>
        <v>0.846081650969423</v>
      </c>
      <c r="AE208" s="16" t="n">
        <f aca="false">IF(ABS(AE207-$B$11/$B$9*((MAX(0,MIN(1,AE207))^2/(MAX(0,MIN(1,AE207))^2+(1-MAX(0,MIN(1,AE207)))^2/$B$5))-(MAX(0,MIN(1,AD207))^2/(MAX(0,MIN(1,AD207))^2+(1-MAX(0,MIN(1,AD207)))^2/$B$5))))&lt;0.000000001,0,AE207-$B$11/$B$9*((MAX(0,MIN(1,AE207))^2/(MAX(0,MIN(1,AE207))^2+(1-MAX(0,MIN(1,AE207)))^2/$B$5))-(MAX(0,MIN(1,AD207))^2/(MAX(0,MIN(1,AD207))^2+(1-MAX(0,MIN(1,AD207)))^2/$B$5))))</f>
        <v>0.840663112486914</v>
      </c>
      <c r="AF208" s="16" t="n">
        <f aca="false">IF(ABS(AF207-$B$11/$B$9*((MAX(0,MIN(1,AF207))^2/(MAX(0,MIN(1,AF207))^2+(1-MAX(0,MIN(1,AF207)))^2/$B$5))-(MAX(0,MIN(1,AE207))^2/(MAX(0,MIN(1,AE207))^2+(1-MAX(0,MIN(1,AE207)))^2/$B$5))))&lt;0.000000001,0,AF207-$B$11/$B$9*((MAX(0,MIN(1,AF207))^2/(MAX(0,MIN(1,AF207))^2+(1-MAX(0,MIN(1,AF207)))^2/$B$5))-(MAX(0,MIN(1,AE207))^2/(MAX(0,MIN(1,AE207))^2+(1-MAX(0,MIN(1,AE207)))^2/$B$5))))</f>
        <v>0.835385765703822</v>
      </c>
    </row>
    <row r="209" customFormat="false" ht="15" hidden="false" customHeight="false" outlineLevel="0" collapsed="false">
      <c r="L209" s="0" t="n">
        <v>199</v>
      </c>
      <c r="M209" s="16" t="n">
        <f aca="false">IF(ABS(M208-$B$11/$B$9*((MAX(0,MIN(1,M208))^2/(MAX(0,MIN(1,M208))^2+(1-MAX(0,MIN(1,M208)))^2/$B$5))-(MAX(0,MIN(1,1))^2/(MAX(0,MIN(1,1))^2+(1-MAX(0,MIN(1,1)))^2/$B$5))))&lt;0.000000001,0,M208-$B$11/$B$9*((MAX(0,MIN(1,M208))^2/(MAX(0,MIN(1,M208))^2+(1-MAX(0,MIN(1,M208)))^2/$B$5))-(MAX(0,MIN(1,1))^2/(MAX(0,MIN(1,1))^2+(1-MAX(0,MIN(1,1)))^2/$B$5))))</f>
        <v>0.978404968989126</v>
      </c>
      <c r="N209" s="16" t="n">
        <f aca="false">IF(ABS(N208-$B$11/$B$9*((MAX(0,MIN(1,N208))^2/(MAX(0,MIN(1,N208))^2+(1-MAX(0,MIN(1,N208)))^2/$B$5))-(MAX(0,MIN(1,M208))^2/(MAX(0,MIN(1,M208))^2+(1-MAX(0,MIN(1,M208)))^2/$B$5))))&lt;0.000000001,0,N208-$B$11/$B$9*((MAX(0,MIN(1,N208))^2/(MAX(0,MIN(1,N208))^2+(1-MAX(0,MIN(1,N208)))^2/$B$5))-(MAX(0,MIN(1,M208))^2/(MAX(0,MIN(1,M208))^2+(1-MAX(0,MIN(1,M208)))^2/$B$5))))</f>
        <v>0.966071292719017</v>
      </c>
      <c r="O209" s="16" t="n">
        <f aca="false">IF(ABS(O208-$B$11/$B$9*((MAX(0,MIN(1,O208))^2/(MAX(0,MIN(1,O208))^2+(1-MAX(0,MIN(1,O208)))^2/$B$5))-(MAX(0,MIN(1,N208))^2/(MAX(0,MIN(1,N208))^2+(1-MAX(0,MIN(1,N208)))^2/$B$5))))&lt;0.000000001,0,O208-$B$11/$B$9*((MAX(0,MIN(1,O208))^2/(MAX(0,MIN(1,O208))^2+(1-MAX(0,MIN(1,O208)))^2/$B$5))-(MAX(0,MIN(1,N208))^2/(MAX(0,MIN(1,N208))^2+(1-MAX(0,MIN(1,N208)))^2/$B$5))))</f>
        <v>0.955233479809006</v>
      </c>
      <c r="P209" s="16" t="n">
        <f aca="false">IF(ABS(P208-$B$11/$B$9*((MAX(0,MIN(1,P208))^2/(MAX(0,MIN(1,P208))^2+(1-MAX(0,MIN(1,P208)))^2/$B$5))-(MAX(0,MIN(1,O208))^2/(MAX(0,MIN(1,O208))^2+(1-MAX(0,MIN(1,O208)))^2/$B$5))))&lt;0.000000001,0,P208-$B$11/$B$9*((MAX(0,MIN(1,P208))^2/(MAX(0,MIN(1,P208))^2+(1-MAX(0,MIN(1,P208)))^2/$B$5))-(MAX(0,MIN(1,O208))^2/(MAX(0,MIN(1,O208))^2+(1-MAX(0,MIN(1,O208)))^2/$B$5))))</f>
        <v>0.945293340244767</v>
      </c>
      <c r="Q209" s="16" t="n">
        <f aca="false">IF(ABS(Q208-$B$11/$B$9*((MAX(0,MIN(1,Q208))^2/(MAX(0,MIN(1,Q208))^2+(1-MAX(0,MIN(1,Q208)))^2/$B$5))-(MAX(0,MIN(1,P208))^2/(MAX(0,MIN(1,P208))^2+(1-MAX(0,MIN(1,P208)))^2/$B$5))))&lt;0.000000001,0,Q208-$B$11/$B$9*((MAX(0,MIN(1,Q208))^2/(MAX(0,MIN(1,Q208))^2+(1-MAX(0,MIN(1,Q208)))^2/$B$5))-(MAX(0,MIN(1,P208))^2/(MAX(0,MIN(1,P208))^2+(1-MAX(0,MIN(1,P208)))^2/$B$5))))</f>
        <v>0.936015502495359</v>
      </c>
      <c r="R209" s="16" t="n">
        <f aca="false">IF(ABS(R208-$B$11/$B$9*((MAX(0,MIN(1,R208))^2/(MAX(0,MIN(1,R208))^2+(1-MAX(0,MIN(1,R208)))^2/$B$5))-(MAX(0,MIN(1,Q208))^2/(MAX(0,MIN(1,Q208))^2+(1-MAX(0,MIN(1,Q208)))^2/$B$5))))&lt;0.000000001,0,R208-$B$11/$B$9*((MAX(0,MIN(1,R208))^2/(MAX(0,MIN(1,R208))^2+(1-MAX(0,MIN(1,R208)))^2/$B$5))-(MAX(0,MIN(1,Q208))^2/(MAX(0,MIN(1,Q208))^2+(1-MAX(0,MIN(1,Q208)))^2/$B$5))))</f>
        <v>0.927271147530765</v>
      </c>
      <c r="S209" s="16" t="n">
        <f aca="false">IF(ABS(S208-$B$11/$B$9*((MAX(0,MIN(1,S208))^2/(MAX(0,MIN(1,S208))^2+(1-MAX(0,MIN(1,S208)))^2/$B$5))-(MAX(0,MIN(1,R208))^2/(MAX(0,MIN(1,R208))^2+(1-MAX(0,MIN(1,R208)))^2/$B$5))))&lt;0.000000001,0,S208-$B$11/$B$9*((MAX(0,MIN(1,S208))^2/(MAX(0,MIN(1,S208))^2+(1-MAX(0,MIN(1,S208)))^2/$B$5))-(MAX(0,MIN(1,R208))^2/(MAX(0,MIN(1,R208))^2+(1-MAX(0,MIN(1,R208)))^2/$B$5))))</f>
        <v>0.918976880572672</v>
      </c>
      <c r="T209" s="16" t="n">
        <f aca="false">IF(ABS(T208-$B$11/$B$9*((MAX(0,MIN(1,T208))^2/(MAX(0,MIN(1,T208))^2+(1-MAX(0,MIN(1,T208)))^2/$B$5))-(MAX(0,MIN(1,S208))^2/(MAX(0,MIN(1,S208))^2+(1-MAX(0,MIN(1,S208)))^2/$B$5))))&lt;0.000000001,0,T208-$B$11/$B$9*((MAX(0,MIN(1,T208))^2/(MAX(0,MIN(1,T208))^2+(1-MAX(0,MIN(1,T208)))^2/$B$5))-(MAX(0,MIN(1,S208))^2/(MAX(0,MIN(1,S208))^2+(1-MAX(0,MIN(1,S208)))^2/$B$5))))</f>
        <v>0.911073063806528</v>
      </c>
      <c r="U209" s="16" t="n">
        <f aca="false">IF(ABS(U208-$B$11/$B$9*((MAX(0,MIN(1,U208))^2/(MAX(0,MIN(1,U208))^2+(1-MAX(0,MIN(1,U208)))^2/$B$5))-(MAX(0,MIN(1,T208))^2/(MAX(0,MIN(1,T208))^2+(1-MAX(0,MIN(1,T208)))^2/$B$5))))&lt;0.000000001,0,U208-$B$11/$B$9*((MAX(0,MIN(1,U208))^2/(MAX(0,MIN(1,U208))^2+(1-MAX(0,MIN(1,U208)))^2/$B$5))-(MAX(0,MIN(1,T208))^2/(MAX(0,MIN(1,T208))^2+(1-MAX(0,MIN(1,T208)))^2/$B$5))))</f>
        <v>0.90351423777024</v>
      </c>
      <c r="V209" s="16" t="n">
        <f aca="false">IF(ABS(V208-$B$11/$B$9*((MAX(0,MIN(1,V208))^2/(MAX(0,MIN(1,V208))^2+(1-MAX(0,MIN(1,V208)))^2/$B$5))-(MAX(0,MIN(1,U208))^2/(MAX(0,MIN(1,U208))^2+(1-MAX(0,MIN(1,U208)))^2/$B$5))))&lt;0.000000001,0,V208-$B$11/$B$9*((MAX(0,MIN(1,V208))^2/(MAX(0,MIN(1,V208))^2+(1-MAX(0,MIN(1,V208)))^2/$B$5))-(MAX(0,MIN(1,U208))^2/(MAX(0,MIN(1,U208))^2+(1-MAX(0,MIN(1,U208)))^2/$B$5))))</f>
        <v>0.896264218740517</v>
      </c>
      <c r="W209" s="16" t="n">
        <f aca="false">IF(ABS(W208-$B$11/$B$9*((MAX(0,MIN(1,W208))^2/(MAX(0,MIN(1,W208))^2+(1-MAX(0,MIN(1,W208)))^2/$B$5))-(MAX(0,MIN(1,V208))^2/(MAX(0,MIN(1,V208))^2+(1-MAX(0,MIN(1,V208)))^2/$B$5))))&lt;0.000000001,0,W208-$B$11/$B$9*((MAX(0,MIN(1,W208))^2/(MAX(0,MIN(1,W208))^2+(1-MAX(0,MIN(1,W208)))^2/$B$5))-(MAX(0,MIN(1,V208))^2/(MAX(0,MIN(1,V208))^2+(1-MAX(0,MIN(1,V208)))^2/$B$5))))</f>
        <v>0.88929330951812</v>
      </c>
      <c r="X209" s="16" t="n">
        <f aca="false">IF(ABS(X208-$B$11/$B$9*((MAX(0,MIN(1,X208))^2/(MAX(0,MIN(1,X208))^2+(1-MAX(0,MIN(1,X208)))^2/$B$5))-(MAX(0,MIN(1,W208))^2/(MAX(0,MIN(1,W208))^2+(1-MAX(0,MIN(1,W208)))^2/$B$5))))&lt;0.000000001,0,X208-$B$11/$B$9*((MAX(0,MIN(1,X208))^2/(MAX(0,MIN(1,X208))^2+(1-MAX(0,MIN(1,X208)))^2/$B$5))-(MAX(0,MIN(1,W208))^2/(MAX(0,MIN(1,W208))^2+(1-MAX(0,MIN(1,W208)))^2/$B$5))))</f>
        <v>0.882576580217721</v>
      </c>
      <c r="Y209" s="16" t="n">
        <f aca="false">IF(ABS(Y208-$B$11/$B$9*((MAX(0,MIN(1,Y208))^2/(MAX(0,MIN(1,Y208))^2+(1-MAX(0,MIN(1,Y208)))^2/$B$5))-(MAX(0,MIN(1,X208))^2/(MAX(0,MIN(1,X208))^2+(1-MAX(0,MIN(1,X208)))^2/$B$5))))&lt;0.000000001,0,Y208-$B$11/$B$9*((MAX(0,MIN(1,Y208))^2/(MAX(0,MIN(1,Y208))^2+(1-MAX(0,MIN(1,Y208)))^2/$B$5))-(MAX(0,MIN(1,X208))^2/(MAX(0,MIN(1,X208))^2+(1-MAX(0,MIN(1,X208)))^2/$B$5))))</f>
        <v>0.876092740225394</v>
      </c>
      <c r="Z209" s="16" t="n">
        <f aca="false">IF(ABS(Z208-$B$11/$B$9*((MAX(0,MIN(1,Z208))^2/(MAX(0,MIN(1,Z208))^2+(1-MAX(0,MIN(1,Z208)))^2/$B$5))-(MAX(0,MIN(1,Y208))^2/(MAX(0,MIN(1,Y208))^2+(1-MAX(0,MIN(1,Y208)))^2/$B$5))))&lt;0.000000001,0,Z208-$B$11/$B$9*((MAX(0,MIN(1,Z208))^2/(MAX(0,MIN(1,Z208))^2+(1-MAX(0,MIN(1,Z208)))^2/$B$5))-(MAX(0,MIN(1,Y208))^2/(MAX(0,MIN(1,Y208))^2+(1-MAX(0,MIN(1,Y208)))^2/$B$5))))</f>
        <v>0.86982336029448</v>
      </c>
      <c r="AA209" s="16" t="n">
        <f aca="false">IF(ABS(AA208-$B$11/$B$9*((MAX(0,MIN(1,AA208))^2/(MAX(0,MIN(1,AA208))^2+(1-MAX(0,MIN(1,AA208)))^2/$B$5))-(MAX(0,MIN(1,Z208))^2/(MAX(0,MIN(1,Z208))^2+(1-MAX(0,MIN(1,Z208)))^2/$B$5))))&lt;0.000000001,0,AA208-$B$11/$B$9*((MAX(0,MIN(1,AA208))^2/(MAX(0,MIN(1,AA208))^2+(1-MAX(0,MIN(1,AA208)))^2/$B$5))-(MAX(0,MIN(1,Z208))^2/(MAX(0,MIN(1,Z208))^2+(1-MAX(0,MIN(1,Z208)))^2/$B$5))))</f>
        <v>0.863752314122204</v>
      </c>
      <c r="AB209" s="16" t="n">
        <f aca="false">IF(ABS(AB208-$B$11/$B$9*((MAX(0,MIN(1,AB208))^2/(MAX(0,MIN(1,AB208))^2+(1-MAX(0,MIN(1,AB208)))^2/$B$5))-(MAX(0,MIN(1,AA208))^2/(MAX(0,MIN(1,AA208))^2+(1-MAX(0,MIN(1,AA208)))^2/$B$5))))&lt;0.000000001,0,AB208-$B$11/$B$9*((MAX(0,MIN(1,AB208))^2/(MAX(0,MIN(1,AB208))^2+(1-MAX(0,MIN(1,AB208)))^2/$B$5))-(MAX(0,MIN(1,AA208))^2/(MAX(0,MIN(1,AA208))^2+(1-MAX(0,MIN(1,AA208)))^2/$B$5))))</f>
        <v>0.857865364124936</v>
      </c>
      <c r="AC209" s="16" t="n">
        <f aca="false">IF(ABS(AC208-$B$11/$B$9*((MAX(0,MIN(1,AC208))^2/(MAX(0,MIN(1,AC208))^2+(1-MAX(0,MIN(1,AC208)))^2/$B$5))-(MAX(0,MIN(1,AB208))^2/(MAX(0,MIN(1,AB208))^2+(1-MAX(0,MIN(1,AB208)))^2/$B$5))))&lt;0.000000001,0,AC208-$B$11/$B$9*((MAX(0,MIN(1,AC208))^2/(MAX(0,MIN(1,AC208))^2+(1-MAX(0,MIN(1,AC208)))^2/$B$5))-(MAX(0,MIN(1,AB208))^2/(MAX(0,MIN(1,AB208))^2+(1-MAX(0,MIN(1,AB208)))^2/$B$5))))</f>
        <v>0.852149845758094</v>
      </c>
      <c r="AD209" s="16" t="n">
        <f aca="false">IF(ABS(AD208-$B$11/$B$9*((MAX(0,MIN(1,AD208))^2/(MAX(0,MIN(1,AD208))^2+(1-MAX(0,MIN(1,AD208)))^2/$B$5))-(MAX(0,MIN(1,AC208))^2/(MAX(0,MIN(1,AC208))^2+(1-MAX(0,MIN(1,AC208)))^2/$B$5))))&lt;0.000000001,0,AD208-$B$11/$B$9*((MAX(0,MIN(1,AD208))^2/(MAX(0,MIN(1,AD208))^2+(1-MAX(0,MIN(1,AD208)))^2/$B$5))-(MAX(0,MIN(1,AC208))^2/(MAX(0,MIN(1,AC208))^2+(1-MAX(0,MIN(1,AC208)))^2/$B$5))))</f>
        <v>0.846594421461844</v>
      </c>
      <c r="AE209" s="16" t="n">
        <f aca="false">IF(ABS(AE208-$B$11/$B$9*((MAX(0,MIN(1,AE208))^2/(MAX(0,MIN(1,AE208))^2+(1-MAX(0,MIN(1,AE208)))^2/$B$5))-(MAX(0,MIN(1,AD208))^2/(MAX(0,MIN(1,AD208))^2+(1-MAX(0,MIN(1,AD208)))^2/$B$5))))&lt;0.000000001,0,AE208-$B$11/$B$9*((MAX(0,MIN(1,AE208))^2/(MAX(0,MIN(1,AE208))^2+(1-MAX(0,MIN(1,AE208)))^2/$B$5))-(MAX(0,MIN(1,AD208))^2/(MAX(0,MIN(1,AD208))^2+(1-MAX(0,MIN(1,AD208)))^2/$B$5))))</f>
        <v>0.841188885215435</v>
      </c>
      <c r="AF209" s="16" t="n">
        <f aca="false">IF(ABS(AF208-$B$11/$B$9*((MAX(0,MIN(1,AF208))^2/(MAX(0,MIN(1,AF208))^2+(1-MAX(0,MIN(1,AF208)))^2/$B$5))-(MAX(0,MIN(1,AE208))^2/(MAX(0,MIN(1,AE208))^2+(1-MAX(0,MIN(1,AE208)))^2/$B$5))))&lt;0.000000001,0,AF208-$B$11/$B$9*((MAX(0,MIN(1,AF208))^2/(MAX(0,MIN(1,AF208))^2+(1-MAX(0,MIN(1,AF208)))^2/$B$5))-(MAX(0,MIN(1,AE208))^2/(MAX(0,MIN(1,AE208))^2+(1-MAX(0,MIN(1,AE208)))^2/$B$5))))</f>
        <v>0.83592400478198</v>
      </c>
    </row>
    <row r="210" customFormat="false" ht="15" hidden="false" customHeight="false" outlineLevel="0" collapsed="false">
      <c r="L210" s="0" t="n">
        <v>200</v>
      </c>
      <c r="M210" s="16" t="n">
        <f aca="false">IF(ABS(M209-$B$11/$B$9*((MAX(0,MIN(1,M209))^2/(MAX(0,MIN(1,M209))^2+(1-MAX(0,MIN(1,M209)))^2/$B$5))-(MAX(0,MIN(1,1))^2/(MAX(0,MIN(1,1))^2+(1-MAX(0,MIN(1,1)))^2/$B$5))))&lt;0.000000001,0,M209-$B$11/$B$9*((MAX(0,MIN(1,M209))^2/(MAX(0,MIN(1,M209))^2+(1-MAX(0,MIN(1,M209)))^2/$B$5))-(MAX(0,MIN(1,1))^2/(MAX(0,MIN(1,1))^2+(1-MAX(0,MIN(1,1)))^2/$B$5))))</f>
        <v>0.978498610063781</v>
      </c>
      <c r="N210" s="16" t="n">
        <f aca="false">IF(ABS(N209-$B$11/$B$9*((MAX(0,MIN(1,N209))^2/(MAX(0,MIN(1,N209))^2+(1-MAX(0,MIN(1,N209)))^2/$B$5))-(MAX(0,MIN(1,M209))^2/(MAX(0,MIN(1,M209))^2+(1-MAX(0,MIN(1,M209)))^2/$B$5))))&lt;0.000000001,0,N209-$B$11/$B$9*((MAX(0,MIN(1,N209))^2/(MAX(0,MIN(1,N209))^2+(1-MAX(0,MIN(1,N209)))^2/$B$5))-(MAX(0,MIN(1,M209))^2/(MAX(0,MIN(1,M209))^2+(1-MAX(0,MIN(1,M209)))^2/$B$5))))</f>
        <v>0.966214652718292</v>
      </c>
      <c r="O210" s="16" t="n">
        <f aca="false">IF(ABS(O209-$B$11/$B$9*((MAX(0,MIN(1,O209))^2/(MAX(0,MIN(1,O209))^2+(1-MAX(0,MIN(1,O209)))^2/$B$5))-(MAX(0,MIN(1,N209))^2/(MAX(0,MIN(1,N209))^2+(1-MAX(0,MIN(1,N209)))^2/$B$5))))&lt;0.000000001,0,O209-$B$11/$B$9*((MAX(0,MIN(1,O209))^2/(MAX(0,MIN(1,O209))^2+(1-MAX(0,MIN(1,O209)))^2/$B$5))-(MAX(0,MIN(1,N209))^2/(MAX(0,MIN(1,N209))^2+(1-MAX(0,MIN(1,N209)))^2/$B$5))))</f>
        <v>0.955418284727297</v>
      </c>
      <c r="P210" s="16" t="n">
        <f aca="false">IF(ABS(P209-$B$11/$B$9*((MAX(0,MIN(1,P209))^2/(MAX(0,MIN(1,P209))^2+(1-MAX(0,MIN(1,P209)))^2/$B$5))-(MAX(0,MIN(1,O209))^2/(MAX(0,MIN(1,O209))^2+(1-MAX(0,MIN(1,O209)))^2/$B$5))))&lt;0.000000001,0,P209-$B$11/$B$9*((MAX(0,MIN(1,P209))^2/(MAX(0,MIN(1,P209))^2+(1-MAX(0,MIN(1,P209)))^2/$B$5))-(MAX(0,MIN(1,O209))^2/(MAX(0,MIN(1,O209))^2+(1-MAX(0,MIN(1,O209)))^2/$B$5))))</f>
        <v>0.945514403018862</v>
      </c>
      <c r="Q210" s="16" t="n">
        <f aca="false">IF(ABS(Q209-$B$11/$B$9*((MAX(0,MIN(1,Q209))^2/(MAX(0,MIN(1,Q209))^2+(1-MAX(0,MIN(1,Q209)))^2/$B$5))-(MAX(0,MIN(1,P209))^2/(MAX(0,MIN(1,P209))^2+(1-MAX(0,MIN(1,P209)))^2/$B$5))))&lt;0.000000001,0,Q209-$B$11/$B$9*((MAX(0,MIN(1,Q209))^2/(MAX(0,MIN(1,Q209))^2+(1-MAX(0,MIN(1,Q209)))^2/$B$5))-(MAX(0,MIN(1,P209))^2/(MAX(0,MIN(1,P209))^2+(1-MAX(0,MIN(1,P209)))^2/$B$5))))</f>
        <v>0.936268971554138</v>
      </c>
      <c r="R210" s="16" t="n">
        <f aca="false">IF(ABS(R209-$B$11/$B$9*((MAX(0,MIN(1,R209))^2/(MAX(0,MIN(1,R209))^2+(1-MAX(0,MIN(1,R209)))^2/$B$5))-(MAX(0,MIN(1,Q209))^2/(MAX(0,MIN(1,Q209))^2+(1-MAX(0,MIN(1,Q209)))^2/$B$5))))&lt;0.000000001,0,R209-$B$11/$B$9*((MAX(0,MIN(1,R209))^2/(MAX(0,MIN(1,R209))^2+(1-MAX(0,MIN(1,R209)))^2/$B$5))-(MAX(0,MIN(1,Q209))^2/(MAX(0,MIN(1,Q209))^2+(1-MAX(0,MIN(1,Q209)))^2/$B$5))))</f>
        <v>0.927553956798047</v>
      </c>
      <c r="S210" s="16" t="n">
        <f aca="false">IF(ABS(S209-$B$11/$B$9*((MAX(0,MIN(1,S209))^2/(MAX(0,MIN(1,S209))^2+(1-MAX(0,MIN(1,S209)))^2/$B$5))-(MAX(0,MIN(1,R209))^2/(MAX(0,MIN(1,R209))^2+(1-MAX(0,MIN(1,R209)))^2/$B$5))))&lt;0.000000001,0,S209-$B$11/$B$9*((MAX(0,MIN(1,S209))^2/(MAX(0,MIN(1,S209))^2+(1-MAX(0,MIN(1,S209)))^2/$B$5))-(MAX(0,MIN(1,R209))^2/(MAX(0,MIN(1,R209))^2+(1-MAX(0,MIN(1,R209)))^2/$B$5))))</f>
        <v>0.919286497461678</v>
      </c>
      <c r="T210" s="16" t="n">
        <f aca="false">IF(ABS(T209-$B$11/$B$9*((MAX(0,MIN(1,T209))^2/(MAX(0,MIN(1,T209))^2+(1-MAX(0,MIN(1,T209)))^2/$B$5))-(MAX(0,MIN(1,S209))^2/(MAX(0,MIN(1,S209))^2+(1-MAX(0,MIN(1,S209)))^2/$B$5))))&lt;0.000000001,0,T209-$B$11/$B$9*((MAX(0,MIN(1,T209))^2/(MAX(0,MIN(1,T209))^2+(1-MAX(0,MIN(1,T209)))^2/$B$5))-(MAX(0,MIN(1,S209))^2/(MAX(0,MIN(1,S209))^2+(1-MAX(0,MIN(1,S209)))^2/$B$5))))</f>
        <v>0.911407348117885</v>
      </c>
      <c r="U210" s="16" t="n">
        <f aca="false">IF(ABS(U209-$B$11/$B$9*((MAX(0,MIN(1,U209))^2/(MAX(0,MIN(1,U209))^2+(1-MAX(0,MIN(1,U209)))^2/$B$5))-(MAX(0,MIN(1,T209))^2/(MAX(0,MIN(1,T209))^2+(1-MAX(0,MIN(1,T209)))^2/$B$5))))&lt;0.000000001,0,U209-$B$11/$B$9*((MAX(0,MIN(1,U209))^2/(MAX(0,MIN(1,U209))^2+(1-MAX(0,MIN(1,U209)))^2/$B$5))-(MAX(0,MIN(1,T209))^2/(MAX(0,MIN(1,T209))^2+(1-MAX(0,MIN(1,T209)))^2/$B$5))))</f>
        <v>0.903871352402738</v>
      </c>
      <c r="V210" s="16" t="n">
        <f aca="false">IF(ABS(V209-$B$11/$B$9*((MAX(0,MIN(1,V209))^2/(MAX(0,MIN(1,V209))^2+(1-MAX(0,MIN(1,V209)))^2/$B$5))-(MAX(0,MIN(1,U209))^2/(MAX(0,MIN(1,U209))^2+(1-MAX(0,MIN(1,U209)))^2/$B$5))))&lt;0.000000001,0,V209-$B$11/$B$9*((MAX(0,MIN(1,V209))^2/(MAX(0,MIN(1,V209))^2+(1-MAX(0,MIN(1,V209)))^2/$B$5))-(MAX(0,MIN(1,U209))^2/(MAX(0,MIN(1,U209))^2+(1-MAX(0,MIN(1,U209)))^2/$B$5))))</f>
        <v>0.896642568485065</v>
      </c>
      <c r="W210" s="16" t="n">
        <f aca="false">IF(ABS(W209-$B$11/$B$9*((MAX(0,MIN(1,W209))^2/(MAX(0,MIN(1,W209))^2+(1-MAX(0,MIN(1,W209)))^2/$B$5))-(MAX(0,MIN(1,V209))^2/(MAX(0,MIN(1,V209))^2+(1-MAX(0,MIN(1,V209)))^2/$B$5))))&lt;0.000000001,0,W209-$B$11/$B$9*((MAX(0,MIN(1,W209))^2/(MAX(0,MIN(1,W209))^2+(1-MAX(0,MIN(1,W209)))^2/$B$5))-(MAX(0,MIN(1,V209))^2/(MAX(0,MIN(1,V209))^2+(1-MAX(0,MIN(1,V209)))^2/$B$5))))</f>
        <v>0.889691496737088</v>
      </c>
      <c r="X210" s="16" t="n">
        <f aca="false">IF(ABS(X209-$B$11/$B$9*((MAX(0,MIN(1,X209))^2/(MAX(0,MIN(1,X209))^2+(1-MAX(0,MIN(1,X209)))^2/$B$5))-(MAX(0,MIN(1,W209))^2/(MAX(0,MIN(1,W209))^2+(1-MAX(0,MIN(1,W209)))^2/$B$5))))&lt;0.000000001,0,X209-$B$11/$B$9*((MAX(0,MIN(1,X209))^2/(MAX(0,MIN(1,X209))^2+(1-MAX(0,MIN(1,X209)))^2/$B$5))-(MAX(0,MIN(1,W209))^2/(MAX(0,MIN(1,W209))^2+(1-MAX(0,MIN(1,W209)))^2/$B$5))))</f>
        <v>0.882993371469232</v>
      </c>
      <c r="Y210" s="16" t="n">
        <f aca="false">IF(ABS(Y209-$B$11/$B$9*((MAX(0,MIN(1,Y209))^2/(MAX(0,MIN(1,Y209))^2+(1-MAX(0,MIN(1,Y209)))^2/$B$5))-(MAX(0,MIN(1,X209))^2/(MAX(0,MIN(1,X209))^2+(1-MAX(0,MIN(1,X209)))^2/$B$5))))&lt;0.000000001,0,Y209-$B$11/$B$9*((MAX(0,MIN(1,Y209))^2/(MAX(0,MIN(1,Y209))^2+(1-MAX(0,MIN(1,Y209)))^2/$B$5))-(MAX(0,MIN(1,X209))^2/(MAX(0,MIN(1,X209))^2+(1-MAX(0,MIN(1,X209)))^2/$B$5))))</f>
        <v>0.876527040389541</v>
      </c>
      <c r="Z210" s="16" t="n">
        <f aca="false">IF(ABS(Z209-$B$11/$B$9*((MAX(0,MIN(1,Z209))^2/(MAX(0,MIN(1,Z209))^2+(1-MAX(0,MIN(1,Z209)))^2/$B$5))-(MAX(0,MIN(1,Y209))^2/(MAX(0,MIN(1,Y209))^2+(1-MAX(0,MIN(1,Y209)))^2/$B$5))))&lt;0.000000001,0,Z209-$B$11/$B$9*((MAX(0,MIN(1,Z209))^2/(MAX(0,MIN(1,Z209))^2+(1-MAX(0,MIN(1,Z209)))^2/$B$5))-(MAX(0,MIN(1,Y209))^2/(MAX(0,MIN(1,Y209))^2+(1-MAX(0,MIN(1,Y209)))^2/$B$5))))</f>
        <v>0.870274192064419</v>
      </c>
      <c r="AA210" s="16" t="n">
        <f aca="false">IF(ABS(AA209-$B$11/$B$9*((MAX(0,MIN(1,AA209))^2/(MAX(0,MIN(1,AA209))^2+(1-MAX(0,MIN(1,AA209)))^2/$B$5))-(MAX(0,MIN(1,Z209))^2/(MAX(0,MIN(1,Z209))^2+(1-MAX(0,MIN(1,Z209)))^2/$B$5))))&lt;0.000000001,0,AA209-$B$11/$B$9*((MAX(0,MIN(1,AA209))^2/(MAX(0,MIN(1,AA209))^2+(1-MAX(0,MIN(1,AA209)))^2/$B$5))-(MAX(0,MIN(1,Z209))^2/(MAX(0,MIN(1,Z209))^2+(1-MAX(0,MIN(1,Z209)))^2/$B$5))))</f>
        <v>0.864218801460203</v>
      </c>
      <c r="AB210" s="16" t="n">
        <f aca="false">IF(ABS(AB209-$B$11/$B$9*((MAX(0,MIN(1,AB209))^2/(MAX(0,MIN(1,AB209))^2+(1-MAX(0,MIN(1,AB209)))^2/$B$5))-(MAX(0,MIN(1,AA209))^2/(MAX(0,MIN(1,AA209))^2+(1-MAX(0,MIN(1,AA209)))^2/$B$5))))&lt;0.000000001,0,AB209-$B$11/$B$9*((MAX(0,MIN(1,AB209))^2/(MAX(0,MIN(1,AB209))^2+(1-MAX(0,MIN(1,AB209)))^2/$B$5))-(MAX(0,MIN(1,AA209))^2/(MAX(0,MIN(1,AA209))^2+(1-MAX(0,MIN(1,AA209)))^2/$B$5))))</f>
        <v>0.858346718726081</v>
      </c>
      <c r="AC210" s="16" t="n">
        <f aca="false">IF(ABS(AC209-$B$11/$B$9*((MAX(0,MIN(1,AC209))^2/(MAX(0,MIN(1,AC209))^2+(1-MAX(0,MIN(1,AC209)))^2/$B$5))-(MAX(0,MIN(1,AB209))^2/(MAX(0,MIN(1,AB209))^2+(1-MAX(0,MIN(1,AB209)))^2/$B$5))))&lt;0.000000001,0,AC209-$B$11/$B$9*((MAX(0,MIN(1,AC209))^2/(MAX(0,MIN(1,AC209))^2+(1-MAX(0,MIN(1,AC209)))^2/$B$5))-(MAX(0,MIN(1,AB209))^2/(MAX(0,MIN(1,AB209))^2+(1-MAX(0,MIN(1,AB209)))^2/$B$5))))</f>
        <v>0.852645355843918</v>
      </c>
      <c r="AD210" s="16" t="n">
        <f aca="false">IF(ABS(AD209-$B$11/$B$9*((MAX(0,MIN(1,AD209))^2/(MAX(0,MIN(1,AD209))^2+(1-MAX(0,MIN(1,AD209)))^2/$B$5))-(MAX(0,MIN(1,AC209))^2/(MAX(0,MIN(1,AC209))^2+(1-MAX(0,MIN(1,AC209)))^2/$B$5))))&lt;0.000000001,0,AD209-$B$11/$B$9*((MAX(0,MIN(1,AD209))^2/(MAX(0,MIN(1,AD209))^2+(1-MAX(0,MIN(1,AD209)))^2/$B$5))-(MAX(0,MIN(1,AC209))^2/(MAX(0,MIN(1,AC209))^2+(1-MAX(0,MIN(1,AC209)))^2/$B$5))))</f>
        <v>0.847103442410329</v>
      </c>
      <c r="AE210" s="16" t="n">
        <f aca="false">IF(ABS(AE209-$B$11/$B$9*((MAX(0,MIN(1,AE209))^2/(MAX(0,MIN(1,AE209))^2+(1-MAX(0,MIN(1,AE209)))^2/$B$5))-(MAX(0,MIN(1,AD209))^2/(MAX(0,MIN(1,AD209))^2+(1-MAX(0,MIN(1,AD209)))^2/$B$5))))&lt;0.000000001,0,AE209-$B$11/$B$9*((MAX(0,MIN(1,AE209))^2/(MAX(0,MIN(1,AE209))^2+(1-MAX(0,MIN(1,AE209)))^2/$B$5))-(MAX(0,MIN(1,AD209))^2/(MAX(0,MIN(1,AD209))^2+(1-MAX(0,MIN(1,AD209)))^2/$B$5))))</f>
        <v>0.84171083165945</v>
      </c>
      <c r="AF210" s="16" t="n">
        <f aca="false">IF(ABS(AF209-$B$11/$B$9*((MAX(0,MIN(1,AF209))^2/(MAX(0,MIN(1,AF209))^2+(1-MAX(0,MIN(1,AF209)))^2/$B$5))-(MAX(0,MIN(1,AE209))^2/(MAX(0,MIN(1,AE209))^2+(1-MAX(0,MIN(1,AE209)))^2/$B$5))))&lt;0.000000001,0,AF209-$B$11/$B$9*((MAX(0,MIN(1,AF209))^2/(MAX(0,MIN(1,AF209))^2+(1-MAX(0,MIN(1,AF209)))^2/$B$5))-(MAX(0,MIN(1,AE209))^2/(MAX(0,MIN(1,AE209))^2+(1-MAX(0,MIN(1,AE209)))^2/$B$5))))</f>
        <v>0.836458343896448</v>
      </c>
    </row>
    <row r="211" customFormat="false" ht="15" hidden="false" customHeight="false" outlineLevel="0" collapsed="false">
      <c r="L211" s="0" t="n">
        <v>201</v>
      </c>
      <c r="M211" s="16" t="n">
        <f aca="false">IF(ABS(M210-$B$11/$B$9*((MAX(0,MIN(1,M210))^2/(MAX(0,MIN(1,M210))^2+(1-MAX(0,MIN(1,M210)))^2/$B$5))-(MAX(0,MIN(1,1))^2/(MAX(0,MIN(1,1))^2+(1-MAX(0,MIN(1,1)))^2/$B$5))))&lt;0.000000001,0,M210-$B$11/$B$9*((MAX(0,MIN(1,M210))^2/(MAX(0,MIN(1,M210))^2+(1-MAX(0,MIN(1,M210)))^2/$B$5))-(MAX(0,MIN(1,1))^2/(MAX(0,MIN(1,1))^2+(1-MAX(0,MIN(1,1)))^2/$B$5))))</f>
        <v>0.978591423233384</v>
      </c>
      <c r="N211" s="16" t="n">
        <f aca="false">IF(ABS(N210-$B$11/$B$9*((MAX(0,MIN(1,N210))^2/(MAX(0,MIN(1,N210))^2+(1-MAX(0,MIN(1,N210)))^2/$B$5))-(MAX(0,MIN(1,M210))^2/(MAX(0,MIN(1,M210))^2+(1-MAX(0,MIN(1,M210)))^2/$B$5))))&lt;0.000000001,0,N210-$B$11/$B$9*((MAX(0,MIN(1,N210))^2/(MAX(0,MIN(1,N210))^2+(1-MAX(0,MIN(1,N210)))^2/$B$5))-(MAX(0,MIN(1,M210))^2/(MAX(0,MIN(1,M210))^2+(1-MAX(0,MIN(1,M210)))^2/$B$5))))</f>
        <v>0.966356773571067</v>
      </c>
      <c r="O211" s="16" t="n">
        <f aca="false">IF(ABS(O210-$B$11/$B$9*((MAX(0,MIN(1,O210))^2/(MAX(0,MIN(1,O210))^2+(1-MAX(0,MIN(1,O210)))^2/$B$5))-(MAX(0,MIN(1,N210))^2/(MAX(0,MIN(1,N210))^2+(1-MAX(0,MIN(1,N210)))^2/$B$5))))&lt;0.000000001,0,O210-$B$11/$B$9*((MAX(0,MIN(1,O210))^2/(MAX(0,MIN(1,O210))^2+(1-MAX(0,MIN(1,O210)))^2/$B$5))-(MAX(0,MIN(1,N210))^2/(MAX(0,MIN(1,N210))^2+(1-MAX(0,MIN(1,N210)))^2/$B$5))))</f>
        <v>0.955601523428051</v>
      </c>
      <c r="P211" s="16" t="n">
        <f aca="false">IF(ABS(P210-$B$11/$B$9*((MAX(0,MIN(1,P210))^2/(MAX(0,MIN(1,P210))^2+(1-MAX(0,MIN(1,P210)))^2/$B$5))-(MAX(0,MIN(1,O210))^2/(MAX(0,MIN(1,O210))^2+(1-MAX(0,MIN(1,O210)))^2/$B$5))))&lt;0.000000001,0,P210-$B$11/$B$9*((MAX(0,MIN(1,P210))^2/(MAX(0,MIN(1,P210))^2+(1-MAX(0,MIN(1,P210)))^2/$B$5))-(MAX(0,MIN(1,O210))^2/(MAX(0,MIN(1,O210))^2+(1-MAX(0,MIN(1,O210)))^2/$B$5))))</f>
        <v>0.945733624995291</v>
      </c>
      <c r="Q211" s="16" t="n">
        <f aca="false">IF(ABS(Q210-$B$11/$B$9*((MAX(0,MIN(1,Q210))^2/(MAX(0,MIN(1,Q210))^2+(1-MAX(0,MIN(1,Q210)))^2/$B$5))-(MAX(0,MIN(1,P210))^2/(MAX(0,MIN(1,P210))^2+(1-MAX(0,MIN(1,P210)))^2/$B$5))))&lt;0.000000001,0,Q210-$B$11/$B$9*((MAX(0,MIN(1,Q210))^2/(MAX(0,MIN(1,Q210))^2+(1-MAX(0,MIN(1,Q210)))^2/$B$5))-(MAX(0,MIN(1,P210))^2/(MAX(0,MIN(1,P210))^2+(1-MAX(0,MIN(1,P210)))^2/$B$5))))</f>
        <v>0.936520363295384</v>
      </c>
      <c r="R211" s="16" t="n">
        <f aca="false">IF(ABS(R210-$B$11/$B$9*((MAX(0,MIN(1,R210))^2/(MAX(0,MIN(1,R210))^2+(1-MAX(0,MIN(1,R210)))^2/$B$5))-(MAX(0,MIN(1,Q210))^2/(MAX(0,MIN(1,Q210))^2+(1-MAX(0,MIN(1,Q210)))^2/$B$5))))&lt;0.000000001,0,R210-$B$11/$B$9*((MAX(0,MIN(1,R210))^2/(MAX(0,MIN(1,R210))^2+(1-MAX(0,MIN(1,R210)))^2/$B$5))-(MAX(0,MIN(1,Q210))^2/(MAX(0,MIN(1,Q210))^2+(1-MAX(0,MIN(1,Q210)))^2/$B$5))))</f>
        <v>0.92783448160271</v>
      </c>
      <c r="S211" s="16" t="n">
        <f aca="false">IF(ABS(S210-$B$11/$B$9*((MAX(0,MIN(1,S210))^2/(MAX(0,MIN(1,S210))^2+(1-MAX(0,MIN(1,S210)))^2/$B$5))-(MAX(0,MIN(1,R210))^2/(MAX(0,MIN(1,R210))^2+(1-MAX(0,MIN(1,R210)))^2/$B$5))))&lt;0.000000001,0,S210-$B$11/$B$9*((MAX(0,MIN(1,S210))^2/(MAX(0,MIN(1,S210))^2+(1-MAX(0,MIN(1,S210)))^2/$B$5))-(MAX(0,MIN(1,R210))^2/(MAX(0,MIN(1,R210))^2+(1-MAX(0,MIN(1,R210)))^2/$B$5))))</f>
        <v>0.919593646197663</v>
      </c>
      <c r="T211" s="16" t="n">
        <f aca="false">IF(ABS(T210-$B$11/$B$9*((MAX(0,MIN(1,T210))^2/(MAX(0,MIN(1,T210))^2+(1-MAX(0,MIN(1,T210)))^2/$B$5))-(MAX(0,MIN(1,S210))^2/(MAX(0,MIN(1,S210))^2+(1-MAX(0,MIN(1,S210)))^2/$B$5))))&lt;0.000000001,0,T210-$B$11/$B$9*((MAX(0,MIN(1,T210))^2/(MAX(0,MIN(1,T210))^2+(1-MAX(0,MIN(1,T210)))^2/$B$5))-(MAX(0,MIN(1,S210))^2/(MAX(0,MIN(1,S210))^2+(1-MAX(0,MIN(1,S210)))^2/$B$5))))</f>
        <v>0.911738999722844</v>
      </c>
      <c r="U211" s="16" t="n">
        <f aca="false">IF(ABS(U210-$B$11/$B$9*((MAX(0,MIN(1,U210))^2/(MAX(0,MIN(1,U210))^2+(1-MAX(0,MIN(1,U210)))^2/$B$5))-(MAX(0,MIN(1,T210))^2/(MAX(0,MIN(1,T210))^2+(1-MAX(0,MIN(1,T210)))^2/$B$5))))&lt;0.000000001,0,U210-$B$11/$B$9*((MAX(0,MIN(1,U210))^2/(MAX(0,MIN(1,U210))^2+(1-MAX(0,MIN(1,U210)))^2/$B$5))-(MAX(0,MIN(1,T210))^2/(MAX(0,MIN(1,T210))^2+(1-MAX(0,MIN(1,T210)))^2/$B$5))))</f>
        <v>0.904225685629031</v>
      </c>
      <c r="V211" s="16" t="n">
        <f aca="false">IF(ABS(V210-$B$11/$B$9*((MAX(0,MIN(1,V210))^2/(MAX(0,MIN(1,V210))^2+(1-MAX(0,MIN(1,V210)))^2/$B$5))-(MAX(0,MIN(1,U210))^2/(MAX(0,MIN(1,U210))^2+(1-MAX(0,MIN(1,U210)))^2/$B$5))))&lt;0.000000001,0,V210-$B$11/$B$9*((MAX(0,MIN(1,V210))^2/(MAX(0,MIN(1,V210))^2+(1-MAX(0,MIN(1,V210)))^2/$B$5))-(MAX(0,MIN(1,U210))^2/(MAX(0,MIN(1,U210))^2+(1-MAX(0,MIN(1,U210)))^2/$B$5))))</f>
        <v>0.897018001408153</v>
      </c>
      <c r="W211" s="16" t="n">
        <f aca="false">IF(ABS(W210-$B$11/$B$9*((MAX(0,MIN(1,W210))^2/(MAX(0,MIN(1,W210))^2+(1-MAX(0,MIN(1,W210)))^2/$B$5))-(MAX(0,MIN(1,V210))^2/(MAX(0,MIN(1,V210))^2+(1-MAX(0,MIN(1,V210)))^2/$B$5))))&lt;0.000000001,0,W210-$B$11/$B$9*((MAX(0,MIN(1,W210))^2/(MAX(0,MIN(1,W210))^2+(1-MAX(0,MIN(1,W210)))^2/$B$5))-(MAX(0,MIN(1,V210))^2/(MAX(0,MIN(1,V210))^2+(1-MAX(0,MIN(1,V210)))^2/$B$5))))</f>
        <v>0.890086642951576</v>
      </c>
      <c r="X211" s="16" t="n">
        <f aca="false">IF(ABS(X210-$B$11/$B$9*((MAX(0,MIN(1,X210))^2/(MAX(0,MIN(1,X210))^2+(1-MAX(0,MIN(1,X210)))^2/$B$5))-(MAX(0,MIN(1,W210))^2/(MAX(0,MIN(1,W210))^2+(1-MAX(0,MIN(1,W210)))^2/$B$5))))&lt;0.000000001,0,X210-$B$11/$B$9*((MAX(0,MIN(1,X210))^2/(MAX(0,MIN(1,X210))^2+(1-MAX(0,MIN(1,X210)))^2/$B$5))-(MAX(0,MIN(1,W210))^2/(MAX(0,MIN(1,W210))^2+(1-MAX(0,MIN(1,W210)))^2/$B$5))))</f>
        <v>0.88340700709926</v>
      </c>
      <c r="Y211" s="16" t="n">
        <f aca="false">IF(ABS(Y210-$B$11/$B$9*((MAX(0,MIN(1,Y210))^2/(MAX(0,MIN(1,Y210))^2+(1-MAX(0,MIN(1,Y210)))^2/$B$5))-(MAX(0,MIN(1,X210))^2/(MAX(0,MIN(1,X210))^2+(1-MAX(0,MIN(1,X210)))^2/$B$5))))&lt;0.000000001,0,Y210-$B$11/$B$9*((MAX(0,MIN(1,Y210))^2/(MAX(0,MIN(1,Y210))^2+(1-MAX(0,MIN(1,Y210)))^2/$B$5))-(MAX(0,MIN(1,X210))^2/(MAX(0,MIN(1,X210))^2+(1-MAX(0,MIN(1,X210)))^2/$B$5))))</f>
        <v>0.876958078510637</v>
      </c>
      <c r="Z211" s="16" t="n">
        <f aca="false">IF(ABS(Z210-$B$11/$B$9*((MAX(0,MIN(1,Z210))^2/(MAX(0,MIN(1,Z210))^2+(1-MAX(0,MIN(1,Z210)))^2/$B$5))-(MAX(0,MIN(1,Y210))^2/(MAX(0,MIN(1,Y210))^2+(1-MAX(0,MIN(1,Y210)))^2/$B$5))))&lt;0.000000001,0,Z210-$B$11/$B$9*((MAX(0,MIN(1,Z210))^2/(MAX(0,MIN(1,Z210))^2+(1-MAX(0,MIN(1,Z210)))^2/$B$5))-(MAX(0,MIN(1,Y210))^2/(MAX(0,MIN(1,Y210))^2+(1-MAX(0,MIN(1,Y210)))^2/$B$5))))</f>
        <v>0.870721662425298</v>
      </c>
      <c r="AA211" s="16" t="n">
        <f aca="false">IF(ABS(AA210-$B$11/$B$9*((MAX(0,MIN(1,AA210))^2/(MAX(0,MIN(1,AA210))^2+(1-MAX(0,MIN(1,AA210)))^2/$B$5))-(MAX(0,MIN(1,Z210))^2/(MAX(0,MIN(1,Z210))^2+(1-MAX(0,MIN(1,Z210)))^2/$B$5))))&lt;0.000000001,0,AA210-$B$11/$B$9*((MAX(0,MIN(1,AA210))^2/(MAX(0,MIN(1,AA210))^2+(1-MAX(0,MIN(1,AA210)))^2/$B$5))-(MAX(0,MIN(1,Z210))^2/(MAX(0,MIN(1,Z210))^2+(1-MAX(0,MIN(1,Z210)))^2/$B$5))))</f>
        <v>0.864681834121631</v>
      </c>
      <c r="AB211" s="16" t="n">
        <f aca="false">IF(ABS(AB210-$B$11/$B$9*((MAX(0,MIN(1,AB210))^2/(MAX(0,MIN(1,AB210))^2+(1-MAX(0,MIN(1,AB210)))^2/$B$5))-(MAX(0,MIN(1,AA210))^2/(MAX(0,MIN(1,AA210))^2+(1-MAX(0,MIN(1,AA210)))^2/$B$5))))&lt;0.000000001,0,AB210-$B$11/$B$9*((MAX(0,MIN(1,AB210))^2/(MAX(0,MIN(1,AB210))^2+(1-MAX(0,MIN(1,AB210)))^2/$B$5))-(MAX(0,MIN(1,AA210))^2/(MAX(0,MIN(1,AA210))^2+(1-MAX(0,MIN(1,AA210)))^2/$B$5))))</f>
        <v>0.85882453067126</v>
      </c>
      <c r="AC211" s="16" t="n">
        <f aca="false">IF(ABS(AC210-$B$11/$B$9*((MAX(0,MIN(1,AC210))^2/(MAX(0,MIN(1,AC210))^2+(1-MAX(0,MIN(1,AC210)))^2/$B$5))-(MAX(0,MIN(1,AB210))^2/(MAX(0,MIN(1,AB210))^2+(1-MAX(0,MIN(1,AB210)))^2/$B$5))))&lt;0.000000001,0,AC210-$B$11/$B$9*((MAX(0,MIN(1,AC210))^2/(MAX(0,MIN(1,AC210))^2+(1-MAX(0,MIN(1,AC210)))^2/$B$5))-(MAX(0,MIN(1,AB210))^2/(MAX(0,MIN(1,AB210))^2+(1-MAX(0,MIN(1,AB210)))^2/$B$5))))</f>
        <v>0.853137239891083</v>
      </c>
      <c r="AD211" s="16" t="n">
        <f aca="false">IF(ABS(AD210-$B$11/$B$9*((MAX(0,MIN(1,AD210))^2/(MAX(0,MIN(1,AD210))^2+(1-MAX(0,MIN(1,AD210)))^2/$B$5))-(MAX(0,MIN(1,AC210))^2/(MAX(0,MIN(1,AC210))^2+(1-MAX(0,MIN(1,AC210)))^2/$B$5))))&lt;0.000000001,0,AD210-$B$11/$B$9*((MAX(0,MIN(1,AD210))^2/(MAX(0,MIN(1,AD210))^2+(1-MAX(0,MIN(1,AD210)))^2/$B$5))-(MAX(0,MIN(1,AC210))^2/(MAX(0,MIN(1,AC210))^2+(1-MAX(0,MIN(1,AC210)))^2/$B$5))))</f>
        <v>0.847608757940109</v>
      </c>
      <c r="AE211" s="16" t="n">
        <f aca="false">IF(ABS(AE210-$B$11/$B$9*((MAX(0,MIN(1,AE210))^2/(MAX(0,MIN(1,AE210))^2+(1-MAX(0,MIN(1,AE210)))^2/$B$5))-(MAX(0,MIN(1,AD210))^2/(MAX(0,MIN(1,AD210))^2+(1-MAX(0,MIN(1,AD210)))^2/$B$5))))&lt;0.000000001,0,AE210-$B$11/$B$9*((MAX(0,MIN(1,AE210))^2/(MAX(0,MIN(1,AE210))^2+(1-MAX(0,MIN(1,AE210)))^2/$B$5))-(MAX(0,MIN(1,AD210))^2/(MAX(0,MIN(1,AD210))^2+(1-MAX(0,MIN(1,AD210)))^2/$B$5))))</f>
        <v>0.842228996793612</v>
      </c>
      <c r="AF211" s="16" t="n">
        <f aca="false">IF(ABS(AF210-$B$11/$B$9*((MAX(0,MIN(1,AF210))^2/(MAX(0,MIN(1,AF210))^2+(1-MAX(0,MIN(1,AF210)))^2/$B$5))-(MAX(0,MIN(1,AE210))^2/(MAX(0,MIN(1,AE210))^2+(1-MAX(0,MIN(1,AE210)))^2/$B$5))))&lt;0.000000001,0,AF210-$B$11/$B$9*((MAX(0,MIN(1,AF210))^2/(MAX(0,MIN(1,AF210))^2+(1-MAX(0,MIN(1,AF210)))^2/$B$5))-(MAX(0,MIN(1,AE210))^2/(MAX(0,MIN(1,AE210))^2+(1-MAX(0,MIN(1,AE210)))^2/$B$5))))</f>
        <v>0.836988828851768</v>
      </c>
    </row>
    <row r="212" customFormat="false" ht="15" hidden="false" customHeight="false" outlineLevel="0" collapsed="false">
      <c r="L212" s="0" t="n">
        <v>202</v>
      </c>
      <c r="M212" s="16" t="n">
        <f aca="false">IF(ABS(M211-$B$11/$B$9*((MAX(0,MIN(1,M211))^2/(MAX(0,MIN(1,M211))^2+(1-MAX(0,MIN(1,M211)))^2/$B$5))-(MAX(0,MIN(1,1))^2/(MAX(0,MIN(1,1))^2+(1-MAX(0,MIN(1,1)))^2/$B$5))))&lt;0.000000001,0,M211-$B$11/$B$9*((MAX(0,MIN(1,M211))^2/(MAX(0,MIN(1,M211))^2+(1-MAX(0,MIN(1,M211)))^2/$B$5))-(MAX(0,MIN(1,1))^2/(MAX(0,MIN(1,1))^2+(1-MAX(0,MIN(1,1)))^2/$B$5))))</f>
        <v>0.978683419597879</v>
      </c>
      <c r="N212" s="16" t="n">
        <f aca="false">IF(ABS(N211-$B$11/$B$9*((MAX(0,MIN(1,N211))^2/(MAX(0,MIN(1,N211))^2+(1-MAX(0,MIN(1,N211)))^2/$B$5))-(MAX(0,MIN(1,M211))^2/(MAX(0,MIN(1,M211))^2+(1-MAX(0,MIN(1,M211)))^2/$B$5))))&lt;0.000000001,0,N211-$B$11/$B$9*((MAX(0,MIN(1,N211))^2/(MAX(0,MIN(1,N211))^2+(1-MAX(0,MIN(1,N211)))^2/$B$5))-(MAX(0,MIN(1,M211))^2/(MAX(0,MIN(1,M211))^2+(1-MAX(0,MIN(1,M211)))^2/$B$5))))</f>
        <v>0.966497671565848</v>
      </c>
      <c r="O212" s="16" t="n">
        <f aca="false">IF(ABS(O211-$B$11/$B$9*((MAX(0,MIN(1,O211))^2/(MAX(0,MIN(1,O211))^2+(1-MAX(0,MIN(1,O211)))^2/$B$5))-(MAX(0,MIN(1,N211))^2/(MAX(0,MIN(1,N211))^2+(1-MAX(0,MIN(1,N211)))^2/$B$5))))&lt;0.000000001,0,O211-$B$11/$B$9*((MAX(0,MIN(1,O211))^2/(MAX(0,MIN(1,O211))^2+(1-MAX(0,MIN(1,O211)))^2/$B$5))-(MAX(0,MIN(1,N211))^2/(MAX(0,MIN(1,N211))^2+(1-MAX(0,MIN(1,N211)))^2/$B$5))))</f>
        <v>0.95578321615909</v>
      </c>
      <c r="P212" s="16" t="n">
        <f aca="false">IF(ABS(P211-$B$11/$B$9*((MAX(0,MIN(1,P211))^2/(MAX(0,MIN(1,P211))^2+(1-MAX(0,MIN(1,P211)))^2/$B$5))-(MAX(0,MIN(1,O211))^2/(MAX(0,MIN(1,O211))^2+(1-MAX(0,MIN(1,O211)))^2/$B$5))))&lt;0.000000001,0,P211-$B$11/$B$9*((MAX(0,MIN(1,P211))^2/(MAX(0,MIN(1,P211))^2+(1-MAX(0,MIN(1,P211)))^2/$B$5))-(MAX(0,MIN(1,O211))^2/(MAX(0,MIN(1,O211))^2+(1-MAX(0,MIN(1,O211)))^2/$B$5))))</f>
        <v>0.945951029631297</v>
      </c>
      <c r="Q212" s="16" t="n">
        <f aca="false">IF(ABS(Q211-$B$11/$B$9*((MAX(0,MIN(1,Q211))^2/(MAX(0,MIN(1,Q211))^2+(1-MAX(0,MIN(1,Q211)))^2/$B$5))-(MAX(0,MIN(1,P211))^2/(MAX(0,MIN(1,P211))^2+(1-MAX(0,MIN(1,P211)))^2/$B$5))))&lt;0.000000001,0,Q211-$B$11/$B$9*((MAX(0,MIN(1,Q211))^2/(MAX(0,MIN(1,Q211))^2+(1-MAX(0,MIN(1,Q211)))^2/$B$5))-(MAX(0,MIN(1,P211))^2/(MAX(0,MIN(1,P211))^2+(1-MAX(0,MIN(1,P211)))^2/$B$5))))</f>
        <v>0.936769703859259</v>
      </c>
      <c r="R212" s="16" t="n">
        <f aca="false">IF(ABS(R211-$B$11/$B$9*((MAX(0,MIN(1,R211))^2/(MAX(0,MIN(1,R211))^2+(1-MAX(0,MIN(1,R211)))^2/$B$5))-(MAX(0,MIN(1,Q211))^2/(MAX(0,MIN(1,Q211))^2+(1-MAX(0,MIN(1,Q211)))^2/$B$5))))&lt;0.000000001,0,R211-$B$11/$B$9*((MAX(0,MIN(1,R211))^2/(MAX(0,MIN(1,R211))^2+(1-MAX(0,MIN(1,R211)))^2/$B$5))-(MAX(0,MIN(1,Q211))^2/(MAX(0,MIN(1,Q211))^2+(1-MAX(0,MIN(1,Q211)))^2/$B$5))))</f>
        <v>0.928112750375663</v>
      </c>
      <c r="S212" s="16" t="n">
        <f aca="false">IF(ABS(S211-$B$11/$B$9*((MAX(0,MIN(1,S211))^2/(MAX(0,MIN(1,S211))^2+(1-MAX(0,MIN(1,S211)))^2/$B$5))-(MAX(0,MIN(1,R211))^2/(MAX(0,MIN(1,R211))^2+(1-MAX(0,MIN(1,R211)))^2/$B$5))))&lt;0.000000001,0,S211-$B$11/$B$9*((MAX(0,MIN(1,S211))^2/(MAX(0,MIN(1,S211))^2+(1-MAX(0,MIN(1,S211)))^2/$B$5))-(MAX(0,MIN(1,R211))^2/(MAX(0,MIN(1,R211))^2+(1-MAX(0,MIN(1,R211)))^2/$B$5))))</f>
        <v>0.919898357200421</v>
      </c>
      <c r="T212" s="16" t="n">
        <f aca="false">IF(ABS(T211-$B$11/$B$9*((MAX(0,MIN(1,T211))^2/(MAX(0,MIN(1,T211))^2+(1-MAX(0,MIN(1,T211)))^2/$B$5))-(MAX(0,MIN(1,S211))^2/(MAX(0,MIN(1,S211))^2+(1-MAX(0,MIN(1,S211)))^2/$B$5))))&lt;0.000000001,0,T211-$B$11/$B$9*((MAX(0,MIN(1,T211))^2/(MAX(0,MIN(1,T211))^2+(1-MAX(0,MIN(1,T211)))^2/$B$5))-(MAX(0,MIN(1,S211))^2/(MAX(0,MIN(1,S211))^2+(1-MAX(0,MIN(1,S211)))^2/$B$5))))</f>
        <v>0.91206805079277</v>
      </c>
      <c r="U212" s="16" t="n">
        <f aca="false">IF(ABS(U211-$B$11/$B$9*((MAX(0,MIN(1,U211))^2/(MAX(0,MIN(1,U211))^2+(1-MAX(0,MIN(1,U211)))^2/$B$5))-(MAX(0,MIN(1,T211))^2/(MAX(0,MIN(1,T211))^2+(1-MAX(0,MIN(1,T211)))^2/$B$5))))&lt;0.000000001,0,U211-$B$11/$B$9*((MAX(0,MIN(1,U211))^2/(MAX(0,MIN(1,U211))^2+(1-MAX(0,MIN(1,U211)))^2/$B$5))-(MAX(0,MIN(1,T211))^2/(MAX(0,MIN(1,T211))^2+(1-MAX(0,MIN(1,T211)))^2/$B$5))))</f>
        <v>0.904577271182693</v>
      </c>
      <c r="V212" s="16" t="n">
        <f aca="false">IF(ABS(V211-$B$11/$B$9*((MAX(0,MIN(1,V211))^2/(MAX(0,MIN(1,V211))^2+(1-MAX(0,MIN(1,V211)))^2/$B$5))-(MAX(0,MIN(1,U211))^2/(MAX(0,MIN(1,U211))^2+(1-MAX(0,MIN(1,U211)))^2/$B$5))))&lt;0.000000001,0,V211-$B$11/$B$9*((MAX(0,MIN(1,V211))^2/(MAX(0,MIN(1,V211))^2+(1-MAX(0,MIN(1,V211)))^2/$B$5))-(MAX(0,MIN(1,U211))^2/(MAX(0,MIN(1,U211))^2+(1-MAX(0,MIN(1,U211)))^2/$B$5))))</f>
        <v>0.897390552652801</v>
      </c>
      <c r="W212" s="16" t="n">
        <f aca="false">IF(ABS(W211-$B$11/$B$9*((MAX(0,MIN(1,W211))^2/(MAX(0,MIN(1,W211))^2+(1-MAX(0,MIN(1,W211)))^2/$B$5))-(MAX(0,MIN(1,V211))^2/(MAX(0,MIN(1,V211))^2+(1-MAX(0,MIN(1,V211)))^2/$B$5))))&lt;0.000000001,0,W211-$B$11/$B$9*((MAX(0,MIN(1,W211))^2/(MAX(0,MIN(1,W211))^2+(1-MAX(0,MIN(1,W211)))^2/$B$5))-(MAX(0,MIN(1,V211))^2/(MAX(0,MIN(1,V211))^2+(1-MAX(0,MIN(1,V211)))^2/$B$5))))</f>
        <v>0.89047878458981</v>
      </c>
      <c r="X212" s="16" t="n">
        <f aca="false">IF(ABS(X211-$B$11/$B$9*((MAX(0,MIN(1,X211))^2/(MAX(0,MIN(1,X211))^2+(1-MAX(0,MIN(1,X211)))^2/$B$5))-(MAX(0,MIN(1,W211))^2/(MAX(0,MIN(1,W211))^2+(1-MAX(0,MIN(1,W211)))^2/$B$5))))&lt;0.000000001,0,X211-$B$11/$B$9*((MAX(0,MIN(1,X211))^2/(MAX(0,MIN(1,X211))^2+(1-MAX(0,MIN(1,X211)))^2/$B$5))-(MAX(0,MIN(1,W211))^2/(MAX(0,MIN(1,W211))^2+(1-MAX(0,MIN(1,W211)))^2/$B$5))))</f>
        <v>0.883817524719585</v>
      </c>
      <c r="Y212" s="16" t="n">
        <f aca="false">IF(ABS(Y211-$B$11/$B$9*((MAX(0,MIN(1,Y211))^2/(MAX(0,MIN(1,Y211))^2+(1-MAX(0,MIN(1,Y211)))^2/$B$5))-(MAX(0,MIN(1,X211))^2/(MAX(0,MIN(1,X211))^2+(1-MAX(0,MIN(1,X211)))^2/$B$5))))&lt;0.000000001,0,Y211-$B$11/$B$9*((MAX(0,MIN(1,Y211))^2/(MAX(0,MIN(1,Y211))^2+(1-MAX(0,MIN(1,Y211)))^2/$B$5))-(MAX(0,MIN(1,X211))^2/(MAX(0,MIN(1,X211))^2+(1-MAX(0,MIN(1,X211)))^2/$B$5))))</f>
        <v>0.877385893300512</v>
      </c>
      <c r="Z212" s="16" t="n">
        <f aca="false">IF(ABS(Z211-$B$11/$B$9*((MAX(0,MIN(1,Z211))^2/(MAX(0,MIN(1,Z211))^2+(1-MAX(0,MIN(1,Z211)))^2/$B$5))-(MAX(0,MIN(1,Y211))^2/(MAX(0,MIN(1,Y211))^2+(1-MAX(0,MIN(1,Y211)))^2/$B$5))))&lt;0.000000001,0,Z211-$B$11/$B$9*((MAX(0,MIN(1,Z211))^2/(MAX(0,MIN(1,Z211))^2+(1-MAX(0,MIN(1,Z211)))^2/$B$5))-(MAX(0,MIN(1,Y211))^2/(MAX(0,MIN(1,Y211))^2+(1-MAX(0,MIN(1,Y211)))^2/$B$5))))</f>
        <v>0.871165811120257</v>
      </c>
      <c r="AA212" s="16" t="n">
        <f aca="false">IF(ABS(AA211-$B$11/$B$9*((MAX(0,MIN(1,AA211))^2/(MAX(0,MIN(1,AA211))^2+(1-MAX(0,MIN(1,AA211)))^2/$B$5))-(MAX(0,MIN(1,Z211))^2/(MAX(0,MIN(1,Z211))^2+(1-MAX(0,MIN(1,Z211)))^2/$B$5))))&lt;0.000000001,0,AA211-$B$11/$B$9*((MAX(0,MIN(1,AA211))^2/(MAX(0,MIN(1,AA211))^2+(1-MAX(0,MIN(1,AA211)))^2/$B$5))-(MAX(0,MIN(1,Z211))^2/(MAX(0,MIN(1,Z211))^2+(1-MAX(0,MIN(1,Z211)))^2/$B$5))))</f>
        <v>0.865141452824326</v>
      </c>
      <c r="AB212" s="16" t="n">
        <f aca="false">IF(ABS(AB211-$B$11/$B$9*((MAX(0,MIN(1,AB211))^2/(MAX(0,MIN(1,AB211))^2+(1-MAX(0,MIN(1,AB211)))^2/$B$5))-(MAX(0,MIN(1,AA211))^2/(MAX(0,MIN(1,AA211))^2+(1-MAX(0,MIN(1,AA211)))^2/$B$5))))&lt;0.000000001,0,AB211-$B$11/$B$9*((MAX(0,MIN(1,AB211))^2/(MAX(0,MIN(1,AB211))^2+(1-MAX(0,MIN(1,AB211)))^2/$B$5))-(MAX(0,MIN(1,AA211))^2/(MAX(0,MIN(1,AA211))^2+(1-MAX(0,MIN(1,AA211)))^2/$B$5))))</f>
        <v>0.859298841606485</v>
      </c>
      <c r="AC212" s="16" t="n">
        <f aca="false">IF(ABS(AC211-$B$11/$B$9*((MAX(0,MIN(1,AC211))^2/(MAX(0,MIN(1,AC211))^2+(1-MAX(0,MIN(1,AC211)))^2/$B$5))-(MAX(0,MIN(1,AB211))^2/(MAX(0,MIN(1,AB211))^2+(1-MAX(0,MIN(1,AB211)))^2/$B$5))))&lt;0.000000001,0,AC211-$B$11/$B$9*((MAX(0,MIN(1,AC211))^2/(MAX(0,MIN(1,AC211))^2+(1-MAX(0,MIN(1,AC211)))^2/$B$5))-(MAX(0,MIN(1,AB211))^2/(MAX(0,MIN(1,AB211))^2+(1-MAX(0,MIN(1,AB211)))^2/$B$5))))</f>
        <v>0.853625540435701</v>
      </c>
      <c r="AD212" s="16" t="n">
        <f aca="false">IF(ABS(AD211-$B$11/$B$9*((MAX(0,MIN(1,AD211))^2/(MAX(0,MIN(1,AD211))^2+(1-MAX(0,MIN(1,AD211)))^2/$B$5))-(MAX(0,MIN(1,AC211))^2/(MAX(0,MIN(1,AC211))^2+(1-MAX(0,MIN(1,AC211)))^2/$B$5))))&lt;0.000000001,0,AD211-$B$11/$B$9*((MAX(0,MIN(1,AD211))^2/(MAX(0,MIN(1,AD211))^2+(1-MAX(0,MIN(1,AD211)))^2/$B$5))-(MAX(0,MIN(1,AC211))^2/(MAX(0,MIN(1,AC211))^2+(1-MAX(0,MIN(1,AC211)))^2/$B$5))))</f>
        <v>0.848110411446478</v>
      </c>
      <c r="AE212" s="16" t="n">
        <f aca="false">IF(ABS(AE211-$B$11/$B$9*((MAX(0,MIN(1,AE211))^2/(MAX(0,MIN(1,AE211))^2+(1-MAX(0,MIN(1,AE211)))^2/$B$5))-(MAX(0,MIN(1,AD211))^2/(MAX(0,MIN(1,AD211))^2+(1-MAX(0,MIN(1,AD211)))^2/$B$5))))&lt;0.000000001,0,AE211-$B$11/$B$9*((MAX(0,MIN(1,AE211))^2/(MAX(0,MIN(1,AE211))^2+(1-MAX(0,MIN(1,AE211)))^2/$B$5))-(MAX(0,MIN(1,AD211))^2/(MAX(0,MIN(1,AD211))^2+(1-MAX(0,MIN(1,AD211)))^2/$B$5))))</f>
        <v>0.842743424847592</v>
      </c>
      <c r="AF212" s="16" t="n">
        <f aca="false">IF(ABS(AF211-$B$11/$B$9*((MAX(0,MIN(1,AF211))^2/(MAX(0,MIN(1,AF211))^2+(1-MAX(0,MIN(1,AF211)))^2/$B$5))-(MAX(0,MIN(1,AE211))^2/(MAX(0,MIN(1,AE211))^2+(1-MAX(0,MIN(1,AE211)))^2/$B$5))))&lt;0.000000001,0,AF211-$B$11/$B$9*((MAX(0,MIN(1,AF211))^2/(MAX(0,MIN(1,AF211))^2+(1-MAX(0,MIN(1,AF211)))^2/$B$5))-(MAX(0,MIN(1,AE211))^2/(MAX(0,MIN(1,AE211))^2+(1-MAX(0,MIN(1,AE211)))^2/$B$5))))</f>
        <v>0.837515504692461</v>
      </c>
    </row>
    <row r="213" customFormat="false" ht="15" hidden="false" customHeight="false" outlineLevel="0" collapsed="false">
      <c r="L213" s="0" t="n">
        <v>203</v>
      </c>
      <c r="M213" s="16" t="n">
        <f aca="false">IF(ABS(M212-$B$11/$B$9*((MAX(0,MIN(1,M212))^2/(MAX(0,MIN(1,M212))^2+(1-MAX(0,MIN(1,M212)))^2/$B$5))-(MAX(0,MIN(1,1))^2/(MAX(0,MIN(1,1))^2+(1-MAX(0,MIN(1,1)))^2/$B$5))))&lt;0.000000001,0,M212-$B$11/$B$9*((MAX(0,MIN(1,M212))^2/(MAX(0,MIN(1,M212))^2+(1-MAX(0,MIN(1,M212)))^2/$B$5))-(MAX(0,MIN(1,1))^2/(MAX(0,MIN(1,1))^2+(1-MAX(0,MIN(1,1)))^2/$B$5))))</f>
        <v>0.978774610057462</v>
      </c>
      <c r="N213" s="16" t="n">
        <f aca="false">IF(ABS(N212-$B$11/$B$9*((MAX(0,MIN(1,N212))^2/(MAX(0,MIN(1,N212))^2+(1-MAX(0,MIN(1,N212)))^2/$B$5))-(MAX(0,MIN(1,M212))^2/(MAX(0,MIN(1,M212))^2+(1-MAX(0,MIN(1,M212)))^2/$B$5))))&lt;0.000000001,0,N212-$B$11/$B$9*((MAX(0,MIN(1,N212))^2/(MAX(0,MIN(1,N212))^2+(1-MAX(0,MIN(1,N212)))^2/$B$5))-(MAX(0,MIN(1,M212))^2/(MAX(0,MIN(1,M212))^2+(1-MAX(0,MIN(1,M212)))^2/$B$5))))</f>
        <v>0.96663736270305</v>
      </c>
      <c r="O213" s="16" t="n">
        <f aca="false">IF(ABS(O212-$B$11/$B$9*((MAX(0,MIN(1,O212))^2/(MAX(0,MIN(1,O212))^2+(1-MAX(0,MIN(1,O212)))^2/$B$5))-(MAX(0,MIN(1,N212))^2/(MAX(0,MIN(1,N212))^2+(1-MAX(0,MIN(1,N212)))^2/$B$5))))&lt;0.000000001,0,O212-$B$11/$B$9*((MAX(0,MIN(1,O212))^2/(MAX(0,MIN(1,O212))^2+(1-MAX(0,MIN(1,O212)))^2/$B$5))-(MAX(0,MIN(1,N212))^2/(MAX(0,MIN(1,N212))^2+(1-MAX(0,MIN(1,N212)))^2/$B$5))))</f>
        <v>0.955963382815121</v>
      </c>
      <c r="P213" s="16" t="n">
        <f aca="false">IF(ABS(P212-$B$11/$B$9*((MAX(0,MIN(1,P212))^2/(MAX(0,MIN(1,P212))^2+(1-MAX(0,MIN(1,P212)))^2/$B$5))-(MAX(0,MIN(1,O212))^2/(MAX(0,MIN(1,O212))^2+(1-MAX(0,MIN(1,O212)))^2/$B$5))))&lt;0.000000001,0,P212-$B$11/$B$9*((MAX(0,MIN(1,P212))^2/(MAX(0,MIN(1,P212))^2+(1-MAX(0,MIN(1,P212)))^2/$B$5))-(MAX(0,MIN(1,O212))^2/(MAX(0,MIN(1,O212))^2+(1-MAX(0,MIN(1,O212)))^2/$B$5))))</f>
        <v>0.946166639979805</v>
      </c>
      <c r="Q213" s="16" t="n">
        <f aca="false">IF(ABS(Q212-$B$11/$B$9*((MAX(0,MIN(1,Q212))^2/(MAX(0,MIN(1,Q212))^2+(1-MAX(0,MIN(1,Q212)))^2/$B$5))-(MAX(0,MIN(1,P212))^2/(MAX(0,MIN(1,P212))^2+(1-MAX(0,MIN(1,P212)))^2/$B$5))))&lt;0.000000001,0,Q212-$B$11/$B$9*((MAX(0,MIN(1,Q212))^2/(MAX(0,MIN(1,Q212))^2+(1-MAX(0,MIN(1,Q212)))^2/$B$5))-(MAX(0,MIN(1,P212))^2/(MAX(0,MIN(1,P212))^2+(1-MAX(0,MIN(1,P212)))^2/$B$5))))</f>
        <v>0.937017018939768</v>
      </c>
      <c r="R213" s="16" t="n">
        <f aca="false">IF(ABS(R212-$B$11/$B$9*((MAX(0,MIN(1,R212))^2/(MAX(0,MIN(1,R212))^2+(1-MAX(0,MIN(1,R212)))^2/$B$5))-(MAX(0,MIN(1,Q212))^2/(MAX(0,MIN(1,Q212))^2+(1-MAX(0,MIN(1,Q212)))^2/$B$5))))&lt;0.000000001,0,R212-$B$11/$B$9*((MAX(0,MIN(1,R212))^2/(MAX(0,MIN(1,R212))^2+(1-MAX(0,MIN(1,R212)))^2/$B$5))-(MAX(0,MIN(1,Q212))^2/(MAX(0,MIN(1,Q212))^2+(1-MAX(0,MIN(1,Q212)))^2/$B$5))))</f>
        <v>0.928388791066538</v>
      </c>
      <c r="S213" s="16" t="n">
        <f aca="false">IF(ABS(S212-$B$11/$B$9*((MAX(0,MIN(1,S212))^2/(MAX(0,MIN(1,S212))^2+(1-MAX(0,MIN(1,S212)))^2/$B$5))-(MAX(0,MIN(1,R212))^2/(MAX(0,MIN(1,R212))^2+(1-MAX(0,MIN(1,R212)))^2/$B$5))))&lt;0.000000001,0,S212-$B$11/$B$9*((MAX(0,MIN(1,S212))^2/(MAX(0,MIN(1,S212))^2+(1-MAX(0,MIN(1,S212)))^2/$B$5))-(MAX(0,MIN(1,R212))^2/(MAX(0,MIN(1,R212))^2+(1-MAX(0,MIN(1,R212)))^2/$B$5))))</f>
        <v>0.920200660378335</v>
      </c>
      <c r="T213" s="16" t="n">
        <f aca="false">IF(ABS(T212-$B$11/$B$9*((MAX(0,MIN(1,T212))^2/(MAX(0,MIN(1,T212))^2+(1-MAX(0,MIN(1,T212)))^2/$B$5))-(MAX(0,MIN(1,S212))^2/(MAX(0,MIN(1,S212))^2+(1-MAX(0,MIN(1,S212)))^2/$B$5))))&lt;0.000000001,0,T212-$B$11/$B$9*((MAX(0,MIN(1,T212))^2/(MAX(0,MIN(1,T212))^2+(1-MAX(0,MIN(1,T212)))^2/$B$5))-(MAX(0,MIN(1,S212))^2/(MAX(0,MIN(1,S212))^2+(1-MAX(0,MIN(1,S212)))^2/$B$5))))</f>
        <v>0.912394532961257</v>
      </c>
      <c r="U213" s="16" t="n">
        <f aca="false">IF(ABS(U212-$B$11/$B$9*((MAX(0,MIN(1,U212))^2/(MAX(0,MIN(1,U212))^2+(1-MAX(0,MIN(1,U212)))^2/$B$5))-(MAX(0,MIN(1,T212))^2/(MAX(0,MIN(1,T212))^2+(1-MAX(0,MIN(1,T212)))^2/$B$5))))&lt;0.000000001,0,U212-$B$11/$B$9*((MAX(0,MIN(1,U212))^2/(MAX(0,MIN(1,U212))^2+(1-MAX(0,MIN(1,U212)))^2/$B$5))-(MAX(0,MIN(1,T212))^2/(MAX(0,MIN(1,T212))^2+(1-MAX(0,MIN(1,T212)))^2/$B$5))))</f>
        <v>0.904926142236053</v>
      </c>
      <c r="V213" s="16" t="n">
        <f aca="false">IF(ABS(V212-$B$11/$B$9*((MAX(0,MIN(1,V212))^2/(MAX(0,MIN(1,V212))^2+(1-MAX(0,MIN(1,V212)))^2/$B$5))-(MAX(0,MIN(1,U212))^2/(MAX(0,MIN(1,U212))^2+(1-MAX(0,MIN(1,U212)))^2/$B$5))))&lt;0.000000001,0,V212-$B$11/$B$9*((MAX(0,MIN(1,V212))^2/(MAX(0,MIN(1,V212))^2+(1-MAX(0,MIN(1,V212)))^2/$B$5))-(MAX(0,MIN(1,U212))^2/(MAX(0,MIN(1,U212))^2+(1-MAX(0,MIN(1,U212)))^2/$B$5))))</f>
        <v>0.89776025677955</v>
      </c>
      <c r="W213" s="16" t="n">
        <f aca="false">IF(ABS(W212-$B$11/$B$9*((MAX(0,MIN(1,W212))^2/(MAX(0,MIN(1,W212))^2+(1-MAX(0,MIN(1,W212)))^2/$B$5))-(MAX(0,MIN(1,V212))^2/(MAX(0,MIN(1,V212))^2+(1-MAX(0,MIN(1,V212)))^2/$B$5))))&lt;0.000000001,0,W212-$B$11/$B$9*((MAX(0,MIN(1,W212))^2/(MAX(0,MIN(1,W212))^2+(1-MAX(0,MIN(1,W212)))^2/$B$5))-(MAX(0,MIN(1,V212))^2/(MAX(0,MIN(1,V212))^2+(1-MAX(0,MIN(1,V212)))^2/$B$5))))</f>
        <v>0.890867957478032</v>
      </c>
      <c r="X213" s="16" t="n">
        <f aca="false">IF(ABS(X212-$B$11/$B$9*((MAX(0,MIN(1,X212))^2/(MAX(0,MIN(1,X212))^2+(1-MAX(0,MIN(1,X212)))^2/$B$5))-(MAX(0,MIN(1,W212))^2/(MAX(0,MIN(1,W212))^2+(1-MAX(0,MIN(1,W212)))^2/$B$5))))&lt;0.000000001,0,X212-$B$11/$B$9*((MAX(0,MIN(1,X212))^2/(MAX(0,MIN(1,X212))^2+(1-MAX(0,MIN(1,X212)))^2/$B$5))-(MAX(0,MIN(1,W212))^2/(MAX(0,MIN(1,W212))^2+(1-MAX(0,MIN(1,W212)))^2/$B$5))))</f>
        <v>0.884224961321848</v>
      </c>
      <c r="Y213" s="16" t="n">
        <f aca="false">IF(ABS(Y212-$B$11/$B$9*((MAX(0,MIN(1,Y212))^2/(MAX(0,MIN(1,Y212))^2+(1-MAX(0,MIN(1,Y212)))^2/$B$5))-(MAX(0,MIN(1,X212))^2/(MAX(0,MIN(1,X212))^2+(1-MAX(0,MIN(1,X212)))^2/$B$5))))&lt;0.000000001,0,Y212-$B$11/$B$9*((MAX(0,MIN(1,Y212))^2/(MAX(0,MIN(1,Y212))^2+(1-MAX(0,MIN(1,Y212)))^2/$B$5))-(MAX(0,MIN(1,X212))^2/(MAX(0,MIN(1,X212))^2+(1-MAX(0,MIN(1,X212)))^2/$B$5))))</f>
        <v>0.877810522833752</v>
      </c>
      <c r="Z213" s="16" t="n">
        <f aca="false">IF(ABS(Z212-$B$11/$B$9*((MAX(0,MIN(1,Z212))^2/(MAX(0,MIN(1,Z212))^2+(1-MAX(0,MIN(1,Z212)))^2/$B$5))-(MAX(0,MIN(1,Y212))^2/(MAX(0,MIN(1,Y212))^2+(1-MAX(0,MIN(1,Y212)))^2/$B$5))))&lt;0.000000001,0,Z212-$B$11/$B$9*((MAX(0,MIN(1,Z212))^2/(MAX(0,MIN(1,Z212))^2+(1-MAX(0,MIN(1,Z212)))^2/$B$5))-(MAX(0,MIN(1,Y212))^2/(MAX(0,MIN(1,Y212))^2+(1-MAX(0,MIN(1,Y212)))^2/$B$5))))</f>
        <v>0.871606677238884</v>
      </c>
      <c r="AA213" s="16" t="n">
        <f aca="false">IF(ABS(AA212-$B$11/$B$9*((MAX(0,MIN(1,AA212))^2/(MAX(0,MIN(1,AA212))^2+(1-MAX(0,MIN(1,AA212)))^2/$B$5))-(MAX(0,MIN(1,Z212))^2/(MAX(0,MIN(1,Z212))^2+(1-MAX(0,MIN(1,Z212)))^2/$B$5))))&lt;0.000000001,0,AA212-$B$11/$B$9*((MAX(0,MIN(1,AA212))^2/(MAX(0,MIN(1,AA212))^2+(1-MAX(0,MIN(1,AA212)))^2/$B$5))-(MAX(0,MIN(1,Z212))^2/(MAX(0,MIN(1,Z212))^2+(1-MAX(0,MIN(1,Z212)))^2/$B$5))))</f>
        <v>0.865597697616875</v>
      </c>
      <c r="AB213" s="16" t="n">
        <f aca="false">IF(ABS(AB212-$B$11/$B$9*((MAX(0,MIN(1,AB212))^2/(MAX(0,MIN(1,AB212))^2+(1-MAX(0,MIN(1,AB212)))^2/$B$5))-(MAX(0,MIN(1,AA212))^2/(MAX(0,MIN(1,AA212))^2+(1-MAX(0,MIN(1,AA212)))^2/$B$5))))&lt;0.000000001,0,AB212-$B$11/$B$9*((MAX(0,MIN(1,AB212))^2/(MAX(0,MIN(1,AB212))^2+(1-MAX(0,MIN(1,AB212)))^2/$B$5))-(MAX(0,MIN(1,AA212))^2/(MAX(0,MIN(1,AA212))^2+(1-MAX(0,MIN(1,AA212)))^2/$B$5))))</f>
        <v>0.859769692493253</v>
      </c>
      <c r="AC213" s="16" t="n">
        <f aca="false">IF(ABS(AC212-$B$11/$B$9*((MAX(0,MIN(1,AC212))^2/(MAX(0,MIN(1,AC212))^2+(1-MAX(0,MIN(1,AC212)))^2/$B$5))-(MAX(0,MIN(1,AB212))^2/(MAX(0,MIN(1,AB212))^2+(1-MAX(0,MIN(1,AB212)))^2/$B$5))))&lt;0.000000001,0,AC212-$B$11/$B$9*((MAX(0,MIN(1,AC212))^2/(MAX(0,MIN(1,AC212))^2+(1-MAX(0,MIN(1,AC212)))^2/$B$5))-(MAX(0,MIN(1,AB212))^2/(MAX(0,MIN(1,AB212))^2+(1-MAX(0,MIN(1,AB212)))^2/$B$5))))</f>
        <v>0.854110299314415</v>
      </c>
      <c r="AD213" s="16" t="n">
        <f aca="false">IF(ABS(AD212-$B$11/$B$9*((MAX(0,MIN(1,AD212))^2/(MAX(0,MIN(1,AD212))^2+(1-MAX(0,MIN(1,AD212)))^2/$B$5))-(MAX(0,MIN(1,AC212))^2/(MAX(0,MIN(1,AC212))^2+(1-MAX(0,MIN(1,AC212)))^2/$B$5))))&lt;0.000000001,0,AD212-$B$11/$B$9*((MAX(0,MIN(1,AD212))^2/(MAX(0,MIN(1,AD212))^2+(1-MAX(0,MIN(1,AD212)))^2/$B$5))-(MAX(0,MIN(1,AC212))^2/(MAX(0,MIN(1,AC212))^2+(1-MAX(0,MIN(1,AC212)))^2/$B$5))))</f>
        <v>0.848608445610496</v>
      </c>
      <c r="AE213" s="16" t="n">
        <f aca="false">IF(ABS(AE212-$B$11/$B$9*((MAX(0,MIN(1,AE212))^2/(MAX(0,MIN(1,AE212))^2+(1-MAX(0,MIN(1,AE212)))^2/$B$5))-(MAX(0,MIN(1,AD212))^2/(MAX(0,MIN(1,AD212))^2+(1-MAX(0,MIN(1,AD212)))^2/$B$5))))&lt;0.000000001,0,AE212-$B$11/$B$9*((MAX(0,MIN(1,AE212))^2/(MAX(0,MIN(1,AE212))^2+(1-MAX(0,MIN(1,AE212)))^2/$B$5))-(MAX(0,MIN(1,AD212))^2/(MAX(0,MIN(1,AD212))^2+(1-MAX(0,MIN(1,AD212)))^2/$B$5))))</f>
        <v>0.843254159322163</v>
      </c>
      <c r="AF213" s="16" t="n">
        <f aca="false">IF(ABS(AF212-$B$11/$B$9*((MAX(0,MIN(1,AF212))^2/(MAX(0,MIN(1,AF212))^2+(1-MAX(0,MIN(1,AF212)))^2/$B$5))-(MAX(0,MIN(1,AE212))^2/(MAX(0,MIN(1,AE212))^2+(1-MAX(0,MIN(1,AE212)))^2/$B$5))))&lt;0.000000001,0,AF212-$B$11/$B$9*((MAX(0,MIN(1,AF212))^2/(MAX(0,MIN(1,AF212))^2+(1-MAX(0,MIN(1,AF212)))^2/$B$5))-(MAX(0,MIN(1,AE212))^2/(MAX(0,MIN(1,AE212))^2+(1-MAX(0,MIN(1,AE212)))^2/$B$5))))</f>
        <v>0.838038415719483</v>
      </c>
    </row>
    <row r="214" customFormat="false" ht="15" hidden="false" customHeight="false" outlineLevel="0" collapsed="false">
      <c r="L214" s="0" t="n">
        <v>204</v>
      </c>
      <c r="M214" s="16" t="n">
        <f aca="false">IF(ABS(M213-$B$11/$B$9*((MAX(0,MIN(1,M213))^2/(MAX(0,MIN(1,M213))^2+(1-MAX(0,MIN(1,M213)))^2/$B$5))-(MAX(0,MIN(1,1))^2/(MAX(0,MIN(1,1))^2+(1-MAX(0,MIN(1,1)))^2/$B$5))))&lt;0.000000001,0,M213-$B$11/$B$9*((MAX(0,MIN(1,M213))^2/(MAX(0,MIN(1,M213))^2+(1-MAX(0,MIN(1,M213)))^2/$B$5))-(MAX(0,MIN(1,1))^2/(MAX(0,MIN(1,1))^2+(1-MAX(0,MIN(1,1)))^2/$B$5))))</f>
        <v>0.978865005317087</v>
      </c>
      <c r="N214" s="16" t="n">
        <f aca="false">IF(ABS(N213-$B$11/$B$9*((MAX(0,MIN(1,N213))^2/(MAX(0,MIN(1,N213))^2+(1-MAX(0,MIN(1,N213)))^2/$B$5))-(MAX(0,MIN(1,M213))^2/(MAX(0,MIN(1,M213))^2+(1-MAX(0,MIN(1,M213)))^2/$B$5))))&lt;0.000000001,0,N213-$B$11/$B$9*((MAX(0,MIN(1,N213))^2/(MAX(0,MIN(1,N213))^2+(1-MAX(0,MIN(1,N213)))^2/$B$5))-(MAX(0,MIN(1,M213))^2/(MAX(0,MIN(1,M213))^2+(1-MAX(0,MIN(1,M213)))^2/$B$5))))</f>
        <v>0.966775862701413</v>
      </c>
      <c r="O214" s="16" t="n">
        <f aca="false">IF(ABS(O213-$B$11/$B$9*((MAX(0,MIN(1,O213))^2/(MAX(0,MIN(1,O213))^2+(1-MAX(0,MIN(1,O213)))^2/$B$5))-(MAX(0,MIN(1,N213))^2/(MAX(0,MIN(1,N213))^2+(1-MAX(0,MIN(1,N213)))^2/$B$5))))&lt;0.000000001,0,O213-$B$11/$B$9*((MAX(0,MIN(1,O213))^2/(MAX(0,MIN(1,O213))^2+(1-MAX(0,MIN(1,O213)))^2/$B$5))-(MAX(0,MIN(1,N213))^2/(MAX(0,MIN(1,N213))^2+(1-MAX(0,MIN(1,N213)))^2/$B$5))))</f>
        <v>0.956142042945502</v>
      </c>
      <c r="P214" s="16" t="n">
        <f aca="false">IF(ABS(P213-$B$11/$B$9*((MAX(0,MIN(1,P213))^2/(MAX(0,MIN(1,P213))^2+(1-MAX(0,MIN(1,P213)))^2/$B$5))-(MAX(0,MIN(1,O213))^2/(MAX(0,MIN(1,O213))^2+(1-MAX(0,MIN(1,O213)))^2/$B$5))))&lt;0.000000001,0,P213-$B$11/$B$9*((MAX(0,MIN(1,P213))^2/(MAX(0,MIN(1,P213))^2+(1-MAX(0,MIN(1,P213)))^2/$B$5))-(MAX(0,MIN(1,O213))^2/(MAX(0,MIN(1,O213))^2+(1-MAX(0,MIN(1,O213)))^2/$B$5))))</f>
        <v>0.946380478698223</v>
      </c>
      <c r="Q214" s="16" t="n">
        <f aca="false">IF(ABS(Q213-$B$11/$B$9*((MAX(0,MIN(1,Q213))^2/(MAX(0,MIN(1,Q213))^2+(1-MAX(0,MIN(1,Q213)))^2/$B$5))-(MAX(0,MIN(1,P213))^2/(MAX(0,MIN(1,P213))^2+(1-MAX(0,MIN(1,P213)))^2/$B$5))))&lt;0.000000001,0,Q213-$B$11/$B$9*((MAX(0,MIN(1,Q213))^2/(MAX(0,MIN(1,Q213))^2+(1-MAX(0,MIN(1,Q213)))^2/$B$5))-(MAX(0,MIN(1,P213))^2/(MAX(0,MIN(1,P213))^2+(1-MAX(0,MIN(1,P213)))^2/$B$5))))</f>
        <v>0.937262333794395</v>
      </c>
      <c r="R214" s="16" t="n">
        <f aca="false">IF(ABS(R213-$B$11/$B$9*((MAX(0,MIN(1,R213))^2/(MAX(0,MIN(1,R213))^2+(1-MAX(0,MIN(1,R213)))^2/$B$5))-(MAX(0,MIN(1,Q213))^2/(MAX(0,MIN(1,Q213))^2+(1-MAX(0,MIN(1,Q213)))^2/$B$5))))&lt;0.000000001,0,R213-$B$11/$B$9*((MAX(0,MIN(1,R213))^2/(MAX(0,MIN(1,R213))^2+(1-MAX(0,MIN(1,R213)))^2/$B$5))-(MAX(0,MIN(1,Q213))^2/(MAX(0,MIN(1,Q213))^2+(1-MAX(0,MIN(1,Q213)))^2/$B$5))))</f>
        <v>0.928662631154029</v>
      </c>
      <c r="S214" s="16" t="n">
        <f aca="false">IF(ABS(S213-$B$11/$B$9*((MAX(0,MIN(1,S213))^2/(MAX(0,MIN(1,S213))^2+(1-MAX(0,MIN(1,S213)))^2/$B$5))-(MAX(0,MIN(1,R213))^2/(MAX(0,MIN(1,R213))^2+(1-MAX(0,MIN(1,R213)))^2/$B$5))))&lt;0.000000001,0,S213-$B$11/$B$9*((MAX(0,MIN(1,S213))^2/(MAX(0,MIN(1,S213))^2+(1-MAX(0,MIN(1,S213)))^2/$B$5))-(MAX(0,MIN(1,R213))^2/(MAX(0,MIN(1,R213))^2+(1-MAX(0,MIN(1,R213)))^2/$B$5))))</f>
        <v>0.920500585139315</v>
      </c>
      <c r="T214" s="16" t="n">
        <f aca="false">IF(ABS(T213-$B$11/$B$9*((MAX(0,MIN(1,T213))^2/(MAX(0,MIN(1,T213))^2+(1-MAX(0,MIN(1,T213)))^2/$B$5))-(MAX(0,MIN(1,S213))^2/(MAX(0,MIN(1,S213))^2+(1-MAX(0,MIN(1,S213)))^2/$B$5))))&lt;0.000000001,0,T213-$B$11/$B$9*((MAX(0,MIN(1,T213))^2/(MAX(0,MIN(1,T213))^2+(1-MAX(0,MIN(1,T213)))^2/$B$5))-(MAX(0,MIN(1,S213))^2/(MAX(0,MIN(1,S213))^2+(1-MAX(0,MIN(1,S213)))^2/$B$5))))</f>
        <v>0.912718477335584</v>
      </c>
      <c r="U214" s="16" t="n">
        <f aca="false">IF(ABS(U213-$B$11/$B$9*((MAX(0,MIN(1,U213))^2/(MAX(0,MIN(1,U213))^2+(1-MAX(0,MIN(1,U213)))^2/$B$5))-(MAX(0,MIN(1,T213))^2/(MAX(0,MIN(1,T213))^2+(1-MAX(0,MIN(1,T213)))^2/$B$5))))&lt;0.000000001,0,U213-$B$11/$B$9*((MAX(0,MIN(1,U213))^2/(MAX(0,MIN(1,U213))^2+(1-MAX(0,MIN(1,U213)))^2/$B$5))-(MAX(0,MIN(1,T213))^2/(MAX(0,MIN(1,T213))^2+(1-MAX(0,MIN(1,T213)))^2/$B$5))))</f>
        <v>0.905272331412126</v>
      </c>
      <c r="V214" s="16" t="n">
        <f aca="false">IF(ABS(V213-$B$11/$B$9*((MAX(0,MIN(1,V213))^2/(MAX(0,MIN(1,V213))^2+(1-MAX(0,MIN(1,V213)))^2/$B$5))-(MAX(0,MIN(1,U213))^2/(MAX(0,MIN(1,U213))^2+(1-MAX(0,MIN(1,U213)))^2/$B$5))))&lt;0.000000001,0,V213-$B$11/$B$9*((MAX(0,MIN(1,V213))^2/(MAX(0,MIN(1,V213))^2+(1-MAX(0,MIN(1,V213)))^2/$B$5))-(MAX(0,MIN(1,U213))^2/(MAX(0,MIN(1,U213))^2+(1-MAX(0,MIN(1,U213)))^2/$B$5))))</f>
        <v>0.898127147778816</v>
      </c>
      <c r="W214" s="16" t="n">
        <f aca="false">IF(ABS(W213-$B$11/$B$9*((MAX(0,MIN(1,W213))^2/(MAX(0,MIN(1,W213))^2+(1-MAX(0,MIN(1,W213)))^2/$B$5))-(MAX(0,MIN(1,V213))^2/(MAX(0,MIN(1,V213))^2+(1-MAX(0,MIN(1,V213)))^2/$B$5))))&lt;0.000000001,0,W213-$B$11/$B$9*((MAX(0,MIN(1,W213))^2/(MAX(0,MIN(1,W213))^2+(1-MAX(0,MIN(1,W213)))^2/$B$5))-(MAX(0,MIN(1,V213))^2/(MAX(0,MIN(1,V213))^2+(1-MAX(0,MIN(1,V213)))^2/$B$5))))</f>
        <v>0.89125419685326</v>
      </c>
      <c r="X214" s="16" t="n">
        <f aca="false">IF(ABS(X213-$B$11/$B$9*((MAX(0,MIN(1,X213))^2/(MAX(0,MIN(1,X213))^2+(1-MAX(0,MIN(1,X213)))^2/$B$5))-(MAX(0,MIN(1,W213))^2/(MAX(0,MIN(1,W213))^2+(1-MAX(0,MIN(1,W213)))^2/$B$5))))&lt;0.000000001,0,X213-$B$11/$B$9*((MAX(0,MIN(1,X213))^2/(MAX(0,MIN(1,X213))^2+(1-MAX(0,MIN(1,X213)))^2/$B$5))-(MAX(0,MIN(1,W213))^2/(MAX(0,MIN(1,W213))^2+(1-MAX(0,MIN(1,W213)))^2/$B$5))))</f>
        <v>0.8846293532907</v>
      </c>
      <c r="Y214" s="16" t="n">
        <f aca="false">IF(ABS(Y213-$B$11/$B$9*((MAX(0,MIN(1,Y213))^2/(MAX(0,MIN(1,Y213))^2+(1-MAX(0,MIN(1,Y213)))^2/$B$5))-(MAX(0,MIN(1,X213))^2/(MAX(0,MIN(1,X213))^2+(1-MAX(0,MIN(1,X213)))^2/$B$5))))&lt;0.000000001,0,Y213-$B$11/$B$9*((MAX(0,MIN(1,Y213))^2/(MAX(0,MIN(1,Y213))^2+(1-MAX(0,MIN(1,Y213)))^2/$B$5))-(MAX(0,MIN(1,X213))^2/(MAX(0,MIN(1,X213))^2+(1-MAX(0,MIN(1,X213)))^2/$B$5))))</f>
        <v>0.87823200456121</v>
      </c>
      <c r="Z214" s="16" t="n">
        <f aca="false">IF(ABS(Z213-$B$11/$B$9*((MAX(0,MIN(1,Z213))^2/(MAX(0,MIN(1,Z213))^2+(1-MAX(0,MIN(1,Z213)))^2/$B$5))-(MAX(0,MIN(1,Y213))^2/(MAX(0,MIN(1,Y213))^2+(1-MAX(0,MIN(1,Y213)))^2/$B$5))))&lt;0.000000001,0,Z213-$B$11/$B$9*((MAX(0,MIN(1,Z213))^2/(MAX(0,MIN(1,Z213))^2+(1-MAX(0,MIN(1,Z213)))^2/$B$5))-(MAX(0,MIN(1,Y213))^2/(MAX(0,MIN(1,Y213))^2+(1-MAX(0,MIN(1,Y213)))^2/$B$5))))</f>
        <v>0.872044299231087</v>
      </c>
      <c r="AA214" s="16" t="n">
        <f aca="false">IF(ABS(AA213-$B$11/$B$9*((MAX(0,MIN(1,AA213))^2/(MAX(0,MIN(1,AA213))^2+(1-MAX(0,MIN(1,AA213)))^2/$B$5))-(MAX(0,MIN(1,Z213))^2/(MAX(0,MIN(1,Z213))^2+(1-MAX(0,MIN(1,Z213)))^2/$B$5))))&lt;0.000000001,0,AA213-$B$11/$B$9*((MAX(0,MIN(1,AA213))^2/(MAX(0,MIN(1,AA213))^2+(1-MAX(0,MIN(1,AA213)))^2/$B$5))-(MAX(0,MIN(1,Z213))^2/(MAX(0,MIN(1,Z213))^2+(1-MAX(0,MIN(1,Z213)))^2/$B$5))))</f>
        <v>0.866050607892836</v>
      </c>
      <c r="AB214" s="16" t="n">
        <f aca="false">IF(ABS(AB213-$B$11/$B$9*((MAX(0,MIN(1,AB213))^2/(MAX(0,MIN(1,AB213))^2+(1-MAX(0,MIN(1,AB213)))^2/$B$5))-(MAX(0,MIN(1,AA213))^2/(MAX(0,MIN(1,AA213))^2+(1-MAX(0,MIN(1,AA213)))^2/$B$5))))&lt;0.000000001,0,AB213-$B$11/$B$9*((MAX(0,MIN(1,AB213))^2/(MAX(0,MIN(1,AB213))^2+(1-MAX(0,MIN(1,AB213)))^2/$B$5))-(MAX(0,MIN(1,AA213))^2/(MAX(0,MIN(1,AA213))^2+(1-MAX(0,MIN(1,AA213)))^2/$B$5))))</f>
        <v>0.860237123623127</v>
      </c>
      <c r="AC214" s="16" t="n">
        <f aca="false">IF(ABS(AC213-$B$11/$B$9*((MAX(0,MIN(1,AC213))^2/(MAX(0,MIN(1,AC213))^2+(1-MAX(0,MIN(1,AC213)))^2/$B$5))-(MAX(0,MIN(1,AB213))^2/(MAX(0,MIN(1,AB213))^2+(1-MAX(0,MIN(1,AB213)))^2/$B$5))))&lt;0.000000001,0,AC213-$B$11/$B$9*((MAX(0,MIN(1,AC213))^2/(MAX(0,MIN(1,AC213))^2+(1-MAX(0,MIN(1,AC213)))^2/$B$5))-(MAX(0,MIN(1,AB213))^2/(MAX(0,MIN(1,AB213))^2+(1-MAX(0,MIN(1,AB213)))^2/$B$5))))</f>
        <v>0.854591557679328</v>
      </c>
      <c r="AD214" s="16" t="n">
        <f aca="false">IF(ABS(AD213-$B$11/$B$9*((MAX(0,MIN(1,AD213))^2/(MAX(0,MIN(1,AD213))^2+(1-MAX(0,MIN(1,AD213)))^2/$B$5))-(MAX(0,MIN(1,AC213))^2/(MAX(0,MIN(1,AC213))^2+(1-MAX(0,MIN(1,AC213)))^2/$B$5))))&lt;0.000000001,0,AD213-$B$11/$B$9*((MAX(0,MIN(1,AD213))^2/(MAX(0,MIN(1,AD213))^2+(1-MAX(0,MIN(1,AD213)))^2/$B$5))-(MAX(0,MIN(1,AC213))^2/(MAX(0,MIN(1,AC213))^2+(1-MAX(0,MIN(1,AC213)))^2/$B$5))))</f>
        <v>0.849102902414281</v>
      </c>
      <c r="AE214" s="16" t="n">
        <f aca="false">IF(ABS(AE213-$B$11/$B$9*((MAX(0,MIN(1,AE213))^2/(MAX(0,MIN(1,AE213))^2+(1-MAX(0,MIN(1,AE213)))^2/$B$5))-(MAX(0,MIN(1,AD213))^2/(MAX(0,MIN(1,AD213))^2+(1-MAX(0,MIN(1,AD213)))^2/$B$5))))&lt;0.000000001,0,AE213-$B$11/$B$9*((MAX(0,MIN(1,AE213))^2/(MAX(0,MIN(1,AE213))^2+(1-MAX(0,MIN(1,AE213)))^2/$B$5))-(MAX(0,MIN(1,AD213))^2/(MAX(0,MIN(1,AD213))^2+(1-MAX(0,MIN(1,AD213)))^2/$B$5))))</f>
        <v>0.843761243004843</v>
      </c>
      <c r="AF214" s="16" t="n">
        <f aca="false">IF(ABS(AF213-$B$11/$B$9*((MAX(0,MIN(1,AF213))^2/(MAX(0,MIN(1,AF213))^2+(1-MAX(0,MIN(1,AF213)))^2/$B$5))-(MAX(0,MIN(1,AE213))^2/(MAX(0,MIN(1,AE213))^2+(1-MAX(0,MIN(1,AE213)))^2/$B$5))))&lt;0.000000001,0,AF213-$B$11/$B$9*((MAX(0,MIN(1,AF213))^2/(MAX(0,MIN(1,AF213))^2+(1-MAX(0,MIN(1,AF213)))^2/$B$5))-(MAX(0,MIN(1,AE213))^2/(MAX(0,MIN(1,AE213))^2+(1-MAX(0,MIN(1,AE213)))^2/$B$5))))</f>
        <v>0.838557605506251</v>
      </c>
    </row>
    <row r="215" customFormat="false" ht="15" hidden="false" customHeight="false" outlineLevel="0" collapsed="false">
      <c r="L215" s="0" t="n">
        <v>205</v>
      </c>
      <c r="M215" s="16" t="n">
        <f aca="false">IF(ABS(M214-$B$11/$B$9*((MAX(0,MIN(1,M214))^2/(MAX(0,MIN(1,M214))^2+(1-MAX(0,MIN(1,M214)))^2/$B$5))-(MAX(0,MIN(1,1))^2/(MAX(0,MIN(1,1))^2+(1-MAX(0,MIN(1,1)))^2/$B$5))))&lt;0.000000001,0,M214-$B$11/$B$9*((MAX(0,MIN(1,M214))^2/(MAX(0,MIN(1,M214))^2+(1-MAX(0,MIN(1,M214)))^2/$B$5))-(MAX(0,MIN(1,1))^2/(MAX(0,MIN(1,1))^2+(1-MAX(0,MIN(1,1)))^2/$B$5))))</f>
        <v>0.978954615890865</v>
      </c>
      <c r="N215" s="16" t="n">
        <f aca="false">IF(ABS(N214-$B$11/$B$9*((MAX(0,MIN(1,N214))^2/(MAX(0,MIN(1,N214))^2+(1-MAX(0,MIN(1,N214)))^2/$B$5))-(MAX(0,MIN(1,M214))^2/(MAX(0,MIN(1,M214))^2+(1-MAX(0,MIN(1,M214)))^2/$B$5))))&lt;0.000000001,0,N214-$B$11/$B$9*((MAX(0,MIN(1,N214))^2/(MAX(0,MIN(1,N214))^2+(1-MAX(0,MIN(1,N214)))^2/$B$5))-(MAX(0,MIN(1,M214))^2/(MAX(0,MIN(1,M214))^2+(1-MAX(0,MIN(1,M214)))^2/$B$5))))</f>
        <v>0.96691318700423</v>
      </c>
      <c r="O215" s="16" t="n">
        <f aca="false">IF(ABS(O214-$B$11/$B$9*((MAX(0,MIN(1,O214))^2/(MAX(0,MIN(1,O214))^2+(1-MAX(0,MIN(1,O214)))^2/$B$5))-(MAX(0,MIN(1,N214))^2/(MAX(0,MIN(1,N214))^2+(1-MAX(0,MIN(1,N214)))^2/$B$5))))&lt;0.000000001,0,O214-$B$11/$B$9*((MAX(0,MIN(1,O214))^2/(MAX(0,MIN(1,O214))^2+(1-MAX(0,MIN(1,O214)))^2/$B$5))-(MAX(0,MIN(1,N214))^2/(MAX(0,MIN(1,N214))^2+(1-MAX(0,MIN(1,N214)))^2/$B$5))))</f>
        <v>0.956319215761799</v>
      </c>
      <c r="P215" s="16" t="n">
        <f aca="false">IF(ABS(P214-$B$11/$B$9*((MAX(0,MIN(1,P214))^2/(MAX(0,MIN(1,P214))^2+(1-MAX(0,MIN(1,P214)))^2/$B$5))-(MAX(0,MIN(1,O214))^2/(MAX(0,MIN(1,O214))^2+(1-MAX(0,MIN(1,O214)))^2/$B$5))))&lt;0.000000001,0,P214-$B$11/$B$9*((MAX(0,MIN(1,P214))^2/(MAX(0,MIN(1,P214))^2+(1-MAX(0,MIN(1,P214)))^2/$B$5))-(MAX(0,MIN(1,O214))^2/(MAX(0,MIN(1,O214))^2+(1-MAX(0,MIN(1,O214)))^2/$B$5))))</f>
        <v>0.946592568057016</v>
      </c>
      <c r="Q215" s="16" t="n">
        <f aca="false">IF(ABS(Q214-$B$11/$B$9*((MAX(0,MIN(1,Q214))^2/(MAX(0,MIN(1,Q214))^2+(1-MAX(0,MIN(1,Q214)))^2/$B$5))-(MAX(0,MIN(1,P214))^2/(MAX(0,MIN(1,P214))^2+(1-MAX(0,MIN(1,P214)))^2/$B$5))))&lt;0.000000001,0,Q214-$B$11/$B$9*((MAX(0,MIN(1,Q214))^2/(MAX(0,MIN(1,Q214))^2+(1-MAX(0,MIN(1,Q214)))^2/$B$5))-(MAX(0,MIN(1,P214))^2/(MAX(0,MIN(1,P214))^2+(1-MAX(0,MIN(1,P214)))^2/$B$5))))</f>
        <v>0.937505673253495</v>
      </c>
      <c r="R215" s="16" t="n">
        <f aca="false">IF(ABS(R214-$B$11/$B$9*((MAX(0,MIN(1,R214))^2/(MAX(0,MIN(1,R214))^2+(1-MAX(0,MIN(1,R214)))^2/$B$5))-(MAX(0,MIN(1,Q214))^2/(MAX(0,MIN(1,Q214))^2+(1-MAX(0,MIN(1,Q214)))^2/$B$5))))&lt;0.000000001,0,R214-$B$11/$B$9*((MAX(0,MIN(1,R214))^2/(MAX(0,MIN(1,R214))^2+(1-MAX(0,MIN(1,R214)))^2/$B$5))-(MAX(0,MIN(1,Q214))^2/(MAX(0,MIN(1,Q214))^2+(1-MAX(0,MIN(1,Q214)))^2/$B$5))))</f>
        <v>0.928934297655961</v>
      </c>
      <c r="S215" s="16" t="n">
        <f aca="false">IF(ABS(S214-$B$11/$B$9*((MAX(0,MIN(1,S214))^2/(MAX(0,MIN(1,S214))^2+(1-MAX(0,MIN(1,S214)))^2/$B$5))-(MAX(0,MIN(1,R214))^2/(MAX(0,MIN(1,R214))^2+(1-MAX(0,MIN(1,R214)))^2/$B$5))))&lt;0.000000001,0,S214-$B$11/$B$9*((MAX(0,MIN(1,S214))^2/(MAX(0,MIN(1,S214))^2+(1-MAX(0,MIN(1,S214)))^2/$B$5))-(MAX(0,MIN(1,R214))^2/(MAX(0,MIN(1,R214))^2+(1-MAX(0,MIN(1,R214)))^2/$B$5))))</f>
        <v>0.920798160401451</v>
      </c>
      <c r="T215" s="16" t="n">
        <f aca="false">IF(ABS(T214-$B$11/$B$9*((MAX(0,MIN(1,T214))^2/(MAX(0,MIN(1,T214))^2+(1-MAX(0,MIN(1,T214)))^2/$B$5))-(MAX(0,MIN(1,S214))^2/(MAX(0,MIN(1,S214))^2+(1-MAX(0,MIN(1,S214)))^2/$B$5))))&lt;0.000000001,0,T214-$B$11/$B$9*((MAX(0,MIN(1,T214))^2/(MAX(0,MIN(1,T214))^2+(1-MAX(0,MIN(1,T214)))^2/$B$5))-(MAX(0,MIN(1,S214))^2/(MAX(0,MIN(1,S214))^2+(1-MAX(0,MIN(1,S214)))^2/$B$5))))</f>
        <v>0.913039914507883</v>
      </c>
      <c r="U215" s="16" t="n">
        <f aca="false">IF(ABS(U214-$B$11/$B$9*((MAX(0,MIN(1,U214))^2/(MAX(0,MIN(1,U214))^2+(1-MAX(0,MIN(1,U214)))^2/$B$5))-(MAX(0,MIN(1,T214))^2/(MAX(0,MIN(1,T214))^2+(1-MAX(0,MIN(1,T214)))^2/$B$5))))&lt;0.000000001,0,U214-$B$11/$B$9*((MAX(0,MIN(1,U214))^2/(MAX(0,MIN(1,U214))^2+(1-MAX(0,MIN(1,U214)))^2/$B$5))-(MAX(0,MIN(1,T214))^2/(MAX(0,MIN(1,T214))^2+(1-MAX(0,MIN(1,T214)))^2/$B$5))))</f>
        <v>0.905615870796232</v>
      </c>
      <c r="V215" s="16" t="n">
        <f aca="false">IF(ABS(V214-$B$11/$B$9*((MAX(0,MIN(1,V214))^2/(MAX(0,MIN(1,V214))^2+(1-MAX(0,MIN(1,V214)))^2/$B$5))-(MAX(0,MIN(1,U214))^2/(MAX(0,MIN(1,U214))^2+(1-MAX(0,MIN(1,U214)))^2/$B$5))))&lt;0.000000001,0,V214-$B$11/$B$9*((MAX(0,MIN(1,V214))^2/(MAX(0,MIN(1,V214))^2+(1-MAX(0,MIN(1,V214)))^2/$B$5))-(MAX(0,MIN(1,U214))^2/(MAX(0,MIN(1,U214))^2+(1-MAX(0,MIN(1,U214)))^2/$B$5))))</f>
        <v>0.898491259082937</v>
      </c>
      <c r="W215" s="16" t="n">
        <f aca="false">IF(ABS(W214-$B$11/$B$9*((MAX(0,MIN(1,W214))^2/(MAX(0,MIN(1,W214))^2+(1-MAX(0,MIN(1,W214)))^2/$B$5))-(MAX(0,MIN(1,V214))^2/(MAX(0,MIN(1,V214))^2+(1-MAX(0,MIN(1,V214)))^2/$B$5))))&lt;0.000000001,0,W214-$B$11/$B$9*((MAX(0,MIN(1,W214))^2/(MAX(0,MIN(1,W214))^2+(1-MAX(0,MIN(1,W214)))^2/$B$5))-(MAX(0,MIN(1,V214))^2/(MAX(0,MIN(1,V214))^2+(1-MAX(0,MIN(1,V214)))^2/$B$5))))</f>
        <v>0.89163753737573</v>
      </c>
      <c r="X215" s="16" t="n">
        <f aca="false">IF(ABS(X214-$B$11/$B$9*((MAX(0,MIN(1,X214))^2/(MAX(0,MIN(1,X214))^2+(1-MAX(0,MIN(1,X214)))^2/$B$5))-(MAX(0,MIN(1,W214))^2/(MAX(0,MIN(1,W214))^2+(1-MAX(0,MIN(1,W214)))^2/$B$5))))&lt;0.000000001,0,X214-$B$11/$B$9*((MAX(0,MIN(1,X214))^2/(MAX(0,MIN(1,X214))^2+(1-MAX(0,MIN(1,X214)))^2/$B$5))-(MAX(0,MIN(1,W214))^2/(MAX(0,MIN(1,W214))^2+(1-MAX(0,MIN(1,W214)))^2/$B$5))))</f>
        <v>0.885030736416606</v>
      </c>
      <c r="Y215" s="16" t="n">
        <f aca="false">IF(ABS(Y214-$B$11/$B$9*((MAX(0,MIN(1,Y214))^2/(MAX(0,MIN(1,Y214))^2+(1-MAX(0,MIN(1,Y214)))^2/$B$5))-(MAX(0,MIN(1,X214))^2/(MAX(0,MIN(1,X214))^2+(1-MAX(0,MIN(1,X214)))^2/$B$5))))&lt;0.000000001,0,Y214-$B$11/$B$9*((MAX(0,MIN(1,Y214))^2/(MAX(0,MIN(1,Y214))^2+(1-MAX(0,MIN(1,Y214)))^2/$B$5))-(MAX(0,MIN(1,X214))^2/(MAX(0,MIN(1,X214))^2+(1-MAX(0,MIN(1,X214)))^2/$B$5))))</f>
        <v>0.878650375323175</v>
      </c>
      <c r="Z215" s="16" t="n">
        <f aca="false">IF(ABS(Z214-$B$11/$B$9*((MAX(0,MIN(1,Z214))^2/(MAX(0,MIN(1,Z214))^2+(1-MAX(0,MIN(1,Z214)))^2/$B$5))-(MAX(0,MIN(1,Y214))^2/(MAX(0,MIN(1,Y214))^2+(1-MAX(0,MIN(1,Y214)))^2/$B$5))))&lt;0.000000001,0,Z214-$B$11/$B$9*((MAX(0,MIN(1,Z214))^2/(MAX(0,MIN(1,Z214))^2+(1-MAX(0,MIN(1,Z214)))^2/$B$5))-(MAX(0,MIN(1,Y214))^2/(MAX(0,MIN(1,Y214))^2+(1-MAX(0,MIN(1,Y214)))^2/$B$5))))</f>
        <v>0.872478714920608</v>
      </c>
      <c r="AA215" s="16" t="n">
        <f aca="false">IF(ABS(AA214-$B$11/$B$9*((MAX(0,MIN(1,AA214))^2/(MAX(0,MIN(1,AA214))^2+(1-MAX(0,MIN(1,AA214)))^2/$B$5))-(MAX(0,MIN(1,Z214))^2/(MAX(0,MIN(1,Z214))^2+(1-MAX(0,MIN(1,Z214)))^2/$B$5))))&lt;0.000000001,0,AA214-$B$11/$B$9*((MAX(0,MIN(1,AA214))^2/(MAX(0,MIN(1,AA214))^2+(1-MAX(0,MIN(1,AA214)))^2/$B$5))-(MAX(0,MIN(1,Z214))^2/(MAX(0,MIN(1,Z214))^2+(1-MAX(0,MIN(1,Z214)))^2/$B$5))))</f>
        <v>0.866500222404595</v>
      </c>
      <c r="AB215" s="16" t="n">
        <f aca="false">IF(ABS(AB214-$B$11/$B$9*((MAX(0,MIN(1,AB214))^2/(MAX(0,MIN(1,AB214))^2+(1-MAX(0,MIN(1,AB214)))^2/$B$5))-(MAX(0,MIN(1,AA214))^2/(MAX(0,MIN(1,AA214))^2+(1-MAX(0,MIN(1,AA214)))^2/$B$5))))&lt;0.000000001,0,AB214-$B$11/$B$9*((MAX(0,MIN(1,AB214))^2/(MAX(0,MIN(1,AB214))^2+(1-MAX(0,MIN(1,AB214)))^2/$B$5))-(MAX(0,MIN(1,AA214))^2/(MAX(0,MIN(1,AA214))^2+(1-MAX(0,MIN(1,AA214)))^2/$B$5))))</f>
        <v>0.860701174631927</v>
      </c>
      <c r="AC215" s="16" t="n">
        <f aca="false">IF(ABS(AC214-$B$11/$B$9*((MAX(0,MIN(1,AC214))^2/(MAX(0,MIN(1,AC214))^2+(1-MAX(0,MIN(1,AC214)))^2/$B$5))-(MAX(0,MIN(1,AB214))^2/(MAX(0,MIN(1,AB214))^2+(1-MAX(0,MIN(1,AB214)))^2/$B$5))))&lt;0.000000001,0,AC214-$B$11/$B$9*((MAX(0,MIN(1,AC214))^2/(MAX(0,MIN(1,AC214))^2+(1-MAX(0,MIN(1,AC214)))^2/$B$5))-(MAX(0,MIN(1,AB214))^2/(MAX(0,MIN(1,AB214))^2+(1-MAX(0,MIN(1,AB214)))^2/$B$5))))</f>
        <v>0.855069356012543</v>
      </c>
      <c r="AD215" s="16" t="n">
        <f aca="false">IF(ABS(AD214-$B$11/$B$9*((MAX(0,MIN(1,AD214))^2/(MAX(0,MIN(1,AD214))^2+(1-MAX(0,MIN(1,AD214)))^2/$B$5))-(MAX(0,MIN(1,AC214))^2/(MAX(0,MIN(1,AC214))^2+(1-MAX(0,MIN(1,AC214)))^2/$B$5))))&lt;0.000000001,0,AD214-$B$11/$B$9*((MAX(0,MIN(1,AD214))^2/(MAX(0,MIN(1,AD214))^2+(1-MAX(0,MIN(1,AD214)))^2/$B$5))-(MAX(0,MIN(1,AC214))^2/(MAX(0,MIN(1,AC214))^2+(1-MAX(0,MIN(1,AC214)))^2/$B$5))))</f>
        <v>0.849593823155888</v>
      </c>
      <c r="AE215" s="16" t="n">
        <f aca="false">IF(ABS(AE214-$B$11/$B$9*((MAX(0,MIN(1,AE214))^2/(MAX(0,MIN(1,AE214))^2+(1-MAX(0,MIN(1,AE214)))^2/$B$5))-(MAX(0,MIN(1,AD214))^2/(MAX(0,MIN(1,AD214))^2+(1-MAX(0,MIN(1,AD214)))^2/$B$5))))&lt;0.000000001,0,AE214-$B$11/$B$9*((MAX(0,MIN(1,AE214))^2/(MAX(0,MIN(1,AE214))^2+(1-MAX(0,MIN(1,AE214)))^2/$B$5))-(MAX(0,MIN(1,AD214))^2/(MAX(0,MIN(1,AD214))^2+(1-MAX(0,MIN(1,AD214)))^2/$B$5))))</f>
        <v>0.844264717985133</v>
      </c>
      <c r="AF215" s="16" t="n">
        <f aca="false">IF(ABS(AF214-$B$11/$B$9*((MAX(0,MIN(1,AF214))^2/(MAX(0,MIN(1,AF214))^2+(1-MAX(0,MIN(1,AF214)))^2/$B$5))-(MAX(0,MIN(1,AE214))^2/(MAX(0,MIN(1,AE214))^2+(1-MAX(0,MIN(1,AE214)))^2/$B$5))))&lt;0.000000001,0,AF214-$B$11/$B$9*((MAX(0,MIN(1,AF214))^2/(MAX(0,MIN(1,AF214))^2+(1-MAX(0,MIN(1,AF214)))^2/$B$5))-(MAX(0,MIN(1,AE214))^2/(MAX(0,MIN(1,AE214))^2+(1-MAX(0,MIN(1,AE214)))^2/$B$5))))</f>
        <v>0.839073116914225</v>
      </c>
    </row>
    <row r="216" customFormat="false" ht="15" hidden="false" customHeight="false" outlineLevel="0" collapsed="false">
      <c r="L216" s="0" t="n">
        <v>206</v>
      </c>
      <c r="M216" s="16" t="n">
        <f aca="false">IF(ABS(M215-$B$11/$B$9*((MAX(0,MIN(1,M215))^2/(MAX(0,MIN(1,M215))^2+(1-MAX(0,MIN(1,M215)))^2/$B$5))-(MAX(0,MIN(1,1))^2/(MAX(0,MIN(1,1))^2+(1-MAX(0,MIN(1,1)))^2/$B$5))))&lt;0.000000001,0,M215-$B$11/$B$9*((MAX(0,MIN(1,M215))^2/(MAX(0,MIN(1,M215))^2+(1-MAX(0,MIN(1,M215)))^2/$B$5))-(MAX(0,MIN(1,1))^2/(MAX(0,MIN(1,1))^2+(1-MAX(0,MIN(1,1)))^2/$B$5))))</f>
        <v>0.979043452106325</v>
      </c>
      <c r="N216" s="16" t="n">
        <f aca="false">IF(ABS(N215-$B$11/$B$9*((MAX(0,MIN(1,N215))^2/(MAX(0,MIN(1,N215))^2+(1-MAX(0,MIN(1,N215)))^2/$B$5))-(MAX(0,MIN(1,M215))^2/(MAX(0,MIN(1,M215))^2+(1-MAX(0,MIN(1,M215)))^2/$B$5))))&lt;0.000000001,0,N215-$B$11/$B$9*((MAX(0,MIN(1,N215))^2/(MAX(0,MIN(1,N215))^2+(1-MAX(0,MIN(1,N215)))^2/$B$5))-(MAX(0,MIN(1,M215))^2/(MAX(0,MIN(1,M215))^2+(1-MAX(0,MIN(1,M215)))^2/$B$5))))</f>
        <v>0.967049350785425</v>
      </c>
      <c r="O216" s="16" t="n">
        <f aca="false">IF(ABS(O215-$B$11/$B$9*((MAX(0,MIN(1,O215))^2/(MAX(0,MIN(1,O215))^2+(1-MAX(0,MIN(1,O215)))^2/$B$5))-(MAX(0,MIN(1,N215))^2/(MAX(0,MIN(1,N215))^2+(1-MAX(0,MIN(1,N215)))^2/$B$5))))&lt;0.000000001,0,O215-$B$11/$B$9*((MAX(0,MIN(1,O215))^2/(MAX(0,MIN(1,O215))^2+(1-MAX(0,MIN(1,O215)))^2/$B$5))-(MAX(0,MIN(1,N215))^2/(MAX(0,MIN(1,N215))^2+(1-MAX(0,MIN(1,N215)))^2/$B$5))))</f>
        <v>0.956494920145139</v>
      </c>
      <c r="P216" s="16" t="n">
        <f aca="false">IF(ABS(P215-$B$11/$B$9*((MAX(0,MIN(1,P215))^2/(MAX(0,MIN(1,P215))^2+(1-MAX(0,MIN(1,P215)))^2/$B$5))-(MAX(0,MIN(1,O215))^2/(MAX(0,MIN(1,O215))^2+(1-MAX(0,MIN(1,O215)))^2/$B$5))))&lt;0.000000001,0,P215-$B$11/$B$9*((MAX(0,MIN(1,P215))^2/(MAX(0,MIN(1,P215))^2+(1-MAX(0,MIN(1,P215)))^2/$B$5))-(MAX(0,MIN(1,O215))^2/(MAX(0,MIN(1,O215))^2+(1-MAX(0,MIN(1,O215)))^2/$B$5))))</f>
        <v>0.946802929948055</v>
      </c>
      <c r="Q216" s="16" t="n">
        <f aca="false">IF(ABS(Q215-$B$11/$B$9*((MAX(0,MIN(1,Q215))^2/(MAX(0,MIN(1,Q215))^2+(1-MAX(0,MIN(1,Q215)))^2/$B$5))-(MAX(0,MIN(1,P215))^2/(MAX(0,MIN(1,P215))^2+(1-MAX(0,MIN(1,P215)))^2/$B$5))))&lt;0.000000001,0,Q215-$B$11/$B$9*((MAX(0,MIN(1,Q215))^2/(MAX(0,MIN(1,Q215))^2+(1-MAX(0,MIN(1,Q215)))^2/$B$5))-(MAX(0,MIN(1,P215))^2/(MAX(0,MIN(1,P215))^2+(1-MAX(0,MIN(1,P215)))^2/$B$5))))</f>
        <v>0.93774706172944</v>
      </c>
      <c r="R216" s="16" t="n">
        <f aca="false">IF(ABS(R215-$B$11/$B$9*((MAX(0,MIN(1,R215))^2/(MAX(0,MIN(1,R215))^2+(1-MAX(0,MIN(1,R215)))^2/$B$5))-(MAX(0,MIN(1,Q215))^2/(MAX(0,MIN(1,Q215))^2+(1-MAX(0,MIN(1,Q215)))^2/$B$5))))&lt;0.000000001,0,R215-$B$11/$B$9*((MAX(0,MIN(1,R215))^2/(MAX(0,MIN(1,R215))^2+(1-MAX(0,MIN(1,R215)))^2/$B$5))-(MAX(0,MIN(1,Q215))^2/(MAX(0,MIN(1,Q215))^2+(1-MAX(0,MIN(1,Q215)))^2/$B$5))))</f>
        <v>0.9292038171391</v>
      </c>
      <c r="S216" s="16" t="n">
        <f aca="false">IF(ABS(S215-$B$11/$B$9*((MAX(0,MIN(1,S215))^2/(MAX(0,MIN(1,S215))^2+(1-MAX(0,MIN(1,S215)))^2/$B$5))-(MAX(0,MIN(1,R215))^2/(MAX(0,MIN(1,R215))^2+(1-MAX(0,MIN(1,R215)))^2/$B$5))))&lt;0.000000001,0,S215-$B$11/$B$9*((MAX(0,MIN(1,S215))^2/(MAX(0,MIN(1,S215))^2+(1-MAX(0,MIN(1,S215)))^2/$B$5))-(MAX(0,MIN(1,R215))^2/(MAX(0,MIN(1,R215))^2+(1-MAX(0,MIN(1,R215)))^2/$B$5))))</f>
        <v>0.921093414603383</v>
      </c>
      <c r="T216" s="16" t="n">
        <f aca="false">IF(ABS(T215-$B$11/$B$9*((MAX(0,MIN(1,T215))^2/(MAX(0,MIN(1,T215))^2+(1-MAX(0,MIN(1,T215)))^2/$B$5))-(MAX(0,MIN(1,S215))^2/(MAX(0,MIN(1,S215))^2+(1-MAX(0,MIN(1,S215)))^2/$B$5))))&lt;0.000000001,0,T215-$B$11/$B$9*((MAX(0,MIN(1,T215))^2/(MAX(0,MIN(1,T215))^2+(1-MAX(0,MIN(1,T215)))^2/$B$5))-(MAX(0,MIN(1,S215))^2/(MAX(0,MIN(1,S215))^2+(1-MAX(0,MIN(1,S215)))^2/$B$5))))</f>
        <v>0.913358874566007</v>
      </c>
      <c r="U216" s="16" t="n">
        <f aca="false">IF(ABS(U215-$B$11/$B$9*((MAX(0,MIN(1,U215))^2/(MAX(0,MIN(1,U215))^2+(1-MAX(0,MIN(1,U215)))^2/$B$5))-(MAX(0,MIN(1,T215))^2/(MAX(0,MIN(1,T215))^2+(1-MAX(0,MIN(1,T215)))^2/$B$5))))&lt;0.000000001,0,U215-$B$11/$B$9*((MAX(0,MIN(1,U215))^2/(MAX(0,MIN(1,U215))^2+(1-MAX(0,MIN(1,U215)))^2/$B$5))-(MAX(0,MIN(1,T215))^2/(MAX(0,MIN(1,T215))^2+(1-MAX(0,MIN(1,T215)))^2/$B$5))))</f>
        <v>0.905956791947322</v>
      </c>
      <c r="V216" s="16" t="n">
        <f aca="false">IF(ABS(V215-$B$11/$B$9*((MAX(0,MIN(1,V215))^2/(MAX(0,MIN(1,V215))^2+(1-MAX(0,MIN(1,V215)))^2/$B$5))-(MAX(0,MIN(1,U215))^2/(MAX(0,MIN(1,U215))^2+(1-MAX(0,MIN(1,U215)))^2/$B$5))))&lt;0.000000001,0,V215-$B$11/$B$9*((MAX(0,MIN(1,V215))^2/(MAX(0,MIN(1,V215))^2+(1-MAX(0,MIN(1,V215)))^2/$B$5))-(MAX(0,MIN(1,U215))^2/(MAX(0,MIN(1,U215))^2+(1-MAX(0,MIN(1,U215)))^2/$B$5))))</f>
        <v>0.898852623577901</v>
      </c>
      <c r="W216" s="16" t="n">
        <f aca="false">IF(ABS(W215-$B$11/$B$9*((MAX(0,MIN(1,W215))^2/(MAX(0,MIN(1,W215))^2+(1-MAX(0,MIN(1,W215)))^2/$B$5))-(MAX(0,MIN(1,V215))^2/(MAX(0,MIN(1,V215))^2+(1-MAX(0,MIN(1,V215)))^2/$B$5))))&lt;0.000000001,0,W215-$B$11/$B$9*((MAX(0,MIN(1,W215))^2/(MAX(0,MIN(1,W215))^2+(1-MAX(0,MIN(1,W215)))^2/$B$5))-(MAX(0,MIN(1,V215))^2/(MAX(0,MIN(1,V215))^2+(1-MAX(0,MIN(1,V215)))^2/$B$5))))</f>
        <v>0.892018013140999</v>
      </c>
      <c r="X216" s="16" t="n">
        <f aca="false">IF(ABS(X215-$B$11/$B$9*((MAX(0,MIN(1,X215))^2/(MAX(0,MIN(1,X215))^2+(1-MAX(0,MIN(1,X215)))^2/$B$5))-(MAX(0,MIN(1,W215))^2/(MAX(0,MIN(1,W215))^2+(1-MAX(0,MIN(1,W215)))^2/$B$5))))&lt;0.000000001,0,X215-$B$11/$B$9*((MAX(0,MIN(1,X215))^2/(MAX(0,MIN(1,X215))^2+(1-MAX(0,MIN(1,X215)))^2/$B$5))-(MAX(0,MIN(1,W215))^2/(MAX(0,MIN(1,W215))^2+(1-MAX(0,MIN(1,W215)))^2/$B$5))))</f>
        <v>0.885429145908317</v>
      </c>
      <c r="Y216" s="16" t="n">
        <f aca="false">IF(ABS(Y215-$B$11/$B$9*((MAX(0,MIN(1,Y215))^2/(MAX(0,MIN(1,Y215))^2+(1-MAX(0,MIN(1,Y215)))^2/$B$5))-(MAX(0,MIN(1,X215))^2/(MAX(0,MIN(1,X215))^2+(1-MAX(0,MIN(1,X215)))^2/$B$5))))&lt;0.000000001,0,Y215-$B$11/$B$9*((MAX(0,MIN(1,Y215))^2/(MAX(0,MIN(1,Y215))^2+(1-MAX(0,MIN(1,Y215)))^2/$B$5))-(MAX(0,MIN(1,X215))^2/(MAX(0,MIN(1,X215))^2+(1-MAX(0,MIN(1,X215)))^2/$B$5))))</f>
        <v>0.879065671362185</v>
      </c>
      <c r="Z216" s="16" t="n">
        <f aca="false">IF(ABS(Z215-$B$11/$B$9*((MAX(0,MIN(1,Z215))^2/(MAX(0,MIN(1,Z215))^2+(1-MAX(0,MIN(1,Z215)))^2/$B$5))-(MAX(0,MIN(1,Y215))^2/(MAX(0,MIN(1,Y215))^2+(1-MAX(0,MIN(1,Y215)))^2/$B$5))))&lt;0.000000001,0,Z215-$B$11/$B$9*((MAX(0,MIN(1,Z215))^2/(MAX(0,MIN(1,Z215))^2+(1-MAX(0,MIN(1,Z215)))^2/$B$5))-(MAX(0,MIN(1,Y215))^2/(MAX(0,MIN(1,Y215))^2+(1-MAX(0,MIN(1,Y215)))^2/$B$5))))</f>
        <v>0.872909961518182</v>
      </c>
      <c r="AA216" s="16" t="n">
        <f aca="false">IF(ABS(AA215-$B$11/$B$9*((MAX(0,MIN(1,AA215))^2/(MAX(0,MIN(1,AA215))^2+(1-MAX(0,MIN(1,AA215)))^2/$B$5))-(MAX(0,MIN(1,Z215))^2/(MAX(0,MIN(1,Z215))^2+(1-MAX(0,MIN(1,Z215)))^2/$B$5))))&lt;0.000000001,0,AA215-$B$11/$B$9*((MAX(0,MIN(1,AA215))^2/(MAX(0,MIN(1,AA215))^2+(1-MAX(0,MIN(1,AA215)))^2/$B$5))-(MAX(0,MIN(1,Z215))^2/(MAX(0,MIN(1,Z215))^2+(1-MAX(0,MIN(1,Z215)))^2/$B$5))))</f>
        <v>0.866946579276857</v>
      </c>
      <c r="AB216" s="16" t="n">
        <f aca="false">IF(ABS(AB215-$B$11/$B$9*((MAX(0,MIN(1,AB215))^2/(MAX(0,MIN(1,AB215))^2+(1-MAX(0,MIN(1,AB215)))^2/$B$5))-(MAX(0,MIN(1,AA215))^2/(MAX(0,MIN(1,AA215))^2+(1-MAX(0,MIN(1,AA215)))^2/$B$5))))&lt;0.000000001,0,AB215-$B$11/$B$9*((MAX(0,MIN(1,AB215))^2/(MAX(0,MIN(1,AB215))^2+(1-MAX(0,MIN(1,AB215)))^2/$B$5))-(MAX(0,MIN(1,AA215))^2/(MAX(0,MIN(1,AA215))^2+(1-MAX(0,MIN(1,AA215)))^2/$B$5))))</f>
        <v>0.861161884513556</v>
      </c>
      <c r="AC216" s="16" t="n">
        <f aca="false">IF(ABS(AC215-$B$11/$B$9*((MAX(0,MIN(1,AC215))^2/(MAX(0,MIN(1,AC215))^2+(1-MAX(0,MIN(1,AC215)))^2/$B$5))-(MAX(0,MIN(1,AB215))^2/(MAX(0,MIN(1,AB215))^2+(1-MAX(0,MIN(1,AB215)))^2/$B$5))))&lt;0.000000001,0,AC215-$B$11/$B$9*((MAX(0,MIN(1,AC215))^2/(MAX(0,MIN(1,AC215))^2+(1-MAX(0,MIN(1,AC215)))^2/$B$5))-(MAX(0,MIN(1,AB215))^2/(MAX(0,MIN(1,AB215))^2+(1-MAX(0,MIN(1,AB215)))^2/$B$5))))</f>
        <v>0.85554373414032</v>
      </c>
      <c r="AD216" s="16" t="n">
        <f aca="false">IF(ABS(AD215-$B$11/$B$9*((MAX(0,MIN(1,AD215))^2/(MAX(0,MIN(1,AD215))^2+(1-MAX(0,MIN(1,AD215)))^2/$B$5))-(MAX(0,MIN(1,AC215))^2/(MAX(0,MIN(1,AC215))^2+(1-MAX(0,MIN(1,AC215)))^2/$B$5))))&lt;0.000000001,0,AD215-$B$11/$B$9*((MAX(0,MIN(1,AD215))^2/(MAX(0,MIN(1,AD215))^2+(1-MAX(0,MIN(1,AD215)))^2/$B$5))-(MAX(0,MIN(1,AC215))^2/(MAX(0,MIN(1,AC215))^2+(1-MAX(0,MIN(1,AC215)))^2/$B$5))))</f>
        <v>0.850081248463798</v>
      </c>
      <c r="AE216" s="16" t="n">
        <f aca="false">IF(ABS(AE215-$B$11/$B$9*((MAX(0,MIN(1,AE215))^2/(MAX(0,MIN(1,AE215))^2+(1-MAX(0,MIN(1,AE215)))^2/$B$5))-(MAX(0,MIN(1,AD215))^2/(MAX(0,MIN(1,AD215))^2+(1-MAX(0,MIN(1,AD215)))^2/$B$5))))&lt;0.000000001,0,AE215-$B$11/$B$9*((MAX(0,MIN(1,AE215))^2/(MAX(0,MIN(1,AE215))^2+(1-MAX(0,MIN(1,AE215)))^2/$B$5))-(MAX(0,MIN(1,AD215))^2/(MAX(0,MIN(1,AD215))^2+(1-MAX(0,MIN(1,AD215)))^2/$B$5))))</f>
        <v>0.844764625669344</v>
      </c>
      <c r="AF216" s="16" t="n">
        <f aca="false">IF(ABS(AF215-$B$11/$B$9*((MAX(0,MIN(1,AF215))^2/(MAX(0,MIN(1,AF215))^2+(1-MAX(0,MIN(1,AF215)))^2/$B$5))-(MAX(0,MIN(1,AE215))^2/(MAX(0,MIN(1,AE215))^2+(1-MAX(0,MIN(1,AE215)))^2/$B$5))))&lt;0.000000001,0,AF215-$B$11/$B$9*((MAX(0,MIN(1,AF215))^2/(MAX(0,MIN(1,AF215))^2+(1-MAX(0,MIN(1,AF215)))^2/$B$5))-(MAX(0,MIN(1,AE215))^2/(MAX(0,MIN(1,AE215))^2+(1-MAX(0,MIN(1,AE215)))^2/$B$5))))</f>
        <v>0.839584992108091</v>
      </c>
    </row>
    <row r="217" customFormat="false" ht="15" hidden="false" customHeight="false" outlineLevel="0" collapsed="false">
      <c r="L217" s="0" t="n">
        <v>207</v>
      </c>
      <c r="M217" s="16" t="n">
        <f aca="false">IF(ABS(M216-$B$11/$B$9*((MAX(0,MIN(1,M216))^2/(MAX(0,MIN(1,M216))^2+(1-MAX(0,MIN(1,M216)))^2/$B$5))-(MAX(0,MIN(1,1))^2/(MAX(0,MIN(1,1))^2+(1-MAX(0,MIN(1,1)))^2/$B$5))))&lt;0.000000001,0,M216-$B$11/$B$9*((MAX(0,MIN(1,M216))^2/(MAX(0,MIN(1,M216))^2+(1-MAX(0,MIN(1,M216)))^2/$B$5))-(MAX(0,MIN(1,1))^2/(MAX(0,MIN(1,1))^2+(1-MAX(0,MIN(1,1)))^2/$B$5))))</f>
        <v>0.979131524108573</v>
      </c>
      <c r="N217" s="16" t="n">
        <f aca="false">IF(ABS(N216-$B$11/$B$9*((MAX(0,MIN(1,N216))^2/(MAX(0,MIN(1,N216))^2+(1-MAX(0,MIN(1,N216)))^2/$B$5))-(MAX(0,MIN(1,M216))^2/(MAX(0,MIN(1,M216))^2+(1-MAX(0,MIN(1,M216)))^2/$B$5))))&lt;0.000000001,0,N216-$B$11/$B$9*((MAX(0,MIN(1,N216))^2/(MAX(0,MIN(1,N216))^2+(1-MAX(0,MIN(1,N216)))^2/$B$5))-(MAX(0,MIN(1,M216))^2/(MAX(0,MIN(1,M216))^2+(1-MAX(0,MIN(1,M216)))^2/$B$5))))</f>
        <v>0.967184368955459</v>
      </c>
      <c r="O217" s="16" t="n">
        <f aca="false">IF(ABS(O216-$B$11/$B$9*((MAX(0,MIN(1,O216))^2/(MAX(0,MIN(1,O216))^2+(1-MAX(0,MIN(1,O216)))^2/$B$5))-(MAX(0,MIN(1,N216))^2/(MAX(0,MIN(1,N216))^2+(1-MAX(0,MIN(1,N216)))^2/$B$5))))&lt;0.000000001,0,O216-$B$11/$B$9*((MAX(0,MIN(1,O216))^2/(MAX(0,MIN(1,O216))^2+(1-MAX(0,MIN(1,O216)))^2/$B$5))-(MAX(0,MIN(1,N216))^2/(MAX(0,MIN(1,N216))^2+(1-MAX(0,MIN(1,N216)))^2/$B$5))))</f>
        <v>0.956669174653378</v>
      </c>
      <c r="P217" s="16" t="n">
        <f aca="false">IF(ABS(P216-$B$11/$B$9*((MAX(0,MIN(1,P216))^2/(MAX(0,MIN(1,P216))^2+(1-MAX(0,MIN(1,P216)))^2/$B$5))-(MAX(0,MIN(1,O216))^2/(MAX(0,MIN(1,O216))^2+(1-MAX(0,MIN(1,O216)))^2/$B$5))))&lt;0.000000001,0,P216-$B$11/$B$9*((MAX(0,MIN(1,P216))^2/(MAX(0,MIN(1,P216))^2+(1-MAX(0,MIN(1,P216)))^2/$B$5))-(MAX(0,MIN(1,O216))^2/(MAX(0,MIN(1,O216))^2+(1-MAX(0,MIN(1,O216)))^2/$B$5))))</f>
        <v>0.947011585892743</v>
      </c>
      <c r="Q217" s="16" t="n">
        <f aca="false">IF(ABS(Q216-$B$11/$B$9*((MAX(0,MIN(1,Q216))^2/(MAX(0,MIN(1,Q216))^2+(1-MAX(0,MIN(1,Q216)))^2/$B$5))-(MAX(0,MIN(1,P216))^2/(MAX(0,MIN(1,P216))^2+(1-MAX(0,MIN(1,P216)))^2/$B$5))))&lt;0.000000001,0,Q216-$B$11/$B$9*((MAX(0,MIN(1,Q216))^2/(MAX(0,MIN(1,Q216))^2+(1-MAX(0,MIN(1,Q216)))^2/$B$5))-(MAX(0,MIN(1,P216))^2/(MAX(0,MIN(1,P216))^2+(1-MAX(0,MIN(1,P216)))^2/$B$5))))</f>
        <v>0.937986523225528</v>
      </c>
      <c r="R217" s="16" t="n">
        <f aca="false">IF(ABS(R216-$B$11/$B$9*((MAX(0,MIN(1,R216))^2/(MAX(0,MIN(1,R216))^2+(1-MAX(0,MIN(1,R216)))^2/$B$5))-(MAX(0,MIN(1,Q216))^2/(MAX(0,MIN(1,Q216))^2+(1-MAX(0,MIN(1,Q216)))^2/$B$5))))&lt;0.000000001,0,R216-$B$11/$B$9*((MAX(0,MIN(1,R216))^2/(MAX(0,MIN(1,R216))^2+(1-MAX(0,MIN(1,R216)))^2/$B$5))-(MAX(0,MIN(1,Q216))^2/(MAX(0,MIN(1,Q216))^2+(1-MAX(0,MIN(1,Q216)))^2/$B$5))))</f>
        <v>0.929471215728709</v>
      </c>
      <c r="S217" s="16" t="n">
        <f aca="false">IF(ABS(S216-$B$11/$B$9*((MAX(0,MIN(1,S216))^2/(MAX(0,MIN(1,S216))^2+(1-MAX(0,MIN(1,S216)))^2/$B$5))-(MAX(0,MIN(1,R216))^2/(MAX(0,MIN(1,R216))^2+(1-MAX(0,MIN(1,R216)))^2/$B$5))))&lt;0.000000001,0,S216-$B$11/$B$9*((MAX(0,MIN(1,S216))^2/(MAX(0,MIN(1,S216))^2+(1-MAX(0,MIN(1,S216)))^2/$B$5))-(MAX(0,MIN(1,R216))^2/(MAX(0,MIN(1,R216))^2+(1-MAX(0,MIN(1,R216)))^2/$B$5))))</f>
        <v>0.921386375714418</v>
      </c>
      <c r="T217" s="16" t="n">
        <f aca="false">IF(ABS(T216-$B$11/$B$9*((MAX(0,MIN(1,T216))^2/(MAX(0,MIN(1,T216))^2+(1-MAX(0,MIN(1,T216)))^2/$B$5))-(MAX(0,MIN(1,S216))^2/(MAX(0,MIN(1,S216))^2+(1-MAX(0,MIN(1,S216)))^2/$B$5))))&lt;0.000000001,0,T216-$B$11/$B$9*((MAX(0,MIN(1,T216))^2/(MAX(0,MIN(1,T216))^2+(1-MAX(0,MIN(1,T216)))^2/$B$5))-(MAX(0,MIN(1,S216))^2/(MAX(0,MIN(1,S216))^2+(1-MAX(0,MIN(1,S216)))^2/$B$5))))</f>
        <v>0.913675387104131</v>
      </c>
      <c r="U217" s="16" t="n">
        <f aca="false">IF(ABS(U216-$B$11/$B$9*((MAX(0,MIN(1,U216))^2/(MAX(0,MIN(1,U216))^2+(1-MAX(0,MIN(1,U216)))^2/$B$5))-(MAX(0,MIN(1,T216))^2/(MAX(0,MIN(1,T216))^2+(1-MAX(0,MIN(1,T216)))^2/$B$5))))&lt;0.000000001,0,U216-$B$11/$B$9*((MAX(0,MIN(1,U216))^2/(MAX(0,MIN(1,U216))^2+(1-MAX(0,MIN(1,U216)))^2/$B$5))-(MAX(0,MIN(1,T216))^2/(MAX(0,MIN(1,T216))^2+(1-MAX(0,MIN(1,T216)))^2/$B$5))))</f>
        <v>0.906295125909</v>
      </c>
      <c r="V217" s="16" t="n">
        <f aca="false">IF(ABS(V216-$B$11/$B$9*((MAX(0,MIN(1,V216))^2/(MAX(0,MIN(1,V216))^2+(1-MAX(0,MIN(1,V216)))^2/$B$5))-(MAX(0,MIN(1,U216))^2/(MAX(0,MIN(1,U216))^2+(1-MAX(0,MIN(1,U216)))^2/$B$5))))&lt;0.000000001,0,V216-$B$11/$B$9*((MAX(0,MIN(1,V216))^2/(MAX(0,MIN(1,V216))^2+(1-MAX(0,MIN(1,V216)))^2/$B$5))-(MAX(0,MIN(1,U216))^2/(MAX(0,MIN(1,U216))^2+(1-MAX(0,MIN(1,U216)))^2/$B$5))))</f>
        <v>0.899211273614774</v>
      </c>
      <c r="W217" s="16" t="n">
        <f aca="false">IF(ABS(W216-$B$11/$B$9*((MAX(0,MIN(1,W216))^2/(MAX(0,MIN(1,W216))^2+(1-MAX(0,MIN(1,W216)))^2/$B$5))-(MAX(0,MIN(1,V216))^2/(MAX(0,MIN(1,V216))^2+(1-MAX(0,MIN(1,V216)))^2/$B$5))))&lt;0.000000001,0,W216-$B$11/$B$9*((MAX(0,MIN(1,W216))^2/(MAX(0,MIN(1,W216))^2+(1-MAX(0,MIN(1,W216)))^2/$B$5))-(MAX(0,MIN(1,V216))^2/(MAX(0,MIN(1,V216))^2+(1-MAX(0,MIN(1,V216)))^2/$B$5))))</f>
        <v>0.892395657691748</v>
      </c>
      <c r="X217" s="16" t="n">
        <f aca="false">IF(ABS(X216-$B$11/$B$9*((MAX(0,MIN(1,X216))^2/(MAX(0,MIN(1,X216))^2+(1-MAX(0,MIN(1,X216)))^2/$B$5))-(MAX(0,MIN(1,W216))^2/(MAX(0,MIN(1,W216))^2+(1-MAX(0,MIN(1,W216)))^2/$B$5))))&lt;0.000000001,0,X216-$B$11/$B$9*((MAX(0,MIN(1,X216))^2/(MAX(0,MIN(1,X216))^2+(1-MAX(0,MIN(1,X216)))^2/$B$5))-(MAX(0,MIN(1,W216))^2/(MAX(0,MIN(1,W216))^2+(1-MAX(0,MIN(1,W216)))^2/$B$5))))</f>
        <v>0.885824616405028</v>
      </c>
      <c r="Y217" s="16" t="n">
        <f aca="false">IF(ABS(Y216-$B$11/$B$9*((MAX(0,MIN(1,Y216))^2/(MAX(0,MIN(1,Y216))^2+(1-MAX(0,MIN(1,Y216)))^2/$B$5))-(MAX(0,MIN(1,X216))^2/(MAX(0,MIN(1,X216))^2+(1-MAX(0,MIN(1,X216)))^2/$B$5))))&lt;0.000000001,0,Y216-$B$11/$B$9*((MAX(0,MIN(1,Y216))^2/(MAX(0,MIN(1,Y216))^2+(1-MAX(0,MIN(1,Y216)))^2/$B$5))-(MAX(0,MIN(1,X216))^2/(MAX(0,MIN(1,X216))^2+(1-MAX(0,MIN(1,X216)))^2/$B$5))))</f>
        <v>0.879477928335524</v>
      </c>
      <c r="Z217" s="16" t="n">
        <f aca="false">IF(ABS(Z216-$B$11/$B$9*((MAX(0,MIN(1,Z216))^2/(MAX(0,MIN(1,Z216))^2+(1-MAX(0,MIN(1,Z216)))^2/$B$5))-(MAX(0,MIN(1,Y216))^2/(MAX(0,MIN(1,Y216))^2+(1-MAX(0,MIN(1,Y216)))^2/$B$5))))&lt;0.000000001,0,Z216-$B$11/$B$9*((MAX(0,MIN(1,Z216))^2/(MAX(0,MIN(1,Z216))^2+(1-MAX(0,MIN(1,Z216)))^2/$B$5))-(MAX(0,MIN(1,Y216))^2/(MAX(0,MIN(1,Y216))^2+(1-MAX(0,MIN(1,Y216)))^2/$B$5))))</f>
        <v>0.873338075634356</v>
      </c>
      <c r="AA217" s="16" t="n">
        <f aca="false">IF(ABS(AA216-$B$11/$B$9*((MAX(0,MIN(1,AA216))^2/(MAX(0,MIN(1,AA216))^2+(1-MAX(0,MIN(1,AA216)))^2/$B$5))-(MAX(0,MIN(1,Z216))^2/(MAX(0,MIN(1,Z216))^2+(1-MAX(0,MIN(1,Z216)))^2/$B$5))))&lt;0.000000001,0,AA216-$B$11/$B$9*((MAX(0,MIN(1,AA216))^2/(MAX(0,MIN(1,AA216))^2+(1-MAX(0,MIN(1,AA216)))^2/$B$5))-(MAX(0,MIN(1,Z216))^2/(MAX(0,MIN(1,Z216))^2+(1-MAX(0,MIN(1,Z216)))^2/$B$5))))</f>
        <v>0.867389716019792</v>
      </c>
      <c r="AB217" s="16" t="n">
        <f aca="false">IF(ABS(AB216-$B$11/$B$9*((MAX(0,MIN(1,AB216))^2/(MAX(0,MIN(1,AB216))^2+(1-MAX(0,MIN(1,AB216)))^2/$B$5))-(MAX(0,MIN(1,AA216))^2/(MAX(0,MIN(1,AA216))^2+(1-MAX(0,MIN(1,AA216)))^2/$B$5))))&lt;0.000000001,0,AB216-$B$11/$B$9*((MAX(0,MIN(1,AB216))^2/(MAX(0,MIN(1,AB216))^2+(1-MAX(0,MIN(1,AB216)))^2/$B$5))-(MAX(0,MIN(1,AA216))^2/(MAX(0,MIN(1,AA216))^2+(1-MAX(0,MIN(1,AA216)))^2/$B$5))))</f>
        <v>0.861619291633468</v>
      </c>
      <c r="AC217" s="16" t="n">
        <f aca="false">IF(ABS(AC216-$B$11/$B$9*((MAX(0,MIN(1,AC216))^2/(MAX(0,MIN(1,AC216))^2+(1-MAX(0,MIN(1,AC216)))^2/$B$5))-(MAX(0,MIN(1,AB216))^2/(MAX(0,MIN(1,AB216))^2+(1-MAX(0,MIN(1,AB216)))^2/$B$5))))&lt;0.000000001,0,AC216-$B$11/$B$9*((MAX(0,MIN(1,AC216))^2/(MAX(0,MIN(1,AC216))^2+(1-MAX(0,MIN(1,AC216)))^2/$B$5))-(MAX(0,MIN(1,AB216))^2/(MAX(0,MIN(1,AB216))^2+(1-MAX(0,MIN(1,AB216)))^2/$B$5))))</f>
        <v>0.856014731246859</v>
      </c>
      <c r="AD217" s="16" t="n">
        <f aca="false">IF(ABS(AD216-$B$11/$B$9*((MAX(0,MIN(1,AD216))^2/(MAX(0,MIN(1,AD216))^2+(1-MAX(0,MIN(1,AD216)))^2/$B$5))-(MAX(0,MIN(1,AC216))^2/(MAX(0,MIN(1,AC216))^2+(1-MAX(0,MIN(1,AC216)))^2/$B$5))))&lt;0.000000001,0,AD216-$B$11/$B$9*((MAX(0,MIN(1,AD216))^2/(MAX(0,MIN(1,AD216))^2+(1-MAX(0,MIN(1,AD216)))^2/$B$5))-(MAX(0,MIN(1,AC216))^2/(MAX(0,MIN(1,AC216))^2+(1-MAX(0,MIN(1,AC216)))^2/$B$5))))</f>
        <v>0.850565218311034</v>
      </c>
      <c r="AE217" s="16" t="n">
        <f aca="false">IF(ABS(AE216-$B$11/$B$9*((MAX(0,MIN(1,AE216))^2/(MAX(0,MIN(1,AE216))^2+(1-MAX(0,MIN(1,AE216)))^2/$B$5))-(MAX(0,MIN(1,AD216))^2/(MAX(0,MIN(1,AD216))^2+(1-MAX(0,MIN(1,AD216)))^2/$B$5))))&lt;0.000000001,0,AE216-$B$11/$B$9*((MAX(0,MIN(1,AE216))^2/(MAX(0,MIN(1,AE216))^2+(1-MAX(0,MIN(1,AE216)))^2/$B$5))-(MAX(0,MIN(1,AD216))^2/(MAX(0,MIN(1,AD216))^2+(1-MAX(0,MIN(1,AD216)))^2/$B$5))))</f>
        <v>0.845261006795037</v>
      </c>
      <c r="AF217" s="16" t="n">
        <f aca="false">IF(ABS(AF216-$B$11/$B$9*((MAX(0,MIN(1,AF216))^2/(MAX(0,MIN(1,AF216))^2+(1-MAX(0,MIN(1,AF216)))^2/$B$5))-(MAX(0,MIN(1,AE216))^2/(MAX(0,MIN(1,AE216))^2+(1-MAX(0,MIN(1,AE216)))^2/$B$5))))&lt;0.000000001,0,AF216-$B$11/$B$9*((MAX(0,MIN(1,AF216))^2/(MAX(0,MIN(1,AF216))^2+(1-MAX(0,MIN(1,AF216)))^2/$B$5))-(MAX(0,MIN(1,AE216))^2/(MAX(0,MIN(1,AE216))^2+(1-MAX(0,MIN(1,AE216)))^2/$B$5))))</f>
        <v>0.840093272570528</v>
      </c>
    </row>
    <row r="218" customFormat="false" ht="15" hidden="false" customHeight="false" outlineLevel="0" collapsed="false">
      <c r="L218" s="0" t="n">
        <v>208</v>
      </c>
      <c r="M218" s="16" t="n">
        <f aca="false">IF(ABS(M217-$B$11/$B$9*((MAX(0,MIN(1,M217))^2/(MAX(0,MIN(1,M217))^2+(1-MAX(0,MIN(1,M217)))^2/$B$5))-(MAX(0,MIN(1,1))^2/(MAX(0,MIN(1,1))^2+(1-MAX(0,MIN(1,1)))^2/$B$5))))&lt;0.000000001,0,M217-$B$11/$B$9*((MAX(0,MIN(1,M217))^2/(MAX(0,MIN(1,M217))^2+(1-MAX(0,MIN(1,M217)))^2/$B$5))-(MAX(0,MIN(1,1))^2/(MAX(0,MIN(1,1))^2+(1-MAX(0,MIN(1,1)))^2/$B$5))))</f>
        <v>0.979218841864338</v>
      </c>
      <c r="N218" s="16" t="n">
        <f aca="false">IF(ABS(N217-$B$11/$B$9*((MAX(0,MIN(1,N217))^2/(MAX(0,MIN(1,N217))^2+(1-MAX(0,MIN(1,N217)))^2/$B$5))-(MAX(0,MIN(1,M217))^2/(MAX(0,MIN(1,M217))^2+(1-MAX(0,MIN(1,M217)))^2/$B$5))))&lt;0.000000001,0,N217-$B$11/$B$9*((MAX(0,MIN(1,N217))^2/(MAX(0,MIN(1,N217))^2+(1-MAX(0,MIN(1,N217)))^2/$B$5))-(MAX(0,MIN(1,M217))^2/(MAX(0,MIN(1,M217))^2+(1-MAX(0,MIN(1,M217)))^2/$B$5))))</f>
        <v>0.967318256167081</v>
      </c>
      <c r="O218" s="16" t="n">
        <f aca="false">IF(ABS(O217-$B$11/$B$9*((MAX(0,MIN(1,O217))^2/(MAX(0,MIN(1,O217))^2+(1-MAX(0,MIN(1,O217)))^2/$B$5))-(MAX(0,MIN(1,N217))^2/(MAX(0,MIN(1,N217))^2+(1-MAX(0,MIN(1,N217)))^2/$B$5))))&lt;0.000000001,0,O217-$B$11/$B$9*((MAX(0,MIN(1,O217))^2/(MAX(0,MIN(1,O217))^2+(1-MAX(0,MIN(1,O217)))^2/$B$5))-(MAX(0,MIN(1,N217))^2/(MAX(0,MIN(1,N217))^2+(1-MAX(0,MIN(1,N217)))^2/$B$5))))</f>
        <v>0.956841997528073</v>
      </c>
      <c r="P218" s="16" t="n">
        <f aca="false">IF(ABS(P217-$B$11/$B$9*((MAX(0,MIN(1,P217))^2/(MAX(0,MIN(1,P217))^2+(1-MAX(0,MIN(1,P217)))^2/$B$5))-(MAX(0,MIN(1,O217))^2/(MAX(0,MIN(1,O217))^2+(1-MAX(0,MIN(1,O217)))^2/$B$5))))&lt;0.000000001,0,P217-$B$11/$B$9*((MAX(0,MIN(1,P217))^2/(MAX(0,MIN(1,P217))^2+(1-MAX(0,MIN(1,P217)))^2/$B$5))-(MAX(0,MIN(1,O217))^2/(MAX(0,MIN(1,O217))^2+(1-MAX(0,MIN(1,O217)))^2/$B$5))))</f>
        <v>0.947218557049937</v>
      </c>
      <c r="Q218" s="16" t="n">
        <f aca="false">IF(ABS(Q217-$B$11/$B$9*((MAX(0,MIN(1,Q217))^2/(MAX(0,MIN(1,Q217))^2+(1-MAX(0,MIN(1,Q217)))^2/$B$5))-(MAX(0,MIN(1,P217))^2/(MAX(0,MIN(1,P217))^2+(1-MAX(0,MIN(1,P217)))^2/$B$5))))&lt;0.000000001,0,Q217-$B$11/$B$9*((MAX(0,MIN(1,Q217))^2/(MAX(0,MIN(1,Q217))^2+(1-MAX(0,MIN(1,Q217)))^2/$B$5))-(MAX(0,MIN(1,P217))^2/(MAX(0,MIN(1,P217))^2+(1-MAX(0,MIN(1,P217)))^2/$B$5))))</f>
        <v>0.938224081344657</v>
      </c>
      <c r="R218" s="16" t="n">
        <f aca="false">IF(ABS(R217-$B$11/$B$9*((MAX(0,MIN(1,R217))^2/(MAX(0,MIN(1,R217))^2+(1-MAX(0,MIN(1,R217)))^2/$B$5))-(MAX(0,MIN(1,Q217))^2/(MAX(0,MIN(1,Q217))^2+(1-MAX(0,MIN(1,Q217)))^2/$B$5))))&lt;0.000000001,0,R217-$B$11/$B$9*((MAX(0,MIN(1,R217))^2/(MAX(0,MIN(1,R217))^2+(1-MAX(0,MIN(1,R217)))^2/$B$5))-(MAX(0,MIN(1,Q217))^2/(MAX(0,MIN(1,Q217))^2+(1-MAX(0,MIN(1,Q217)))^2/$B$5))))</f>
        <v>0.929736519117852</v>
      </c>
      <c r="S218" s="16" t="n">
        <f aca="false">IF(ABS(S217-$B$11/$B$9*((MAX(0,MIN(1,S217))^2/(MAX(0,MIN(1,S217))^2+(1-MAX(0,MIN(1,S217)))^2/$B$5))-(MAX(0,MIN(1,R217))^2/(MAX(0,MIN(1,R217))^2+(1-MAX(0,MIN(1,R217)))^2/$B$5))))&lt;0.000000001,0,S217-$B$11/$B$9*((MAX(0,MIN(1,S217))^2/(MAX(0,MIN(1,S217))^2+(1-MAX(0,MIN(1,S217)))^2/$B$5))-(MAX(0,MIN(1,R217))^2/(MAX(0,MIN(1,R217))^2+(1-MAX(0,MIN(1,R217)))^2/$B$5))))</f>
        <v>0.921677071244375</v>
      </c>
      <c r="T218" s="16" t="n">
        <f aca="false">IF(ABS(T217-$B$11/$B$9*((MAX(0,MIN(1,T217))^2/(MAX(0,MIN(1,T217))^2+(1-MAX(0,MIN(1,T217)))^2/$B$5))-(MAX(0,MIN(1,S217))^2/(MAX(0,MIN(1,S217))^2+(1-MAX(0,MIN(1,S217)))^2/$B$5))))&lt;0.000000001,0,T217-$B$11/$B$9*((MAX(0,MIN(1,T217))^2/(MAX(0,MIN(1,T217))^2+(1-MAX(0,MIN(1,T217)))^2/$B$5))-(MAX(0,MIN(1,S217))^2/(MAX(0,MIN(1,S217))^2+(1-MAX(0,MIN(1,S217)))^2/$B$5))))</f>
        <v>0.913989481233068</v>
      </c>
      <c r="U218" s="16" t="n">
        <f aca="false">IF(ABS(U217-$B$11/$B$9*((MAX(0,MIN(1,U217))^2/(MAX(0,MIN(1,U217))^2+(1-MAX(0,MIN(1,U217)))^2/$B$5))-(MAX(0,MIN(1,T217))^2/(MAX(0,MIN(1,T217))^2+(1-MAX(0,MIN(1,T217)))^2/$B$5))))&lt;0.000000001,0,U217-$B$11/$B$9*((MAX(0,MIN(1,U217))^2/(MAX(0,MIN(1,U217))^2+(1-MAX(0,MIN(1,U217)))^2/$B$5))-(MAX(0,MIN(1,T217))^2/(MAX(0,MIN(1,T217))^2+(1-MAX(0,MIN(1,T217)))^2/$B$5))))</f>
        <v>0.906630903220278</v>
      </c>
      <c r="V218" s="16" t="n">
        <f aca="false">IF(ABS(V217-$B$11/$B$9*((MAX(0,MIN(1,V217))^2/(MAX(0,MIN(1,V217))^2+(1-MAX(0,MIN(1,V217)))^2/$B$5))-(MAX(0,MIN(1,U217))^2/(MAX(0,MIN(1,U217))^2+(1-MAX(0,MIN(1,U217)))^2/$B$5))))&lt;0.000000001,0,V217-$B$11/$B$9*((MAX(0,MIN(1,V217))^2/(MAX(0,MIN(1,V217))^2+(1-MAX(0,MIN(1,V217)))^2/$B$5))-(MAX(0,MIN(1,U217))^2/(MAX(0,MIN(1,U217))^2+(1-MAX(0,MIN(1,U217)))^2/$B$5))))</f>
        <v>0.899567241020838</v>
      </c>
      <c r="W218" s="16" t="n">
        <f aca="false">IF(ABS(W217-$B$11/$B$9*((MAX(0,MIN(1,W217))^2/(MAX(0,MIN(1,W217))^2+(1-MAX(0,MIN(1,W217)))^2/$B$5))-(MAX(0,MIN(1,V217))^2/(MAX(0,MIN(1,V217))^2+(1-MAX(0,MIN(1,V217)))^2/$B$5))))&lt;0.000000001,0,W217-$B$11/$B$9*((MAX(0,MIN(1,W217))^2/(MAX(0,MIN(1,W217))^2+(1-MAX(0,MIN(1,W217)))^2/$B$5))-(MAX(0,MIN(1,V217))^2/(MAX(0,MIN(1,V217))^2+(1-MAX(0,MIN(1,V217)))^2/$B$5))))</f>
        <v>0.892770504029284</v>
      </c>
      <c r="X218" s="16" t="n">
        <f aca="false">IF(ABS(X217-$B$11/$B$9*((MAX(0,MIN(1,X217))^2/(MAX(0,MIN(1,X217))^2+(1-MAX(0,MIN(1,X217)))^2/$B$5))-(MAX(0,MIN(1,W217))^2/(MAX(0,MIN(1,W217))^2+(1-MAX(0,MIN(1,W217)))^2/$B$5))))&lt;0.000000001,0,X217-$B$11/$B$9*((MAX(0,MIN(1,X217))^2/(MAX(0,MIN(1,X217))^2+(1-MAX(0,MIN(1,X217)))^2/$B$5))-(MAX(0,MIN(1,W217))^2/(MAX(0,MIN(1,W217))^2+(1-MAX(0,MIN(1,W217)))^2/$B$5))))</f>
        <v>0.886217181988209</v>
      </c>
      <c r="Y218" s="16" t="n">
        <f aca="false">IF(ABS(Y217-$B$11/$B$9*((MAX(0,MIN(1,Y217))^2/(MAX(0,MIN(1,Y217))^2+(1-MAX(0,MIN(1,Y217)))^2/$B$5))-(MAX(0,MIN(1,X217))^2/(MAX(0,MIN(1,X217))^2+(1-MAX(0,MIN(1,X217)))^2/$B$5))))&lt;0.000000001,0,Y217-$B$11/$B$9*((MAX(0,MIN(1,Y217))^2/(MAX(0,MIN(1,Y217))^2+(1-MAX(0,MIN(1,Y217)))^2/$B$5))-(MAX(0,MIN(1,X217))^2/(MAX(0,MIN(1,X217))^2+(1-MAX(0,MIN(1,X217)))^2/$B$5))))</f>
        <v>0.879887181327389</v>
      </c>
      <c r="Z218" s="16" t="n">
        <f aca="false">IF(ABS(Z217-$B$11/$B$9*((MAX(0,MIN(1,Z217))^2/(MAX(0,MIN(1,Z217))^2+(1-MAX(0,MIN(1,Z217)))^2/$B$5))-(MAX(0,MIN(1,Y217))^2/(MAX(0,MIN(1,Y217))^2+(1-MAX(0,MIN(1,Y217)))^2/$B$5))))&lt;0.000000001,0,Z217-$B$11/$B$9*((MAX(0,MIN(1,Z217))^2/(MAX(0,MIN(1,Z217))^2+(1-MAX(0,MIN(1,Z217)))^2/$B$5))-(MAX(0,MIN(1,Y217))^2/(MAX(0,MIN(1,Y217))^2+(1-MAX(0,MIN(1,Y217)))^2/$B$5))))</f>
        <v>0.873763093291978</v>
      </c>
      <c r="AA218" s="16" t="n">
        <f aca="false">IF(ABS(AA217-$B$11/$B$9*((MAX(0,MIN(1,AA217))^2/(MAX(0,MIN(1,AA217))^2+(1-MAX(0,MIN(1,AA217)))^2/$B$5))-(MAX(0,MIN(1,Z217))^2/(MAX(0,MIN(1,Z217))^2+(1-MAX(0,MIN(1,Z217)))^2/$B$5))))&lt;0.000000001,0,AA217-$B$11/$B$9*((MAX(0,MIN(1,AA217))^2/(MAX(0,MIN(1,AA217))^2+(1-MAX(0,MIN(1,AA217)))^2/$B$5))-(MAX(0,MIN(1,Z217))^2/(MAX(0,MIN(1,Z217))^2+(1-MAX(0,MIN(1,Z217)))^2/$B$5))))</f>
        <v>0.867829669541838</v>
      </c>
      <c r="AB218" s="16" t="n">
        <f aca="false">IF(ABS(AB217-$B$11/$B$9*((MAX(0,MIN(1,AB217))^2/(MAX(0,MIN(1,AB217))^2+(1-MAX(0,MIN(1,AB217)))^2/$B$5))-(MAX(0,MIN(1,AA217))^2/(MAX(0,MIN(1,AA217))^2+(1-MAX(0,MIN(1,AA217)))^2/$B$5))))&lt;0.000000001,0,AB217-$B$11/$B$9*((MAX(0,MIN(1,AB217))^2/(MAX(0,MIN(1,AB217))^2+(1-MAX(0,MIN(1,AB217)))^2/$B$5))-(MAX(0,MIN(1,AA217))^2/(MAX(0,MIN(1,AA217))^2+(1-MAX(0,MIN(1,AA217)))^2/$B$5))))</f>
        <v>0.86207343374178</v>
      </c>
      <c r="AC218" s="16" t="n">
        <f aca="false">IF(ABS(AC217-$B$11/$B$9*((MAX(0,MIN(1,AC217))^2/(MAX(0,MIN(1,AC217))^2+(1-MAX(0,MIN(1,AC217)))^2/$B$5))-(MAX(0,MIN(1,AB217))^2/(MAX(0,MIN(1,AB217))^2+(1-MAX(0,MIN(1,AB217)))^2/$B$5))))&lt;0.000000001,0,AC217-$B$11/$B$9*((MAX(0,MIN(1,AC217))^2/(MAX(0,MIN(1,AC217))^2+(1-MAX(0,MIN(1,AC217)))^2/$B$5))-(MAX(0,MIN(1,AB217))^2/(MAX(0,MIN(1,AB217))^2+(1-MAX(0,MIN(1,AB217)))^2/$B$5))))</f>
        <v>0.85648238588773</v>
      </c>
      <c r="AD218" s="16" t="n">
        <f aca="false">IF(ABS(AD217-$B$11/$B$9*((MAX(0,MIN(1,AD217))^2/(MAX(0,MIN(1,AD217))^2+(1-MAX(0,MIN(1,AD217)))^2/$B$5))-(MAX(0,MIN(1,AC217))^2/(MAX(0,MIN(1,AC217))^2+(1-MAX(0,MIN(1,AC217)))^2/$B$5))))&lt;0.000000001,0,AD217-$B$11/$B$9*((MAX(0,MIN(1,AD217))^2/(MAX(0,MIN(1,AD217))^2+(1-MAX(0,MIN(1,AD217)))^2/$B$5))-(MAX(0,MIN(1,AC217))^2/(MAX(0,MIN(1,AC217))^2+(1-MAX(0,MIN(1,AC217)))^2/$B$5))))</f>
        <v>0.8510457720289</v>
      </c>
      <c r="AE218" s="16" t="n">
        <f aca="false">IF(ABS(AE217-$B$11/$B$9*((MAX(0,MIN(1,AE217))^2/(MAX(0,MIN(1,AE217))^2+(1-MAX(0,MIN(1,AE217)))^2/$B$5))-(MAX(0,MIN(1,AD217))^2/(MAX(0,MIN(1,AD217))^2+(1-MAX(0,MIN(1,AD217)))^2/$B$5))))&lt;0.000000001,0,AE217-$B$11/$B$9*((MAX(0,MIN(1,AE217))^2/(MAX(0,MIN(1,AE217))^2+(1-MAX(0,MIN(1,AE217)))^2/$B$5))-(MAX(0,MIN(1,AD217))^2/(MAX(0,MIN(1,AD217))^2+(1-MAX(0,MIN(1,AD217)))^2/$B$5))))</f>
        <v>0.845753901445086</v>
      </c>
      <c r="AF218" s="16" t="n">
        <f aca="false">IF(ABS(AF217-$B$11/$B$9*((MAX(0,MIN(1,AF217))^2/(MAX(0,MIN(1,AF217))^2+(1-MAX(0,MIN(1,AF217)))^2/$B$5))-(MAX(0,MIN(1,AE217))^2/(MAX(0,MIN(1,AE217))^2+(1-MAX(0,MIN(1,AE217)))^2/$B$5))))&lt;0.000000001,0,AF217-$B$11/$B$9*((MAX(0,MIN(1,AF217))^2/(MAX(0,MIN(1,AF217))^2+(1-MAX(0,MIN(1,AF217)))^2/$B$5))-(MAX(0,MIN(1,AE217))^2/(MAX(0,MIN(1,AE217))^2+(1-MAX(0,MIN(1,AE217)))^2/$B$5))))</f>
        <v>0.840597999116605</v>
      </c>
    </row>
    <row r="219" customFormat="false" ht="15" hidden="false" customHeight="false" outlineLevel="0" collapsed="false">
      <c r="L219" s="0" t="n">
        <v>209</v>
      </c>
      <c r="M219" s="16" t="n">
        <f aca="false">IF(ABS(M218-$B$11/$B$9*((MAX(0,MIN(1,M218))^2/(MAX(0,MIN(1,M218))^2+(1-MAX(0,MIN(1,M218)))^2/$B$5))-(MAX(0,MIN(1,1))^2/(MAX(0,MIN(1,1))^2+(1-MAX(0,MIN(1,1)))^2/$B$5))))&lt;0.000000001,0,M218-$B$11/$B$9*((MAX(0,MIN(1,M218))^2/(MAX(0,MIN(1,M218))^2+(1-MAX(0,MIN(1,M218)))^2/$B$5))-(MAX(0,MIN(1,1))^2/(MAX(0,MIN(1,1))^2+(1-MAX(0,MIN(1,1)))^2/$B$5))))</f>
        <v>0.979305415165904</v>
      </c>
      <c r="N219" s="16" t="n">
        <f aca="false">IF(ABS(N218-$B$11/$B$9*((MAX(0,MIN(1,N218))^2/(MAX(0,MIN(1,N218))^2+(1-MAX(0,MIN(1,N218)))^2/$B$5))-(MAX(0,MIN(1,M218))^2/(MAX(0,MIN(1,M218))^2+(1-MAX(0,MIN(1,M218)))^2/$B$5))))&lt;0.000000001,0,N218-$B$11/$B$9*((MAX(0,MIN(1,N218))^2/(MAX(0,MIN(1,N218))^2+(1-MAX(0,MIN(1,N218)))^2/$B$5))-(MAX(0,MIN(1,M218))^2/(MAX(0,MIN(1,M218))^2+(1-MAX(0,MIN(1,M218)))^2/$B$5))))</f>
        <v>0.967451026820933</v>
      </c>
      <c r="O219" s="16" t="n">
        <f aca="false">IF(ABS(O218-$B$11/$B$9*((MAX(0,MIN(1,O218))^2/(MAX(0,MIN(1,O218))^2+(1-MAX(0,MIN(1,O218)))^2/$B$5))-(MAX(0,MIN(1,N218))^2/(MAX(0,MIN(1,N218))^2+(1-MAX(0,MIN(1,N218)))^2/$B$5))))&lt;0.000000001,0,O218-$B$11/$B$9*((MAX(0,MIN(1,O218))^2/(MAX(0,MIN(1,O218))^2+(1-MAX(0,MIN(1,O218)))^2/$B$5))-(MAX(0,MIN(1,N218))^2/(MAX(0,MIN(1,N218))^2+(1-MAX(0,MIN(1,N218)))^2/$B$5))))</f>
        <v>0.957013406701278</v>
      </c>
      <c r="P219" s="16" t="n">
        <f aca="false">IF(ABS(P218-$B$11/$B$9*((MAX(0,MIN(1,P218))^2/(MAX(0,MIN(1,P218))^2+(1-MAX(0,MIN(1,P218)))^2/$B$5))-(MAX(0,MIN(1,O218))^2/(MAX(0,MIN(1,O218))^2+(1-MAX(0,MIN(1,O218)))^2/$B$5))))&lt;0.000000001,0,P218-$B$11/$B$9*((MAX(0,MIN(1,P218))^2/(MAX(0,MIN(1,P218))^2+(1-MAX(0,MIN(1,P218)))^2/$B$5))-(MAX(0,MIN(1,O218))^2/(MAX(0,MIN(1,O218))^2+(1-MAX(0,MIN(1,O218)))^2/$B$5))))</f>
        <v>0.947423864223664</v>
      </c>
      <c r="Q219" s="16" t="n">
        <f aca="false">IF(ABS(Q218-$B$11/$B$9*((MAX(0,MIN(1,Q218))^2/(MAX(0,MIN(1,Q218))^2+(1-MAX(0,MIN(1,Q218)))^2/$B$5))-(MAX(0,MIN(1,P218))^2/(MAX(0,MIN(1,P218))^2+(1-MAX(0,MIN(1,P218)))^2/$B$5))))&lt;0.000000001,0,Q218-$B$11/$B$9*((MAX(0,MIN(1,Q218))^2/(MAX(0,MIN(1,Q218))^2+(1-MAX(0,MIN(1,Q218)))^2/$B$5))-(MAX(0,MIN(1,P218))^2/(MAX(0,MIN(1,P218))^2+(1-MAX(0,MIN(1,P218)))^2/$B$5))))</f>
        <v>0.938459759297783</v>
      </c>
      <c r="R219" s="16" t="n">
        <f aca="false">IF(ABS(R218-$B$11/$B$9*((MAX(0,MIN(1,R218))^2/(MAX(0,MIN(1,R218))^2+(1-MAX(0,MIN(1,R218)))^2/$B$5))-(MAX(0,MIN(1,Q218))^2/(MAX(0,MIN(1,Q218))^2+(1-MAX(0,MIN(1,Q218)))^2/$B$5))))&lt;0.000000001,0,R218-$B$11/$B$9*((MAX(0,MIN(1,R218))^2/(MAX(0,MIN(1,R218))^2+(1-MAX(0,MIN(1,R218)))^2/$B$5))-(MAX(0,MIN(1,Q218))^2/(MAX(0,MIN(1,Q218))^2+(1-MAX(0,MIN(1,Q218)))^2/$B$5))))</f>
        <v>0.929999752576473</v>
      </c>
      <c r="S219" s="16" t="n">
        <f aca="false">IF(ABS(S218-$B$11/$B$9*((MAX(0,MIN(1,S218))^2/(MAX(0,MIN(1,S218))^2+(1-MAX(0,MIN(1,S218)))^2/$B$5))-(MAX(0,MIN(1,R218))^2/(MAX(0,MIN(1,R218))^2+(1-MAX(0,MIN(1,R218)))^2/$B$5))))&lt;0.000000001,0,S218-$B$11/$B$9*((MAX(0,MIN(1,S218))^2/(MAX(0,MIN(1,S218))^2+(1-MAX(0,MIN(1,S218)))^2/$B$5))-(MAX(0,MIN(1,R218))^2/(MAX(0,MIN(1,R218))^2+(1-MAX(0,MIN(1,R218)))^2/$B$5))))</f>
        <v>0.921965528253181</v>
      </c>
      <c r="T219" s="16" t="n">
        <f aca="false">IF(ABS(T218-$B$11/$B$9*((MAX(0,MIN(1,T218))^2/(MAX(0,MIN(1,T218))^2+(1-MAX(0,MIN(1,T218)))^2/$B$5))-(MAX(0,MIN(1,S218))^2/(MAX(0,MIN(1,S218))^2+(1-MAX(0,MIN(1,S218)))^2/$B$5))))&lt;0.000000001,0,T218-$B$11/$B$9*((MAX(0,MIN(1,T218))^2/(MAX(0,MIN(1,T218))^2+(1-MAX(0,MIN(1,T218)))^2/$B$5))-(MAX(0,MIN(1,S218))^2/(MAX(0,MIN(1,S218))^2+(1-MAX(0,MIN(1,S218)))^2/$B$5))))</f>
        <v>0.914301185590337</v>
      </c>
      <c r="U219" s="16" t="n">
        <f aca="false">IF(ABS(U218-$B$11/$B$9*((MAX(0,MIN(1,U218))^2/(MAX(0,MIN(1,U218))^2+(1-MAX(0,MIN(1,U218)))^2/$B$5))-(MAX(0,MIN(1,T218))^2/(MAX(0,MIN(1,T218))^2+(1-MAX(0,MIN(1,T218)))^2/$B$5))))&lt;0.000000001,0,U218-$B$11/$B$9*((MAX(0,MIN(1,U218))^2/(MAX(0,MIN(1,U218))^2+(1-MAX(0,MIN(1,U218)))^2/$B$5))-(MAX(0,MIN(1,T218))^2/(MAX(0,MIN(1,T218))^2+(1-MAX(0,MIN(1,T218)))^2/$B$5))))</f>
        <v>0.906964153926047</v>
      </c>
      <c r="V219" s="16" t="n">
        <f aca="false">IF(ABS(V218-$B$11/$B$9*((MAX(0,MIN(1,V218))^2/(MAX(0,MIN(1,V218))^2+(1-MAX(0,MIN(1,V218)))^2/$B$5))-(MAX(0,MIN(1,U218))^2/(MAX(0,MIN(1,U218))^2+(1-MAX(0,MIN(1,U218)))^2/$B$5))))&lt;0.000000001,0,V218-$B$11/$B$9*((MAX(0,MIN(1,V218))^2/(MAX(0,MIN(1,V218))^2+(1-MAX(0,MIN(1,V218)))^2/$B$5))-(MAX(0,MIN(1,U218))^2/(MAX(0,MIN(1,U218))^2+(1-MAX(0,MIN(1,U218)))^2/$B$5))))</f>
        <v>0.899920557110442</v>
      </c>
      <c r="W219" s="16" t="n">
        <f aca="false">IF(ABS(W218-$B$11/$B$9*((MAX(0,MIN(1,W218))^2/(MAX(0,MIN(1,W218))^2+(1-MAX(0,MIN(1,W218)))^2/$B$5))-(MAX(0,MIN(1,V218))^2/(MAX(0,MIN(1,V218))^2+(1-MAX(0,MIN(1,V218)))^2/$B$5))))&lt;0.000000001,0,W218-$B$11/$B$9*((MAX(0,MIN(1,W218))^2/(MAX(0,MIN(1,W218))^2+(1-MAX(0,MIN(1,W218)))^2/$B$5))-(MAX(0,MIN(1,V218))^2/(MAX(0,MIN(1,V218))^2+(1-MAX(0,MIN(1,V218)))^2/$B$5))))</f>
        <v>0.893142584624741</v>
      </c>
      <c r="X219" s="16" t="n">
        <f aca="false">IF(ABS(X218-$B$11/$B$9*((MAX(0,MIN(1,X218))^2/(MAX(0,MIN(1,X218))^2+(1-MAX(0,MIN(1,X218)))^2/$B$5))-(MAX(0,MIN(1,W218))^2/(MAX(0,MIN(1,W218))^2+(1-MAX(0,MIN(1,W218)))^2/$B$5))))&lt;0.000000001,0,X218-$B$11/$B$9*((MAX(0,MIN(1,X218))^2/(MAX(0,MIN(1,X218))^2+(1-MAX(0,MIN(1,X218)))^2/$B$5))-(MAX(0,MIN(1,W218))^2/(MAX(0,MIN(1,W218))^2+(1-MAX(0,MIN(1,W218)))^2/$B$5))))</f>
        <v>0.886606876193155</v>
      </c>
      <c r="Y219" s="16" t="n">
        <f aca="false">IF(ABS(Y218-$B$11/$B$9*((MAX(0,MIN(1,Y218))^2/(MAX(0,MIN(1,Y218))^2+(1-MAX(0,MIN(1,Y218)))^2/$B$5))-(MAX(0,MIN(1,X218))^2/(MAX(0,MIN(1,X218))^2+(1-MAX(0,MIN(1,X218)))^2/$B$5))))&lt;0.000000001,0,Y218-$B$11/$B$9*((MAX(0,MIN(1,Y218))^2/(MAX(0,MIN(1,Y218))^2+(1-MAX(0,MIN(1,Y218)))^2/$B$5))-(MAX(0,MIN(1,X218))^2/(MAX(0,MIN(1,X218))^2+(1-MAX(0,MIN(1,X218)))^2/$B$5))))</f>
        <v>0.880293464860751</v>
      </c>
      <c r="Z219" s="16" t="n">
        <f aca="false">IF(ABS(Z218-$B$11/$B$9*((MAX(0,MIN(1,Z218))^2/(MAX(0,MIN(1,Z218))^2+(1-MAX(0,MIN(1,Z218)))^2/$B$5))-(MAX(0,MIN(1,Y218))^2/(MAX(0,MIN(1,Y218))^2+(1-MAX(0,MIN(1,Y218)))^2/$B$5))))&lt;0.000000001,0,Z218-$B$11/$B$9*((MAX(0,MIN(1,Z218))^2/(MAX(0,MIN(1,Z218))^2+(1-MAX(0,MIN(1,Z218)))^2/$B$5))-(MAX(0,MIN(1,Y218))^2/(MAX(0,MIN(1,Y218))^2+(1-MAX(0,MIN(1,Y218)))^2/$B$5))))</f>
        <v>0.874185049938371</v>
      </c>
      <c r="AA219" s="16" t="n">
        <f aca="false">IF(ABS(AA218-$B$11/$B$9*((MAX(0,MIN(1,AA218))^2/(MAX(0,MIN(1,AA218))^2+(1-MAX(0,MIN(1,AA218)))^2/$B$5))-(MAX(0,MIN(1,Z218))^2/(MAX(0,MIN(1,Z218))^2+(1-MAX(0,MIN(1,Z218)))^2/$B$5))))&lt;0.000000001,0,AA218-$B$11/$B$9*((MAX(0,MIN(1,AA218))^2/(MAX(0,MIN(1,AA218))^2+(1-MAX(0,MIN(1,AA218)))^2/$B$5))-(MAX(0,MIN(1,Z218))^2/(MAX(0,MIN(1,Z218))^2+(1-MAX(0,MIN(1,Z218)))^2/$B$5))))</f>
        <v>0.868266476162177</v>
      </c>
      <c r="AB219" s="16" t="n">
        <f aca="false">IF(ABS(AB218-$B$11/$B$9*((MAX(0,MIN(1,AB218))^2/(MAX(0,MIN(1,AB218))^2+(1-MAX(0,MIN(1,AB218)))^2/$B$5))-(MAX(0,MIN(1,AA218))^2/(MAX(0,MIN(1,AA218))^2+(1-MAX(0,MIN(1,AA218)))^2/$B$5))))&lt;0.000000001,0,AB218-$B$11/$B$9*((MAX(0,MIN(1,AB218))^2/(MAX(0,MIN(1,AB218))^2+(1-MAX(0,MIN(1,AB218)))^2/$B$5))-(MAX(0,MIN(1,AA218))^2/(MAX(0,MIN(1,AA218))^2+(1-MAX(0,MIN(1,AA218)))^2/$B$5))))</f>
        <v>0.862524347986053</v>
      </c>
      <c r="AC219" s="16" t="n">
        <f aca="false">IF(ABS(AC218-$B$11/$B$9*((MAX(0,MIN(1,AC218))^2/(MAX(0,MIN(1,AC218))^2+(1-MAX(0,MIN(1,AC218)))^2/$B$5))-(MAX(0,MIN(1,AB218))^2/(MAX(0,MIN(1,AB218))^2+(1-MAX(0,MIN(1,AB218)))^2/$B$5))))&lt;0.000000001,0,AC218-$B$11/$B$9*((MAX(0,MIN(1,AC218))^2/(MAX(0,MIN(1,AC218))^2+(1-MAX(0,MIN(1,AC218)))^2/$B$5))-(MAX(0,MIN(1,AB218))^2/(MAX(0,MIN(1,AB218))^2+(1-MAX(0,MIN(1,AB218)))^2/$B$5))))</f>
        <v>0.85694673600296</v>
      </c>
      <c r="AD219" s="16" t="n">
        <f aca="false">IF(ABS(AD218-$B$11/$B$9*((MAX(0,MIN(1,AD218))^2/(MAX(0,MIN(1,AD218))^2+(1-MAX(0,MIN(1,AD218)))^2/$B$5))-(MAX(0,MIN(1,AC218))^2/(MAX(0,MIN(1,AC218))^2+(1-MAX(0,MIN(1,AC218)))^2/$B$5))))&lt;0.000000001,0,AD218-$B$11/$B$9*((MAX(0,MIN(1,AD218))^2/(MAX(0,MIN(1,AD218))^2+(1-MAX(0,MIN(1,AD218)))^2/$B$5))-(MAX(0,MIN(1,AC218))^2/(MAX(0,MIN(1,AC218))^2+(1-MAX(0,MIN(1,AC218)))^2/$B$5))))</f>
        <v>0.851522948320373</v>
      </c>
      <c r="AE219" s="16" t="n">
        <f aca="false">IF(ABS(AE218-$B$11/$B$9*((MAX(0,MIN(1,AE218))^2/(MAX(0,MIN(1,AE218))^2+(1-MAX(0,MIN(1,AE218)))^2/$B$5))-(MAX(0,MIN(1,AD218))^2/(MAX(0,MIN(1,AD218))^2+(1-MAX(0,MIN(1,AD218)))^2/$B$5))))&lt;0.000000001,0,AE218-$B$11/$B$9*((MAX(0,MIN(1,AE218))^2/(MAX(0,MIN(1,AE218))^2+(1-MAX(0,MIN(1,AE218)))^2/$B$5))-(MAX(0,MIN(1,AD218))^2/(MAX(0,MIN(1,AD218))^2+(1-MAX(0,MIN(1,AD218)))^2/$B$5))))</f>
        <v>0.846243349061375</v>
      </c>
      <c r="AF219" s="16" t="n">
        <f aca="false">IF(ABS(AF218-$B$11/$B$9*((MAX(0,MIN(1,AF218))^2/(MAX(0,MIN(1,AF218))^2+(1-MAX(0,MIN(1,AF218)))^2/$B$5))-(MAX(0,MIN(1,AE218))^2/(MAX(0,MIN(1,AE218))^2+(1-MAX(0,MIN(1,AE218)))^2/$B$5))))&lt;0.000000001,0,AF218-$B$11/$B$9*((MAX(0,MIN(1,AF218))^2/(MAX(0,MIN(1,AF218))^2+(1-MAX(0,MIN(1,AF218)))^2/$B$5))-(MAX(0,MIN(1,AE218))^2/(MAX(0,MIN(1,AE218))^2+(1-MAX(0,MIN(1,AE218)))^2/$B$5))))</f>
        <v>0.84109921190778</v>
      </c>
    </row>
    <row r="220" customFormat="false" ht="15" hidden="false" customHeight="false" outlineLevel="0" collapsed="false">
      <c r="L220" s="0" t="n">
        <v>210</v>
      </c>
      <c r="M220" s="16" t="n">
        <f aca="false">IF(ABS(M219-$B$11/$B$9*((MAX(0,MIN(1,M219))^2/(MAX(0,MIN(1,M219))^2+(1-MAX(0,MIN(1,M219)))^2/$B$5))-(MAX(0,MIN(1,1))^2/(MAX(0,MIN(1,1))^2+(1-MAX(0,MIN(1,1)))^2/$B$5))))&lt;0.000000001,0,M219-$B$11/$B$9*((MAX(0,MIN(1,M219))^2/(MAX(0,MIN(1,M219))^2+(1-MAX(0,MIN(1,M219)))^2/$B$5))-(MAX(0,MIN(1,1))^2/(MAX(0,MIN(1,1))^2+(1-MAX(0,MIN(1,1)))^2/$B$5))))</f>
        <v>0.979391253634948</v>
      </c>
      <c r="N220" s="16" t="n">
        <f aca="false">IF(ABS(N219-$B$11/$B$9*((MAX(0,MIN(1,N219))^2/(MAX(0,MIN(1,N219))^2+(1-MAX(0,MIN(1,N219)))^2/$B$5))-(MAX(0,MIN(1,M219))^2/(MAX(0,MIN(1,M219))^2+(1-MAX(0,MIN(1,M219)))^2/$B$5))))&lt;0.000000001,0,N219-$B$11/$B$9*((MAX(0,MIN(1,N219))^2/(MAX(0,MIN(1,N219))^2+(1-MAX(0,MIN(1,N219)))^2/$B$5))-(MAX(0,MIN(1,M219))^2/(MAX(0,MIN(1,M219))^2+(1-MAX(0,MIN(1,M219)))^2/$B$5))))</f>
        <v>0.967582695071005</v>
      </c>
      <c r="O220" s="16" t="n">
        <f aca="false">IF(ABS(O219-$B$11/$B$9*((MAX(0,MIN(1,O219))^2/(MAX(0,MIN(1,O219))^2+(1-MAX(0,MIN(1,O219)))^2/$B$5))-(MAX(0,MIN(1,N219))^2/(MAX(0,MIN(1,N219))^2+(1-MAX(0,MIN(1,N219)))^2/$B$5))))&lt;0.000000001,0,O219-$B$11/$B$9*((MAX(0,MIN(1,O219))^2/(MAX(0,MIN(1,O219))^2+(1-MAX(0,MIN(1,O219)))^2/$B$5))-(MAX(0,MIN(1,N219))^2/(MAX(0,MIN(1,N219))^2+(1-MAX(0,MIN(1,N219)))^2/$B$5))))</f>
        <v>0.957183419802161</v>
      </c>
      <c r="P220" s="16" t="n">
        <f aca="false">IF(ABS(P219-$B$11/$B$9*((MAX(0,MIN(1,P219))^2/(MAX(0,MIN(1,P219))^2+(1-MAX(0,MIN(1,P219)))^2/$B$5))-(MAX(0,MIN(1,O219))^2/(MAX(0,MIN(1,O219))^2+(1-MAX(0,MIN(1,O219)))^2/$B$5))))&lt;0.000000001,0,P219-$B$11/$B$9*((MAX(0,MIN(1,P219))^2/(MAX(0,MIN(1,P219))^2+(1-MAX(0,MIN(1,P219)))^2/$B$5))-(MAX(0,MIN(1,O219))^2/(MAX(0,MIN(1,O219))^2+(1-MAX(0,MIN(1,O219)))^2/$B$5))))</f>
        <v>0.947627527870629</v>
      </c>
      <c r="Q220" s="16" t="n">
        <f aca="false">IF(ABS(Q219-$B$11/$B$9*((MAX(0,MIN(1,Q219))^2/(MAX(0,MIN(1,Q219))^2+(1-MAX(0,MIN(1,Q219)))^2/$B$5))-(MAX(0,MIN(1,P219))^2/(MAX(0,MIN(1,P219))^2+(1-MAX(0,MIN(1,P219)))^2/$B$5))))&lt;0.000000001,0,Q219-$B$11/$B$9*((MAX(0,MIN(1,Q219))^2/(MAX(0,MIN(1,Q219))^2+(1-MAX(0,MIN(1,Q219)))^2/$B$5))-(MAX(0,MIN(1,P219))^2/(MAX(0,MIN(1,P219))^2+(1-MAX(0,MIN(1,P219)))^2/$B$5))))</f>
        <v>0.938693579912159</v>
      </c>
      <c r="R220" s="16" t="n">
        <f aca="false">IF(ABS(R219-$B$11/$B$9*((MAX(0,MIN(1,R219))^2/(MAX(0,MIN(1,R219))^2+(1-MAX(0,MIN(1,R219)))^2/$B$5))-(MAX(0,MIN(1,Q219))^2/(MAX(0,MIN(1,Q219))^2+(1-MAX(0,MIN(1,Q219)))^2/$B$5))))&lt;0.000000001,0,R219-$B$11/$B$9*((MAX(0,MIN(1,R219))^2/(MAX(0,MIN(1,R219))^2+(1-MAX(0,MIN(1,R219)))^2/$B$5))-(MAX(0,MIN(1,Q219))^2/(MAX(0,MIN(1,Q219))^2+(1-MAX(0,MIN(1,Q219)))^2/$B$5))))</f>
        <v>0.930260940960232</v>
      </c>
      <c r="S220" s="16" t="n">
        <f aca="false">IF(ABS(S219-$B$11/$B$9*((MAX(0,MIN(1,S219))^2/(MAX(0,MIN(1,S219))^2+(1-MAX(0,MIN(1,S219)))^2/$B$5))-(MAX(0,MIN(1,R219))^2/(MAX(0,MIN(1,R219))^2+(1-MAX(0,MIN(1,R219)))^2/$B$5))))&lt;0.000000001,0,S219-$B$11/$B$9*((MAX(0,MIN(1,S219))^2/(MAX(0,MIN(1,S219))^2+(1-MAX(0,MIN(1,S219)))^2/$B$5))-(MAX(0,MIN(1,R219))^2/(MAX(0,MIN(1,R219))^2+(1-MAX(0,MIN(1,R219)))^2/$B$5))))</f>
        <v>0.922251773360233</v>
      </c>
      <c r="T220" s="16" t="n">
        <f aca="false">IF(ABS(T219-$B$11/$B$9*((MAX(0,MIN(1,T219))^2/(MAX(0,MIN(1,T219))^2+(1-MAX(0,MIN(1,T219)))^2/$B$5))-(MAX(0,MIN(1,S219))^2/(MAX(0,MIN(1,S219))^2+(1-MAX(0,MIN(1,S219)))^2/$B$5))))&lt;0.000000001,0,T219-$B$11/$B$9*((MAX(0,MIN(1,T219))^2/(MAX(0,MIN(1,T219))^2+(1-MAX(0,MIN(1,T219)))^2/$B$5))-(MAX(0,MIN(1,S219))^2/(MAX(0,MIN(1,S219))^2+(1-MAX(0,MIN(1,S219)))^2/$B$5))))</f>
        <v>0.914610528349964</v>
      </c>
      <c r="U220" s="16" t="n">
        <f aca="false">IF(ABS(U219-$B$11/$B$9*((MAX(0,MIN(1,U219))^2/(MAX(0,MIN(1,U219))^2+(1-MAX(0,MIN(1,U219)))^2/$B$5))-(MAX(0,MIN(1,T219))^2/(MAX(0,MIN(1,T219))^2+(1-MAX(0,MIN(1,T219)))^2/$B$5))))&lt;0.000000001,0,U219-$B$11/$B$9*((MAX(0,MIN(1,U219))^2/(MAX(0,MIN(1,U219))^2+(1-MAX(0,MIN(1,U219)))^2/$B$5))-(MAX(0,MIN(1,T219))^2/(MAX(0,MIN(1,T219))^2+(1-MAX(0,MIN(1,T219)))^2/$B$5))))</f>
        <v>0.907294907587288</v>
      </c>
      <c r="V220" s="16" t="n">
        <f aca="false">IF(ABS(V219-$B$11/$B$9*((MAX(0,MIN(1,V219))^2/(MAX(0,MIN(1,V219))^2+(1-MAX(0,MIN(1,V219)))^2/$B$5))-(MAX(0,MIN(1,U219))^2/(MAX(0,MIN(1,U219))^2+(1-MAX(0,MIN(1,U219)))^2/$B$5))))&lt;0.000000001,0,V219-$B$11/$B$9*((MAX(0,MIN(1,V219))^2/(MAX(0,MIN(1,V219))^2+(1-MAX(0,MIN(1,V219)))^2/$B$5))-(MAX(0,MIN(1,U219))^2/(MAX(0,MIN(1,U219))^2+(1-MAX(0,MIN(1,U219)))^2/$B$5))))</f>
        <v>0.900271252695583</v>
      </c>
      <c r="W220" s="16" t="n">
        <f aca="false">IF(ABS(W219-$B$11/$B$9*((MAX(0,MIN(1,W219))^2/(MAX(0,MIN(1,W219))^2+(1-MAX(0,MIN(1,W219)))^2/$B$5))-(MAX(0,MIN(1,V219))^2/(MAX(0,MIN(1,V219))^2+(1-MAX(0,MIN(1,V219)))^2/$B$5))))&lt;0.000000001,0,W219-$B$11/$B$9*((MAX(0,MIN(1,W219))^2/(MAX(0,MIN(1,W219))^2+(1-MAX(0,MIN(1,W219)))^2/$B$5))-(MAX(0,MIN(1,V219))^2/(MAX(0,MIN(1,V219))^2+(1-MAX(0,MIN(1,V219)))^2/$B$5))))</f>
        <v>0.893511931430003</v>
      </c>
      <c r="X220" s="16" t="n">
        <f aca="false">IF(ABS(X219-$B$11/$B$9*((MAX(0,MIN(1,X219))^2/(MAX(0,MIN(1,X219))^2+(1-MAX(0,MIN(1,X219)))^2/$B$5))-(MAX(0,MIN(1,W219))^2/(MAX(0,MIN(1,W219))^2+(1-MAX(0,MIN(1,W219)))^2/$B$5))))&lt;0.000000001,0,X219-$B$11/$B$9*((MAX(0,MIN(1,X219))^2/(MAX(0,MIN(1,X219))^2+(1-MAX(0,MIN(1,X219)))^2/$B$5))-(MAX(0,MIN(1,W219))^2/(MAX(0,MIN(1,W219))^2+(1-MAX(0,MIN(1,W219)))^2/$B$5))))</f>
        <v>0.886993732020225</v>
      </c>
      <c r="Y220" s="16" t="n">
        <f aca="false">IF(ABS(Y219-$B$11/$B$9*((MAX(0,MIN(1,Y219))^2/(MAX(0,MIN(1,Y219))^2+(1-MAX(0,MIN(1,Y219)))^2/$B$5))-(MAX(0,MIN(1,X219))^2/(MAX(0,MIN(1,X219))^2+(1-MAX(0,MIN(1,X219)))^2/$B$5))))&lt;0.000000001,0,Y219-$B$11/$B$9*((MAX(0,MIN(1,Y219))^2/(MAX(0,MIN(1,Y219))^2+(1-MAX(0,MIN(1,Y219)))^2/$B$5))-(MAX(0,MIN(1,X219))^2/(MAX(0,MIN(1,X219))^2+(1-MAX(0,MIN(1,X219)))^2/$B$5))))</f>
        <v>0.880696812908911</v>
      </c>
      <c r="Z220" s="16" t="n">
        <f aca="false">IF(ABS(Z219-$B$11/$B$9*((MAX(0,MIN(1,Z219))^2/(MAX(0,MIN(1,Z219))^2+(1-MAX(0,MIN(1,Z219)))^2/$B$5))-(MAX(0,MIN(1,Y219))^2/(MAX(0,MIN(1,Y219))^2+(1-MAX(0,MIN(1,Y219)))^2/$B$5))))&lt;0.000000001,0,Z219-$B$11/$B$9*((MAX(0,MIN(1,Z219))^2/(MAX(0,MIN(1,Z219))^2+(1-MAX(0,MIN(1,Z219)))^2/$B$5))-(MAX(0,MIN(1,Y219))^2/(MAX(0,MIN(1,Y219))^2+(1-MAX(0,MIN(1,Y219)))^2/$B$5))))</f>
        <v>0.87460398045719</v>
      </c>
      <c r="AA220" s="16" t="n">
        <f aca="false">IF(ABS(AA219-$B$11/$B$9*((MAX(0,MIN(1,AA219))^2/(MAX(0,MIN(1,AA219))^2+(1-MAX(0,MIN(1,AA219)))^2/$B$5))-(MAX(0,MIN(1,Z219))^2/(MAX(0,MIN(1,Z219))^2+(1-MAX(0,MIN(1,Z219)))^2/$B$5))))&lt;0.000000001,0,AA219-$B$11/$B$9*((MAX(0,MIN(1,AA219))^2/(MAX(0,MIN(1,AA219))^2+(1-MAX(0,MIN(1,AA219)))^2/$B$5))-(MAX(0,MIN(1,Z219))^2/(MAX(0,MIN(1,Z219))^2+(1-MAX(0,MIN(1,Z219)))^2/$B$5))))</f>
        <v>0.868700171622893</v>
      </c>
      <c r="AB220" s="16" t="n">
        <f aca="false">IF(ABS(AB219-$B$11/$B$9*((MAX(0,MIN(1,AB219))^2/(MAX(0,MIN(1,AB219))^2+(1-MAX(0,MIN(1,AB219)))^2/$B$5))-(MAX(0,MIN(1,AA219))^2/(MAX(0,MIN(1,AA219))^2+(1-MAX(0,MIN(1,AA219)))^2/$B$5))))&lt;0.000000001,0,AB219-$B$11/$B$9*((MAX(0,MIN(1,AB219))^2/(MAX(0,MIN(1,AB219))^2+(1-MAX(0,MIN(1,AB219)))^2/$B$5))-(MAX(0,MIN(1,AA219))^2/(MAX(0,MIN(1,AA219))^2+(1-MAX(0,MIN(1,AA219)))^2/$B$5))))</f>
        <v>0.862972070923747</v>
      </c>
      <c r="AC220" s="16" t="n">
        <f aca="false">IF(ABS(AC219-$B$11/$B$9*((MAX(0,MIN(1,AC219))^2/(MAX(0,MIN(1,AC219))^2+(1-MAX(0,MIN(1,AC219)))^2/$B$5))-(MAX(0,MIN(1,AB219))^2/(MAX(0,MIN(1,AB219))^2+(1-MAX(0,MIN(1,AB219)))^2/$B$5))))&lt;0.000000001,0,AC219-$B$11/$B$9*((MAX(0,MIN(1,AC219))^2/(MAX(0,MIN(1,AC219))^2+(1-MAX(0,MIN(1,AC219)))^2/$B$5))-(MAX(0,MIN(1,AB219))^2/(MAX(0,MIN(1,AB219))^2+(1-MAX(0,MIN(1,AB219)))^2/$B$5))))</f>
        <v>0.857407818929771</v>
      </c>
      <c r="AD220" s="16" t="n">
        <f aca="false">IF(ABS(AD219-$B$11/$B$9*((MAX(0,MIN(1,AD219))^2/(MAX(0,MIN(1,AD219))^2+(1-MAX(0,MIN(1,AD219)))^2/$B$5))-(MAX(0,MIN(1,AC219))^2/(MAX(0,MIN(1,AC219))^2+(1-MAX(0,MIN(1,AC219)))^2/$B$5))))&lt;0.000000001,0,AD219-$B$11/$B$9*((MAX(0,MIN(1,AD219))^2/(MAX(0,MIN(1,AD219))^2+(1-MAX(0,MIN(1,AD219)))^2/$B$5))-(MAX(0,MIN(1,AC219))^2/(MAX(0,MIN(1,AC219))^2+(1-MAX(0,MIN(1,AC219)))^2/$B$5))))</f>
        <v>0.851996785273139</v>
      </c>
      <c r="AE220" s="16" t="n">
        <f aca="false">IF(ABS(AE219-$B$11/$B$9*((MAX(0,MIN(1,AE219))^2/(MAX(0,MIN(1,AE219))^2+(1-MAX(0,MIN(1,AE219)))^2/$B$5))-(MAX(0,MIN(1,AD219))^2/(MAX(0,MIN(1,AD219))^2+(1-MAX(0,MIN(1,AD219)))^2/$B$5))))&lt;0.000000001,0,AE219-$B$11/$B$9*((MAX(0,MIN(1,AE219))^2/(MAX(0,MIN(1,AE219))^2+(1-MAX(0,MIN(1,AE219)))^2/$B$5))-(MAX(0,MIN(1,AD219))^2/(MAX(0,MIN(1,AD219))^2+(1-MAX(0,MIN(1,AD219)))^2/$B$5))))</f>
        <v>0.846729388458138</v>
      </c>
      <c r="AF220" s="16" t="n">
        <f aca="false">IF(ABS(AF219-$B$11/$B$9*((MAX(0,MIN(1,AF219))^2/(MAX(0,MIN(1,AF219))^2+(1-MAX(0,MIN(1,AF219)))^2/$B$5))-(MAX(0,MIN(1,AE219))^2/(MAX(0,MIN(1,AE219))^2+(1-MAX(0,MIN(1,AE219)))^2/$B$5))))&lt;0.000000001,0,AF219-$B$11/$B$9*((MAX(0,MIN(1,AF219))^2/(MAX(0,MIN(1,AF219))^2+(1-MAX(0,MIN(1,AF219)))^2/$B$5))-(MAX(0,MIN(1,AE219))^2/(MAX(0,MIN(1,AE219))^2+(1-MAX(0,MIN(1,AE219)))^2/$B$5))))</f>
        <v>0.841596950465557</v>
      </c>
    </row>
    <row r="221" customFormat="false" ht="15" hidden="false" customHeight="false" outlineLevel="0" collapsed="false">
      <c r="L221" s="0" t="n">
        <v>211</v>
      </c>
      <c r="M221" s="16" t="n">
        <f aca="false">IF(ABS(M220-$B$11/$B$9*((MAX(0,MIN(1,M220))^2/(MAX(0,MIN(1,M220))^2+(1-MAX(0,MIN(1,M220)))^2/$B$5))-(MAX(0,MIN(1,1))^2/(MAX(0,MIN(1,1))^2+(1-MAX(0,MIN(1,1)))^2/$B$5))))&lt;0.000000001,0,M220-$B$11/$B$9*((MAX(0,MIN(1,M220))^2/(MAX(0,MIN(1,M220))^2+(1-MAX(0,MIN(1,M220)))^2/$B$5))-(MAX(0,MIN(1,1))^2/(MAX(0,MIN(1,1))^2+(1-MAX(0,MIN(1,1)))^2/$B$5))))</f>
        <v>0.979476366726262</v>
      </c>
      <c r="N221" s="16" t="n">
        <f aca="false">IF(ABS(N220-$B$11/$B$9*((MAX(0,MIN(1,N220))^2/(MAX(0,MIN(1,N220))^2+(1-MAX(0,MIN(1,N220)))^2/$B$5))-(MAX(0,MIN(1,M220))^2/(MAX(0,MIN(1,M220))^2+(1-MAX(0,MIN(1,M220)))^2/$B$5))))&lt;0.000000001,0,N220-$B$11/$B$9*((MAX(0,MIN(1,N220))^2/(MAX(0,MIN(1,N220))^2+(1-MAX(0,MIN(1,N220)))^2/$B$5))-(MAX(0,MIN(1,M220))^2/(MAX(0,MIN(1,M220))^2+(1-MAX(0,MIN(1,M220)))^2/$B$5))))</f>
        <v>0.967713274829942</v>
      </c>
      <c r="O221" s="16" t="n">
        <f aca="false">IF(ABS(O220-$B$11/$B$9*((MAX(0,MIN(1,O220))^2/(MAX(0,MIN(1,O220))^2+(1-MAX(0,MIN(1,O220)))^2/$B$5))-(MAX(0,MIN(1,N220))^2/(MAX(0,MIN(1,N220))^2+(1-MAX(0,MIN(1,N220)))^2/$B$5))))&lt;0.000000001,0,O220-$B$11/$B$9*((MAX(0,MIN(1,O220))^2/(MAX(0,MIN(1,O220))^2+(1-MAX(0,MIN(1,O220)))^2/$B$5))-(MAX(0,MIN(1,N220))^2/(MAX(0,MIN(1,N220))^2+(1-MAX(0,MIN(1,N220)))^2/$B$5))))</f>
        <v>0.957352054163452</v>
      </c>
      <c r="P221" s="16" t="n">
        <f aca="false">IF(ABS(P220-$B$11/$B$9*((MAX(0,MIN(1,P220))^2/(MAX(0,MIN(1,P220))^2+(1-MAX(0,MIN(1,P220)))^2/$B$5))-(MAX(0,MIN(1,O220))^2/(MAX(0,MIN(1,O220))^2+(1-MAX(0,MIN(1,O220)))^2/$B$5))))&lt;0.000000001,0,P220-$B$11/$B$9*((MAX(0,MIN(1,P220))^2/(MAX(0,MIN(1,P220))^2+(1-MAX(0,MIN(1,P220)))^2/$B$5))-(MAX(0,MIN(1,O220))^2/(MAX(0,MIN(1,O220))^2+(1-MAX(0,MIN(1,O220)))^2/$B$5))))</f>
        <v>0.947829568107548</v>
      </c>
      <c r="Q221" s="16" t="n">
        <f aca="false">IF(ABS(Q220-$B$11/$B$9*((MAX(0,MIN(1,Q220))^2/(MAX(0,MIN(1,Q220))^2+(1-MAX(0,MIN(1,Q220)))^2/$B$5))-(MAX(0,MIN(1,P220))^2/(MAX(0,MIN(1,P220))^2+(1-MAX(0,MIN(1,P220)))^2/$B$5))))&lt;0.000000001,0,Q220-$B$11/$B$9*((MAX(0,MIN(1,Q220))^2/(MAX(0,MIN(1,Q220))^2+(1-MAX(0,MIN(1,Q220)))^2/$B$5))-(MAX(0,MIN(1,P220))^2/(MAX(0,MIN(1,P220))^2+(1-MAX(0,MIN(1,P220)))^2/$B$5))))</f>
        <v>0.93892556563936</v>
      </c>
      <c r="R221" s="16" t="n">
        <f aca="false">IF(ABS(R220-$B$11/$B$9*((MAX(0,MIN(1,R220))^2/(MAX(0,MIN(1,R220))^2+(1-MAX(0,MIN(1,R220)))^2/$B$5))-(MAX(0,MIN(1,Q220))^2/(MAX(0,MIN(1,Q220))^2+(1-MAX(0,MIN(1,Q220)))^2/$B$5))))&lt;0.000000001,0,R220-$B$11/$B$9*((MAX(0,MIN(1,R220))^2/(MAX(0,MIN(1,R220))^2+(1-MAX(0,MIN(1,R220)))^2/$B$5))-(MAX(0,MIN(1,Q220))^2/(MAX(0,MIN(1,Q220))^2+(1-MAX(0,MIN(1,Q220)))^2/$B$5))))</f>
        <v>0.930520108719118</v>
      </c>
      <c r="S221" s="16" t="n">
        <f aca="false">IF(ABS(S220-$B$11/$B$9*((MAX(0,MIN(1,S220))^2/(MAX(0,MIN(1,S220))^2+(1-MAX(0,MIN(1,S220)))^2/$B$5))-(MAX(0,MIN(1,R220))^2/(MAX(0,MIN(1,R220))^2+(1-MAX(0,MIN(1,R220)))^2/$B$5))))&lt;0.000000001,0,S220-$B$11/$B$9*((MAX(0,MIN(1,S220))^2/(MAX(0,MIN(1,S220))^2+(1-MAX(0,MIN(1,S220)))^2/$B$5))-(MAX(0,MIN(1,R220))^2/(MAX(0,MIN(1,R220))^2+(1-MAX(0,MIN(1,R220)))^2/$B$5))))</f>
        <v>0.922535832753509</v>
      </c>
      <c r="T221" s="16" t="n">
        <f aca="false">IF(ABS(T220-$B$11/$B$9*((MAX(0,MIN(1,T220))^2/(MAX(0,MIN(1,T220))^2+(1-MAX(0,MIN(1,T220)))^2/$B$5))-(MAX(0,MIN(1,S220))^2/(MAX(0,MIN(1,S220))^2+(1-MAX(0,MIN(1,S220)))^2/$B$5))))&lt;0.000000001,0,T220-$B$11/$B$9*((MAX(0,MIN(1,T220))^2/(MAX(0,MIN(1,T220))^2+(1-MAX(0,MIN(1,T220)))^2/$B$5))-(MAX(0,MIN(1,S220))^2/(MAX(0,MIN(1,S220))^2+(1-MAX(0,MIN(1,S220)))^2/$B$5))))</f>
        <v>0.914917537232039</v>
      </c>
      <c r="U221" s="16" t="n">
        <f aca="false">IF(ABS(U220-$B$11/$B$9*((MAX(0,MIN(1,U220))^2/(MAX(0,MIN(1,U220))^2+(1-MAX(0,MIN(1,U220)))^2/$B$5))-(MAX(0,MIN(1,T220))^2/(MAX(0,MIN(1,T220))^2+(1-MAX(0,MIN(1,T220)))^2/$B$5))))&lt;0.000000001,0,U220-$B$11/$B$9*((MAX(0,MIN(1,U220))^2/(MAX(0,MIN(1,U220))^2+(1-MAX(0,MIN(1,U220)))^2/$B$5))-(MAX(0,MIN(1,T220))^2/(MAX(0,MIN(1,T220))^2+(1-MAX(0,MIN(1,T220)))^2/$B$5))))</f>
        <v>0.907623193291022</v>
      </c>
      <c r="V221" s="16" t="n">
        <f aca="false">IF(ABS(V220-$B$11/$B$9*((MAX(0,MIN(1,V220))^2/(MAX(0,MIN(1,V220))^2+(1-MAX(0,MIN(1,V220)))^2/$B$5))-(MAX(0,MIN(1,U220))^2/(MAX(0,MIN(1,U220))^2+(1-MAX(0,MIN(1,U220)))^2/$B$5))))&lt;0.000000001,0,V220-$B$11/$B$9*((MAX(0,MIN(1,V220))^2/(MAX(0,MIN(1,V220))^2+(1-MAX(0,MIN(1,V220)))^2/$B$5))-(MAX(0,MIN(1,U220))^2/(MAX(0,MIN(1,U220))^2+(1-MAX(0,MIN(1,U220)))^2/$B$5))))</f>
        <v>0.900619358096216</v>
      </c>
      <c r="W221" s="16" t="n">
        <f aca="false">IF(ABS(W220-$B$11/$B$9*((MAX(0,MIN(1,W220))^2/(MAX(0,MIN(1,W220))^2+(1-MAX(0,MIN(1,W220)))^2/$B$5))-(MAX(0,MIN(1,V220))^2/(MAX(0,MIN(1,V220))^2+(1-MAX(0,MIN(1,V220)))^2/$B$5))))&lt;0.000000001,0,W220-$B$11/$B$9*((MAX(0,MIN(1,W220))^2/(MAX(0,MIN(1,W220))^2+(1-MAX(0,MIN(1,W220)))^2/$B$5))-(MAX(0,MIN(1,V220))^2/(MAX(0,MIN(1,V220))^2+(1-MAX(0,MIN(1,V220)))^2/$B$5))))</f>
        <v>0.893878575888352</v>
      </c>
      <c r="X221" s="16" t="n">
        <f aca="false">IF(ABS(X220-$B$11/$B$9*((MAX(0,MIN(1,X220))^2/(MAX(0,MIN(1,X220))^2+(1-MAX(0,MIN(1,X220)))^2/$B$5))-(MAX(0,MIN(1,W220))^2/(MAX(0,MIN(1,W220))^2+(1-MAX(0,MIN(1,W220)))^2/$B$5))))&lt;0.000000001,0,X220-$B$11/$B$9*((MAX(0,MIN(1,X220))^2/(MAX(0,MIN(1,X220))^2+(1-MAX(0,MIN(1,X220)))^2/$B$5))-(MAX(0,MIN(1,W220))^2/(MAX(0,MIN(1,W220))^2+(1-MAX(0,MIN(1,W220)))^2/$B$5))))</f>
        <v>0.887377781945807</v>
      </c>
      <c r="Y221" s="16" t="n">
        <f aca="false">IF(ABS(Y220-$B$11/$B$9*((MAX(0,MIN(1,Y220))^2/(MAX(0,MIN(1,Y220))^2+(1-MAX(0,MIN(1,Y220)))^2/$B$5))-(MAX(0,MIN(1,X220))^2/(MAX(0,MIN(1,X220))^2+(1-MAX(0,MIN(1,X220)))^2/$B$5))))&lt;0.000000001,0,Y220-$B$11/$B$9*((MAX(0,MIN(1,Y220))^2/(MAX(0,MIN(1,Y220))^2+(1-MAX(0,MIN(1,Y220)))^2/$B$5))-(MAX(0,MIN(1,X220))^2/(MAX(0,MIN(1,X220))^2+(1-MAX(0,MIN(1,X220)))^2/$B$5))))</f>
        <v>0.88109725890677</v>
      </c>
      <c r="Z221" s="16" t="n">
        <f aca="false">IF(ABS(Z220-$B$11/$B$9*((MAX(0,MIN(1,Z220))^2/(MAX(0,MIN(1,Z220))^2+(1-MAX(0,MIN(1,Z220)))^2/$B$5))-(MAX(0,MIN(1,Y220))^2/(MAX(0,MIN(1,Y220))^2+(1-MAX(0,MIN(1,Y220)))^2/$B$5))))&lt;0.000000001,0,Z220-$B$11/$B$9*((MAX(0,MIN(1,Z220))^2/(MAX(0,MIN(1,Z220))^2+(1-MAX(0,MIN(1,Z220)))^2/$B$5))-(MAX(0,MIN(1,Y220))^2/(MAX(0,MIN(1,Y220))^2+(1-MAX(0,MIN(1,Y220)))^2/$B$5))))</f>
        <v>0.875019919179984</v>
      </c>
      <c r="AA221" s="16" t="n">
        <f aca="false">IF(ABS(AA220-$B$11/$B$9*((MAX(0,MIN(1,AA220))^2/(MAX(0,MIN(1,AA220))^2+(1-MAX(0,MIN(1,AA220)))^2/$B$5))-(MAX(0,MIN(1,Z220))^2/(MAX(0,MIN(1,Z220))^2+(1-MAX(0,MIN(1,Z220)))^2/$B$5))))&lt;0.000000001,0,AA220-$B$11/$B$9*((MAX(0,MIN(1,AA220))^2/(MAX(0,MIN(1,AA220))^2+(1-MAX(0,MIN(1,AA220)))^2/$B$5))-(MAX(0,MIN(1,Z220))^2/(MAX(0,MIN(1,Z220))^2+(1-MAX(0,MIN(1,Z220)))^2/$B$5))))</f>
        <v>0.869130791100821</v>
      </c>
      <c r="AB221" s="16" t="n">
        <f aca="false">IF(ABS(AB220-$B$11/$B$9*((MAX(0,MIN(1,AB220))^2/(MAX(0,MIN(1,AB220))^2+(1-MAX(0,MIN(1,AB220)))^2/$B$5))-(MAX(0,MIN(1,AA220))^2/(MAX(0,MIN(1,AA220))^2+(1-MAX(0,MIN(1,AA220)))^2/$B$5))))&lt;0.000000001,0,AB220-$B$11/$B$9*((MAX(0,MIN(1,AB220))^2/(MAX(0,MIN(1,AB220))^2+(1-MAX(0,MIN(1,AB220)))^2/$B$5))-(MAX(0,MIN(1,AA220))^2/(MAX(0,MIN(1,AA220))^2+(1-MAX(0,MIN(1,AA220)))^2/$B$5))))</f>
        <v>0.86341663853435</v>
      </c>
      <c r="AC221" s="16" t="n">
        <f aca="false">IF(ABS(AC220-$B$11/$B$9*((MAX(0,MIN(1,AC220))^2/(MAX(0,MIN(1,AC220))^2+(1-MAX(0,MIN(1,AC220)))^2/$B$5))-(MAX(0,MIN(1,AB220))^2/(MAX(0,MIN(1,AB220))^2+(1-MAX(0,MIN(1,AB220)))^2/$B$5))))&lt;0.000000001,0,AC220-$B$11/$B$9*((MAX(0,MIN(1,AC220))^2/(MAX(0,MIN(1,AC220))^2+(1-MAX(0,MIN(1,AC220)))^2/$B$5))-(MAX(0,MIN(1,AB220))^2/(MAX(0,MIN(1,AB220))^2+(1-MAX(0,MIN(1,AB220)))^2/$B$5))))</f>
        <v>0.857865671415008</v>
      </c>
      <c r="AD221" s="16" t="n">
        <f aca="false">IF(ABS(AD220-$B$11/$B$9*((MAX(0,MIN(1,AD220))^2/(MAX(0,MIN(1,AD220))^2+(1-MAX(0,MIN(1,AD220)))^2/$B$5))-(MAX(0,MIN(1,AC220))^2/(MAX(0,MIN(1,AC220))^2+(1-MAX(0,MIN(1,AC220)))^2/$B$5))))&lt;0.000000001,0,AD220-$B$11/$B$9*((MAX(0,MIN(1,AD220))^2/(MAX(0,MIN(1,AD220))^2+(1-MAX(0,MIN(1,AD220)))^2/$B$5))-(MAX(0,MIN(1,AC220))^2/(MAX(0,MIN(1,AC220))^2+(1-MAX(0,MIN(1,AC220)))^2/$B$5))))</f>
        <v>0.852467320372304</v>
      </c>
      <c r="AE221" s="16" t="n">
        <f aca="false">IF(ABS(AE220-$B$11/$B$9*((MAX(0,MIN(1,AE220))^2/(MAX(0,MIN(1,AE220))^2+(1-MAX(0,MIN(1,AE220)))^2/$B$5))-(MAX(0,MIN(1,AD220))^2/(MAX(0,MIN(1,AD220))^2+(1-MAX(0,MIN(1,AD220)))^2/$B$5))))&lt;0.000000001,0,AE220-$B$11/$B$9*((MAX(0,MIN(1,AE220))^2/(MAX(0,MIN(1,AE220))^2+(1-MAX(0,MIN(1,AE220)))^2/$B$5))-(MAX(0,MIN(1,AD220))^2/(MAX(0,MIN(1,AD220))^2+(1-MAX(0,MIN(1,AD220)))^2/$B$5))))</f>
        <v>0.847212057834955</v>
      </c>
      <c r="AF221" s="16" t="n">
        <f aca="false">IF(ABS(AF220-$B$11/$B$9*((MAX(0,MIN(1,AF220))^2/(MAX(0,MIN(1,AF220))^2+(1-MAX(0,MIN(1,AF220)))^2/$B$5))-(MAX(0,MIN(1,AE220))^2/(MAX(0,MIN(1,AE220))^2+(1-MAX(0,MIN(1,AE220)))^2/$B$5))))&lt;0.000000001,0,AF220-$B$11/$B$9*((MAX(0,MIN(1,AF220))^2/(MAX(0,MIN(1,AF220))^2+(1-MAX(0,MIN(1,AF220)))^2/$B$5))-(MAX(0,MIN(1,AE220))^2/(MAX(0,MIN(1,AE220))^2+(1-MAX(0,MIN(1,AE220)))^2/$B$5))))</f>
        <v>0.842091253684772</v>
      </c>
    </row>
    <row r="222" customFormat="false" ht="15" hidden="false" customHeight="false" outlineLevel="0" collapsed="false">
      <c r="L222" s="0" t="n">
        <v>212</v>
      </c>
      <c r="M222" s="16" t="n">
        <f aca="false">IF(ABS(M221-$B$11/$B$9*((MAX(0,MIN(1,M221))^2/(MAX(0,MIN(1,M221))^2+(1-MAX(0,MIN(1,M221)))^2/$B$5))-(MAX(0,MIN(1,1))^2/(MAX(0,MIN(1,1))^2+(1-MAX(0,MIN(1,1)))^2/$B$5))))&lt;0.000000001,0,M221-$B$11/$B$9*((MAX(0,MIN(1,M221))^2/(MAX(0,MIN(1,M221))^2+(1-MAX(0,MIN(1,M221)))^2/$B$5))-(MAX(0,MIN(1,1))^2/(MAX(0,MIN(1,1))^2+(1-MAX(0,MIN(1,1)))^2/$B$5))))</f>
        <v>0.979560763731394</v>
      </c>
      <c r="N222" s="16" t="n">
        <f aca="false">IF(ABS(N221-$B$11/$B$9*((MAX(0,MIN(1,N221))^2/(MAX(0,MIN(1,N221))^2+(1-MAX(0,MIN(1,N221)))^2/$B$5))-(MAX(0,MIN(1,M221))^2/(MAX(0,MIN(1,M221))^2+(1-MAX(0,MIN(1,M221)))^2/$B$5))))&lt;0.000000001,0,N221-$B$11/$B$9*((MAX(0,MIN(1,N221))^2/(MAX(0,MIN(1,N221))^2+(1-MAX(0,MIN(1,N221)))^2/$B$5))-(MAX(0,MIN(1,M221))^2/(MAX(0,MIN(1,M221))^2+(1-MAX(0,MIN(1,M221)))^2/$B$5))))</f>
        <v>0.967842779774228</v>
      </c>
      <c r="O222" s="16" t="n">
        <f aca="false">IF(ABS(O221-$B$11/$B$9*((MAX(0,MIN(1,O221))^2/(MAX(0,MIN(1,O221))^2+(1-MAX(0,MIN(1,O221)))^2/$B$5))-(MAX(0,MIN(1,N221))^2/(MAX(0,MIN(1,N221))^2+(1-MAX(0,MIN(1,N221)))^2/$B$5))))&lt;0.000000001,0,O221-$B$11/$B$9*((MAX(0,MIN(1,O221))^2/(MAX(0,MIN(1,O221))^2+(1-MAX(0,MIN(1,O221)))^2/$B$5))-(MAX(0,MIN(1,N221))^2/(MAX(0,MIN(1,N221))^2+(1-MAX(0,MIN(1,N221)))^2/$B$5))))</f>
        <v>0.957519326827724</v>
      </c>
      <c r="P222" s="16" t="n">
        <f aca="false">IF(ABS(P221-$B$11/$B$9*((MAX(0,MIN(1,P221))^2/(MAX(0,MIN(1,P221))^2+(1-MAX(0,MIN(1,P221)))^2/$B$5))-(MAX(0,MIN(1,O221))^2/(MAX(0,MIN(1,O221))^2+(1-MAX(0,MIN(1,O221)))^2/$B$5))))&lt;0.000000001,0,P221-$B$11/$B$9*((MAX(0,MIN(1,P221))^2/(MAX(0,MIN(1,P221))^2+(1-MAX(0,MIN(1,P221)))^2/$B$5))-(MAX(0,MIN(1,O221))^2/(MAX(0,MIN(1,O221))^2+(1-MAX(0,MIN(1,O221)))^2/$B$5))))</f>
        <v>0.948030004718276</v>
      </c>
      <c r="Q222" s="16" t="n">
        <f aca="false">IF(ABS(Q221-$B$11/$B$9*((MAX(0,MIN(1,Q221))^2/(MAX(0,MIN(1,Q221))^2+(1-MAX(0,MIN(1,Q221)))^2/$B$5))-(MAX(0,MIN(1,P221))^2/(MAX(0,MIN(1,P221))^2+(1-MAX(0,MIN(1,P221)))^2/$B$5))))&lt;0.000000001,0,Q221-$B$11/$B$9*((MAX(0,MIN(1,Q221))^2/(MAX(0,MIN(1,Q221))^2+(1-MAX(0,MIN(1,Q221)))^2/$B$5))-(MAX(0,MIN(1,P221))^2/(MAX(0,MIN(1,P221))^2+(1-MAX(0,MIN(1,P221)))^2/$B$5))))</f>
        <v>0.939155738563113</v>
      </c>
      <c r="R222" s="16" t="n">
        <f aca="false">IF(ABS(R221-$B$11/$B$9*((MAX(0,MIN(1,R221))^2/(MAX(0,MIN(1,R221))^2+(1-MAX(0,MIN(1,R221)))^2/$B$5))-(MAX(0,MIN(1,Q221))^2/(MAX(0,MIN(1,Q221))^2+(1-MAX(0,MIN(1,Q221)))^2/$B$5))))&lt;0.000000001,0,R221-$B$11/$B$9*((MAX(0,MIN(1,R221))^2/(MAX(0,MIN(1,R221))^2+(1-MAX(0,MIN(1,R221)))^2/$B$5))-(MAX(0,MIN(1,Q221))^2/(MAX(0,MIN(1,Q221))^2+(1-MAX(0,MIN(1,Q221)))^2/$B$5))))</f>
        <v>0.930777279905855</v>
      </c>
      <c r="S222" s="16" t="n">
        <f aca="false">IF(ABS(S221-$B$11/$B$9*((MAX(0,MIN(1,S221))^2/(MAX(0,MIN(1,S221))^2+(1-MAX(0,MIN(1,S221)))^2/$B$5))-(MAX(0,MIN(1,R221))^2/(MAX(0,MIN(1,R221))^2+(1-MAX(0,MIN(1,R221)))^2/$B$5))))&lt;0.000000001,0,S221-$B$11/$B$9*((MAX(0,MIN(1,S221))^2/(MAX(0,MIN(1,S221))^2+(1-MAX(0,MIN(1,S221)))^2/$B$5))-(MAX(0,MIN(1,R221))^2/(MAX(0,MIN(1,R221))^2+(1-MAX(0,MIN(1,R221)))^2/$B$5))))</f>
        <v>0.922817732198459</v>
      </c>
      <c r="T222" s="16" t="n">
        <f aca="false">IF(ABS(T221-$B$11/$B$9*((MAX(0,MIN(1,T221))^2/(MAX(0,MIN(1,T221))^2+(1-MAX(0,MIN(1,T221)))^2/$B$5))-(MAX(0,MIN(1,S221))^2/(MAX(0,MIN(1,S221))^2+(1-MAX(0,MIN(1,S221)))^2/$B$5))))&lt;0.000000001,0,T221-$B$11/$B$9*((MAX(0,MIN(1,T221))^2/(MAX(0,MIN(1,T221))^2+(1-MAX(0,MIN(1,T221)))^2/$B$5))-(MAX(0,MIN(1,S221))^2/(MAX(0,MIN(1,S221))^2+(1-MAX(0,MIN(1,S221)))^2/$B$5))))</f>
        <v>0.915222239512037</v>
      </c>
      <c r="U222" s="16" t="n">
        <f aca="false">IF(ABS(U221-$B$11/$B$9*((MAX(0,MIN(1,U221))^2/(MAX(0,MIN(1,U221))^2+(1-MAX(0,MIN(1,U221)))^2/$B$5))-(MAX(0,MIN(1,T221))^2/(MAX(0,MIN(1,T221))^2+(1-MAX(0,MIN(1,T221)))^2/$B$5))))&lt;0.000000001,0,U221-$B$11/$B$9*((MAX(0,MIN(1,U221))^2/(MAX(0,MIN(1,U221))^2+(1-MAX(0,MIN(1,U221)))^2/$B$5))-(MAX(0,MIN(1,T221))^2/(MAX(0,MIN(1,T221))^2+(1-MAX(0,MIN(1,T221)))^2/$B$5))))</f>
        <v>0.907949039660014</v>
      </c>
      <c r="V222" s="16" t="n">
        <f aca="false">IF(ABS(V221-$B$11/$B$9*((MAX(0,MIN(1,V221))^2/(MAX(0,MIN(1,V221))^2+(1-MAX(0,MIN(1,V221)))^2/$B$5))-(MAX(0,MIN(1,U221))^2/(MAX(0,MIN(1,U221))^2+(1-MAX(0,MIN(1,U221)))^2/$B$5))))&lt;0.000000001,0,V221-$B$11/$B$9*((MAX(0,MIN(1,V221))^2/(MAX(0,MIN(1,V221))^2+(1-MAX(0,MIN(1,V221)))^2/$B$5))-(MAX(0,MIN(1,U221))^2/(MAX(0,MIN(1,U221))^2+(1-MAX(0,MIN(1,U221)))^2/$B$5))))</f>
        <v>0.900964903150309</v>
      </c>
      <c r="W222" s="16" t="n">
        <f aca="false">IF(ABS(W221-$B$11/$B$9*((MAX(0,MIN(1,W221))^2/(MAX(0,MIN(1,W221))^2+(1-MAX(0,MIN(1,W221)))^2/$B$5))-(MAX(0,MIN(1,V221))^2/(MAX(0,MIN(1,V221))^2+(1-MAX(0,MIN(1,V221)))^2/$B$5))))&lt;0.000000001,0,W221-$B$11/$B$9*((MAX(0,MIN(1,W221))^2/(MAX(0,MIN(1,W221))^2+(1-MAX(0,MIN(1,W221)))^2/$B$5))-(MAX(0,MIN(1,V221))^2/(MAX(0,MIN(1,V221))^2+(1-MAX(0,MIN(1,V221)))^2/$B$5))))</f>
        <v>0.894242548944847</v>
      </c>
      <c r="X222" s="16" t="n">
        <f aca="false">IF(ABS(X221-$B$11/$B$9*((MAX(0,MIN(1,X221))^2/(MAX(0,MIN(1,X221))^2+(1-MAX(0,MIN(1,X221)))^2/$B$5))-(MAX(0,MIN(1,W221))^2/(MAX(0,MIN(1,W221))^2+(1-MAX(0,MIN(1,W221)))^2/$B$5))))&lt;0.000000001,0,X221-$B$11/$B$9*((MAX(0,MIN(1,X221))^2/(MAX(0,MIN(1,X221))^2+(1-MAX(0,MIN(1,X221)))^2/$B$5))-(MAX(0,MIN(1,W221))^2/(MAX(0,MIN(1,W221))^2+(1-MAX(0,MIN(1,W221)))^2/$B$5))))</f>
        <v>0.887759057933009</v>
      </c>
      <c r="Y222" s="16" t="n">
        <f aca="false">IF(ABS(Y221-$B$11/$B$9*((MAX(0,MIN(1,Y221))^2/(MAX(0,MIN(1,Y221))^2+(1-MAX(0,MIN(1,Y221)))^2/$B$5))-(MAX(0,MIN(1,X221))^2/(MAX(0,MIN(1,X221))^2+(1-MAX(0,MIN(1,X221)))^2/$B$5))))&lt;0.000000001,0,Y221-$B$11/$B$9*((MAX(0,MIN(1,Y221))^2/(MAX(0,MIN(1,Y221))^2+(1-MAX(0,MIN(1,Y221)))^2/$B$5))-(MAX(0,MIN(1,X221))^2/(MAX(0,MIN(1,X221))^2+(1-MAX(0,MIN(1,X221)))^2/$B$5))))</f>
        <v>0.881494835761804</v>
      </c>
      <c r="Z222" s="16" t="n">
        <f aca="false">IF(ABS(Z221-$B$11/$B$9*((MAX(0,MIN(1,Z221))^2/(MAX(0,MIN(1,Z221))^2+(1-MAX(0,MIN(1,Z221)))^2/$B$5))-(MAX(0,MIN(1,Y221))^2/(MAX(0,MIN(1,Y221))^2+(1-MAX(0,MIN(1,Y221)))^2/$B$5))))&lt;0.000000001,0,Z221-$B$11/$B$9*((MAX(0,MIN(1,Z221))^2/(MAX(0,MIN(1,Z221))^2+(1-MAX(0,MIN(1,Z221)))^2/$B$5))-(MAX(0,MIN(1,Y221))^2/(MAX(0,MIN(1,Y221))^2+(1-MAX(0,MIN(1,Y221)))^2/$B$5))))</f>
        <v>0.875432899897466</v>
      </c>
      <c r="AA222" s="16" t="n">
        <f aca="false">IF(ABS(AA221-$B$11/$B$9*((MAX(0,MIN(1,AA221))^2/(MAX(0,MIN(1,AA221))^2+(1-MAX(0,MIN(1,AA221)))^2/$B$5))-(MAX(0,MIN(1,Z221))^2/(MAX(0,MIN(1,Z221))^2+(1-MAX(0,MIN(1,Z221)))^2/$B$5))))&lt;0.000000001,0,AA221-$B$11/$B$9*((MAX(0,MIN(1,AA221))^2/(MAX(0,MIN(1,AA221))^2+(1-MAX(0,MIN(1,AA221)))^2/$B$5))-(MAX(0,MIN(1,Z221))^2/(MAX(0,MIN(1,Z221))^2+(1-MAX(0,MIN(1,Z221)))^2/$B$5))))</f>
        <v>0.869558369219097</v>
      </c>
      <c r="AB222" s="16" t="n">
        <f aca="false">IF(ABS(AB221-$B$11/$B$9*((MAX(0,MIN(1,AB221))^2/(MAX(0,MIN(1,AB221))^2+(1-MAX(0,MIN(1,AB221)))^2/$B$5))-(MAX(0,MIN(1,AA221))^2/(MAX(0,MIN(1,AA221))^2+(1-MAX(0,MIN(1,AA221)))^2/$B$5))))&lt;0.000000001,0,AB221-$B$11/$B$9*((MAX(0,MIN(1,AB221))^2/(MAX(0,MIN(1,AB221))^2+(1-MAX(0,MIN(1,AB221)))^2/$B$5))-(MAX(0,MIN(1,AA221))^2/(MAX(0,MIN(1,AA221))^2+(1-MAX(0,MIN(1,AA221)))^2/$B$5))))</f>
        <v>0.86385808623121</v>
      </c>
      <c r="AC222" s="16" t="n">
        <f aca="false">IF(ABS(AC221-$B$11/$B$9*((MAX(0,MIN(1,AC221))^2/(MAX(0,MIN(1,AC221))^2+(1-MAX(0,MIN(1,AC221)))^2/$B$5))-(MAX(0,MIN(1,AB221))^2/(MAX(0,MIN(1,AB221))^2+(1-MAX(0,MIN(1,AB221)))^2/$B$5))))&lt;0.000000001,0,AC221-$B$11/$B$9*((MAX(0,MIN(1,AC221))^2/(MAX(0,MIN(1,AC221))^2+(1-MAX(0,MIN(1,AC221)))^2/$B$5))-(MAX(0,MIN(1,AB221))^2/(MAX(0,MIN(1,AB221))^2+(1-MAX(0,MIN(1,AB221)))^2/$B$5))))</f>
        <v>0.858320329627238</v>
      </c>
      <c r="AD222" s="16" t="n">
        <f aca="false">IF(ABS(AD221-$B$11/$B$9*((MAX(0,MIN(1,AD221))^2/(MAX(0,MIN(1,AD221))^2+(1-MAX(0,MIN(1,AD221)))^2/$B$5))-(MAX(0,MIN(1,AC221))^2/(MAX(0,MIN(1,AC221))^2+(1-MAX(0,MIN(1,AC221)))^2/$B$5))))&lt;0.000000001,0,AD221-$B$11/$B$9*((MAX(0,MIN(1,AD221))^2/(MAX(0,MIN(1,AD221))^2+(1-MAX(0,MIN(1,AD221)))^2/$B$5))-(MAX(0,MIN(1,AC221))^2/(MAX(0,MIN(1,AC221))^2+(1-MAX(0,MIN(1,AC221)))^2/$B$5))))</f>
        <v>0.852934590512778</v>
      </c>
      <c r="AE222" s="16" t="n">
        <f aca="false">IF(ABS(AE221-$B$11/$B$9*((MAX(0,MIN(1,AE221))^2/(MAX(0,MIN(1,AE221))^2+(1-MAX(0,MIN(1,AE221)))^2/$B$5))-(MAX(0,MIN(1,AD221))^2/(MAX(0,MIN(1,AD221))^2+(1-MAX(0,MIN(1,AD221)))^2/$B$5))))&lt;0.000000001,0,AE221-$B$11/$B$9*((MAX(0,MIN(1,AE221))^2/(MAX(0,MIN(1,AE221))^2+(1-MAX(0,MIN(1,AE221)))^2/$B$5))-(MAX(0,MIN(1,AD221))^2/(MAX(0,MIN(1,AD221))^2+(1-MAX(0,MIN(1,AD221)))^2/$B$5))))</f>
        <v>0.847691394789422</v>
      </c>
      <c r="AF222" s="16" t="n">
        <f aca="false">IF(ABS(AF221-$B$11/$B$9*((MAX(0,MIN(1,AF221))^2/(MAX(0,MIN(1,AF221))^2+(1-MAX(0,MIN(1,AF221)))^2/$B$5))-(MAX(0,MIN(1,AE221))^2/(MAX(0,MIN(1,AE221))^2+(1-MAX(0,MIN(1,AE221)))^2/$B$5))))&lt;0.000000001,0,AF221-$B$11/$B$9*((MAX(0,MIN(1,AF221))^2/(MAX(0,MIN(1,AF221))^2+(1-MAX(0,MIN(1,AF221)))^2/$B$5))-(MAX(0,MIN(1,AE221))^2/(MAX(0,MIN(1,AE221))^2+(1-MAX(0,MIN(1,AE221)))^2/$B$5))))</f>
        <v>0.842582159846545</v>
      </c>
    </row>
    <row r="223" customFormat="false" ht="15" hidden="false" customHeight="false" outlineLevel="0" collapsed="false">
      <c r="L223" s="0" t="n">
        <v>213</v>
      </c>
      <c r="M223" s="16" t="n">
        <f aca="false">IF(ABS(M222-$B$11/$B$9*((MAX(0,MIN(1,M222))^2/(MAX(0,MIN(1,M222))^2+(1-MAX(0,MIN(1,M222)))^2/$B$5))-(MAX(0,MIN(1,1))^2/(MAX(0,MIN(1,1))^2+(1-MAX(0,MIN(1,1)))^2/$B$5))))&lt;0.000000001,0,M222-$B$11/$B$9*((MAX(0,MIN(1,M222))^2/(MAX(0,MIN(1,M222))^2+(1-MAX(0,MIN(1,M222)))^2/$B$5))-(MAX(0,MIN(1,1))^2/(MAX(0,MIN(1,1))^2+(1-MAX(0,MIN(1,1)))^2/$B$5))))</f>
        <v>0.979644453782178</v>
      </c>
      <c r="N223" s="16" t="n">
        <f aca="false">IF(ABS(N222-$B$11/$B$9*((MAX(0,MIN(1,N222))^2/(MAX(0,MIN(1,N222))^2+(1-MAX(0,MIN(1,N222)))^2/$B$5))-(MAX(0,MIN(1,M222))^2/(MAX(0,MIN(1,M222))^2+(1-MAX(0,MIN(1,M222)))^2/$B$5))))&lt;0.000000001,0,N222-$B$11/$B$9*((MAX(0,MIN(1,N222))^2/(MAX(0,MIN(1,N222))^2+(1-MAX(0,MIN(1,N222)))^2/$B$5))-(MAX(0,MIN(1,M222))^2/(MAX(0,MIN(1,M222))^2+(1-MAX(0,MIN(1,M222)))^2/$B$5))))</f>
        <v>0.967971223349218</v>
      </c>
      <c r="O223" s="16" t="n">
        <f aca="false">IF(ABS(O222-$B$11/$B$9*((MAX(0,MIN(1,O222))^2/(MAX(0,MIN(1,O222))^2+(1-MAX(0,MIN(1,O222)))^2/$B$5))-(MAX(0,MIN(1,N222))^2/(MAX(0,MIN(1,N222))^2+(1-MAX(0,MIN(1,N222)))^2/$B$5))))&lt;0.000000001,0,O222-$B$11/$B$9*((MAX(0,MIN(1,O222))^2/(MAX(0,MIN(1,O222))^2+(1-MAX(0,MIN(1,O222)))^2/$B$5))-(MAX(0,MIN(1,N222))^2/(MAX(0,MIN(1,N222))^2+(1-MAX(0,MIN(1,N222)))^2/$B$5))))</f>
        <v>0.957685254553515</v>
      </c>
      <c r="P223" s="16" t="n">
        <f aca="false">IF(ABS(P222-$B$11/$B$9*((MAX(0,MIN(1,P222))^2/(MAX(0,MIN(1,P222))^2+(1-MAX(0,MIN(1,P222)))^2/$B$5))-(MAX(0,MIN(1,O222))^2/(MAX(0,MIN(1,O222))^2+(1-MAX(0,MIN(1,O222)))^2/$B$5))))&lt;0.000000001,0,P222-$B$11/$B$9*((MAX(0,MIN(1,P222))^2/(MAX(0,MIN(1,P222))^2+(1-MAX(0,MIN(1,P222)))^2/$B$5))-(MAX(0,MIN(1,O222))^2/(MAX(0,MIN(1,O222))^2+(1-MAX(0,MIN(1,O222)))^2/$B$5))))</f>
        <v>0.948228857160765</v>
      </c>
      <c r="Q223" s="16" t="n">
        <f aca="false">IF(ABS(Q222-$B$11/$B$9*((MAX(0,MIN(1,Q222))^2/(MAX(0,MIN(1,Q222))^2+(1-MAX(0,MIN(1,Q222)))^2/$B$5))-(MAX(0,MIN(1,P222))^2/(MAX(0,MIN(1,P222))^2+(1-MAX(0,MIN(1,P222)))^2/$B$5))))&lt;0.000000001,0,Q222-$B$11/$B$9*((MAX(0,MIN(1,Q222))^2/(MAX(0,MIN(1,Q222))^2+(1-MAX(0,MIN(1,Q222)))^2/$B$5))-(MAX(0,MIN(1,P222))^2/(MAX(0,MIN(1,P222))^2+(1-MAX(0,MIN(1,P222)))^2/$B$5))))</f>
        <v>0.939384120406922</v>
      </c>
      <c r="R223" s="16" t="n">
        <f aca="false">IF(ABS(R222-$B$11/$B$9*((MAX(0,MIN(1,R222))^2/(MAX(0,MIN(1,R222))^2+(1-MAX(0,MIN(1,R222)))^2/$B$5))-(MAX(0,MIN(1,Q222))^2/(MAX(0,MIN(1,Q222))^2+(1-MAX(0,MIN(1,Q222)))^2/$B$5))))&lt;0.000000001,0,R222-$B$11/$B$9*((MAX(0,MIN(1,R222))^2/(MAX(0,MIN(1,R222))^2+(1-MAX(0,MIN(1,R222)))^2/$B$5))-(MAX(0,MIN(1,Q222))^2/(MAX(0,MIN(1,Q222))^2+(1-MAX(0,MIN(1,Q222)))^2/$B$5))))</f>
        <v>0.931032478184081</v>
      </c>
      <c r="S223" s="16" t="n">
        <f aca="false">IF(ABS(S222-$B$11/$B$9*((MAX(0,MIN(1,S222))^2/(MAX(0,MIN(1,S222))^2+(1-MAX(0,MIN(1,S222)))^2/$B$5))-(MAX(0,MIN(1,R222))^2/(MAX(0,MIN(1,R222))^2+(1-MAX(0,MIN(1,R222)))^2/$B$5))))&lt;0.000000001,0,S222-$B$11/$B$9*((MAX(0,MIN(1,S222))^2/(MAX(0,MIN(1,S222))^2+(1-MAX(0,MIN(1,S222)))^2/$B$5))-(MAX(0,MIN(1,R222))^2/(MAX(0,MIN(1,R222))^2+(1-MAX(0,MIN(1,R222)))^2/$B$5))))</f>
        <v>0.923097497046674</v>
      </c>
      <c r="T223" s="16" t="n">
        <f aca="false">IF(ABS(T222-$B$11/$B$9*((MAX(0,MIN(1,T222))^2/(MAX(0,MIN(1,T222))^2+(1-MAX(0,MIN(1,T222)))^2/$B$5))-(MAX(0,MIN(1,S222))^2/(MAX(0,MIN(1,S222))^2+(1-MAX(0,MIN(1,S222)))^2/$B$5))))&lt;0.000000001,0,T222-$B$11/$B$9*((MAX(0,MIN(1,T222))^2/(MAX(0,MIN(1,T222))^2+(1-MAX(0,MIN(1,T222)))^2/$B$5))-(MAX(0,MIN(1,S222))^2/(MAX(0,MIN(1,S222))^2+(1-MAX(0,MIN(1,S222)))^2/$B$5))))</f>
        <v>0.915524662029901</v>
      </c>
      <c r="U223" s="16" t="n">
        <f aca="false">IF(ABS(U222-$B$11/$B$9*((MAX(0,MIN(1,U222))^2/(MAX(0,MIN(1,U222))^2+(1-MAX(0,MIN(1,U222)))^2/$B$5))-(MAX(0,MIN(1,T222))^2/(MAX(0,MIN(1,T222))^2+(1-MAX(0,MIN(1,T222)))^2/$B$5))))&lt;0.000000001,0,U222-$B$11/$B$9*((MAX(0,MIN(1,U222))^2/(MAX(0,MIN(1,U222))^2+(1-MAX(0,MIN(1,U222)))^2/$B$5))-(MAX(0,MIN(1,T222))^2/(MAX(0,MIN(1,T222))^2+(1-MAX(0,MIN(1,T222)))^2/$B$5))))</f>
        <v>0.908272474862232</v>
      </c>
      <c r="V223" s="16" t="n">
        <f aca="false">IF(ABS(V222-$B$11/$B$9*((MAX(0,MIN(1,V222))^2/(MAX(0,MIN(1,V222))^2+(1-MAX(0,MIN(1,V222)))^2/$B$5))-(MAX(0,MIN(1,U222))^2/(MAX(0,MIN(1,U222))^2+(1-MAX(0,MIN(1,U222)))^2/$B$5))))&lt;0.000000001,0,V222-$B$11/$B$9*((MAX(0,MIN(1,V222))^2/(MAX(0,MIN(1,V222))^2+(1-MAX(0,MIN(1,V222)))^2/$B$5))-(MAX(0,MIN(1,U222))^2/(MAX(0,MIN(1,U222))^2+(1-MAX(0,MIN(1,U222)))^2/$B$5))))</f>
        <v>0.901307917223642</v>
      </c>
      <c r="W223" s="16" t="n">
        <f aca="false">IF(ABS(W222-$B$11/$B$9*((MAX(0,MIN(1,W222))^2/(MAX(0,MIN(1,W222))^2+(1-MAX(0,MIN(1,W222)))^2/$B$5))-(MAX(0,MIN(1,V222))^2/(MAX(0,MIN(1,V222))^2+(1-MAX(0,MIN(1,V222)))^2/$B$5))))&lt;0.000000001,0,W222-$B$11/$B$9*((MAX(0,MIN(1,W222))^2/(MAX(0,MIN(1,W222))^2+(1-MAX(0,MIN(1,W222)))^2/$B$5))-(MAX(0,MIN(1,V222))^2/(MAX(0,MIN(1,V222))^2+(1-MAX(0,MIN(1,V222)))^2/$B$5))))</f>
        <v>0.894603881056442</v>
      </c>
      <c r="X223" s="16" t="n">
        <f aca="false">IF(ABS(X222-$B$11/$B$9*((MAX(0,MIN(1,X222))^2/(MAX(0,MIN(1,X222))^2+(1-MAX(0,MIN(1,X222)))^2/$B$5))-(MAX(0,MIN(1,W222))^2/(MAX(0,MIN(1,W222))^2+(1-MAX(0,MIN(1,W222)))^2/$B$5))))&lt;0.000000001,0,X222-$B$11/$B$9*((MAX(0,MIN(1,X222))^2/(MAX(0,MIN(1,X222))^2+(1-MAX(0,MIN(1,X222)))^2/$B$5))-(MAX(0,MIN(1,W222))^2/(MAX(0,MIN(1,W222))^2+(1-MAX(0,MIN(1,W222)))^2/$B$5))))</f>
        <v>0.888137591442072</v>
      </c>
      <c r="Y223" s="16" t="n">
        <f aca="false">IF(ABS(Y222-$B$11/$B$9*((MAX(0,MIN(1,Y222))^2/(MAX(0,MIN(1,Y222))^2+(1-MAX(0,MIN(1,Y222)))^2/$B$5))-(MAX(0,MIN(1,X222))^2/(MAX(0,MIN(1,X222))^2+(1-MAX(0,MIN(1,X222)))^2/$B$5))))&lt;0.000000001,0,Y222-$B$11/$B$9*((MAX(0,MIN(1,Y222))^2/(MAX(0,MIN(1,Y222))^2+(1-MAX(0,MIN(1,Y222)))^2/$B$5))-(MAX(0,MIN(1,X222))^2/(MAX(0,MIN(1,X222))^2+(1-MAX(0,MIN(1,X222)))^2/$B$5))))</f>
        <v>0.881889575864781</v>
      </c>
      <c r="Z223" s="16" t="n">
        <f aca="false">IF(ABS(Z222-$B$11/$B$9*((MAX(0,MIN(1,Z222))^2/(MAX(0,MIN(1,Z222))^2+(1-MAX(0,MIN(1,Z222)))^2/$B$5))-(MAX(0,MIN(1,Y222))^2/(MAX(0,MIN(1,Y222))^2+(1-MAX(0,MIN(1,Y222)))^2/$B$5))))&lt;0.000000001,0,Z222-$B$11/$B$9*((MAX(0,MIN(1,Z222))^2/(MAX(0,MIN(1,Z222))^2+(1-MAX(0,MIN(1,Z222)))^2/$B$5))-(MAX(0,MIN(1,Y222))^2/(MAX(0,MIN(1,Y222))^2+(1-MAX(0,MIN(1,Y222)))^2/$B$5))))</f>
        <v>0.875842955870495</v>
      </c>
      <c r="AA223" s="16" t="n">
        <f aca="false">IF(ABS(AA222-$B$11/$B$9*((MAX(0,MIN(1,AA222))^2/(MAX(0,MIN(1,AA222))^2+(1-MAX(0,MIN(1,AA222)))^2/$B$5))-(MAX(0,MIN(1,Z222))^2/(MAX(0,MIN(1,Z222))^2+(1-MAX(0,MIN(1,Z222)))^2/$B$5))))&lt;0.000000001,0,AA222-$B$11/$B$9*((MAX(0,MIN(1,AA222))^2/(MAX(0,MIN(1,AA222))^2+(1-MAX(0,MIN(1,AA222)))^2/$B$5))-(MAX(0,MIN(1,Z222))^2/(MAX(0,MIN(1,Z222))^2+(1-MAX(0,MIN(1,Z222)))^2/$B$5))))</f>
        <v>0.869982940058417</v>
      </c>
      <c r="AB223" s="16" t="n">
        <f aca="false">IF(ABS(AB222-$B$11/$B$9*((MAX(0,MIN(1,AB222))^2/(MAX(0,MIN(1,AB222))^2+(1-MAX(0,MIN(1,AB222)))^2/$B$5))-(MAX(0,MIN(1,AA222))^2/(MAX(0,MIN(1,AA222))^2+(1-MAX(0,MIN(1,AA222)))^2/$B$5))))&lt;0.000000001,0,AB222-$B$11/$B$9*((MAX(0,MIN(1,AB222))^2/(MAX(0,MIN(1,AB222))^2+(1-MAX(0,MIN(1,AB222)))^2/$B$5))-(MAX(0,MIN(1,AA222))^2/(MAX(0,MIN(1,AA222))^2+(1-MAX(0,MIN(1,AA222)))^2/$B$5))))</f>
        <v>0.864296448873064</v>
      </c>
      <c r="AC223" s="16" t="n">
        <f aca="false">IF(ABS(AC222-$B$11/$B$9*((MAX(0,MIN(1,AC222))^2/(MAX(0,MIN(1,AC222))^2+(1-MAX(0,MIN(1,AC222)))^2/$B$5))-(MAX(0,MIN(1,AB222))^2/(MAX(0,MIN(1,AB222))^2+(1-MAX(0,MIN(1,AB222)))^2/$B$5))))&lt;0.000000001,0,AC222-$B$11/$B$9*((MAX(0,MIN(1,AC222))^2/(MAX(0,MIN(1,AC222))^2+(1-MAX(0,MIN(1,AC222)))^2/$B$5))-(MAX(0,MIN(1,AB222))^2/(MAX(0,MIN(1,AB222))^2+(1-MAX(0,MIN(1,AB222)))^2/$B$5))))</f>
        <v>0.858771829168551</v>
      </c>
      <c r="AD223" s="16" t="n">
        <f aca="false">IF(ABS(AD222-$B$11/$B$9*((MAX(0,MIN(1,AD222))^2/(MAX(0,MIN(1,AD222))^2+(1-MAX(0,MIN(1,AD222)))^2/$B$5))-(MAX(0,MIN(1,AC222))^2/(MAX(0,MIN(1,AC222))^2+(1-MAX(0,MIN(1,AC222)))^2/$B$5))))&lt;0.000000001,0,AD222-$B$11/$B$9*((MAX(0,MIN(1,AD222))^2/(MAX(0,MIN(1,AD222))^2+(1-MAX(0,MIN(1,AD222)))^2/$B$5))-(MAX(0,MIN(1,AC222))^2/(MAX(0,MIN(1,AC222))^2+(1-MAX(0,MIN(1,AC222)))^2/$B$5))))</f>
        <v>0.853398632011343</v>
      </c>
      <c r="AE223" s="16" t="n">
        <f aca="false">IF(ABS(AE222-$B$11/$B$9*((MAX(0,MIN(1,AE222))^2/(MAX(0,MIN(1,AE222))^2+(1-MAX(0,MIN(1,AE222)))^2/$B$5))-(MAX(0,MIN(1,AD222))^2/(MAX(0,MIN(1,AD222))^2+(1-MAX(0,MIN(1,AD222)))^2/$B$5))))&lt;0.000000001,0,AE222-$B$11/$B$9*((MAX(0,MIN(1,AE222))^2/(MAX(0,MIN(1,AE222))^2+(1-MAX(0,MIN(1,AE222)))^2/$B$5))-(MAX(0,MIN(1,AD222))^2/(MAX(0,MIN(1,AD222))^2+(1-MAX(0,MIN(1,AD222)))^2/$B$5))))</f>
        <v>0.848167436329489</v>
      </c>
      <c r="AF223" s="16" t="n">
        <f aca="false">IF(ABS(AF222-$B$11/$B$9*((MAX(0,MIN(1,AF222))^2/(MAX(0,MIN(1,AF222))^2+(1-MAX(0,MIN(1,AF222)))^2/$B$5))-(MAX(0,MIN(1,AE222))^2/(MAX(0,MIN(1,AE222))^2+(1-MAX(0,MIN(1,AE222)))^2/$B$5))))&lt;0.000000001,0,AF222-$B$11/$B$9*((MAX(0,MIN(1,AF222))^2/(MAX(0,MIN(1,AF222))^2+(1-MAX(0,MIN(1,AF222)))^2/$B$5))-(MAX(0,MIN(1,AE222))^2/(MAX(0,MIN(1,AE222))^2+(1-MAX(0,MIN(1,AE222)))^2/$B$5))))</f>
        <v>0.843069706630904</v>
      </c>
    </row>
    <row r="224" customFormat="false" ht="15" hidden="false" customHeight="false" outlineLevel="0" collapsed="false">
      <c r="L224" s="0" t="n">
        <v>214</v>
      </c>
      <c r="M224" s="16" t="n">
        <f aca="false">IF(ABS(M223-$B$11/$B$9*((MAX(0,MIN(1,M223))^2/(MAX(0,MIN(1,M223))^2+(1-MAX(0,MIN(1,M223)))^2/$B$5))-(MAX(0,MIN(1,1))^2/(MAX(0,MIN(1,1))^2+(1-MAX(0,MIN(1,1)))^2/$B$5))))&lt;0.000000001,0,M223-$B$11/$B$9*((MAX(0,MIN(1,M223))^2/(MAX(0,MIN(1,M223))^2+(1-MAX(0,MIN(1,M223)))^2/$B$5))-(MAX(0,MIN(1,1))^2/(MAX(0,MIN(1,1))^2+(1-MAX(0,MIN(1,1)))^2/$B$5))))</f>
        <v>0.979727445854186</v>
      </c>
      <c r="N224" s="16" t="n">
        <f aca="false">IF(ABS(N223-$B$11/$B$9*((MAX(0,MIN(1,N223))^2/(MAX(0,MIN(1,N223))^2+(1-MAX(0,MIN(1,N223)))^2/$B$5))-(MAX(0,MIN(1,M223))^2/(MAX(0,MIN(1,M223))^2+(1-MAX(0,MIN(1,M223)))^2/$B$5))))&lt;0.000000001,0,N223-$B$11/$B$9*((MAX(0,MIN(1,N223))^2/(MAX(0,MIN(1,N223))^2+(1-MAX(0,MIN(1,N223)))^2/$B$5))-(MAX(0,MIN(1,M223))^2/(MAX(0,MIN(1,M223))^2+(1-MAX(0,MIN(1,M223)))^2/$B$5))))</f>
        <v>0.968098618774054</v>
      </c>
      <c r="O224" s="16" t="n">
        <f aca="false">IF(ABS(O223-$B$11/$B$9*((MAX(0,MIN(1,O223))^2/(MAX(0,MIN(1,O223))^2+(1-MAX(0,MIN(1,O223)))^2/$B$5))-(MAX(0,MIN(1,N223))^2/(MAX(0,MIN(1,N223))^2+(1-MAX(0,MIN(1,N223)))^2/$B$5))))&lt;0.000000001,0,O223-$B$11/$B$9*((MAX(0,MIN(1,O223))^2/(MAX(0,MIN(1,O223))^2+(1-MAX(0,MIN(1,O223)))^2/$B$5))-(MAX(0,MIN(1,N223))^2/(MAX(0,MIN(1,N223))^2+(1-MAX(0,MIN(1,N223)))^2/$B$5))))</f>
        <v>0.95784985382129</v>
      </c>
      <c r="P224" s="16" t="n">
        <f aca="false">IF(ABS(P223-$B$11/$B$9*((MAX(0,MIN(1,P223))^2/(MAX(0,MIN(1,P223))^2+(1-MAX(0,MIN(1,P223)))^2/$B$5))-(MAX(0,MIN(1,O223))^2/(MAX(0,MIN(1,O223))^2+(1-MAX(0,MIN(1,O223)))^2/$B$5))))&lt;0.000000001,0,P223-$B$11/$B$9*((MAX(0,MIN(1,P223))^2/(MAX(0,MIN(1,P223))^2+(1-MAX(0,MIN(1,P223)))^2/$B$5))-(MAX(0,MIN(1,O223))^2/(MAX(0,MIN(1,O223))^2+(1-MAX(0,MIN(1,O223)))^2/$B$5))))</f>
        <v>0.948426144573846</v>
      </c>
      <c r="Q224" s="16" t="n">
        <f aca="false">IF(ABS(Q223-$B$11/$B$9*((MAX(0,MIN(1,Q223))^2/(MAX(0,MIN(1,Q223))^2+(1-MAX(0,MIN(1,Q223)))^2/$B$5))-(MAX(0,MIN(1,P223))^2/(MAX(0,MIN(1,P223))^2+(1-MAX(0,MIN(1,P223)))^2/$B$5))))&lt;0.000000001,0,Q223-$B$11/$B$9*((MAX(0,MIN(1,Q223))^2/(MAX(0,MIN(1,Q223))^2+(1-MAX(0,MIN(1,Q223)))^2/$B$5))-(MAX(0,MIN(1,P223))^2/(MAX(0,MIN(1,P223))^2+(1-MAX(0,MIN(1,P223)))^2/$B$5))))</f>
        <v>0.939610732541504</v>
      </c>
      <c r="R224" s="16" t="n">
        <f aca="false">IF(ABS(R223-$B$11/$B$9*((MAX(0,MIN(1,R223))^2/(MAX(0,MIN(1,R223))^2+(1-MAX(0,MIN(1,R223)))^2/$B$5))-(MAX(0,MIN(1,Q223))^2/(MAX(0,MIN(1,Q223))^2+(1-MAX(0,MIN(1,Q223)))^2/$B$5))))&lt;0.000000001,0,R223-$B$11/$B$9*((MAX(0,MIN(1,R223))^2/(MAX(0,MIN(1,R223))^2+(1-MAX(0,MIN(1,R223)))^2/$B$5))-(MAX(0,MIN(1,Q223))^2/(MAX(0,MIN(1,Q223))^2+(1-MAX(0,MIN(1,Q223)))^2/$B$5))))</f>
        <v>0.931285726836337</v>
      </c>
      <c r="S224" s="16" t="n">
        <f aca="false">IF(ABS(S223-$B$11/$B$9*((MAX(0,MIN(1,S223))^2/(MAX(0,MIN(1,S223))^2+(1-MAX(0,MIN(1,S223)))^2/$B$5))-(MAX(0,MIN(1,R223))^2/(MAX(0,MIN(1,R223))^2+(1-MAX(0,MIN(1,R223)))^2/$B$5))))&lt;0.000000001,0,S223-$B$11/$B$9*((MAX(0,MIN(1,S223))^2/(MAX(0,MIN(1,S223))^2+(1-MAX(0,MIN(1,S223)))^2/$B$5))-(MAX(0,MIN(1,R223))^2/(MAX(0,MIN(1,R223))^2+(1-MAX(0,MIN(1,R223)))^2/$B$5))))</f>
        <v>0.923375152244328</v>
      </c>
      <c r="T224" s="16" t="n">
        <f aca="false">IF(ABS(T223-$B$11/$B$9*((MAX(0,MIN(1,T223))^2/(MAX(0,MIN(1,T223))^2+(1-MAX(0,MIN(1,T223)))^2/$B$5))-(MAX(0,MIN(1,S223))^2/(MAX(0,MIN(1,S223))^2+(1-MAX(0,MIN(1,S223)))^2/$B$5))))&lt;0.000000001,0,T223-$B$11/$B$9*((MAX(0,MIN(1,T223))^2/(MAX(0,MIN(1,T223))^2+(1-MAX(0,MIN(1,T223)))^2/$B$5))-(MAX(0,MIN(1,S223))^2/(MAX(0,MIN(1,S223))^2+(1-MAX(0,MIN(1,S223)))^2/$B$5))))</f>
        <v>0.915824831198902</v>
      </c>
      <c r="U224" s="16" t="n">
        <f aca="false">IF(ABS(U223-$B$11/$B$9*((MAX(0,MIN(1,U223))^2/(MAX(0,MIN(1,U223))^2+(1-MAX(0,MIN(1,U223)))^2/$B$5))-(MAX(0,MIN(1,T223))^2/(MAX(0,MIN(1,T223))^2+(1-MAX(0,MIN(1,T223)))^2/$B$5))))&lt;0.000000001,0,U223-$B$11/$B$9*((MAX(0,MIN(1,U223))^2/(MAX(0,MIN(1,U223))^2+(1-MAX(0,MIN(1,U223)))^2/$B$5))-(MAX(0,MIN(1,T223))^2/(MAX(0,MIN(1,T223))^2+(1-MAX(0,MIN(1,T223)))^2/$B$5))))</f>
        <v>0.908593526620072</v>
      </c>
      <c r="V224" s="16" t="n">
        <f aca="false">IF(ABS(V223-$B$11/$B$9*((MAX(0,MIN(1,V223))^2/(MAX(0,MIN(1,V223))^2+(1-MAX(0,MIN(1,V223)))^2/$B$5))-(MAX(0,MIN(1,U223))^2/(MAX(0,MIN(1,U223))^2+(1-MAX(0,MIN(1,U223)))^2/$B$5))))&lt;0.000000001,0,V223-$B$11/$B$9*((MAX(0,MIN(1,V223))^2/(MAX(0,MIN(1,V223))^2+(1-MAX(0,MIN(1,V223)))^2/$B$5))-(MAX(0,MIN(1,U223))^2/(MAX(0,MIN(1,U223))^2+(1-MAX(0,MIN(1,U223)))^2/$B$5))))</f>
        <v>0.901648429219368</v>
      </c>
      <c r="W224" s="16" t="n">
        <f aca="false">IF(ABS(W223-$B$11/$B$9*((MAX(0,MIN(1,W223))^2/(MAX(0,MIN(1,W223))^2+(1-MAX(0,MIN(1,W223)))^2/$B$5))-(MAX(0,MIN(1,V223))^2/(MAX(0,MIN(1,V223))^2+(1-MAX(0,MIN(1,V223)))^2/$B$5))))&lt;0.000000001,0,W223-$B$11/$B$9*((MAX(0,MIN(1,W223))^2/(MAX(0,MIN(1,W223))^2+(1-MAX(0,MIN(1,W223)))^2/$B$5))-(MAX(0,MIN(1,V223))^2/(MAX(0,MIN(1,V223))^2+(1-MAX(0,MIN(1,V223)))^2/$B$5))))</f>
        <v>0.894962602201857</v>
      </c>
      <c r="X224" s="16" t="n">
        <f aca="false">IF(ABS(X223-$B$11/$B$9*((MAX(0,MIN(1,X223))^2/(MAX(0,MIN(1,X223))^2+(1-MAX(0,MIN(1,X223)))^2/$B$5))-(MAX(0,MIN(1,W223))^2/(MAX(0,MIN(1,W223))^2+(1-MAX(0,MIN(1,W223)))^2/$B$5))))&lt;0.000000001,0,X223-$B$11/$B$9*((MAX(0,MIN(1,X223))^2/(MAX(0,MIN(1,X223))^2+(1-MAX(0,MIN(1,X223)))^2/$B$5))-(MAX(0,MIN(1,W223))^2/(MAX(0,MIN(1,W223))^2+(1-MAX(0,MIN(1,W223)))^2/$B$5))))</f>
        <v>0.888513413440538</v>
      </c>
      <c r="Y224" s="16" t="n">
        <f aca="false">IF(ABS(Y223-$B$11/$B$9*((MAX(0,MIN(1,Y223))^2/(MAX(0,MIN(1,Y223))^2+(1-MAX(0,MIN(1,Y223)))^2/$B$5))-(MAX(0,MIN(1,X223))^2/(MAX(0,MIN(1,X223))^2+(1-MAX(0,MIN(1,X223)))^2/$B$5))))&lt;0.000000001,0,Y223-$B$11/$B$9*((MAX(0,MIN(1,Y223))^2/(MAX(0,MIN(1,Y223))^2+(1-MAX(0,MIN(1,Y223)))^2/$B$5))-(MAX(0,MIN(1,X223))^2/(MAX(0,MIN(1,X223))^2+(1-MAX(0,MIN(1,X223)))^2/$B$5))))</f>
        <v>0.882281511100194</v>
      </c>
      <c r="Z224" s="16" t="n">
        <f aca="false">IF(ABS(Z223-$B$11/$B$9*((MAX(0,MIN(1,Z223))^2/(MAX(0,MIN(1,Z223))^2+(1-MAX(0,MIN(1,Z223)))^2/$B$5))-(MAX(0,MIN(1,Y223))^2/(MAX(0,MIN(1,Y223))^2+(1-MAX(0,MIN(1,Y223)))^2/$B$5))))&lt;0.000000001,0,Z223-$B$11/$B$9*((MAX(0,MIN(1,Z223))^2/(MAX(0,MIN(1,Z223))^2+(1-MAX(0,MIN(1,Z223)))^2/$B$5))-(MAX(0,MIN(1,Y223))^2/(MAX(0,MIN(1,Y223))^2+(1-MAX(0,MIN(1,Y223)))^2/$B$5))))</f>
        <v>0.876250119840792</v>
      </c>
      <c r="AA224" s="16" t="n">
        <f aca="false">IF(ABS(AA223-$B$11/$B$9*((MAX(0,MIN(1,AA223))^2/(MAX(0,MIN(1,AA223))^2+(1-MAX(0,MIN(1,AA223)))^2/$B$5))-(MAX(0,MIN(1,Z223))^2/(MAX(0,MIN(1,Z223))^2+(1-MAX(0,MIN(1,Z223)))^2/$B$5))))&lt;0.000000001,0,AA223-$B$11/$B$9*((MAX(0,MIN(1,AA223))^2/(MAX(0,MIN(1,AA223))^2+(1-MAX(0,MIN(1,AA223)))^2/$B$5))-(MAX(0,MIN(1,Z223))^2/(MAX(0,MIN(1,Z223))^2+(1-MAX(0,MIN(1,Z223)))^2/$B$5))))</f>
        <v>0.870404537168012</v>
      </c>
      <c r="AB224" s="16" t="n">
        <f aca="false">IF(ABS(AB223-$B$11/$B$9*((MAX(0,MIN(1,AB223))^2/(MAX(0,MIN(1,AB223))^2+(1-MAX(0,MIN(1,AB223)))^2/$B$5))-(MAX(0,MIN(1,AA223))^2/(MAX(0,MIN(1,AA223))^2+(1-MAX(0,MIN(1,AA223)))^2/$B$5))))&lt;0.000000001,0,AB223-$B$11/$B$9*((MAX(0,MIN(1,AB223))^2/(MAX(0,MIN(1,AB223))^2+(1-MAX(0,MIN(1,AB223)))^2/$B$5))-(MAX(0,MIN(1,AA223))^2/(MAX(0,MIN(1,AA223))^2+(1-MAX(0,MIN(1,AA223)))^2/$B$5))))</f>
        <v>0.864731760775274</v>
      </c>
      <c r="AC224" s="16" t="n">
        <f aca="false">IF(ABS(AC223-$B$11/$B$9*((MAX(0,MIN(1,AC223))^2/(MAX(0,MIN(1,AC223))^2+(1-MAX(0,MIN(1,AC223)))^2/$B$5))-(MAX(0,MIN(1,AB223))^2/(MAX(0,MIN(1,AB223))^2+(1-MAX(0,MIN(1,AB223)))^2/$B$5))))&lt;0.000000001,0,AC223-$B$11/$B$9*((MAX(0,MIN(1,AC223))^2/(MAX(0,MIN(1,AC223))^2+(1-MAX(0,MIN(1,AC223)))^2/$B$5))-(MAX(0,MIN(1,AB223))^2/(MAX(0,MIN(1,AB223))^2+(1-MAX(0,MIN(1,AB223)))^2/$B$5))))</f>
        <v>0.859220205086063</v>
      </c>
      <c r="AD224" s="16" t="n">
        <f aca="false">IF(ABS(AD223-$B$11/$B$9*((MAX(0,MIN(1,AD223))^2/(MAX(0,MIN(1,AD223))^2+(1-MAX(0,MIN(1,AD223)))^2/$B$5))-(MAX(0,MIN(1,AC223))^2/(MAX(0,MIN(1,AC223))^2+(1-MAX(0,MIN(1,AC223)))^2/$B$5))))&lt;0.000000001,0,AD223-$B$11/$B$9*((MAX(0,MIN(1,AD223))^2/(MAX(0,MIN(1,AD223))^2+(1-MAX(0,MIN(1,AD223)))^2/$B$5))-(MAX(0,MIN(1,AC223))^2/(MAX(0,MIN(1,AC223))^2+(1-MAX(0,MIN(1,AC223)))^2/$B$5))))</f>
        <v>0.853859480618414</v>
      </c>
      <c r="AE224" s="16" t="n">
        <f aca="false">IF(ABS(AE223-$B$11/$B$9*((MAX(0,MIN(1,AE223))^2/(MAX(0,MIN(1,AE223))^2+(1-MAX(0,MIN(1,AE223)))^2/$B$5))-(MAX(0,MIN(1,AD223))^2/(MAX(0,MIN(1,AD223))^2+(1-MAX(0,MIN(1,AD223)))^2/$B$5))))&lt;0.000000001,0,AE223-$B$11/$B$9*((MAX(0,MIN(1,AE223))^2/(MAX(0,MIN(1,AE223))^2+(1-MAX(0,MIN(1,AE223)))^2/$B$5))-(MAX(0,MIN(1,AD223))^2/(MAX(0,MIN(1,AD223))^2+(1-MAX(0,MIN(1,AD223)))^2/$B$5))))</f>
        <v>0.84864021888549</v>
      </c>
      <c r="AF224" s="16" t="n">
        <f aca="false">IF(ABS(AF223-$B$11/$B$9*((MAX(0,MIN(1,AF223))^2/(MAX(0,MIN(1,AF223))^2+(1-MAX(0,MIN(1,AF223)))^2/$B$5))-(MAX(0,MIN(1,AE223))^2/(MAX(0,MIN(1,AE223))^2+(1-MAX(0,MIN(1,AE223)))^2/$B$5))))&lt;0.000000001,0,AF223-$B$11/$B$9*((MAX(0,MIN(1,AF223))^2/(MAX(0,MIN(1,AF223))^2+(1-MAX(0,MIN(1,AF223)))^2/$B$5))-(MAX(0,MIN(1,AE223))^2/(MAX(0,MIN(1,AE223))^2+(1-MAX(0,MIN(1,AE223)))^2/$B$5))))</f>
        <v>0.843553931129078</v>
      </c>
    </row>
    <row r="225" customFormat="false" ht="15" hidden="false" customHeight="false" outlineLevel="0" collapsed="false">
      <c r="L225" s="0" t="n">
        <v>215</v>
      </c>
      <c r="M225" s="16" t="n">
        <f aca="false">IF(ABS(M224-$B$11/$B$9*((MAX(0,MIN(1,M224))^2/(MAX(0,MIN(1,M224))^2+(1-MAX(0,MIN(1,M224)))^2/$B$5))-(MAX(0,MIN(1,1))^2/(MAX(0,MIN(1,1))^2+(1-MAX(0,MIN(1,1)))^2/$B$5))))&lt;0.000000001,0,M224-$B$11/$B$9*((MAX(0,MIN(1,M224))^2/(MAX(0,MIN(1,M224))^2+(1-MAX(0,MIN(1,M224)))^2/$B$5))-(MAX(0,MIN(1,1))^2/(MAX(0,MIN(1,1))^2+(1-MAX(0,MIN(1,1)))^2/$B$5))))</f>
        <v>0.979809748770078</v>
      </c>
      <c r="N225" s="16" t="n">
        <f aca="false">IF(ABS(N224-$B$11/$B$9*((MAX(0,MIN(1,N224))^2/(MAX(0,MIN(1,N224))^2+(1-MAX(0,MIN(1,N224)))^2/$B$5))-(MAX(0,MIN(1,M224))^2/(MAX(0,MIN(1,M224))^2+(1-MAX(0,MIN(1,M224)))^2/$B$5))))&lt;0.000000001,0,N224-$B$11/$B$9*((MAX(0,MIN(1,N224))^2/(MAX(0,MIN(1,N224))^2+(1-MAX(0,MIN(1,N224)))^2/$B$5))-(MAX(0,MIN(1,M224))^2/(MAX(0,MIN(1,M224))^2+(1-MAX(0,MIN(1,M224)))^2/$B$5))))</f>
        <v>0.968224979046454</v>
      </c>
      <c r="O225" s="16" t="n">
        <f aca="false">IF(ABS(O224-$B$11/$B$9*((MAX(0,MIN(1,O224))^2/(MAX(0,MIN(1,O224))^2+(1-MAX(0,MIN(1,O224)))^2/$B$5))-(MAX(0,MIN(1,N224))^2/(MAX(0,MIN(1,N224))^2+(1-MAX(0,MIN(1,N224)))^2/$B$5))))&lt;0.000000001,0,O224-$B$11/$B$9*((MAX(0,MIN(1,O224))^2/(MAX(0,MIN(1,O224))^2+(1-MAX(0,MIN(1,O224)))^2/$B$5))-(MAX(0,MIN(1,N224))^2/(MAX(0,MIN(1,N224))^2+(1-MAX(0,MIN(1,N224)))^2/$B$5))))</f>
        <v>0.958013140839257</v>
      </c>
      <c r="P225" s="16" t="n">
        <f aca="false">IF(ABS(P224-$B$11/$B$9*((MAX(0,MIN(1,P224))^2/(MAX(0,MIN(1,P224))^2+(1-MAX(0,MIN(1,P224)))^2/$B$5))-(MAX(0,MIN(1,O224))^2/(MAX(0,MIN(1,O224))^2+(1-MAX(0,MIN(1,O224)))^2/$B$5))))&lt;0.000000001,0,P224-$B$11/$B$9*((MAX(0,MIN(1,P224))^2/(MAX(0,MIN(1,P224))^2+(1-MAX(0,MIN(1,P224)))^2/$B$5))-(MAX(0,MIN(1,O224))^2/(MAX(0,MIN(1,O224))^2+(1-MAX(0,MIN(1,O224)))^2/$B$5))))</f>
        <v>0.948621885783834</v>
      </c>
      <c r="Q225" s="16" t="n">
        <f aca="false">IF(ABS(Q224-$B$11/$B$9*((MAX(0,MIN(1,Q224))^2/(MAX(0,MIN(1,Q224))^2+(1-MAX(0,MIN(1,Q224)))^2/$B$5))-(MAX(0,MIN(1,P224))^2/(MAX(0,MIN(1,P224))^2+(1-MAX(0,MIN(1,P224)))^2/$B$5))))&lt;0.000000001,0,Q224-$B$11/$B$9*((MAX(0,MIN(1,Q224))^2/(MAX(0,MIN(1,Q224))^2+(1-MAX(0,MIN(1,Q224)))^2/$B$5))-(MAX(0,MIN(1,P224))^2/(MAX(0,MIN(1,P224))^2+(1-MAX(0,MIN(1,P224)))^2/$B$5))))</f>
        <v>0.939835595992038</v>
      </c>
      <c r="R225" s="16" t="n">
        <f aca="false">IF(ABS(R224-$B$11/$B$9*((MAX(0,MIN(1,R224))^2/(MAX(0,MIN(1,R224))^2+(1-MAX(0,MIN(1,R224)))^2/$B$5))-(MAX(0,MIN(1,Q224))^2/(MAX(0,MIN(1,Q224))^2+(1-MAX(0,MIN(1,Q224)))^2/$B$5))))&lt;0.000000001,0,R224-$B$11/$B$9*((MAX(0,MIN(1,R224))^2/(MAX(0,MIN(1,R224))^2+(1-MAX(0,MIN(1,R224)))^2/$B$5))-(MAX(0,MIN(1,Q224))^2/(MAX(0,MIN(1,Q224))^2+(1-MAX(0,MIN(1,Q224)))^2/$B$5))))</f>
        <v>0.931537048771849</v>
      </c>
      <c r="S225" s="16" t="n">
        <f aca="false">IF(ABS(S224-$B$11/$B$9*((MAX(0,MIN(1,S224))^2/(MAX(0,MIN(1,S224))^2+(1-MAX(0,MIN(1,S224)))^2/$B$5))-(MAX(0,MIN(1,R224))^2/(MAX(0,MIN(1,R224))^2+(1-MAX(0,MIN(1,R224)))^2/$B$5))))&lt;0.000000001,0,S224-$B$11/$B$9*((MAX(0,MIN(1,S224))^2/(MAX(0,MIN(1,S224))^2+(1-MAX(0,MIN(1,S224)))^2/$B$5))-(MAX(0,MIN(1,R224))^2/(MAX(0,MIN(1,R224))^2+(1-MAX(0,MIN(1,R224)))^2/$B$5))))</f>
        <v>0.923650722340428</v>
      </c>
      <c r="T225" s="16" t="n">
        <f aca="false">IF(ABS(T224-$B$11/$B$9*((MAX(0,MIN(1,T224))^2/(MAX(0,MIN(1,T224))^2+(1-MAX(0,MIN(1,T224)))^2/$B$5))-(MAX(0,MIN(1,S224))^2/(MAX(0,MIN(1,S224))^2+(1-MAX(0,MIN(1,S224)))^2/$B$5))))&lt;0.000000001,0,T224-$B$11/$B$9*((MAX(0,MIN(1,T224))^2/(MAX(0,MIN(1,T224))^2+(1-MAX(0,MIN(1,T224)))^2/$B$5))-(MAX(0,MIN(1,S224))^2/(MAX(0,MIN(1,S224))^2+(1-MAX(0,MIN(1,S224)))^2/$B$5))))</f>
        <v>0.916122773014276</v>
      </c>
      <c r="U225" s="16" t="n">
        <f aca="false">IF(ABS(U224-$B$11/$B$9*((MAX(0,MIN(1,U224))^2/(MAX(0,MIN(1,U224))^2+(1-MAX(0,MIN(1,U224)))^2/$B$5))-(MAX(0,MIN(1,T224))^2/(MAX(0,MIN(1,T224))^2+(1-MAX(0,MIN(1,T224)))^2/$B$5))))&lt;0.000000001,0,U224-$B$11/$B$9*((MAX(0,MIN(1,U224))^2/(MAX(0,MIN(1,U224))^2+(1-MAX(0,MIN(1,U224)))^2/$B$5))-(MAX(0,MIN(1,T224))^2/(MAX(0,MIN(1,T224))^2+(1-MAX(0,MIN(1,T224)))^2/$B$5))))</f>
        <v>0.908912222219355</v>
      </c>
      <c r="V225" s="16" t="n">
        <f aca="false">IF(ABS(V224-$B$11/$B$9*((MAX(0,MIN(1,V224))^2/(MAX(0,MIN(1,V224))^2+(1-MAX(0,MIN(1,V224)))^2/$B$5))-(MAX(0,MIN(1,U224))^2/(MAX(0,MIN(1,U224))^2+(1-MAX(0,MIN(1,U224)))^2/$B$5))))&lt;0.000000001,0,V224-$B$11/$B$9*((MAX(0,MIN(1,V224))^2/(MAX(0,MIN(1,V224))^2+(1-MAX(0,MIN(1,V224)))^2/$B$5))-(MAX(0,MIN(1,U224))^2/(MAX(0,MIN(1,U224))^2+(1-MAX(0,MIN(1,U224)))^2/$B$5))))</f>
        <v>0.901986467587334</v>
      </c>
      <c r="W225" s="16" t="n">
        <f aca="false">IF(ABS(W224-$B$11/$B$9*((MAX(0,MIN(1,W224))^2/(MAX(0,MIN(1,W224))^2+(1-MAX(0,MIN(1,W224)))^2/$B$5))-(MAX(0,MIN(1,V224))^2/(MAX(0,MIN(1,V224))^2+(1-MAX(0,MIN(1,V224)))^2/$B$5))))&lt;0.000000001,0,W224-$B$11/$B$9*((MAX(0,MIN(1,W224))^2/(MAX(0,MIN(1,W224))^2+(1-MAX(0,MIN(1,W224)))^2/$B$5))-(MAX(0,MIN(1,V224))^2/(MAX(0,MIN(1,V224))^2+(1-MAX(0,MIN(1,V224)))^2/$B$5))))</f>
        <v>0.895318741891201</v>
      </c>
      <c r="X225" s="16" t="n">
        <f aca="false">IF(ABS(X224-$B$11/$B$9*((MAX(0,MIN(1,X224))^2/(MAX(0,MIN(1,X224))^2+(1-MAX(0,MIN(1,X224)))^2/$B$5))-(MAX(0,MIN(1,W224))^2/(MAX(0,MIN(1,W224))^2+(1-MAX(0,MIN(1,W224)))^2/$B$5))))&lt;0.000000001,0,X224-$B$11/$B$9*((MAX(0,MIN(1,X224))^2/(MAX(0,MIN(1,X224))^2+(1-MAX(0,MIN(1,X224)))^2/$B$5))-(MAX(0,MIN(1,W224))^2/(MAX(0,MIN(1,W224))^2+(1-MAX(0,MIN(1,W224)))^2/$B$5))))</f>
        <v>0.888886554413155</v>
      </c>
      <c r="Y225" s="16" t="n">
        <f aca="false">IF(ABS(Y224-$B$11/$B$9*((MAX(0,MIN(1,Y224))^2/(MAX(0,MIN(1,Y224))^2+(1-MAX(0,MIN(1,Y224)))^2/$B$5))-(MAX(0,MIN(1,X224))^2/(MAX(0,MIN(1,X224))^2+(1-MAX(0,MIN(1,X224)))^2/$B$5))))&lt;0.000000001,0,Y224-$B$11/$B$9*((MAX(0,MIN(1,Y224))^2/(MAX(0,MIN(1,Y224))^2+(1-MAX(0,MIN(1,Y224)))^2/$B$5))-(MAX(0,MIN(1,X224))^2/(MAX(0,MIN(1,X224))^2+(1-MAX(0,MIN(1,X224)))^2/$B$5))))</f>
        <v>0.882670672856449</v>
      </c>
      <c r="Z225" s="16" t="n">
        <f aca="false">IF(ABS(Z224-$B$11/$B$9*((MAX(0,MIN(1,Z224))^2/(MAX(0,MIN(1,Z224))^2+(1-MAX(0,MIN(1,Z224)))^2/$B$5))-(MAX(0,MIN(1,Y224))^2/(MAX(0,MIN(1,Y224))^2+(1-MAX(0,MIN(1,Y224)))^2/$B$5))))&lt;0.000000001,0,Z224-$B$11/$B$9*((MAX(0,MIN(1,Z224))^2/(MAX(0,MIN(1,Z224))^2+(1-MAX(0,MIN(1,Z224)))^2/$B$5))-(MAX(0,MIN(1,Y224))^2/(MAX(0,MIN(1,Y224))^2+(1-MAX(0,MIN(1,Y224)))^2/$B$5))))</f>
        <v>0.876654424041383</v>
      </c>
      <c r="AA225" s="16" t="n">
        <f aca="false">IF(ABS(AA224-$B$11/$B$9*((MAX(0,MIN(1,AA224))^2/(MAX(0,MIN(1,AA224))^2+(1-MAX(0,MIN(1,AA224)))^2/$B$5))-(MAX(0,MIN(1,Z224))^2/(MAX(0,MIN(1,Z224))^2+(1-MAX(0,MIN(1,Z224)))^2/$B$5))))&lt;0.000000001,0,AA224-$B$11/$B$9*((MAX(0,MIN(1,AA224))^2/(MAX(0,MIN(1,AA224))^2+(1-MAX(0,MIN(1,AA224)))^2/$B$5))-(MAX(0,MIN(1,Z224))^2/(MAX(0,MIN(1,Z224))^2+(1-MAX(0,MIN(1,Z224)))^2/$B$5))))</f>
        <v>0.870823193576355</v>
      </c>
      <c r="AB225" s="16" t="n">
        <f aca="false">IF(ABS(AB224-$B$11/$B$9*((MAX(0,MIN(1,AB224))^2/(MAX(0,MIN(1,AB224))^2+(1-MAX(0,MIN(1,AB224)))^2/$B$5))-(MAX(0,MIN(1,AA224))^2/(MAX(0,MIN(1,AA224))^2+(1-MAX(0,MIN(1,AA224)))^2/$B$5))))&lt;0.000000001,0,AB224-$B$11/$B$9*((MAX(0,MIN(1,AB224))^2/(MAX(0,MIN(1,AB224))^2+(1-MAX(0,MIN(1,AB224)))^2/$B$5))-(MAX(0,MIN(1,AA224))^2/(MAX(0,MIN(1,AA224))^2+(1-MAX(0,MIN(1,AA224)))^2/$B$5))))</f>
        <v>0.865164055720789</v>
      </c>
      <c r="AC225" s="16" t="n">
        <f aca="false">IF(ABS(AC224-$B$11/$B$9*((MAX(0,MIN(1,AC224))^2/(MAX(0,MIN(1,AC224))^2+(1-MAX(0,MIN(1,AC224)))^2/$B$5))-(MAX(0,MIN(1,AB224))^2/(MAX(0,MIN(1,AB224))^2+(1-MAX(0,MIN(1,AB224)))^2/$B$5))))&lt;0.000000001,0,AC224-$B$11/$B$9*((MAX(0,MIN(1,AC224))^2/(MAX(0,MIN(1,AC224))^2+(1-MAX(0,MIN(1,AC224)))^2/$B$5))-(MAX(0,MIN(1,AB224))^2/(MAX(0,MIN(1,AB224))^2+(1-MAX(0,MIN(1,AB224)))^2/$B$5))))</f>
        <v>0.859665491883124</v>
      </c>
      <c r="AD225" s="16" t="n">
        <f aca="false">IF(ABS(AD224-$B$11/$B$9*((MAX(0,MIN(1,AD224))^2/(MAX(0,MIN(1,AD224))^2+(1-MAX(0,MIN(1,AD224)))^2/$B$5))-(MAX(0,MIN(1,AC224))^2/(MAX(0,MIN(1,AC224))^2+(1-MAX(0,MIN(1,AC224)))^2/$B$5))))&lt;0.000000001,0,AD224-$B$11/$B$9*((MAX(0,MIN(1,AD224))^2/(MAX(0,MIN(1,AD224))^2+(1-MAX(0,MIN(1,AD224)))^2/$B$5))-(MAX(0,MIN(1,AC224))^2/(MAX(0,MIN(1,AC224))^2+(1-MAX(0,MIN(1,AC224)))^2/$B$5))))</f>
        <v>0.854317171529512</v>
      </c>
      <c r="AE225" s="16" t="n">
        <f aca="false">IF(ABS(AE224-$B$11/$B$9*((MAX(0,MIN(1,AE224))^2/(MAX(0,MIN(1,AE224))^2+(1-MAX(0,MIN(1,AE224)))^2/$B$5))-(MAX(0,MIN(1,AD224))^2/(MAX(0,MIN(1,AD224))^2+(1-MAX(0,MIN(1,AD224)))^2/$B$5))))&lt;0.000000001,0,AE224-$B$11/$B$9*((MAX(0,MIN(1,AE224))^2/(MAX(0,MIN(1,AE224))^2+(1-MAX(0,MIN(1,AE224)))^2/$B$5))-(MAX(0,MIN(1,AD224))^2/(MAX(0,MIN(1,AD224))^2+(1-MAX(0,MIN(1,AD224)))^2/$B$5))))</f>
        <v>0.84910977832187</v>
      </c>
      <c r="AF225" s="16" t="n">
        <f aca="false">IF(ABS(AF224-$B$11/$B$9*((MAX(0,MIN(1,AF224))^2/(MAX(0,MIN(1,AF224))^2+(1-MAX(0,MIN(1,AF224)))^2/$B$5))-(MAX(0,MIN(1,AE224))^2/(MAX(0,MIN(1,AE224))^2+(1-MAX(0,MIN(1,AE224)))^2/$B$5))))&lt;0.000000001,0,AF224-$B$11/$B$9*((MAX(0,MIN(1,AF224))^2/(MAX(0,MIN(1,AF224))^2+(1-MAX(0,MIN(1,AF224)))^2/$B$5))-(MAX(0,MIN(1,AE224))^2/(MAX(0,MIN(1,AE224))^2+(1-MAX(0,MIN(1,AE224)))^2/$B$5))))</f>
        <v>0.844034869855486</v>
      </c>
    </row>
    <row r="226" customFormat="false" ht="15" hidden="false" customHeight="false" outlineLevel="0" collapsed="false">
      <c r="L226" s="0" t="n">
        <v>216</v>
      </c>
      <c r="M226" s="16" t="n">
        <f aca="false">IF(ABS(M225-$B$11/$B$9*((MAX(0,MIN(1,M225))^2/(MAX(0,MIN(1,M225))^2+(1-MAX(0,MIN(1,M225)))^2/$B$5))-(MAX(0,MIN(1,1))^2/(MAX(0,MIN(1,1))^2+(1-MAX(0,MIN(1,1)))^2/$B$5))))&lt;0.000000001,0,M225-$B$11/$B$9*((MAX(0,MIN(1,M225))^2/(MAX(0,MIN(1,M225))^2+(1-MAX(0,MIN(1,M225)))^2/$B$5))-(MAX(0,MIN(1,1))^2/(MAX(0,MIN(1,1))^2+(1-MAX(0,MIN(1,1)))^2/$B$5))))</f>
        <v>0.979891371202874</v>
      </c>
      <c r="N226" s="16" t="n">
        <f aca="false">IF(ABS(N225-$B$11/$B$9*((MAX(0,MIN(1,N225))^2/(MAX(0,MIN(1,N225))^2+(1-MAX(0,MIN(1,N225)))^2/$B$5))-(MAX(0,MIN(1,M225))^2/(MAX(0,MIN(1,M225))^2+(1-MAX(0,MIN(1,M225)))^2/$B$5))))&lt;0.000000001,0,N225-$B$11/$B$9*((MAX(0,MIN(1,N225))^2/(MAX(0,MIN(1,N225))^2+(1-MAX(0,MIN(1,N225)))^2/$B$5))-(MAX(0,MIN(1,M225))^2/(MAX(0,MIN(1,M225))^2+(1-MAX(0,MIN(1,M225)))^2/$B$5))))</f>
        <v>0.968350316947367</v>
      </c>
      <c r="O226" s="16" t="n">
        <f aca="false">IF(ABS(O225-$B$11/$B$9*((MAX(0,MIN(1,O225))^2/(MAX(0,MIN(1,O225))^2+(1-MAX(0,MIN(1,O225)))^2/$B$5))-(MAX(0,MIN(1,N225))^2/(MAX(0,MIN(1,N225))^2+(1-MAX(0,MIN(1,N225)))^2/$B$5))))&lt;0.000000001,0,O225-$B$11/$B$9*((MAX(0,MIN(1,O225))^2/(MAX(0,MIN(1,O225))^2+(1-MAX(0,MIN(1,O225)))^2/$B$5))-(MAX(0,MIN(1,N225))^2/(MAX(0,MIN(1,N225))^2+(1-MAX(0,MIN(1,N225)))^2/$B$5))))</f>
        <v>0.958175131549036</v>
      </c>
      <c r="P226" s="16" t="n">
        <f aca="false">IF(ABS(P225-$B$11/$B$9*((MAX(0,MIN(1,P225))^2/(MAX(0,MIN(1,P225))^2+(1-MAX(0,MIN(1,P225)))^2/$B$5))-(MAX(0,MIN(1,O225))^2/(MAX(0,MIN(1,O225))^2+(1-MAX(0,MIN(1,O225)))^2/$B$5))))&lt;0.000000001,0,P225-$B$11/$B$9*((MAX(0,MIN(1,P225))^2/(MAX(0,MIN(1,P225))^2+(1-MAX(0,MIN(1,P225)))^2/$B$5))-(MAX(0,MIN(1,O225))^2/(MAX(0,MIN(1,O225))^2+(1-MAX(0,MIN(1,O225)))^2/$B$5))))</f>
        <v>0.948816099310975</v>
      </c>
      <c r="Q226" s="16" t="n">
        <f aca="false">IF(ABS(Q225-$B$11/$B$9*((MAX(0,MIN(1,Q225))^2/(MAX(0,MIN(1,Q225))^2+(1-MAX(0,MIN(1,Q225)))^2/$B$5))-(MAX(0,MIN(1,P225))^2/(MAX(0,MIN(1,P225))^2+(1-MAX(0,MIN(1,P225)))^2/$B$5))))&lt;0.000000001,0,Q225-$B$11/$B$9*((MAX(0,MIN(1,Q225))^2/(MAX(0,MIN(1,Q225))^2+(1-MAX(0,MIN(1,Q225)))^2/$B$5))-(MAX(0,MIN(1,P225))^2/(MAX(0,MIN(1,P225))^2+(1-MAX(0,MIN(1,P225)))^2/$B$5))))</f>
        <v>0.94005873144524</v>
      </c>
      <c r="R226" s="16" t="n">
        <f aca="false">IF(ABS(R225-$B$11/$B$9*((MAX(0,MIN(1,R225))^2/(MAX(0,MIN(1,R225))^2+(1-MAX(0,MIN(1,R225)))^2/$B$5))-(MAX(0,MIN(1,Q225))^2/(MAX(0,MIN(1,Q225))^2+(1-MAX(0,MIN(1,Q225)))^2/$B$5))))&lt;0.000000001,0,R225-$B$11/$B$9*((MAX(0,MIN(1,R225))^2/(MAX(0,MIN(1,R225))^2+(1-MAX(0,MIN(1,R225)))^2/$B$5))-(MAX(0,MIN(1,Q225))^2/(MAX(0,MIN(1,Q225))^2+(1-MAX(0,MIN(1,Q225)))^2/$B$5))))</f>
        <v>0.931786466534117</v>
      </c>
      <c r="S226" s="16" t="n">
        <f aca="false">IF(ABS(S225-$B$11/$B$9*((MAX(0,MIN(1,S225))^2/(MAX(0,MIN(1,S225))^2+(1-MAX(0,MIN(1,S225)))^2/$B$5))-(MAX(0,MIN(1,R225))^2/(MAX(0,MIN(1,R225))^2+(1-MAX(0,MIN(1,R225)))^2/$B$5))))&lt;0.000000001,0,S225-$B$11/$B$9*((MAX(0,MIN(1,S225))^2/(MAX(0,MIN(1,S225))^2+(1-MAX(0,MIN(1,S225)))^2/$B$5))-(MAX(0,MIN(1,R225))^2/(MAX(0,MIN(1,R225))^2+(1-MAX(0,MIN(1,R225)))^2/$B$5))))</f>
        <v>0.923924231494843</v>
      </c>
      <c r="T226" s="16" t="n">
        <f aca="false">IF(ABS(T225-$B$11/$B$9*((MAX(0,MIN(1,T225))^2/(MAX(0,MIN(1,T225))^2+(1-MAX(0,MIN(1,T225)))^2/$B$5))-(MAX(0,MIN(1,S225))^2/(MAX(0,MIN(1,S225))^2+(1-MAX(0,MIN(1,S225)))^2/$B$5))))&lt;0.000000001,0,T225-$B$11/$B$9*((MAX(0,MIN(1,T225))^2/(MAX(0,MIN(1,T225))^2+(1-MAX(0,MIN(1,T225)))^2/$B$5))-(MAX(0,MIN(1,S225))^2/(MAX(0,MIN(1,S225))^2+(1-MAX(0,MIN(1,S225)))^2/$B$5))))</f>
        <v>0.916418513061655</v>
      </c>
      <c r="U226" s="16" t="n">
        <f aca="false">IF(ABS(U225-$B$11/$B$9*((MAX(0,MIN(1,U225))^2/(MAX(0,MIN(1,U225))^2+(1-MAX(0,MIN(1,U225)))^2/$B$5))-(MAX(0,MIN(1,T225))^2/(MAX(0,MIN(1,T225))^2+(1-MAX(0,MIN(1,T225)))^2/$B$5))))&lt;0.000000001,0,U225-$B$11/$B$9*((MAX(0,MIN(1,U225))^2/(MAX(0,MIN(1,U225))^2+(1-MAX(0,MIN(1,U225)))^2/$B$5))-(MAX(0,MIN(1,T225))^2/(MAX(0,MIN(1,T225))^2+(1-MAX(0,MIN(1,T225)))^2/$B$5))))</f>
        <v>0.909228588518099</v>
      </c>
      <c r="V226" s="16" t="n">
        <f aca="false">IF(ABS(V225-$B$11/$B$9*((MAX(0,MIN(1,V225))^2/(MAX(0,MIN(1,V225))^2+(1-MAX(0,MIN(1,V225)))^2/$B$5))-(MAX(0,MIN(1,U225))^2/(MAX(0,MIN(1,U225))^2+(1-MAX(0,MIN(1,U225)))^2/$B$5))))&lt;0.000000001,0,V225-$B$11/$B$9*((MAX(0,MIN(1,V225))^2/(MAX(0,MIN(1,V225))^2+(1-MAX(0,MIN(1,V225)))^2/$B$5))-(MAX(0,MIN(1,U225))^2/(MAX(0,MIN(1,U225))^2+(1-MAX(0,MIN(1,U225)))^2/$B$5))))</f>
        <v>0.902322060333174</v>
      </c>
      <c r="W226" s="16" t="n">
        <f aca="false">IF(ABS(W225-$B$11/$B$9*((MAX(0,MIN(1,W225))^2/(MAX(0,MIN(1,W225))^2+(1-MAX(0,MIN(1,W225)))^2/$B$5))-(MAX(0,MIN(1,V225))^2/(MAX(0,MIN(1,V225))^2+(1-MAX(0,MIN(1,V225)))^2/$B$5))))&lt;0.000000001,0,W225-$B$11/$B$9*((MAX(0,MIN(1,W225))^2/(MAX(0,MIN(1,W225))^2+(1-MAX(0,MIN(1,W225)))^2/$B$5))-(MAX(0,MIN(1,V225))^2/(MAX(0,MIN(1,V225))^2+(1-MAX(0,MIN(1,V225)))^2/$B$5))))</f>
        <v>0.89567232917536</v>
      </c>
      <c r="X226" s="16" t="n">
        <f aca="false">IF(ABS(X225-$B$11/$B$9*((MAX(0,MIN(1,X225))^2/(MAX(0,MIN(1,X225))^2+(1-MAX(0,MIN(1,X225)))^2/$B$5))-(MAX(0,MIN(1,W225))^2/(MAX(0,MIN(1,W225))^2+(1-MAX(0,MIN(1,W225)))^2/$B$5))))&lt;0.000000001,0,X225-$B$11/$B$9*((MAX(0,MIN(1,X225))^2/(MAX(0,MIN(1,X225))^2+(1-MAX(0,MIN(1,X225)))^2/$B$5))-(MAX(0,MIN(1,W225))^2/(MAX(0,MIN(1,W225))^2+(1-MAX(0,MIN(1,W225)))^2/$B$5))))</f>
        <v>0.889257044371543</v>
      </c>
      <c r="Y226" s="16" t="n">
        <f aca="false">IF(ABS(Y225-$B$11/$B$9*((MAX(0,MIN(1,Y225))^2/(MAX(0,MIN(1,Y225))^2+(1-MAX(0,MIN(1,Y225)))^2/$B$5))-(MAX(0,MIN(1,X225))^2/(MAX(0,MIN(1,X225))^2+(1-MAX(0,MIN(1,X225)))^2/$B$5))))&lt;0.000000001,0,Y225-$B$11/$B$9*((MAX(0,MIN(1,Y225))^2/(MAX(0,MIN(1,Y225))^2+(1-MAX(0,MIN(1,Y225)))^2/$B$5))-(MAX(0,MIN(1,X225))^2/(MAX(0,MIN(1,X225))^2+(1-MAX(0,MIN(1,X225)))^2/$B$5))))</f>
        <v>0.883057092035787</v>
      </c>
      <c r="Z226" s="16" t="n">
        <f aca="false">IF(ABS(Z225-$B$11/$B$9*((MAX(0,MIN(1,Z225))^2/(MAX(0,MIN(1,Z225))^2+(1-MAX(0,MIN(1,Z225)))^2/$B$5))-(MAX(0,MIN(1,Y225))^2/(MAX(0,MIN(1,Y225))^2+(1-MAX(0,MIN(1,Y225)))^2/$B$5))))&lt;0.000000001,0,Z225-$B$11/$B$9*((MAX(0,MIN(1,Z225))^2/(MAX(0,MIN(1,Z225))^2+(1-MAX(0,MIN(1,Z225)))^2/$B$5))-(MAX(0,MIN(1,Y225))^2/(MAX(0,MIN(1,Y225))^2+(1-MAX(0,MIN(1,Y225)))^2/$B$5))))</f>
        <v>0.87705590020679</v>
      </c>
      <c r="AA226" s="16" t="n">
        <f aca="false">IF(ABS(AA225-$B$11/$B$9*((MAX(0,MIN(1,AA225))^2/(MAX(0,MIN(1,AA225))^2+(1-MAX(0,MIN(1,AA225)))^2/$B$5))-(MAX(0,MIN(1,Z225))^2/(MAX(0,MIN(1,Z225))^2+(1-MAX(0,MIN(1,Z225)))^2/$B$5))))&lt;0.000000001,0,AA225-$B$11/$B$9*((MAX(0,MIN(1,AA225))^2/(MAX(0,MIN(1,AA225))^2+(1-MAX(0,MIN(1,AA225)))^2/$B$5))-(MAX(0,MIN(1,Z225))^2/(MAX(0,MIN(1,Z225))^2+(1-MAX(0,MIN(1,Z225)))^2/$B$5))))</f>
        <v>0.871238941801597</v>
      </c>
      <c r="AB226" s="16" t="n">
        <f aca="false">IF(ABS(AB225-$B$11/$B$9*((MAX(0,MIN(1,AB225))^2/(MAX(0,MIN(1,AB225))^2+(1-MAX(0,MIN(1,AB225)))^2/$B$5))-(MAX(0,MIN(1,AA225))^2/(MAX(0,MIN(1,AA225))^2+(1-MAX(0,MIN(1,AA225)))^2/$B$5))))&lt;0.000000001,0,AB225-$B$11/$B$9*((MAX(0,MIN(1,AB225))^2/(MAX(0,MIN(1,AB225))^2+(1-MAX(0,MIN(1,AB225)))^2/$B$5))-(MAX(0,MIN(1,AA225))^2/(MAX(0,MIN(1,AA225))^2+(1-MAX(0,MIN(1,AA225)))^2/$B$5))))</f>
        <v>0.865593366970833</v>
      </c>
      <c r="AC226" s="16" t="n">
        <f aca="false">IF(ABS(AC225-$B$11/$B$9*((MAX(0,MIN(1,AC225))^2/(MAX(0,MIN(1,AC225))^2+(1-MAX(0,MIN(1,AC225)))^2/$B$5))-(MAX(0,MIN(1,AB225))^2/(MAX(0,MIN(1,AB225))^2+(1-MAX(0,MIN(1,AB225)))^2/$B$5))))&lt;0.000000001,0,AC225-$B$11/$B$9*((MAX(0,MIN(1,AC225))^2/(MAX(0,MIN(1,AC225))^2+(1-MAX(0,MIN(1,AC225)))^2/$B$5))-(MAX(0,MIN(1,AB225))^2/(MAX(0,MIN(1,AB225))^2+(1-MAX(0,MIN(1,AB225)))^2/$B$5))))</f>
        <v>0.860107723530256</v>
      </c>
      <c r="AD226" s="16" t="n">
        <f aca="false">IF(ABS(AD225-$B$11/$B$9*((MAX(0,MIN(1,AD225))^2/(MAX(0,MIN(1,AD225))^2+(1-MAX(0,MIN(1,AD225)))^2/$B$5))-(MAX(0,MIN(1,AC225))^2/(MAX(0,MIN(1,AC225))^2+(1-MAX(0,MIN(1,AC225)))^2/$B$5))))&lt;0.000000001,0,AD225-$B$11/$B$9*((MAX(0,MIN(1,AD225))^2/(MAX(0,MIN(1,AD225))^2+(1-MAX(0,MIN(1,AD225)))^2/$B$5))-(MAX(0,MIN(1,AC225))^2/(MAX(0,MIN(1,AC225))^2+(1-MAX(0,MIN(1,AC225)))^2/$B$5))))</f>
        <v>0.85477173939644</v>
      </c>
      <c r="AE226" s="16" t="n">
        <f aca="false">IF(ABS(AE225-$B$11/$B$9*((MAX(0,MIN(1,AE225))^2/(MAX(0,MIN(1,AE225))^2+(1-MAX(0,MIN(1,AE225)))^2/$B$5))-(MAX(0,MIN(1,AD225))^2/(MAX(0,MIN(1,AD225))^2+(1-MAX(0,MIN(1,AD225)))^2/$B$5))))&lt;0.000000001,0,AE225-$B$11/$B$9*((MAX(0,MIN(1,AE225))^2/(MAX(0,MIN(1,AE225))^2+(1-MAX(0,MIN(1,AE225)))^2/$B$5))-(MAX(0,MIN(1,AD225))^2/(MAX(0,MIN(1,AD225))^2+(1-MAX(0,MIN(1,AD225)))^2/$B$5))))</f>
        <v>0.849576149948614</v>
      </c>
      <c r="AF226" s="16" t="n">
        <f aca="false">IF(ABS(AF225-$B$11/$B$9*((MAX(0,MIN(1,AF225))^2/(MAX(0,MIN(1,AF225))^2+(1-MAX(0,MIN(1,AF225)))^2/$B$5))-(MAX(0,MIN(1,AE225))^2/(MAX(0,MIN(1,AE225))^2+(1-MAX(0,MIN(1,AE225)))^2/$B$5))))&lt;0.000000001,0,AF225-$B$11/$B$9*((MAX(0,MIN(1,AF225))^2/(MAX(0,MIN(1,AF225))^2+(1-MAX(0,MIN(1,AF225)))^2/$B$5))-(MAX(0,MIN(1,AE225))^2/(MAX(0,MIN(1,AE225))^2+(1-MAX(0,MIN(1,AE225)))^2/$B$5))))</f>
        <v>0.844512558759423</v>
      </c>
    </row>
    <row r="227" customFormat="false" ht="15" hidden="false" customHeight="false" outlineLevel="0" collapsed="false">
      <c r="L227" s="0" t="n">
        <v>217</v>
      </c>
      <c r="M227" s="16" t="n">
        <f aca="false">IF(ABS(M226-$B$11/$B$9*((MAX(0,MIN(1,M226))^2/(MAX(0,MIN(1,M226))^2+(1-MAX(0,MIN(1,M226)))^2/$B$5))-(MAX(0,MIN(1,1))^2/(MAX(0,MIN(1,1))^2+(1-MAX(0,MIN(1,1)))^2/$B$5))))&lt;0.000000001,0,M226-$B$11/$B$9*((MAX(0,MIN(1,M226))^2/(MAX(0,MIN(1,M226))^2+(1-MAX(0,MIN(1,M226)))^2/$B$5))-(MAX(0,MIN(1,1))^2/(MAX(0,MIN(1,1))^2+(1-MAX(0,MIN(1,1)))^2/$B$5))))</f>
        <v>0.979972321679139</v>
      </c>
      <c r="N227" s="16" t="n">
        <f aca="false">IF(ABS(N226-$B$11/$B$9*((MAX(0,MIN(1,N226))^2/(MAX(0,MIN(1,N226))^2+(1-MAX(0,MIN(1,N226)))^2/$B$5))-(MAX(0,MIN(1,M226))^2/(MAX(0,MIN(1,M226))^2+(1-MAX(0,MIN(1,M226)))^2/$B$5))))&lt;0.000000001,0,N226-$B$11/$B$9*((MAX(0,MIN(1,N226))^2/(MAX(0,MIN(1,N226))^2+(1-MAX(0,MIN(1,N226)))^2/$B$5))-(MAX(0,MIN(1,M226))^2/(MAX(0,MIN(1,M226))^2+(1-MAX(0,MIN(1,M226)))^2/$B$5))))</f>
        <v>0.968474645045526</v>
      </c>
      <c r="O227" s="16" t="n">
        <f aca="false">IF(ABS(O226-$B$11/$B$9*((MAX(0,MIN(1,O226))^2/(MAX(0,MIN(1,O226))^2+(1-MAX(0,MIN(1,O226)))^2/$B$5))-(MAX(0,MIN(1,N226))^2/(MAX(0,MIN(1,N226))^2+(1-MAX(0,MIN(1,N226)))^2/$B$5))))&lt;0.000000001,0,O226-$B$11/$B$9*((MAX(0,MIN(1,O226))^2/(MAX(0,MIN(1,O226))^2+(1-MAX(0,MIN(1,O226)))^2/$B$5))-(MAX(0,MIN(1,N226))^2/(MAX(0,MIN(1,N226))^2+(1-MAX(0,MIN(1,N226)))^2/$B$5))))</f>
        <v>0.958335841631178</v>
      </c>
      <c r="P227" s="16" t="n">
        <f aca="false">IF(ABS(P226-$B$11/$B$9*((MAX(0,MIN(1,P226))^2/(MAX(0,MIN(1,P226))^2+(1-MAX(0,MIN(1,P226)))^2/$B$5))-(MAX(0,MIN(1,O226))^2/(MAX(0,MIN(1,O226))^2+(1-MAX(0,MIN(1,O226)))^2/$B$5))))&lt;0.000000001,0,P226-$B$11/$B$9*((MAX(0,MIN(1,P226))^2/(MAX(0,MIN(1,P226))^2+(1-MAX(0,MIN(1,P226)))^2/$B$5))-(MAX(0,MIN(1,O226))^2/(MAX(0,MIN(1,O226))^2+(1-MAX(0,MIN(1,O226)))^2/$B$5))))</f>
        <v>0.949008803375725</v>
      </c>
      <c r="Q227" s="16" t="n">
        <f aca="false">IF(ABS(Q226-$B$11/$B$9*((MAX(0,MIN(1,Q226))^2/(MAX(0,MIN(1,Q226))^2+(1-MAX(0,MIN(1,Q226)))^2/$B$5))-(MAX(0,MIN(1,P226))^2/(MAX(0,MIN(1,P226))^2+(1-MAX(0,MIN(1,P226)))^2/$B$5))))&lt;0.000000001,0,Q226-$B$11/$B$9*((MAX(0,MIN(1,Q226))^2/(MAX(0,MIN(1,Q226))^2+(1-MAX(0,MIN(1,Q226)))^2/$B$5))-(MAX(0,MIN(1,P226))^2/(MAX(0,MIN(1,P226))^2+(1-MAX(0,MIN(1,P226)))^2/$B$5))))</f>
        <v>0.940280159256251</v>
      </c>
      <c r="R227" s="16" t="n">
        <f aca="false">IF(ABS(R226-$B$11/$B$9*((MAX(0,MIN(1,R226))^2/(MAX(0,MIN(1,R226))^2+(1-MAX(0,MIN(1,R226)))^2/$B$5))-(MAX(0,MIN(1,Q226))^2/(MAX(0,MIN(1,Q226))^2+(1-MAX(0,MIN(1,Q226)))^2/$B$5))))&lt;0.000000001,0,R226-$B$11/$B$9*((MAX(0,MIN(1,R226))^2/(MAX(0,MIN(1,R226))^2+(1-MAX(0,MIN(1,R226)))^2/$B$5))-(MAX(0,MIN(1,Q226))^2/(MAX(0,MIN(1,Q226))^2+(1-MAX(0,MIN(1,Q226)))^2/$B$5))))</f>
        <v>0.93203400230832</v>
      </c>
      <c r="S227" s="16" t="n">
        <f aca="false">IF(ABS(S226-$B$11/$B$9*((MAX(0,MIN(1,S226))^2/(MAX(0,MIN(1,S226))^2+(1-MAX(0,MIN(1,S226)))^2/$B$5))-(MAX(0,MIN(1,R226))^2/(MAX(0,MIN(1,R226))^2+(1-MAX(0,MIN(1,R226)))^2/$B$5))))&lt;0.000000001,0,S226-$B$11/$B$9*((MAX(0,MIN(1,S226))^2/(MAX(0,MIN(1,S226))^2+(1-MAX(0,MIN(1,S226)))^2/$B$5))-(MAX(0,MIN(1,R226))^2/(MAX(0,MIN(1,R226))^2+(1-MAX(0,MIN(1,R226)))^2/$B$5))))</f>
        <v>0.924195703486144</v>
      </c>
      <c r="T227" s="16" t="n">
        <f aca="false">IF(ABS(T226-$B$11/$B$9*((MAX(0,MIN(1,T226))^2/(MAX(0,MIN(1,T226))^2+(1-MAX(0,MIN(1,T226)))^2/$B$5))-(MAX(0,MIN(1,S226))^2/(MAX(0,MIN(1,S226))^2+(1-MAX(0,MIN(1,S226)))^2/$B$5))))&lt;0.000000001,0,T226-$B$11/$B$9*((MAX(0,MIN(1,T226))^2/(MAX(0,MIN(1,T226))^2+(1-MAX(0,MIN(1,T226)))^2/$B$5))-(MAX(0,MIN(1,S226))^2/(MAX(0,MIN(1,S226))^2+(1-MAX(0,MIN(1,S226)))^2/$B$5))))</f>
        <v>0.91671207652528</v>
      </c>
      <c r="U227" s="16" t="n">
        <f aca="false">IF(ABS(U226-$B$11/$B$9*((MAX(0,MIN(1,U226))^2/(MAX(0,MIN(1,U226))^2+(1-MAX(0,MIN(1,U226)))^2/$B$5))-(MAX(0,MIN(1,T226))^2/(MAX(0,MIN(1,T226))^2+(1-MAX(0,MIN(1,T226)))^2/$B$5))))&lt;0.000000001,0,U226-$B$11/$B$9*((MAX(0,MIN(1,U226))^2/(MAX(0,MIN(1,U226))^2+(1-MAX(0,MIN(1,U226)))^2/$B$5))-(MAX(0,MIN(1,T226))^2/(MAX(0,MIN(1,T226))^2+(1-MAX(0,MIN(1,T226)))^2/$B$5))))</f>
        <v>0.909542651955084</v>
      </c>
      <c r="V227" s="16" t="n">
        <f aca="false">IF(ABS(V226-$B$11/$B$9*((MAX(0,MIN(1,V226))^2/(MAX(0,MIN(1,V226))^2+(1-MAX(0,MIN(1,V226)))^2/$B$5))-(MAX(0,MIN(1,U226))^2/(MAX(0,MIN(1,U226))^2+(1-MAX(0,MIN(1,U226)))^2/$B$5))))&lt;0.000000001,0,V226-$B$11/$B$9*((MAX(0,MIN(1,V226))^2/(MAX(0,MIN(1,V226))^2+(1-MAX(0,MIN(1,V226)))^2/$B$5))-(MAX(0,MIN(1,U226))^2/(MAX(0,MIN(1,U226))^2+(1-MAX(0,MIN(1,U226)))^2/$B$5))))</f>
        <v>0.902655235027181</v>
      </c>
      <c r="W227" s="16" t="n">
        <f aca="false">IF(ABS(W226-$B$11/$B$9*((MAX(0,MIN(1,W226))^2/(MAX(0,MIN(1,W226))^2+(1-MAX(0,MIN(1,W226)))^2/$B$5))-(MAX(0,MIN(1,V226))^2/(MAX(0,MIN(1,V226))^2+(1-MAX(0,MIN(1,V226)))^2/$B$5))))&lt;0.000000001,0,W226-$B$11/$B$9*((MAX(0,MIN(1,W226))^2/(MAX(0,MIN(1,W226))^2+(1-MAX(0,MIN(1,W226)))^2/$B$5))-(MAX(0,MIN(1,V226))^2/(MAX(0,MIN(1,V226))^2+(1-MAX(0,MIN(1,V226)))^2/$B$5))))</f>
        <v>0.896023392655153</v>
      </c>
      <c r="X227" s="16" t="n">
        <f aca="false">IF(ABS(X226-$B$11/$B$9*((MAX(0,MIN(1,X226))^2/(MAX(0,MIN(1,X226))^2+(1-MAX(0,MIN(1,X226)))^2/$B$5))-(MAX(0,MIN(1,W226))^2/(MAX(0,MIN(1,W226))^2+(1-MAX(0,MIN(1,W226)))^2/$B$5))))&lt;0.000000001,0,X226-$B$11/$B$9*((MAX(0,MIN(1,X226))^2/(MAX(0,MIN(1,X226))^2+(1-MAX(0,MIN(1,X226)))^2/$B$5))-(MAX(0,MIN(1,W226))^2/(MAX(0,MIN(1,W226))^2+(1-MAX(0,MIN(1,W226)))^2/$B$5))))</f>
        <v>0.889624912863623</v>
      </c>
      <c r="Y227" s="16" t="n">
        <f aca="false">IF(ABS(Y226-$B$11/$B$9*((MAX(0,MIN(1,Y226))^2/(MAX(0,MIN(1,Y226))^2+(1-MAX(0,MIN(1,Y226)))^2/$B$5))-(MAX(0,MIN(1,X226))^2/(MAX(0,MIN(1,X226))^2+(1-MAX(0,MIN(1,X226)))^2/$B$5))))&lt;0.000000001,0,Y226-$B$11/$B$9*((MAX(0,MIN(1,Y226))^2/(MAX(0,MIN(1,Y226))^2+(1-MAX(0,MIN(1,Y226)))^2/$B$5))-(MAX(0,MIN(1,X226))^2/(MAX(0,MIN(1,X226))^2+(1-MAX(0,MIN(1,X226)))^2/$B$5))))</f>
        <v>0.883440799063983</v>
      </c>
      <c r="Z227" s="16" t="n">
        <f aca="false">IF(ABS(Z226-$B$11/$B$9*((MAX(0,MIN(1,Z226))^2/(MAX(0,MIN(1,Z226))^2+(1-MAX(0,MIN(1,Z226)))^2/$B$5))-(MAX(0,MIN(1,Y226))^2/(MAX(0,MIN(1,Y226))^2+(1-MAX(0,MIN(1,Y226)))^2/$B$5))))&lt;0.000000001,0,Z226-$B$11/$B$9*((MAX(0,MIN(1,Z226))^2/(MAX(0,MIN(1,Z226))^2+(1-MAX(0,MIN(1,Z226)))^2/$B$5))-(MAX(0,MIN(1,Y226))^2/(MAX(0,MIN(1,Y226))^2+(1-MAX(0,MIN(1,Y226)))^2/$B$5))))</f>
        <v>0.87745457958296</v>
      </c>
      <c r="AA227" s="16" t="n">
        <f aca="false">IF(ABS(AA226-$B$11/$B$9*((MAX(0,MIN(1,AA226))^2/(MAX(0,MIN(1,AA226))^2+(1-MAX(0,MIN(1,AA226)))^2/$B$5))-(MAX(0,MIN(1,Z226))^2/(MAX(0,MIN(1,Z226))^2+(1-MAX(0,MIN(1,Z226)))^2/$B$5))))&lt;0.000000001,0,AA226-$B$11/$B$9*((MAX(0,MIN(1,AA226))^2/(MAX(0,MIN(1,AA226))^2+(1-MAX(0,MIN(1,AA226)))^2/$B$5))-(MAX(0,MIN(1,Z226))^2/(MAX(0,MIN(1,Z226))^2+(1-MAX(0,MIN(1,Z226)))^2/$B$5))))</f>
        <v>0.871651813861752</v>
      </c>
      <c r="AB227" s="16" t="n">
        <f aca="false">IF(ABS(AB226-$B$11/$B$9*((MAX(0,MIN(1,AB226))^2/(MAX(0,MIN(1,AB226))^2+(1-MAX(0,MIN(1,AB226)))^2/$B$5))-(MAX(0,MIN(1,AA226))^2/(MAX(0,MIN(1,AA226))^2+(1-MAX(0,MIN(1,AA226)))^2/$B$5))))&lt;0.000000001,0,AB226-$B$11/$B$9*((MAX(0,MIN(1,AB226))^2/(MAX(0,MIN(1,AB226))^2+(1-MAX(0,MIN(1,AB226)))^2/$B$5))-(MAX(0,MIN(1,AA226))^2/(MAX(0,MIN(1,AA226))^2+(1-MAX(0,MIN(1,AA226)))^2/$B$5))))</f>
        <v>0.866019727275321</v>
      </c>
      <c r="AC227" s="16" t="n">
        <f aca="false">IF(ABS(AC226-$B$11/$B$9*((MAX(0,MIN(1,AC226))^2/(MAX(0,MIN(1,AC226))^2+(1-MAX(0,MIN(1,AC226)))^2/$B$5))-(MAX(0,MIN(1,AB226))^2/(MAX(0,MIN(1,AB226))^2+(1-MAX(0,MIN(1,AB226)))^2/$B$5))))&lt;0.000000001,0,AC226-$B$11/$B$9*((MAX(0,MIN(1,AC226))^2/(MAX(0,MIN(1,AC226))^2+(1-MAX(0,MIN(1,AC226)))^2/$B$5))-(MAX(0,MIN(1,AB226))^2/(MAX(0,MIN(1,AB226))^2+(1-MAX(0,MIN(1,AB226)))^2/$B$5))))</f>
        <v>0.860546933475815</v>
      </c>
      <c r="AD227" s="16" t="n">
        <f aca="false">IF(ABS(AD226-$B$11/$B$9*((MAX(0,MIN(1,AD226))^2/(MAX(0,MIN(1,AD226))^2+(1-MAX(0,MIN(1,AD226)))^2/$B$5))-(MAX(0,MIN(1,AC226))^2/(MAX(0,MIN(1,AC226))^2+(1-MAX(0,MIN(1,AC226)))^2/$B$5))))&lt;0.000000001,0,AD226-$B$11/$B$9*((MAX(0,MIN(1,AD226))^2/(MAX(0,MIN(1,AD226))^2+(1-MAX(0,MIN(1,AD226)))^2/$B$5))-(MAX(0,MIN(1,AC226))^2/(MAX(0,MIN(1,AC226))^2+(1-MAX(0,MIN(1,AC226)))^2/$B$5))))</f>
        <v>0.855223218338192</v>
      </c>
      <c r="AE227" s="16" t="n">
        <f aca="false">IF(ABS(AE226-$B$11/$B$9*((MAX(0,MIN(1,AE226))^2/(MAX(0,MIN(1,AE226))^2+(1-MAX(0,MIN(1,AE226)))^2/$B$5))-(MAX(0,MIN(1,AD226))^2/(MAX(0,MIN(1,AD226))^2+(1-MAX(0,MIN(1,AD226)))^2/$B$5))))&lt;0.000000001,0,AE226-$B$11/$B$9*((MAX(0,MIN(1,AE226))^2/(MAX(0,MIN(1,AE226))^2+(1-MAX(0,MIN(1,AE226)))^2/$B$5))-(MAX(0,MIN(1,AD226))^2/(MAX(0,MIN(1,AD226))^2+(1-MAX(0,MIN(1,AD226)))^2/$B$5))))</f>
        <v>0.850039368532392</v>
      </c>
      <c r="AF227" s="16" t="n">
        <f aca="false">IF(ABS(AF226-$B$11/$B$9*((MAX(0,MIN(1,AF226))^2/(MAX(0,MIN(1,AF226))^2+(1-MAX(0,MIN(1,AF226)))^2/$B$5))-(MAX(0,MIN(1,AE226))^2/(MAX(0,MIN(1,AE226))^2+(1-MAX(0,MIN(1,AE226)))^2/$B$5))))&lt;0.000000001,0,AF226-$B$11/$B$9*((MAX(0,MIN(1,AF226))^2/(MAX(0,MIN(1,AF226))^2+(1-MAX(0,MIN(1,AF226)))^2/$B$5))-(MAX(0,MIN(1,AE226))^2/(MAX(0,MIN(1,AE226))^2+(1-MAX(0,MIN(1,AE226)))^2/$B$5))))</f>
        <v>0.844987033236446</v>
      </c>
    </row>
    <row r="228" customFormat="false" ht="15" hidden="false" customHeight="false" outlineLevel="0" collapsed="false">
      <c r="L228" s="0" t="n">
        <v>218</v>
      </c>
      <c r="M228" s="16" t="n">
        <f aca="false">IF(ABS(M227-$B$11/$B$9*((MAX(0,MIN(1,M227))^2/(MAX(0,MIN(1,M227))^2+(1-MAX(0,MIN(1,M227)))^2/$B$5))-(MAX(0,MIN(1,1))^2/(MAX(0,MIN(1,1))^2+(1-MAX(0,MIN(1,1)))^2/$B$5))))&lt;0.000000001,0,M227-$B$11/$B$9*((MAX(0,MIN(1,M227))^2/(MAX(0,MIN(1,M227))^2+(1-MAX(0,MIN(1,M227)))^2/$B$5))-(MAX(0,MIN(1,1))^2/(MAX(0,MIN(1,1))^2+(1-MAX(0,MIN(1,1)))^2/$B$5))))</f>
        <v>0.980052608582085</v>
      </c>
      <c r="N228" s="16" t="n">
        <f aca="false">IF(ABS(N227-$B$11/$B$9*((MAX(0,MIN(1,N227))^2/(MAX(0,MIN(1,N227))^2+(1-MAX(0,MIN(1,N227)))^2/$B$5))-(MAX(0,MIN(1,M227))^2/(MAX(0,MIN(1,M227))^2+(1-MAX(0,MIN(1,M227)))^2/$B$5))))&lt;0.000000001,0,N227-$B$11/$B$9*((MAX(0,MIN(1,N227))^2/(MAX(0,MIN(1,N227))^2+(1-MAX(0,MIN(1,N227)))^2/$B$5))-(MAX(0,MIN(1,M227))^2/(MAX(0,MIN(1,M227))^2+(1-MAX(0,MIN(1,M227)))^2/$B$5))))</f>
        <v>0.968597975701875</v>
      </c>
      <c r="O228" s="16" t="n">
        <f aca="false">IF(ABS(O227-$B$11/$B$9*((MAX(0,MIN(1,O227))^2/(MAX(0,MIN(1,O227))^2+(1-MAX(0,MIN(1,O227)))^2/$B$5))-(MAX(0,MIN(1,N227))^2/(MAX(0,MIN(1,N227))^2+(1-MAX(0,MIN(1,N227)))^2/$B$5))))&lt;0.000000001,0,O227-$B$11/$B$9*((MAX(0,MIN(1,O227))^2/(MAX(0,MIN(1,O227))^2+(1-MAX(0,MIN(1,O227)))^2/$B$5))-(MAX(0,MIN(1,N227))^2/(MAX(0,MIN(1,N227))^2+(1-MAX(0,MIN(1,N227)))^2/$B$5))))</f>
        <v>0.958495286510557</v>
      </c>
      <c r="P228" s="16" t="n">
        <f aca="false">IF(ABS(P227-$B$11/$B$9*((MAX(0,MIN(1,P227))^2/(MAX(0,MIN(1,P227))^2+(1-MAX(0,MIN(1,P227)))^2/$B$5))-(MAX(0,MIN(1,O227))^2/(MAX(0,MIN(1,O227))^2+(1-MAX(0,MIN(1,O227)))^2/$B$5))))&lt;0.000000001,0,P227-$B$11/$B$9*((MAX(0,MIN(1,P227))^2/(MAX(0,MIN(1,P227))^2+(1-MAX(0,MIN(1,P227)))^2/$B$5))-(MAX(0,MIN(1,O227))^2/(MAX(0,MIN(1,O227))^2+(1-MAX(0,MIN(1,O227)))^2/$B$5))))</f>
        <v>0.949200015904879</v>
      </c>
      <c r="Q228" s="16" t="n">
        <f aca="false">IF(ABS(Q227-$B$11/$B$9*((MAX(0,MIN(1,Q227))^2/(MAX(0,MIN(1,Q227))^2+(1-MAX(0,MIN(1,Q227)))^2/$B$5))-(MAX(0,MIN(1,P227))^2/(MAX(0,MIN(1,P227))^2+(1-MAX(0,MIN(1,P227)))^2/$B$5))))&lt;0.000000001,0,Q227-$B$11/$B$9*((MAX(0,MIN(1,Q227))^2/(MAX(0,MIN(1,Q227))^2+(1-MAX(0,MIN(1,Q227)))^2/$B$5))-(MAX(0,MIN(1,P227))^2/(MAX(0,MIN(1,P227))^2+(1-MAX(0,MIN(1,P227)))^2/$B$5))))</f>
        <v>0.940499899455365</v>
      </c>
      <c r="R228" s="16" t="n">
        <f aca="false">IF(ABS(R227-$B$11/$B$9*((MAX(0,MIN(1,R227))^2/(MAX(0,MIN(1,R227))^2+(1-MAX(0,MIN(1,R227)))^2/$B$5))-(MAX(0,MIN(1,Q227))^2/(MAX(0,MIN(1,Q227))^2+(1-MAX(0,MIN(1,Q227)))^2/$B$5))))&lt;0.000000001,0,R227-$B$11/$B$9*((MAX(0,MIN(1,R227))^2/(MAX(0,MIN(1,R227))^2+(1-MAX(0,MIN(1,R227)))^2/$B$5))-(MAX(0,MIN(1,Q227))^2/(MAX(0,MIN(1,Q227))^2+(1-MAX(0,MIN(1,Q227)))^2/$B$5))))</f>
        <v>0.932279677928538</v>
      </c>
      <c r="S228" s="16" t="n">
        <f aca="false">IF(ABS(S227-$B$11/$B$9*((MAX(0,MIN(1,S227))^2/(MAX(0,MIN(1,S227))^2+(1-MAX(0,MIN(1,S227)))^2/$B$5))-(MAX(0,MIN(1,R227))^2/(MAX(0,MIN(1,R227))^2+(1-MAX(0,MIN(1,R227)))^2/$B$5))))&lt;0.000000001,0,S227-$B$11/$B$9*((MAX(0,MIN(1,S227))^2/(MAX(0,MIN(1,S227))^2+(1-MAX(0,MIN(1,S227)))^2/$B$5))-(MAX(0,MIN(1,R227))^2/(MAX(0,MIN(1,R227))^2+(1-MAX(0,MIN(1,R227)))^2/$B$5))))</f>
        <v>0.924465161719255</v>
      </c>
      <c r="T228" s="16" t="n">
        <f aca="false">IF(ABS(T227-$B$11/$B$9*((MAX(0,MIN(1,T227))^2/(MAX(0,MIN(1,T227))^2+(1-MAX(0,MIN(1,T227)))^2/$B$5))-(MAX(0,MIN(1,S227))^2/(MAX(0,MIN(1,S227))^2+(1-MAX(0,MIN(1,S227)))^2/$B$5))))&lt;0.000000001,0,T227-$B$11/$B$9*((MAX(0,MIN(1,T227))^2/(MAX(0,MIN(1,T227))^2+(1-MAX(0,MIN(1,T227)))^2/$B$5))-(MAX(0,MIN(1,S227))^2/(MAX(0,MIN(1,S227))^2+(1-MAX(0,MIN(1,S227)))^2/$B$5))))</f>
        <v>0.917003488196026</v>
      </c>
      <c r="U228" s="16" t="n">
        <f aca="false">IF(ABS(U227-$B$11/$B$9*((MAX(0,MIN(1,U227))^2/(MAX(0,MIN(1,U227))^2+(1-MAX(0,MIN(1,U227)))^2/$B$5))-(MAX(0,MIN(1,T227))^2/(MAX(0,MIN(1,T227))^2+(1-MAX(0,MIN(1,T227)))^2/$B$5))))&lt;0.000000001,0,U227-$B$11/$B$9*((MAX(0,MIN(1,U227))^2/(MAX(0,MIN(1,U227))^2+(1-MAX(0,MIN(1,U227)))^2/$B$5))-(MAX(0,MIN(1,T227))^2/(MAX(0,MIN(1,T227))^2+(1-MAX(0,MIN(1,T227)))^2/$B$5))))</f>
        <v>0.909854438558199</v>
      </c>
      <c r="V228" s="16" t="n">
        <f aca="false">IF(ABS(V227-$B$11/$B$9*((MAX(0,MIN(1,V227))^2/(MAX(0,MIN(1,V227))^2+(1-MAX(0,MIN(1,V227)))^2/$B$5))-(MAX(0,MIN(1,U227))^2/(MAX(0,MIN(1,U227))^2+(1-MAX(0,MIN(1,U227)))^2/$B$5))))&lt;0.000000001,0,V227-$B$11/$B$9*((MAX(0,MIN(1,V227))^2/(MAX(0,MIN(1,V227))^2+(1-MAX(0,MIN(1,V227)))^2/$B$5))-(MAX(0,MIN(1,U227))^2/(MAX(0,MIN(1,U227))^2+(1-MAX(0,MIN(1,U227)))^2/$B$5))))</f>
        <v>0.902986018812957</v>
      </c>
      <c r="W228" s="16" t="n">
        <f aca="false">IF(ABS(W227-$B$11/$B$9*((MAX(0,MIN(1,W227))^2/(MAX(0,MIN(1,W227))^2+(1-MAX(0,MIN(1,W227)))^2/$B$5))-(MAX(0,MIN(1,V227))^2/(MAX(0,MIN(1,V227))^2+(1-MAX(0,MIN(1,V227)))^2/$B$5))))&lt;0.000000001,0,W227-$B$11/$B$9*((MAX(0,MIN(1,W227))^2/(MAX(0,MIN(1,W227))^2+(1-MAX(0,MIN(1,W227)))^2/$B$5))-(MAX(0,MIN(1,V227))^2/(MAX(0,MIN(1,V227))^2+(1-MAX(0,MIN(1,V227)))^2/$B$5))))</f>
        <v>0.896371960490268</v>
      </c>
      <c r="X228" s="16" t="n">
        <f aca="false">IF(ABS(X227-$B$11/$B$9*((MAX(0,MIN(1,X227))^2/(MAX(0,MIN(1,X227))^2+(1-MAX(0,MIN(1,X227)))^2/$B$5))-(MAX(0,MIN(1,W227))^2/(MAX(0,MIN(1,W227))^2+(1-MAX(0,MIN(1,W227)))^2/$B$5))))&lt;0.000000001,0,X227-$B$11/$B$9*((MAX(0,MIN(1,X227))^2/(MAX(0,MIN(1,X227))^2+(1-MAX(0,MIN(1,X227)))^2/$B$5))-(MAX(0,MIN(1,W227))^2/(MAX(0,MIN(1,W227))^2+(1-MAX(0,MIN(1,W227)))^2/$B$5))))</f>
        <v>0.889990188982815</v>
      </c>
      <c r="Y228" s="16" t="n">
        <f aca="false">IF(ABS(Y227-$B$11/$B$9*((MAX(0,MIN(1,Y227))^2/(MAX(0,MIN(1,Y227))^2+(1-MAX(0,MIN(1,Y227)))^2/$B$5))-(MAX(0,MIN(1,X227))^2/(MAX(0,MIN(1,X227))^2+(1-MAX(0,MIN(1,X227)))^2/$B$5))))&lt;0.000000001,0,Y227-$B$11/$B$9*((MAX(0,MIN(1,Y227))^2/(MAX(0,MIN(1,Y227))^2+(1-MAX(0,MIN(1,Y227)))^2/$B$5))-(MAX(0,MIN(1,X227))^2/(MAX(0,MIN(1,X227))^2+(1-MAX(0,MIN(1,X227)))^2/$B$5))))</f>
        <v>0.883821823899782</v>
      </c>
      <c r="Z228" s="16" t="n">
        <f aca="false">IF(ABS(Z227-$B$11/$B$9*((MAX(0,MIN(1,Z227))^2/(MAX(0,MIN(1,Z227))^2+(1-MAX(0,MIN(1,Z227)))^2/$B$5))-(MAX(0,MIN(1,Y227))^2/(MAX(0,MIN(1,Y227))^2+(1-MAX(0,MIN(1,Y227)))^2/$B$5))))&lt;0.000000001,0,Z227-$B$11/$B$9*((MAX(0,MIN(1,Z227))^2/(MAX(0,MIN(1,Z227))^2+(1-MAX(0,MIN(1,Z227)))^2/$B$5))-(MAX(0,MIN(1,Y227))^2/(MAX(0,MIN(1,Y227))^2+(1-MAX(0,MIN(1,Y227)))^2/$B$5))))</f>
        <v>0.877850492936969</v>
      </c>
      <c r="AA228" s="16" t="n">
        <f aca="false">IF(ABS(AA227-$B$11/$B$9*((MAX(0,MIN(1,AA227))^2/(MAX(0,MIN(1,AA227))^2+(1-MAX(0,MIN(1,AA227)))^2/$B$5))-(MAX(0,MIN(1,Z227))^2/(MAX(0,MIN(1,Z227))^2+(1-MAX(0,MIN(1,Z227)))^2/$B$5))))&lt;0.000000001,0,AA227-$B$11/$B$9*((MAX(0,MIN(1,AA227))^2/(MAX(0,MIN(1,AA227))^2+(1-MAX(0,MIN(1,AA227)))^2/$B$5))-(MAX(0,MIN(1,Z227))^2/(MAX(0,MIN(1,Z227))^2+(1-MAX(0,MIN(1,Z227)))^2/$B$5))))</f>
        <v>0.872061841284621</v>
      </c>
      <c r="AB228" s="16" t="n">
        <f aca="false">IF(ABS(AB227-$B$11/$B$9*((MAX(0,MIN(1,AB227))^2/(MAX(0,MIN(1,AB227))^2+(1-MAX(0,MIN(1,AB227)))^2/$B$5))-(MAX(0,MIN(1,AA227))^2/(MAX(0,MIN(1,AA227))^2+(1-MAX(0,MIN(1,AA227)))^2/$B$5))))&lt;0.000000001,0,AB227-$B$11/$B$9*((MAX(0,MIN(1,AB227))^2/(MAX(0,MIN(1,AB227))^2+(1-MAX(0,MIN(1,AB227)))^2/$B$5))-(MAX(0,MIN(1,AA227))^2/(MAX(0,MIN(1,AA227))^2+(1-MAX(0,MIN(1,AA227)))^2/$B$5))))</f>
        <v>0.866443168883033</v>
      </c>
      <c r="AC228" s="16" t="n">
        <f aca="false">IF(ABS(AC227-$B$11/$B$9*((MAX(0,MIN(1,AC227))^2/(MAX(0,MIN(1,AC227))^2+(1-MAX(0,MIN(1,AC227)))^2/$B$5))-(MAX(0,MIN(1,AB227))^2/(MAX(0,MIN(1,AB227))^2+(1-MAX(0,MIN(1,AB227)))^2/$B$5))))&lt;0.000000001,0,AC227-$B$11/$B$9*((MAX(0,MIN(1,AC227))^2/(MAX(0,MIN(1,AC227))^2+(1-MAX(0,MIN(1,AC227)))^2/$B$5))-(MAX(0,MIN(1,AB227))^2/(MAX(0,MIN(1,AB227))^2+(1-MAX(0,MIN(1,AB227)))^2/$B$5))))</f>
        <v>0.860983154656387</v>
      </c>
      <c r="AD228" s="16" t="n">
        <f aca="false">IF(ABS(AD227-$B$11/$B$9*((MAX(0,MIN(1,AD227))^2/(MAX(0,MIN(1,AD227))^2+(1-MAX(0,MIN(1,AD227)))^2/$B$5))-(MAX(0,MIN(1,AC227))^2/(MAX(0,MIN(1,AC227))^2+(1-MAX(0,MIN(1,AC227)))^2/$B$5))))&lt;0.000000001,0,AD227-$B$11/$B$9*((MAX(0,MIN(1,AD227))^2/(MAX(0,MIN(1,AD227))^2+(1-MAX(0,MIN(1,AD227)))^2/$B$5))-(MAX(0,MIN(1,AC227))^2/(MAX(0,MIN(1,AC227))^2+(1-MAX(0,MIN(1,AC227)))^2/$B$5))))</f>
        <v>0.855671641951581</v>
      </c>
      <c r="AE228" s="16" t="n">
        <f aca="false">IF(ABS(AE227-$B$11/$B$9*((MAX(0,MIN(1,AE227))^2/(MAX(0,MIN(1,AE227))^2+(1-MAX(0,MIN(1,AE227)))^2/$B$5))-(MAX(0,MIN(1,AD227))^2/(MAX(0,MIN(1,AD227))^2+(1-MAX(0,MIN(1,AD227)))^2/$B$5))))&lt;0.000000001,0,AE227-$B$11/$B$9*((MAX(0,MIN(1,AE227))^2/(MAX(0,MIN(1,AE227))^2+(1-MAX(0,MIN(1,AE227)))^2/$B$5))-(MAX(0,MIN(1,AD227))^2/(MAX(0,MIN(1,AD227))^2+(1-MAX(0,MIN(1,AD227)))^2/$B$5))))</f>
        <v>0.85049946830743</v>
      </c>
      <c r="AF228" s="16" t="n">
        <f aca="false">IF(ABS(AF227-$B$11/$B$9*((MAX(0,MIN(1,AF227))^2/(MAX(0,MIN(1,AF227))^2+(1-MAX(0,MIN(1,AF227)))^2/$B$5))-(MAX(0,MIN(1,AE227))^2/(MAX(0,MIN(1,AE227))^2+(1-MAX(0,MIN(1,AE227)))^2/$B$5))))&lt;0.000000001,0,AF227-$B$11/$B$9*((MAX(0,MIN(1,AF227))^2/(MAX(0,MIN(1,AF227))^2+(1-MAX(0,MIN(1,AF227)))^2/$B$5))-(MAX(0,MIN(1,AE227))^2/(MAX(0,MIN(1,AE227))^2+(1-MAX(0,MIN(1,AE227)))^2/$B$5))))</f>
        <v>0.845458328139489</v>
      </c>
    </row>
    <row r="229" customFormat="false" ht="15" hidden="false" customHeight="false" outlineLevel="0" collapsed="false">
      <c r="L229" s="0" t="n">
        <v>219</v>
      </c>
      <c r="M229" s="16" t="n">
        <f aca="false">IF(ABS(M228-$B$11/$B$9*((MAX(0,MIN(1,M228))^2/(MAX(0,MIN(1,M228))^2+(1-MAX(0,MIN(1,M228)))^2/$B$5))-(MAX(0,MIN(1,1))^2/(MAX(0,MIN(1,1))^2+(1-MAX(0,MIN(1,1)))^2/$B$5))))&lt;0.000000001,0,M228-$B$11/$B$9*((MAX(0,MIN(1,M228))^2/(MAX(0,MIN(1,M228))^2+(1-MAX(0,MIN(1,M228)))^2/$B$5))-(MAX(0,MIN(1,1))^2/(MAX(0,MIN(1,1))^2+(1-MAX(0,MIN(1,1)))^2/$B$5))))</f>
        <v>0.980132240154596</v>
      </c>
      <c r="N229" s="16" t="n">
        <f aca="false">IF(ABS(N228-$B$11/$B$9*((MAX(0,MIN(1,N228))^2/(MAX(0,MIN(1,N228))^2+(1-MAX(0,MIN(1,N228)))^2/$B$5))-(MAX(0,MIN(1,M228))^2/(MAX(0,MIN(1,M228))^2+(1-MAX(0,MIN(1,M228)))^2/$B$5))))&lt;0.000000001,0,N228-$B$11/$B$9*((MAX(0,MIN(1,N228))^2/(MAX(0,MIN(1,N228))^2+(1-MAX(0,MIN(1,N228)))^2/$B$5))-(MAX(0,MIN(1,M228))^2/(MAX(0,MIN(1,M228))^2+(1-MAX(0,MIN(1,M228)))^2/$B$5))))</f>
        <v>0.968720321073891</v>
      </c>
      <c r="O229" s="16" t="n">
        <f aca="false">IF(ABS(O228-$B$11/$B$9*((MAX(0,MIN(1,O228))^2/(MAX(0,MIN(1,O228))^2+(1-MAX(0,MIN(1,O228)))^2/$B$5))-(MAX(0,MIN(1,N228))^2/(MAX(0,MIN(1,N228))^2+(1-MAX(0,MIN(1,N228)))^2/$B$5))))&lt;0.000000001,0,O228-$B$11/$B$9*((MAX(0,MIN(1,O228))^2/(MAX(0,MIN(1,O228))^2+(1-MAX(0,MIN(1,O228)))^2/$B$5))-(MAX(0,MIN(1,N228))^2/(MAX(0,MIN(1,N228))^2+(1-MAX(0,MIN(1,N228)))^2/$B$5))))</f>
        <v>0.958653481361621</v>
      </c>
      <c r="P229" s="16" t="n">
        <f aca="false">IF(ABS(P228-$B$11/$B$9*((MAX(0,MIN(1,P228))^2/(MAX(0,MIN(1,P228))^2+(1-MAX(0,MIN(1,P228)))^2/$B$5))-(MAX(0,MIN(1,O228))^2/(MAX(0,MIN(1,O228))^2+(1-MAX(0,MIN(1,O228)))^2/$B$5))))&lt;0.000000001,0,P228-$B$11/$B$9*((MAX(0,MIN(1,P228))^2/(MAX(0,MIN(1,P228))^2+(1-MAX(0,MIN(1,P228)))^2/$B$5))-(MAX(0,MIN(1,O228))^2/(MAX(0,MIN(1,O228))^2+(1-MAX(0,MIN(1,O228)))^2/$B$5))))</f>
        <v>0.949389754537548</v>
      </c>
      <c r="Q229" s="16" t="n">
        <f aca="false">IF(ABS(Q228-$B$11/$B$9*((MAX(0,MIN(1,Q228))^2/(MAX(0,MIN(1,Q228))^2+(1-MAX(0,MIN(1,Q228)))^2/$B$5))-(MAX(0,MIN(1,P228))^2/(MAX(0,MIN(1,P228))^2+(1-MAX(0,MIN(1,P228)))^2/$B$5))))&lt;0.000000001,0,Q228-$B$11/$B$9*((MAX(0,MIN(1,Q228))^2/(MAX(0,MIN(1,Q228))^2+(1-MAX(0,MIN(1,Q228)))^2/$B$5))-(MAX(0,MIN(1,P228))^2/(MAX(0,MIN(1,P228))^2+(1-MAX(0,MIN(1,P228)))^2/$B$5))))</f>
        <v>0.940717971754587</v>
      </c>
      <c r="R229" s="16" t="n">
        <f aca="false">IF(ABS(R228-$B$11/$B$9*((MAX(0,MIN(1,R228))^2/(MAX(0,MIN(1,R228))^2+(1-MAX(0,MIN(1,R228)))^2/$B$5))-(MAX(0,MIN(1,Q228))^2/(MAX(0,MIN(1,Q228))^2+(1-MAX(0,MIN(1,Q228)))^2/$B$5))))&lt;0.000000001,0,R228-$B$11/$B$9*((MAX(0,MIN(1,R228))^2/(MAX(0,MIN(1,R228))^2+(1-MAX(0,MIN(1,R228)))^2/$B$5))-(MAX(0,MIN(1,Q228))^2/(MAX(0,MIN(1,Q228))^2+(1-MAX(0,MIN(1,Q228)))^2/$B$5))))</f>
        <v>0.932523514884799</v>
      </c>
      <c r="S229" s="16" t="n">
        <f aca="false">IF(ABS(S228-$B$11/$B$9*((MAX(0,MIN(1,S228))^2/(MAX(0,MIN(1,S228))^2+(1-MAX(0,MIN(1,S228)))^2/$B$5))-(MAX(0,MIN(1,R228))^2/(MAX(0,MIN(1,R228))^2+(1-MAX(0,MIN(1,R228)))^2/$B$5))))&lt;0.000000001,0,S228-$B$11/$B$9*((MAX(0,MIN(1,S228))^2/(MAX(0,MIN(1,S228))^2+(1-MAX(0,MIN(1,S228)))^2/$B$5))-(MAX(0,MIN(1,R228))^2/(MAX(0,MIN(1,R228))^2+(1-MAX(0,MIN(1,R228)))^2/$B$5))))</f>
        <v>0.92473262923291</v>
      </c>
      <c r="T229" s="16" t="n">
        <f aca="false">IF(ABS(T228-$B$11/$B$9*((MAX(0,MIN(1,T228))^2/(MAX(0,MIN(1,T228))^2+(1-MAX(0,MIN(1,T228)))^2/$B$5))-(MAX(0,MIN(1,S228))^2/(MAX(0,MIN(1,S228))^2+(1-MAX(0,MIN(1,S228)))^2/$B$5))))&lt;0.000000001,0,T228-$B$11/$B$9*((MAX(0,MIN(1,T228))^2/(MAX(0,MIN(1,T228))^2+(1-MAX(0,MIN(1,T228)))^2/$B$5))-(MAX(0,MIN(1,S228))^2/(MAX(0,MIN(1,S228))^2+(1-MAX(0,MIN(1,S228)))^2/$B$5))))</f>
        <v>0.917292772479223</v>
      </c>
      <c r="U229" s="16" t="n">
        <f aca="false">IF(ABS(U228-$B$11/$B$9*((MAX(0,MIN(1,U228))^2/(MAX(0,MIN(1,U228))^2+(1-MAX(0,MIN(1,U228)))^2/$B$5))-(MAX(0,MIN(1,T228))^2/(MAX(0,MIN(1,T228))^2+(1-MAX(0,MIN(1,T228)))^2/$B$5))))&lt;0.000000001,0,U228-$B$11/$B$9*((MAX(0,MIN(1,U228))^2/(MAX(0,MIN(1,U228))^2+(1-MAX(0,MIN(1,U228)))^2/$B$5))-(MAX(0,MIN(1,T228))^2/(MAX(0,MIN(1,T228))^2+(1-MAX(0,MIN(1,T228)))^2/$B$5))))</f>
        <v>0.91016397395259</v>
      </c>
      <c r="V229" s="16" t="n">
        <f aca="false">IF(ABS(V228-$B$11/$B$9*((MAX(0,MIN(1,V228))^2/(MAX(0,MIN(1,V228))^2+(1-MAX(0,MIN(1,V228)))^2/$B$5))-(MAX(0,MIN(1,U228))^2/(MAX(0,MIN(1,U228))^2+(1-MAX(0,MIN(1,U228)))^2/$B$5))))&lt;0.000000001,0,V228-$B$11/$B$9*((MAX(0,MIN(1,V228))^2/(MAX(0,MIN(1,V228))^2+(1-MAX(0,MIN(1,V228)))^2/$B$5))-(MAX(0,MIN(1,U228))^2/(MAX(0,MIN(1,U228))^2+(1-MAX(0,MIN(1,U228)))^2/$B$5))))</f>
        <v>0.903314438415857</v>
      </c>
      <c r="W229" s="16" t="n">
        <f aca="false">IF(ABS(W228-$B$11/$B$9*((MAX(0,MIN(1,W228))^2/(MAX(0,MIN(1,W228))^2+(1-MAX(0,MIN(1,W228)))^2/$B$5))-(MAX(0,MIN(1,V228))^2/(MAX(0,MIN(1,V228))^2+(1-MAX(0,MIN(1,V228)))^2/$B$5))))&lt;0.000000001,0,W228-$B$11/$B$9*((MAX(0,MIN(1,W228))^2/(MAX(0,MIN(1,W228))^2+(1-MAX(0,MIN(1,W228)))^2/$B$5))-(MAX(0,MIN(1,V228))^2/(MAX(0,MIN(1,V228))^2+(1-MAX(0,MIN(1,V228)))^2/$B$5))))</f>
        <v>0.896718060407977</v>
      </c>
      <c r="X229" s="16" t="n">
        <f aca="false">IF(ABS(X228-$B$11/$B$9*((MAX(0,MIN(1,X228))^2/(MAX(0,MIN(1,X228))^2+(1-MAX(0,MIN(1,X228)))^2/$B$5))-(MAX(0,MIN(1,W228))^2/(MAX(0,MIN(1,W228))^2+(1-MAX(0,MIN(1,W228)))^2/$B$5))))&lt;0.000000001,0,X228-$B$11/$B$9*((MAX(0,MIN(1,X228))^2/(MAX(0,MIN(1,X228))^2+(1-MAX(0,MIN(1,X228)))^2/$B$5))-(MAX(0,MIN(1,W228))^2/(MAX(0,MIN(1,W228))^2+(1-MAX(0,MIN(1,W228)))^2/$B$5))))</f>
        <v>0.890352901377009</v>
      </c>
      <c r="Y229" s="16" t="n">
        <f aca="false">IF(ABS(Y228-$B$11/$B$9*((MAX(0,MIN(1,Y228))^2/(MAX(0,MIN(1,Y228))^2+(1-MAX(0,MIN(1,Y228)))^2/$B$5))-(MAX(0,MIN(1,X228))^2/(MAX(0,MIN(1,X228))^2+(1-MAX(0,MIN(1,X228)))^2/$B$5))))&lt;0.000000001,0,Y228-$B$11/$B$9*((MAX(0,MIN(1,Y228))^2/(MAX(0,MIN(1,Y228))^2+(1-MAX(0,MIN(1,Y228)))^2/$B$5))-(MAX(0,MIN(1,X228))^2/(MAX(0,MIN(1,X228))^2+(1-MAX(0,MIN(1,X228)))^2/$B$5))))</f>
        <v>0.884200196044131</v>
      </c>
      <c r="Z229" s="16" t="n">
        <f aca="false">IF(ABS(Z228-$B$11/$B$9*((MAX(0,MIN(1,Z228))^2/(MAX(0,MIN(1,Z228))^2+(1-MAX(0,MIN(1,Z228)))^2/$B$5))-(MAX(0,MIN(1,Y228))^2/(MAX(0,MIN(1,Y228))^2+(1-MAX(0,MIN(1,Y228)))^2/$B$5))))&lt;0.000000001,0,Z228-$B$11/$B$9*((MAX(0,MIN(1,Z228))^2/(MAX(0,MIN(1,Z228))^2+(1-MAX(0,MIN(1,Z228)))^2/$B$5))-(MAX(0,MIN(1,Y228))^2/(MAX(0,MIN(1,Y228))^2+(1-MAX(0,MIN(1,Y228)))^2/$B$5))))</f>
        <v>0.878243670566469</v>
      </c>
      <c r="AA229" s="16" t="n">
        <f aca="false">IF(ABS(AA228-$B$11/$B$9*((MAX(0,MIN(1,AA228))^2/(MAX(0,MIN(1,AA228))^2+(1-MAX(0,MIN(1,AA228)))^2/$B$5))-(MAX(0,MIN(1,Z228))^2/(MAX(0,MIN(1,Z228))^2+(1-MAX(0,MIN(1,Z228)))^2/$B$5))))&lt;0.000000001,0,AA228-$B$11/$B$9*((MAX(0,MIN(1,AA228))^2/(MAX(0,MIN(1,AA228))^2+(1-MAX(0,MIN(1,AA228)))^2/$B$5))-(MAX(0,MIN(1,Z228))^2/(MAX(0,MIN(1,Z228))^2+(1-MAX(0,MIN(1,Z228)))^2/$B$5))))</f>
        <v>0.87246905511749</v>
      </c>
      <c r="AB229" s="16" t="n">
        <f aca="false">IF(ABS(AB228-$B$11/$B$9*((MAX(0,MIN(1,AB228))^2/(MAX(0,MIN(1,AB228))^2+(1-MAX(0,MIN(1,AB228)))^2/$B$5))-(MAX(0,MIN(1,AA228))^2/(MAX(0,MIN(1,AA228))^2+(1-MAX(0,MIN(1,AA228)))^2/$B$5))))&lt;0.000000001,0,AB228-$B$11/$B$9*((MAX(0,MIN(1,AB228))^2/(MAX(0,MIN(1,AB228))^2+(1-MAX(0,MIN(1,AB228)))^2/$B$5))-(MAX(0,MIN(1,AA228))^2/(MAX(0,MIN(1,AA228))^2+(1-MAX(0,MIN(1,AA228)))^2/$B$5))))</f>
        <v>0.866863723551526</v>
      </c>
      <c r="AC229" s="16" t="n">
        <f aca="false">IF(ABS(AC228-$B$11/$B$9*((MAX(0,MIN(1,AC228))^2/(MAX(0,MIN(1,AC228))^2+(1-MAX(0,MIN(1,AC228)))^2/$B$5))-(MAX(0,MIN(1,AB228))^2/(MAX(0,MIN(1,AB228))^2+(1-MAX(0,MIN(1,AB228)))^2/$B$5))))&lt;0.000000001,0,AC228-$B$11/$B$9*((MAX(0,MIN(1,AC228))^2/(MAX(0,MIN(1,AC228))^2+(1-MAX(0,MIN(1,AC228)))^2/$B$5))-(MAX(0,MIN(1,AB228))^2/(MAX(0,MIN(1,AB228))^2+(1-MAX(0,MIN(1,AB228)))^2/$B$5))))</f>
        <v>0.861416419506937</v>
      </c>
      <c r="AD229" s="16" t="n">
        <f aca="false">IF(ABS(AD228-$B$11/$B$9*((MAX(0,MIN(1,AD228))^2/(MAX(0,MIN(1,AD228))^2+(1-MAX(0,MIN(1,AD228)))^2/$B$5))-(MAX(0,MIN(1,AC228))^2/(MAX(0,MIN(1,AC228))^2+(1-MAX(0,MIN(1,AC228)))^2/$B$5))))&lt;0.000000001,0,AD228-$B$11/$B$9*((MAX(0,MIN(1,AD228))^2/(MAX(0,MIN(1,AD228))^2+(1-MAX(0,MIN(1,AD228)))^2/$B$5))-(MAX(0,MIN(1,AC228))^2/(MAX(0,MIN(1,AC228))^2+(1-MAX(0,MIN(1,AC228)))^2/$B$5))))</f>
        <v>0.856117043321611</v>
      </c>
      <c r="AE229" s="16" t="n">
        <f aca="false">IF(ABS(AE228-$B$11/$B$9*((MAX(0,MIN(1,AE228))^2/(MAX(0,MIN(1,AE228))^2+(1-MAX(0,MIN(1,AE228)))^2/$B$5))-(MAX(0,MIN(1,AD228))^2/(MAX(0,MIN(1,AD228))^2+(1-MAX(0,MIN(1,AD228)))^2/$B$5))))&lt;0.000000001,0,AE228-$B$11/$B$9*((MAX(0,MIN(1,AE228))^2/(MAX(0,MIN(1,AE228))^2+(1-MAX(0,MIN(1,AE228)))^2/$B$5))-(MAX(0,MIN(1,AD228))^2/(MAX(0,MIN(1,AD228))^2+(1-MAX(0,MIN(1,AD228)))^2/$B$5))))</f>
        <v>0.850956482986108</v>
      </c>
      <c r="AF229" s="16" t="n">
        <f aca="false">IF(ABS(AF228-$B$11/$B$9*((MAX(0,MIN(1,AF228))^2/(MAX(0,MIN(1,AF228))^2+(1-MAX(0,MIN(1,AF228)))^2/$B$5))-(MAX(0,MIN(1,AE228))^2/(MAX(0,MIN(1,AE228))^2+(1-MAX(0,MIN(1,AE228)))^2/$B$5))))&lt;0.000000001,0,AF228-$B$11/$B$9*((MAX(0,MIN(1,AF228))^2/(MAX(0,MIN(1,AF228))^2+(1-MAX(0,MIN(1,AF228)))^2/$B$5))-(MAX(0,MIN(1,AE228))^2/(MAX(0,MIN(1,AE228))^2+(1-MAX(0,MIN(1,AE228)))^2/$B$5))))</f>
        <v>0.845926477789684</v>
      </c>
    </row>
    <row r="230" customFormat="false" ht="15" hidden="false" customHeight="false" outlineLevel="0" collapsed="false">
      <c r="L230" s="0" t="n">
        <v>220</v>
      </c>
      <c r="M230" s="16" t="n">
        <f aca="false">IF(ABS(M229-$B$11/$B$9*((MAX(0,MIN(1,M229))^2/(MAX(0,MIN(1,M229))^2+(1-MAX(0,MIN(1,M229)))^2/$B$5))-(MAX(0,MIN(1,1))^2/(MAX(0,MIN(1,1))^2+(1-MAX(0,MIN(1,1)))^2/$B$5))))&lt;0.000000001,0,M229-$B$11/$B$9*((MAX(0,MIN(1,M229))^2/(MAX(0,MIN(1,M229))^2+(1-MAX(0,MIN(1,M229)))^2/$B$5))-(MAX(0,MIN(1,1))^2/(MAX(0,MIN(1,1))^2+(1-MAX(0,MIN(1,1)))^2/$B$5))))</f>
        <v>0.980211224502177</v>
      </c>
      <c r="N230" s="16" t="n">
        <f aca="false">IF(ABS(N229-$B$11/$B$9*((MAX(0,MIN(1,N229))^2/(MAX(0,MIN(1,N229))^2+(1-MAX(0,MIN(1,N229)))^2/$B$5))-(MAX(0,MIN(1,M229))^2/(MAX(0,MIN(1,M229))^2+(1-MAX(0,MIN(1,M229)))^2/$B$5))))&lt;0.000000001,0,N229-$B$11/$B$9*((MAX(0,MIN(1,N229))^2/(MAX(0,MIN(1,N229))^2+(1-MAX(0,MIN(1,N229)))^2/$B$5))-(MAX(0,MIN(1,M229))^2/(MAX(0,MIN(1,M229))^2+(1-MAX(0,MIN(1,M229)))^2/$B$5))))</f>
        <v>0.968841693119788</v>
      </c>
      <c r="O230" s="16" t="n">
        <f aca="false">IF(ABS(O229-$B$11/$B$9*((MAX(0,MIN(1,O229))^2/(MAX(0,MIN(1,O229))^2+(1-MAX(0,MIN(1,O229)))^2/$B$5))-(MAX(0,MIN(1,N229))^2/(MAX(0,MIN(1,N229))^2+(1-MAX(0,MIN(1,N229)))^2/$B$5))))&lt;0.000000001,0,O229-$B$11/$B$9*((MAX(0,MIN(1,O229))^2/(MAX(0,MIN(1,O229))^2+(1-MAX(0,MIN(1,O229)))^2/$B$5))-(MAX(0,MIN(1,N229))^2/(MAX(0,MIN(1,N229))^2+(1-MAX(0,MIN(1,N229)))^2/$B$5))))</f>
        <v>0.958810441113511</v>
      </c>
      <c r="P230" s="16" t="n">
        <f aca="false">IF(ABS(P229-$B$11/$B$9*((MAX(0,MIN(1,P229))^2/(MAX(0,MIN(1,P229))^2+(1-MAX(0,MIN(1,P229)))^2/$B$5))-(MAX(0,MIN(1,O229))^2/(MAX(0,MIN(1,O229))^2+(1-MAX(0,MIN(1,O229)))^2/$B$5))))&lt;0.000000001,0,P229-$B$11/$B$9*((MAX(0,MIN(1,P229))^2/(MAX(0,MIN(1,P229))^2+(1-MAX(0,MIN(1,P229)))^2/$B$5))-(MAX(0,MIN(1,O229))^2/(MAX(0,MIN(1,O229))^2+(1-MAX(0,MIN(1,O229)))^2/$B$5))))</f>
        <v>0.949578036630983</v>
      </c>
      <c r="Q230" s="16" t="n">
        <f aca="false">IF(ABS(Q229-$B$11/$B$9*((MAX(0,MIN(1,Q229))^2/(MAX(0,MIN(1,Q229))^2+(1-MAX(0,MIN(1,Q229)))^2/$B$5))-(MAX(0,MIN(1,P229))^2/(MAX(0,MIN(1,P229))^2+(1-MAX(0,MIN(1,P229)))^2/$B$5))))&lt;0.000000001,0,Q229-$B$11/$B$9*((MAX(0,MIN(1,Q229))^2/(MAX(0,MIN(1,Q229))^2+(1-MAX(0,MIN(1,Q229)))^2/$B$5))-(MAX(0,MIN(1,P229))^2/(MAX(0,MIN(1,P229))^2+(1-MAX(0,MIN(1,P229)))^2/$B$5))))</f>
        <v>0.940934395554032</v>
      </c>
      <c r="R230" s="16" t="n">
        <f aca="false">IF(ABS(R229-$B$11/$B$9*((MAX(0,MIN(1,R229))^2/(MAX(0,MIN(1,R229))^2+(1-MAX(0,MIN(1,R229)))^2/$B$5))-(MAX(0,MIN(1,Q229))^2/(MAX(0,MIN(1,Q229))^2+(1-MAX(0,MIN(1,Q229)))^2/$B$5))))&lt;0.000000001,0,R229-$B$11/$B$9*((MAX(0,MIN(1,R229))^2/(MAX(0,MIN(1,R229))^2+(1-MAX(0,MIN(1,R229)))^2/$B$5))-(MAX(0,MIN(1,Q229))^2/(MAX(0,MIN(1,Q229))^2+(1-MAX(0,MIN(1,Q229)))^2/$B$5))))</f>
        <v>0.932765534329947</v>
      </c>
      <c r="S230" s="16" t="n">
        <f aca="false">IF(ABS(S229-$B$11/$B$9*((MAX(0,MIN(1,S229))^2/(MAX(0,MIN(1,S229))^2+(1-MAX(0,MIN(1,S229)))^2/$B$5))-(MAX(0,MIN(1,R229))^2/(MAX(0,MIN(1,R229))^2+(1-MAX(0,MIN(1,R229)))^2/$B$5))))&lt;0.000000001,0,S229-$B$11/$B$9*((MAX(0,MIN(1,S229))^2/(MAX(0,MIN(1,S229))^2+(1-MAX(0,MIN(1,S229)))^2/$B$5))-(MAX(0,MIN(1,R229))^2/(MAX(0,MIN(1,R229))^2+(1-MAX(0,MIN(1,R229)))^2/$B$5))))</f>
        <v>0.92499812870693</v>
      </c>
      <c r="T230" s="16" t="n">
        <f aca="false">IF(ABS(T229-$B$11/$B$9*((MAX(0,MIN(1,T229))^2/(MAX(0,MIN(1,T229))^2+(1-MAX(0,MIN(1,T229)))^2/$B$5))-(MAX(0,MIN(1,S229))^2/(MAX(0,MIN(1,S229))^2+(1-MAX(0,MIN(1,S229)))^2/$B$5))))&lt;0.000000001,0,T229-$B$11/$B$9*((MAX(0,MIN(1,T229))^2/(MAX(0,MIN(1,T229))^2+(1-MAX(0,MIN(1,T229)))^2/$B$5))-(MAX(0,MIN(1,S229))^2/(MAX(0,MIN(1,S229))^2+(1-MAX(0,MIN(1,S229)))^2/$B$5))))</f>
        <v>0.917579953402288</v>
      </c>
      <c r="U230" s="16" t="n">
        <f aca="false">IF(ABS(U229-$B$11/$B$9*((MAX(0,MIN(1,U229))^2/(MAX(0,MIN(1,U229))^2+(1-MAX(0,MIN(1,U229)))^2/$B$5))-(MAX(0,MIN(1,T229))^2/(MAX(0,MIN(1,T229))^2+(1-MAX(0,MIN(1,T229)))^2/$B$5))))&lt;0.000000001,0,U229-$B$11/$B$9*((MAX(0,MIN(1,U229))^2/(MAX(0,MIN(1,U229))^2+(1-MAX(0,MIN(1,U229)))^2/$B$5))-(MAX(0,MIN(1,T229))^2/(MAX(0,MIN(1,T229))^2+(1-MAX(0,MIN(1,T229)))^2/$B$5))))</f>
        <v>0.910471283368616</v>
      </c>
      <c r="V230" s="16" t="n">
        <f aca="false">IF(ABS(V229-$B$11/$B$9*((MAX(0,MIN(1,V229))^2/(MAX(0,MIN(1,V229))^2+(1-MAX(0,MIN(1,V229)))^2/$B$5))-(MAX(0,MIN(1,U229))^2/(MAX(0,MIN(1,U229))^2+(1-MAX(0,MIN(1,U229)))^2/$B$5))))&lt;0.000000001,0,V229-$B$11/$B$9*((MAX(0,MIN(1,V229))^2/(MAX(0,MIN(1,V229))^2+(1-MAX(0,MIN(1,V229)))^2/$B$5))-(MAX(0,MIN(1,U229))^2/(MAX(0,MIN(1,U229))^2+(1-MAX(0,MIN(1,U229)))^2/$B$5))))</f>
        <v>0.903640520151232</v>
      </c>
      <c r="W230" s="16" t="n">
        <f aca="false">IF(ABS(W229-$B$11/$B$9*((MAX(0,MIN(1,W229))^2/(MAX(0,MIN(1,W229))^2+(1-MAX(0,MIN(1,W229)))^2/$B$5))-(MAX(0,MIN(1,V229))^2/(MAX(0,MIN(1,V229))^2+(1-MAX(0,MIN(1,V229)))^2/$B$5))))&lt;0.000000001,0,W229-$B$11/$B$9*((MAX(0,MIN(1,W229))^2/(MAX(0,MIN(1,W229))^2+(1-MAX(0,MIN(1,W229)))^2/$B$5))-(MAX(0,MIN(1,V229))^2/(MAX(0,MIN(1,V229))^2+(1-MAX(0,MIN(1,V229)))^2/$B$5))))</f>
        <v>0.897061719711645</v>
      </c>
      <c r="X230" s="16" t="n">
        <f aca="false">IF(ABS(X229-$B$11/$B$9*((MAX(0,MIN(1,X229))^2/(MAX(0,MIN(1,X229))^2+(1-MAX(0,MIN(1,X229)))^2/$B$5))-(MAX(0,MIN(1,W229))^2/(MAX(0,MIN(1,W229))^2+(1-MAX(0,MIN(1,W229)))^2/$B$5))))&lt;0.000000001,0,X229-$B$11/$B$9*((MAX(0,MIN(1,X229))^2/(MAX(0,MIN(1,X229))^2+(1-MAX(0,MIN(1,X229)))^2/$B$5))-(MAX(0,MIN(1,W229))^2/(MAX(0,MIN(1,W229))^2+(1-MAX(0,MIN(1,W229)))^2/$B$5))))</f>
        <v>0.89071307825733</v>
      </c>
      <c r="Y230" s="16" t="n">
        <f aca="false">IF(ABS(Y229-$B$11/$B$9*((MAX(0,MIN(1,Y229))^2/(MAX(0,MIN(1,Y229))^2+(1-MAX(0,MIN(1,Y229)))^2/$B$5))-(MAX(0,MIN(1,X229))^2/(MAX(0,MIN(1,X229))^2+(1-MAX(0,MIN(1,X229)))^2/$B$5))))&lt;0.000000001,0,Y229-$B$11/$B$9*((MAX(0,MIN(1,Y229))^2/(MAX(0,MIN(1,Y229))^2+(1-MAX(0,MIN(1,Y229)))^2/$B$5))-(MAX(0,MIN(1,X229))^2/(MAX(0,MIN(1,X229))^2+(1-MAX(0,MIN(1,X229)))^2/$B$5))))</f>
        <v>0.884575944549168</v>
      </c>
      <c r="Z230" s="16" t="n">
        <f aca="false">IF(ABS(Z229-$B$11/$B$9*((MAX(0,MIN(1,Z229))^2/(MAX(0,MIN(1,Z229))^2+(1-MAX(0,MIN(1,Z229)))^2/$B$5))-(MAX(0,MIN(1,Y229))^2/(MAX(0,MIN(1,Y229))^2+(1-MAX(0,MIN(1,Y229)))^2/$B$5))))&lt;0.000000001,0,Z229-$B$11/$B$9*((MAX(0,MIN(1,Z229))^2/(MAX(0,MIN(1,Z229))^2+(1-MAX(0,MIN(1,Z229)))^2/$B$5))-(MAX(0,MIN(1,Y229))^2/(MAX(0,MIN(1,Y229))^2+(1-MAX(0,MIN(1,Y229)))^2/$B$5))))</f>
        <v>0.878634142308922</v>
      </c>
      <c r="AA230" s="16" t="n">
        <f aca="false">IF(ABS(AA229-$B$11/$B$9*((MAX(0,MIN(1,AA229))^2/(MAX(0,MIN(1,AA229))^2+(1-MAX(0,MIN(1,AA229)))^2/$B$5))-(MAX(0,MIN(1,Z229))^2/(MAX(0,MIN(1,Z229))^2+(1-MAX(0,MIN(1,Z229)))^2/$B$5))))&lt;0.000000001,0,AA229-$B$11/$B$9*((MAX(0,MIN(1,AA229))^2/(MAX(0,MIN(1,AA229))^2+(1-MAX(0,MIN(1,AA229)))^2/$B$5))-(MAX(0,MIN(1,Z229))^2/(MAX(0,MIN(1,Z229))^2+(1-MAX(0,MIN(1,Z229)))^2/$B$5))))</f>
        <v>0.872873485936576</v>
      </c>
      <c r="AB230" s="16" t="n">
        <f aca="false">IF(ABS(AB229-$B$11/$B$9*((MAX(0,MIN(1,AB229))^2/(MAX(0,MIN(1,AB229))^2+(1-MAX(0,MIN(1,AB229)))^2/$B$5))-(MAX(0,MIN(1,AA229))^2/(MAX(0,MIN(1,AA229))^2+(1-MAX(0,MIN(1,AA229)))^2/$B$5))))&lt;0.000000001,0,AB229-$B$11/$B$9*((MAX(0,MIN(1,AB229))^2/(MAX(0,MIN(1,AB229))^2+(1-MAX(0,MIN(1,AB229)))^2/$B$5))-(MAX(0,MIN(1,AA229))^2/(MAX(0,MIN(1,AA229))^2+(1-MAX(0,MIN(1,AA229)))^2/$B$5))))</f>
        <v>0.867281422556811</v>
      </c>
      <c r="AC230" s="16" t="n">
        <f aca="false">IF(ABS(AC229-$B$11/$B$9*((MAX(0,MIN(1,AC229))^2/(MAX(0,MIN(1,AC229))^2+(1-MAX(0,MIN(1,AC229)))^2/$B$5))-(MAX(0,MIN(1,AB229))^2/(MAX(0,MIN(1,AB229))^2+(1-MAX(0,MIN(1,AB229)))^2/$B$5))))&lt;0.000000001,0,AC229-$B$11/$B$9*((MAX(0,MIN(1,AC229))^2/(MAX(0,MIN(1,AC229))^2+(1-MAX(0,MIN(1,AC229)))^2/$B$5))-(MAX(0,MIN(1,AB229))^2/(MAX(0,MIN(1,AB229))^2+(1-MAX(0,MIN(1,AB229)))^2/$B$5))))</f>
        <v>0.861846759970699</v>
      </c>
      <c r="AD230" s="16" t="n">
        <f aca="false">IF(ABS(AD229-$B$11/$B$9*((MAX(0,MIN(1,AD229))^2/(MAX(0,MIN(1,AD229))^2+(1-MAX(0,MIN(1,AD229)))^2/$B$5))-(MAX(0,MIN(1,AC229))^2/(MAX(0,MIN(1,AC229))^2+(1-MAX(0,MIN(1,AC229)))^2/$B$5))))&lt;0.000000001,0,AD229-$B$11/$B$9*((MAX(0,MIN(1,AD229))^2/(MAX(0,MIN(1,AD229))^2+(1-MAX(0,MIN(1,AD229)))^2/$B$5))-(MAX(0,MIN(1,AC229))^2/(MAX(0,MIN(1,AC229))^2+(1-MAX(0,MIN(1,AC229)))^2/$B$5))))</f>
        <v>0.856559455031596</v>
      </c>
      <c r="AE230" s="16" t="n">
        <f aca="false">IF(ABS(AE229-$B$11/$B$9*((MAX(0,MIN(1,AE229))^2/(MAX(0,MIN(1,AE229))^2+(1-MAX(0,MIN(1,AE229)))^2/$B$5))-(MAX(0,MIN(1,AD229))^2/(MAX(0,MIN(1,AD229))^2+(1-MAX(0,MIN(1,AD229)))^2/$B$5))))&lt;0.000000001,0,AE229-$B$11/$B$9*((MAX(0,MIN(1,AE229))^2/(MAX(0,MIN(1,AE229))^2+(1-MAX(0,MIN(1,AE229)))^2/$B$5))-(MAX(0,MIN(1,AD229))^2/(MAX(0,MIN(1,AD229))^2+(1-MAX(0,MIN(1,AD229)))^2/$B$5))))</f>
        <v>0.851410445769299</v>
      </c>
      <c r="AF230" s="16" t="n">
        <f aca="false">IF(ABS(AF229-$B$11/$B$9*((MAX(0,MIN(1,AF229))^2/(MAX(0,MIN(1,AF229))^2+(1-MAX(0,MIN(1,AF229)))^2/$B$5))-(MAX(0,MIN(1,AE229))^2/(MAX(0,MIN(1,AE229))^2+(1-MAX(0,MIN(1,AE229)))^2/$B$5))))&lt;0.000000001,0,AF229-$B$11/$B$9*((MAX(0,MIN(1,AF229))^2/(MAX(0,MIN(1,AF229))^2+(1-MAX(0,MIN(1,AF229)))^2/$B$5))-(MAX(0,MIN(1,AE229))^2/(MAX(0,MIN(1,AE229))^2+(1-MAX(0,MIN(1,AE229)))^2/$B$5))))</f>
        <v>0.846391515986935</v>
      </c>
    </row>
    <row r="231" customFormat="false" ht="15" hidden="false" customHeight="false" outlineLevel="0" collapsed="false">
      <c r="L231" s="0" t="n">
        <v>221</v>
      </c>
      <c r="M231" s="16" t="n">
        <f aca="false">IF(ABS(M230-$B$11/$B$9*((MAX(0,MIN(1,M230))^2/(MAX(0,MIN(1,M230))^2+(1-MAX(0,MIN(1,M230)))^2/$B$5))-(MAX(0,MIN(1,1))^2/(MAX(0,MIN(1,1))^2+(1-MAX(0,MIN(1,1)))^2/$B$5))))&lt;0.000000001,0,M230-$B$11/$B$9*((MAX(0,MIN(1,M230))^2/(MAX(0,MIN(1,M230))^2+(1-MAX(0,MIN(1,M230)))^2/$B$5))-(MAX(0,MIN(1,1))^2/(MAX(0,MIN(1,1))^2+(1-MAX(0,MIN(1,1)))^2/$B$5))))</f>
        <v>0.980289569595826</v>
      </c>
      <c r="N231" s="16" t="n">
        <f aca="false">IF(ABS(N230-$B$11/$B$9*((MAX(0,MIN(1,N230))^2/(MAX(0,MIN(1,N230))^2+(1-MAX(0,MIN(1,N230)))^2/$B$5))-(MAX(0,MIN(1,M230))^2/(MAX(0,MIN(1,M230))^2+(1-MAX(0,MIN(1,M230)))^2/$B$5))))&lt;0.000000001,0,N230-$B$11/$B$9*((MAX(0,MIN(1,N230))^2/(MAX(0,MIN(1,N230))^2+(1-MAX(0,MIN(1,N230)))^2/$B$5))-(MAX(0,MIN(1,M230))^2/(MAX(0,MIN(1,M230))^2+(1-MAX(0,MIN(1,M230)))^2/$B$5))))</f>
        <v>0.968962103602633</v>
      </c>
      <c r="O231" s="16" t="n">
        <f aca="false">IF(ABS(O230-$B$11/$B$9*((MAX(0,MIN(1,O230))^2/(MAX(0,MIN(1,O230))^2+(1-MAX(0,MIN(1,O230)))^2/$B$5))-(MAX(0,MIN(1,N230))^2/(MAX(0,MIN(1,N230))^2+(1-MAX(0,MIN(1,N230)))^2/$B$5))))&lt;0.000000001,0,O230-$B$11/$B$9*((MAX(0,MIN(1,O230))^2/(MAX(0,MIN(1,O230))^2+(1-MAX(0,MIN(1,O230)))^2/$B$5))-(MAX(0,MIN(1,N230))^2/(MAX(0,MIN(1,N230))^2+(1-MAX(0,MIN(1,N230)))^2/$B$5))))</f>
        <v>0.958966180455061</v>
      </c>
      <c r="P231" s="16" t="n">
        <f aca="false">IF(ABS(P230-$B$11/$B$9*((MAX(0,MIN(1,P230))^2/(MAX(0,MIN(1,P230))^2+(1-MAX(0,MIN(1,P230)))^2/$B$5))-(MAX(0,MIN(1,O230))^2/(MAX(0,MIN(1,O230))^2+(1-MAX(0,MIN(1,O230)))^2/$B$5))))&lt;0.000000001,0,P230-$B$11/$B$9*((MAX(0,MIN(1,P230))^2/(MAX(0,MIN(1,P230))^2+(1-MAX(0,MIN(1,P230)))^2/$B$5))-(MAX(0,MIN(1,O230))^2/(MAX(0,MIN(1,O230))^2+(1-MAX(0,MIN(1,O230)))^2/$B$5))))</f>
        <v>0.949764879266266</v>
      </c>
      <c r="Q231" s="16" t="n">
        <f aca="false">IF(ABS(Q230-$B$11/$B$9*((MAX(0,MIN(1,Q230))^2/(MAX(0,MIN(1,Q230))^2+(1-MAX(0,MIN(1,Q230)))^2/$B$5))-(MAX(0,MIN(1,P230))^2/(MAX(0,MIN(1,P230))^2+(1-MAX(0,MIN(1,P230)))^2/$B$5))))&lt;0.000000001,0,Q230-$B$11/$B$9*((MAX(0,MIN(1,Q230))^2/(MAX(0,MIN(1,Q230))^2+(1-MAX(0,MIN(1,Q230)))^2/$B$5))-(MAX(0,MIN(1,P230))^2/(MAX(0,MIN(1,P230))^2+(1-MAX(0,MIN(1,P230)))^2/$B$5))))</f>
        <v>0.94114918994817</v>
      </c>
      <c r="R231" s="16" t="n">
        <f aca="false">IF(ABS(R230-$B$11/$B$9*((MAX(0,MIN(1,R230))^2/(MAX(0,MIN(1,R230))^2+(1-MAX(0,MIN(1,R230)))^2/$B$5))-(MAX(0,MIN(1,Q230))^2/(MAX(0,MIN(1,Q230))^2+(1-MAX(0,MIN(1,Q230)))^2/$B$5))))&lt;0.000000001,0,R230-$B$11/$B$9*((MAX(0,MIN(1,R230))^2/(MAX(0,MIN(1,R230))^2+(1-MAX(0,MIN(1,R230)))^2/$B$5))-(MAX(0,MIN(1,Q230))^2/(MAX(0,MIN(1,Q230))^2+(1-MAX(0,MIN(1,Q230)))^2/$B$5))))</f>
        <v>0.933005757086356</v>
      </c>
      <c r="S231" s="16" t="n">
        <f aca="false">IF(ABS(S230-$B$11/$B$9*((MAX(0,MIN(1,S230))^2/(MAX(0,MIN(1,S230))^2+(1-MAX(0,MIN(1,S230)))^2/$B$5))-(MAX(0,MIN(1,R230))^2/(MAX(0,MIN(1,R230))^2+(1-MAX(0,MIN(1,R230)))^2/$B$5))))&lt;0.000000001,0,S230-$B$11/$B$9*((MAX(0,MIN(1,S230))^2/(MAX(0,MIN(1,S230))^2+(1-MAX(0,MIN(1,S230)))^2/$B$5))-(MAX(0,MIN(1,R230))^2/(MAX(0,MIN(1,R230))^2+(1-MAX(0,MIN(1,R230)))^2/$B$5))))</f>
        <v>0.925261682469334</v>
      </c>
      <c r="T231" s="16" t="n">
        <f aca="false">IF(ABS(T230-$B$11/$B$9*((MAX(0,MIN(1,T230))^2/(MAX(0,MIN(1,T230))^2+(1-MAX(0,MIN(1,T230)))^2/$B$5))-(MAX(0,MIN(1,S230))^2/(MAX(0,MIN(1,S230))^2+(1-MAX(0,MIN(1,S230)))^2/$B$5))))&lt;0.000000001,0,T230-$B$11/$B$9*((MAX(0,MIN(1,T230))^2/(MAX(0,MIN(1,T230))^2+(1-MAX(0,MIN(1,T230)))^2/$B$5))-(MAX(0,MIN(1,S230))^2/(MAX(0,MIN(1,S230))^2+(1-MAX(0,MIN(1,S230)))^2/$B$5))))</f>
        <v>0.917865054622182</v>
      </c>
      <c r="U231" s="16" t="n">
        <f aca="false">IF(ABS(U230-$B$11/$B$9*((MAX(0,MIN(1,U230))^2/(MAX(0,MIN(1,U230))^2+(1-MAX(0,MIN(1,U230)))^2/$B$5))-(MAX(0,MIN(1,T230))^2/(MAX(0,MIN(1,T230))^2+(1-MAX(0,MIN(1,T230)))^2/$B$5))))&lt;0.000000001,0,U230-$B$11/$B$9*((MAX(0,MIN(1,U230))^2/(MAX(0,MIN(1,U230))^2+(1-MAX(0,MIN(1,U230)))^2/$B$5))-(MAX(0,MIN(1,T230))^2/(MAX(0,MIN(1,T230))^2+(1-MAX(0,MIN(1,T230)))^2/$B$5))))</f>
        <v>0.910776391649601</v>
      </c>
      <c r="V231" s="16" t="n">
        <f aca="false">IF(ABS(V230-$B$11/$B$9*((MAX(0,MIN(1,V230))^2/(MAX(0,MIN(1,V230))^2+(1-MAX(0,MIN(1,V230)))^2/$B$5))-(MAX(0,MIN(1,U230))^2/(MAX(0,MIN(1,U230))^2+(1-MAX(0,MIN(1,U230)))^2/$B$5))))&lt;0.000000001,0,V230-$B$11/$B$9*((MAX(0,MIN(1,V230))^2/(MAX(0,MIN(1,V230))^2+(1-MAX(0,MIN(1,V230)))^2/$B$5))-(MAX(0,MIN(1,U230))^2/(MAX(0,MIN(1,U230))^2+(1-MAX(0,MIN(1,U230)))^2/$B$5))))</f>
        <v>0.903964289932465</v>
      </c>
      <c r="W231" s="16" t="n">
        <f aca="false">IF(ABS(W230-$B$11/$B$9*((MAX(0,MIN(1,W230))^2/(MAX(0,MIN(1,W230))^2+(1-MAX(0,MIN(1,W230)))^2/$B$5))-(MAX(0,MIN(1,V230))^2/(MAX(0,MIN(1,V230))^2+(1-MAX(0,MIN(1,V230)))^2/$B$5))))&lt;0.000000001,0,W230-$B$11/$B$9*((MAX(0,MIN(1,W230))^2/(MAX(0,MIN(1,W230))^2+(1-MAX(0,MIN(1,W230)))^2/$B$5))-(MAX(0,MIN(1,V230))^2/(MAX(0,MIN(1,V230))^2+(1-MAX(0,MIN(1,V230)))^2/$B$5))))</f>
        <v>0.897402965289029</v>
      </c>
      <c r="X231" s="16" t="n">
        <f aca="false">IF(ABS(X230-$B$11/$B$9*((MAX(0,MIN(1,X230))^2/(MAX(0,MIN(1,X230))^2+(1-MAX(0,MIN(1,X230)))^2/$B$5))-(MAX(0,MIN(1,W230))^2/(MAX(0,MIN(1,W230))^2+(1-MAX(0,MIN(1,W230)))^2/$B$5))))&lt;0.000000001,0,X230-$B$11/$B$9*((MAX(0,MIN(1,X230))^2/(MAX(0,MIN(1,X230))^2+(1-MAX(0,MIN(1,X230)))^2/$B$5))-(MAX(0,MIN(1,W230))^2/(MAX(0,MIN(1,W230))^2+(1-MAX(0,MIN(1,W230)))^2/$B$5))))</f>
        <v>0.891070747406673</v>
      </c>
      <c r="Y231" s="16" t="n">
        <f aca="false">IF(ABS(Y230-$B$11/$B$9*((MAX(0,MIN(1,Y230))^2/(MAX(0,MIN(1,Y230))^2+(1-MAX(0,MIN(1,Y230)))^2/$B$5))-(MAX(0,MIN(1,X230))^2/(MAX(0,MIN(1,X230))^2+(1-MAX(0,MIN(1,X230)))^2/$B$5))))&lt;0.000000001,0,Y230-$B$11/$B$9*((MAX(0,MIN(1,Y230))^2/(MAX(0,MIN(1,Y230))^2+(1-MAX(0,MIN(1,Y230)))^2/$B$5))-(MAX(0,MIN(1,X230))^2/(MAX(0,MIN(1,X230))^2+(1-MAX(0,MIN(1,X230)))^2/$B$5))))</f>
        <v>0.884949098027004</v>
      </c>
      <c r="Z231" s="16" t="n">
        <f aca="false">IF(ABS(Z230-$B$11/$B$9*((MAX(0,MIN(1,Z230))^2/(MAX(0,MIN(1,Z230))^2+(1-MAX(0,MIN(1,Z230)))^2/$B$5))-(MAX(0,MIN(1,Y230))^2/(MAX(0,MIN(1,Y230))^2+(1-MAX(0,MIN(1,Y230)))^2/$B$5))))&lt;0.000000001,0,Z230-$B$11/$B$9*((MAX(0,MIN(1,Z230))^2/(MAX(0,MIN(1,Z230))^2+(1-MAX(0,MIN(1,Z230)))^2/$B$5))-(MAX(0,MIN(1,Y230))^2/(MAX(0,MIN(1,Y230))^2+(1-MAX(0,MIN(1,Y230)))^2/$B$5))))</f>
        <v>0.879021937550604</v>
      </c>
      <c r="AA231" s="16" t="n">
        <f aca="false">IF(ABS(AA230-$B$11/$B$9*((MAX(0,MIN(1,AA230))^2/(MAX(0,MIN(1,AA230))^2+(1-MAX(0,MIN(1,AA230)))^2/$B$5))-(MAX(0,MIN(1,Z230))^2/(MAX(0,MIN(1,Z230))^2+(1-MAX(0,MIN(1,Z230)))^2/$B$5))))&lt;0.000000001,0,AA230-$B$11/$B$9*((MAX(0,MIN(1,AA230))^2/(MAX(0,MIN(1,AA230))^2+(1-MAX(0,MIN(1,AA230)))^2/$B$5))-(MAX(0,MIN(1,Z230))^2/(MAX(0,MIN(1,Z230))^2+(1-MAX(0,MIN(1,Z230)))^2/$B$5))))</f>
        <v>0.873275163856253</v>
      </c>
      <c r="AB231" s="16" t="n">
        <f aca="false">IF(ABS(AB230-$B$11/$B$9*((MAX(0,MIN(1,AB230))^2/(MAX(0,MIN(1,AB230))^2+(1-MAX(0,MIN(1,AB230)))^2/$B$5))-(MAX(0,MIN(1,AA230))^2/(MAX(0,MIN(1,AA230))^2+(1-MAX(0,MIN(1,AA230)))^2/$B$5))))&lt;0.000000001,0,AB230-$B$11/$B$9*((MAX(0,MIN(1,AB230))^2/(MAX(0,MIN(1,AB230))^2+(1-MAX(0,MIN(1,AB230)))^2/$B$5))-(MAX(0,MIN(1,AA230))^2/(MAX(0,MIN(1,AA230))^2+(1-MAX(0,MIN(1,AA230)))^2/$B$5))))</f>
        <v>0.867696296702791</v>
      </c>
      <c r="AC231" s="16" t="n">
        <f aca="false">IF(ABS(AC230-$B$11/$B$9*((MAX(0,MIN(1,AC230))^2/(MAX(0,MIN(1,AC230))^2+(1-MAX(0,MIN(1,AC230)))^2/$B$5))-(MAX(0,MIN(1,AB230))^2/(MAX(0,MIN(1,AB230))^2+(1-MAX(0,MIN(1,AB230)))^2/$B$5))))&lt;0.000000001,0,AC230-$B$11/$B$9*((MAX(0,MIN(1,AC230))^2/(MAX(0,MIN(1,AC230))^2+(1-MAX(0,MIN(1,AC230)))^2/$B$5))-(MAX(0,MIN(1,AB230))^2/(MAX(0,MIN(1,AB230))^2+(1-MAX(0,MIN(1,AB230)))^2/$B$5))))</f>
        <v>0.862274207508836</v>
      </c>
      <c r="AD231" s="16" t="n">
        <f aca="false">IF(ABS(AD230-$B$11/$B$9*((MAX(0,MIN(1,AD230))^2/(MAX(0,MIN(1,AD230))^2+(1-MAX(0,MIN(1,AD230)))^2/$B$5))-(MAX(0,MIN(1,AC230))^2/(MAX(0,MIN(1,AC230))^2+(1-MAX(0,MIN(1,AC230)))^2/$B$5))))&lt;0.000000001,0,AD230-$B$11/$B$9*((MAX(0,MIN(1,AD230))^2/(MAX(0,MIN(1,AD230))^2+(1-MAX(0,MIN(1,AD230)))^2/$B$5))-(MAX(0,MIN(1,AC230))^2/(MAX(0,MIN(1,AC230))^2+(1-MAX(0,MIN(1,AC230)))^2/$B$5))))</f>
        <v>0.856998909173026</v>
      </c>
      <c r="AE231" s="16" t="n">
        <f aca="false">IF(ABS(AE230-$B$11/$B$9*((MAX(0,MIN(1,AE230))^2/(MAX(0,MIN(1,AE230))^2+(1-MAX(0,MIN(1,AE230)))^2/$B$5))-(MAX(0,MIN(1,AD230))^2/(MAX(0,MIN(1,AD230))^2+(1-MAX(0,MIN(1,AD230)))^2/$B$5))))&lt;0.000000001,0,AE230-$B$11/$B$9*((MAX(0,MIN(1,AE230))^2/(MAX(0,MIN(1,AE230))^2+(1-MAX(0,MIN(1,AE230)))^2/$B$5))-(MAX(0,MIN(1,AD230))^2/(MAX(0,MIN(1,AD230))^2+(1-MAX(0,MIN(1,AD230)))^2/$B$5))))</f>
        <v>0.851861389356454</v>
      </c>
      <c r="AF231" s="16" t="n">
        <f aca="false">IF(ABS(AF230-$B$11/$B$9*((MAX(0,MIN(1,AF230))^2/(MAX(0,MIN(1,AF230))^2+(1-MAX(0,MIN(1,AF230)))^2/$B$5))-(MAX(0,MIN(1,AE230))^2/(MAX(0,MIN(1,AE230))^2+(1-MAX(0,MIN(1,AE230)))^2/$B$5))))&lt;0.000000001,0,AF230-$B$11/$B$9*((MAX(0,MIN(1,AF230))^2/(MAX(0,MIN(1,AF230))^2+(1-MAX(0,MIN(1,AF230)))^2/$B$5))-(MAX(0,MIN(1,AE230))^2/(MAX(0,MIN(1,AE230))^2+(1-MAX(0,MIN(1,AE230)))^2/$B$5))))</f>
        <v>0.846853476020214</v>
      </c>
    </row>
    <row r="232" customFormat="false" ht="15" hidden="false" customHeight="false" outlineLevel="0" collapsed="false">
      <c r="L232" s="0" t="n">
        <v>222</v>
      </c>
      <c r="M232" s="16" t="n">
        <f aca="false">IF(ABS(M231-$B$11/$B$9*((MAX(0,MIN(1,M231))^2/(MAX(0,MIN(1,M231))^2+(1-MAX(0,MIN(1,M231)))^2/$B$5))-(MAX(0,MIN(1,1))^2/(MAX(0,MIN(1,1))^2+(1-MAX(0,MIN(1,1)))^2/$B$5))))&lt;0.000000001,0,M231-$B$11/$B$9*((MAX(0,MIN(1,M231))^2/(MAX(0,MIN(1,M231))^2+(1-MAX(0,MIN(1,M231)))^2/$B$5))-(MAX(0,MIN(1,1))^2/(MAX(0,MIN(1,1))^2+(1-MAX(0,MIN(1,1)))^2/$B$5))))</f>
        <v>0.980367283274834</v>
      </c>
      <c r="N232" s="16" t="n">
        <f aca="false">IF(ABS(N231-$B$11/$B$9*((MAX(0,MIN(1,N231))^2/(MAX(0,MIN(1,N231))^2+(1-MAX(0,MIN(1,N231)))^2/$B$5))-(MAX(0,MIN(1,M231))^2/(MAX(0,MIN(1,M231))^2+(1-MAX(0,MIN(1,M231)))^2/$B$5))))&lt;0.000000001,0,N231-$B$11/$B$9*((MAX(0,MIN(1,N231))^2/(MAX(0,MIN(1,N231))^2+(1-MAX(0,MIN(1,N231)))^2/$B$5))-(MAX(0,MIN(1,M231))^2/(MAX(0,MIN(1,M231))^2+(1-MAX(0,MIN(1,M231)))^2/$B$5))))</f>
        <v>0.969081564094342</v>
      </c>
      <c r="O232" s="16" t="n">
        <f aca="false">IF(ABS(O231-$B$11/$B$9*((MAX(0,MIN(1,O231))^2/(MAX(0,MIN(1,O231))^2+(1-MAX(0,MIN(1,O231)))^2/$B$5))-(MAX(0,MIN(1,N231))^2/(MAX(0,MIN(1,N231))^2+(1-MAX(0,MIN(1,N231)))^2/$B$5))))&lt;0.000000001,0,O231-$B$11/$B$9*((MAX(0,MIN(1,O231))^2/(MAX(0,MIN(1,O231))^2+(1-MAX(0,MIN(1,O231)))^2/$B$5))-(MAX(0,MIN(1,N231))^2/(MAX(0,MIN(1,N231))^2+(1-MAX(0,MIN(1,N231)))^2/$B$5))))</f>
        <v>0.959120713839668</v>
      </c>
      <c r="P232" s="16" t="n">
        <f aca="false">IF(ABS(P231-$B$11/$B$9*((MAX(0,MIN(1,P231))^2/(MAX(0,MIN(1,P231))^2+(1-MAX(0,MIN(1,P231)))^2/$B$5))-(MAX(0,MIN(1,O231))^2/(MAX(0,MIN(1,O231))^2+(1-MAX(0,MIN(1,O231)))^2/$B$5))))&lt;0.000000001,0,P231-$B$11/$B$9*((MAX(0,MIN(1,P231))^2/(MAX(0,MIN(1,P231))^2+(1-MAX(0,MIN(1,P231)))^2/$B$5))-(MAX(0,MIN(1,O231))^2/(MAX(0,MIN(1,O231))^2+(1-MAX(0,MIN(1,O231)))^2/$B$5))))</f>
        <v>0.949950299253854</v>
      </c>
      <c r="Q232" s="16" t="n">
        <f aca="false">IF(ABS(Q231-$B$11/$B$9*((MAX(0,MIN(1,Q231))^2/(MAX(0,MIN(1,Q231))^2+(1-MAX(0,MIN(1,Q231)))^2/$B$5))-(MAX(0,MIN(1,P231))^2/(MAX(0,MIN(1,P231))^2+(1-MAX(0,MIN(1,P231)))^2/$B$5))))&lt;0.000000001,0,Q231-$B$11/$B$9*((MAX(0,MIN(1,Q231))^2/(MAX(0,MIN(1,Q231))^2+(1-MAX(0,MIN(1,Q231)))^2/$B$5))-(MAX(0,MIN(1,P231))^2/(MAX(0,MIN(1,P231))^2+(1-MAX(0,MIN(1,P231)))^2/$B$5))))</f>
        <v>0.941362373731913</v>
      </c>
      <c r="R232" s="16" t="n">
        <f aca="false">IF(ABS(R231-$B$11/$B$9*((MAX(0,MIN(1,R231))^2/(MAX(0,MIN(1,R231))^2+(1-MAX(0,MIN(1,R231)))^2/$B$5))-(MAX(0,MIN(1,Q231))^2/(MAX(0,MIN(1,Q231))^2+(1-MAX(0,MIN(1,Q231)))^2/$B$5))))&lt;0.000000001,0,R231-$B$11/$B$9*((MAX(0,MIN(1,R231))^2/(MAX(0,MIN(1,R231))^2+(1-MAX(0,MIN(1,R231)))^2/$B$5))-(MAX(0,MIN(1,Q231))^2/(MAX(0,MIN(1,Q231))^2+(1-MAX(0,MIN(1,Q231)))^2/$B$5))))</f>
        <v>0.933244203652471</v>
      </c>
      <c r="S232" s="16" t="n">
        <f aca="false">IF(ABS(S231-$B$11/$B$9*((MAX(0,MIN(1,S231))^2/(MAX(0,MIN(1,S231))^2+(1-MAX(0,MIN(1,S231)))^2/$B$5))-(MAX(0,MIN(1,R231))^2/(MAX(0,MIN(1,R231))^2+(1-MAX(0,MIN(1,R231)))^2/$B$5))))&lt;0.000000001,0,S231-$B$11/$B$9*((MAX(0,MIN(1,S231))^2/(MAX(0,MIN(1,S231))^2+(1-MAX(0,MIN(1,S231)))^2/$B$5))-(MAX(0,MIN(1,R231))^2/(MAX(0,MIN(1,R231))^2+(1-MAX(0,MIN(1,R231)))^2/$B$5))))</f>
        <v>0.925523312503266</v>
      </c>
      <c r="T232" s="16" t="n">
        <f aca="false">IF(ABS(T231-$B$11/$B$9*((MAX(0,MIN(1,T231))^2/(MAX(0,MIN(1,T231))^2+(1-MAX(0,MIN(1,T231)))^2/$B$5))-(MAX(0,MIN(1,S231))^2/(MAX(0,MIN(1,S231))^2+(1-MAX(0,MIN(1,S231)))^2/$B$5))))&lt;0.000000001,0,T231-$B$11/$B$9*((MAX(0,MIN(1,T231))^2/(MAX(0,MIN(1,T231))^2+(1-MAX(0,MIN(1,T231)))^2/$B$5))-(MAX(0,MIN(1,S231))^2/(MAX(0,MIN(1,S231))^2+(1-MAX(0,MIN(1,S231)))^2/$B$5))))</f>
        <v>0.918148099432673</v>
      </c>
      <c r="U232" s="16" t="n">
        <f aca="false">IF(ABS(U231-$B$11/$B$9*((MAX(0,MIN(1,U231))^2/(MAX(0,MIN(1,U231))^2+(1-MAX(0,MIN(1,U231)))^2/$B$5))-(MAX(0,MIN(1,T231))^2/(MAX(0,MIN(1,T231))^2+(1-MAX(0,MIN(1,T231)))^2/$B$5))))&lt;0.000000001,0,U231-$B$11/$B$9*((MAX(0,MIN(1,U231))^2/(MAX(0,MIN(1,U231))^2+(1-MAX(0,MIN(1,U231)))^2/$B$5))-(MAX(0,MIN(1,T231))^2/(MAX(0,MIN(1,T231))^2+(1-MAX(0,MIN(1,T231)))^2/$B$5))))</f>
        <v>0.911079323259414</v>
      </c>
      <c r="V232" s="16" t="n">
        <f aca="false">IF(ABS(V231-$B$11/$B$9*((MAX(0,MIN(1,V231))^2/(MAX(0,MIN(1,V231))^2+(1-MAX(0,MIN(1,V231)))^2/$B$5))-(MAX(0,MIN(1,U231))^2/(MAX(0,MIN(1,U231))^2+(1-MAX(0,MIN(1,U231)))^2/$B$5))))&lt;0.000000001,0,V231-$B$11/$B$9*((MAX(0,MIN(1,V231))^2/(MAX(0,MIN(1,V231))^2+(1-MAX(0,MIN(1,V231)))^2/$B$5))-(MAX(0,MIN(1,U231))^2/(MAX(0,MIN(1,U231))^2+(1-MAX(0,MIN(1,U231)))^2/$B$5))))</f>
        <v>0.904285773278824</v>
      </c>
      <c r="W232" s="16" t="n">
        <f aca="false">IF(ABS(W231-$B$11/$B$9*((MAX(0,MIN(1,W231))^2/(MAX(0,MIN(1,W231))^2+(1-MAX(0,MIN(1,W231)))^2/$B$5))-(MAX(0,MIN(1,V231))^2/(MAX(0,MIN(1,V231))^2+(1-MAX(0,MIN(1,V231)))^2/$B$5))))&lt;0.000000001,0,W231-$B$11/$B$9*((MAX(0,MIN(1,W231))^2/(MAX(0,MIN(1,W231))^2+(1-MAX(0,MIN(1,W231)))^2/$B$5))-(MAX(0,MIN(1,V231))^2/(MAX(0,MIN(1,V231))^2+(1-MAX(0,MIN(1,V231)))^2/$B$5))))</f>
        <v>0.89774182362038</v>
      </c>
      <c r="X232" s="16" t="n">
        <f aca="false">IF(ABS(X231-$B$11/$B$9*((MAX(0,MIN(1,X231))^2/(MAX(0,MIN(1,X231))^2+(1-MAX(0,MIN(1,X231)))^2/$B$5))-(MAX(0,MIN(1,W231))^2/(MAX(0,MIN(1,W231))^2+(1-MAX(0,MIN(1,W231)))^2/$B$5))))&lt;0.000000001,0,X231-$B$11/$B$9*((MAX(0,MIN(1,X231))^2/(MAX(0,MIN(1,X231))^2+(1-MAX(0,MIN(1,X231)))^2/$B$5))-(MAX(0,MIN(1,W231))^2/(MAX(0,MIN(1,W231))^2+(1-MAX(0,MIN(1,W231)))^2/$B$5))))</f>
        <v>0.891425936188057</v>
      </c>
      <c r="Y232" s="16" t="n">
        <f aca="false">IF(ABS(Y231-$B$11/$B$9*((MAX(0,MIN(1,Y231))^2/(MAX(0,MIN(1,Y231))^2+(1-MAX(0,MIN(1,Y231)))^2/$B$5))-(MAX(0,MIN(1,X231))^2/(MAX(0,MIN(1,X231))^2+(1-MAX(0,MIN(1,X231)))^2/$B$5))))&lt;0.000000001,0,Y231-$B$11/$B$9*((MAX(0,MIN(1,Y231))^2/(MAX(0,MIN(1,Y231))^2+(1-MAX(0,MIN(1,Y231)))^2/$B$5))-(MAX(0,MIN(1,X231))^2/(MAX(0,MIN(1,X231))^2+(1-MAX(0,MIN(1,X231)))^2/$B$5))))</f>
        <v>0.885319684658293</v>
      </c>
      <c r="Z232" s="16" t="n">
        <f aca="false">IF(ABS(Z231-$B$11/$B$9*((MAX(0,MIN(1,Z231))^2/(MAX(0,MIN(1,Z231))^2+(1-MAX(0,MIN(1,Z231)))^2/$B$5))-(MAX(0,MIN(1,Y231))^2/(MAX(0,MIN(1,Y231))^2+(1-MAX(0,MIN(1,Y231)))^2/$B$5))))&lt;0.000000001,0,Z231-$B$11/$B$9*((MAX(0,MIN(1,Z231))^2/(MAX(0,MIN(1,Z231))^2+(1-MAX(0,MIN(1,Z231)))^2/$B$5))-(MAX(0,MIN(1,Y231))^2/(MAX(0,MIN(1,Y231))^2+(1-MAX(0,MIN(1,Y231)))^2/$B$5))))</f>
        <v>0.879407085235391</v>
      </c>
      <c r="AA232" s="16" t="n">
        <f aca="false">IF(ABS(AA231-$B$11/$B$9*((MAX(0,MIN(1,AA231))^2/(MAX(0,MIN(1,AA231))^2+(1-MAX(0,MIN(1,AA231)))^2/$B$5))-(MAX(0,MIN(1,Z231))^2/(MAX(0,MIN(1,Z231))^2+(1-MAX(0,MIN(1,Z231)))^2/$B$5))))&lt;0.000000001,0,AA231-$B$11/$B$9*((MAX(0,MIN(1,AA231))^2/(MAX(0,MIN(1,AA231))^2+(1-MAX(0,MIN(1,AA231)))^2/$B$5))-(MAX(0,MIN(1,Z231))^2/(MAX(0,MIN(1,Z231))^2+(1-MAX(0,MIN(1,Z231)))^2/$B$5))))</f>
        <v>0.873674118538057</v>
      </c>
      <c r="AB232" s="16" t="n">
        <f aca="false">IF(ABS(AB231-$B$11/$B$9*((MAX(0,MIN(1,AB231))^2/(MAX(0,MIN(1,AB231))^2+(1-MAX(0,MIN(1,AB231)))^2/$B$5))-(MAX(0,MIN(1,AA231))^2/(MAX(0,MIN(1,AA231))^2+(1-MAX(0,MIN(1,AA231)))^2/$B$5))))&lt;0.000000001,0,AB231-$B$11/$B$9*((MAX(0,MIN(1,AB231))^2/(MAX(0,MIN(1,AB231))^2+(1-MAX(0,MIN(1,AB231)))^2/$B$5))-(MAX(0,MIN(1,AA231))^2/(MAX(0,MIN(1,AA231))^2+(1-MAX(0,MIN(1,AA231)))^2/$B$5))))</f>
        <v>0.868108376330476</v>
      </c>
      <c r="AC232" s="16" t="n">
        <f aca="false">IF(ABS(AC231-$B$11/$B$9*((MAX(0,MIN(1,AC231))^2/(MAX(0,MIN(1,AC231))^2+(1-MAX(0,MIN(1,AC231)))^2/$B$5))-(MAX(0,MIN(1,AB231))^2/(MAX(0,MIN(1,AB231))^2+(1-MAX(0,MIN(1,AB231)))^2/$B$5))))&lt;0.000000001,0,AC231-$B$11/$B$9*((MAX(0,MIN(1,AC231))^2/(MAX(0,MIN(1,AC231))^2+(1-MAX(0,MIN(1,AC231)))^2/$B$5))-(MAX(0,MIN(1,AB231))^2/(MAX(0,MIN(1,AB231))^2+(1-MAX(0,MIN(1,AB231)))^2/$B$5))))</f>
        <v>0.86269879310986</v>
      </c>
      <c r="AD232" s="16" t="n">
        <f aca="false">IF(ABS(AD231-$B$11/$B$9*((MAX(0,MIN(1,AD231))^2/(MAX(0,MIN(1,AD231))^2+(1-MAX(0,MIN(1,AD231)))^2/$B$5))-(MAX(0,MIN(1,AC231))^2/(MAX(0,MIN(1,AC231))^2+(1-MAX(0,MIN(1,AC231)))^2/$B$5))))&lt;0.000000001,0,AD231-$B$11/$B$9*((MAX(0,MIN(1,AD231))^2/(MAX(0,MIN(1,AD231))^2+(1-MAX(0,MIN(1,AD231)))^2/$B$5))-(MAX(0,MIN(1,AC231))^2/(MAX(0,MIN(1,AC231))^2+(1-MAX(0,MIN(1,AC231)))^2/$B$5))))</f>
        <v>0.857435437355199</v>
      </c>
      <c r="AE232" s="16" t="n">
        <f aca="false">IF(ABS(AE231-$B$11/$B$9*((MAX(0,MIN(1,AE231))^2/(MAX(0,MIN(1,AE231))^2+(1-MAX(0,MIN(1,AE231)))^2/$B$5))-(MAX(0,MIN(1,AD231))^2/(MAX(0,MIN(1,AD231))^2+(1-MAX(0,MIN(1,AD231)))^2/$B$5))))&lt;0.000000001,0,AE231-$B$11/$B$9*((MAX(0,MIN(1,AE231))^2/(MAX(0,MIN(1,AE231))^2+(1-MAX(0,MIN(1,AE231)))^2/$B$5))-(MAX(0,MIN(1,AD231))^2/(MAX(0,MIN(1,AD231))^2+(1-MAX(0,MIN(1,AD231)))^2/$B$5))))</f>
        <v>0.852309345955445</v>
      </c>
      <c r="AF232" s="16" t="n">
        <f aca="false">IF(ABS(AF231-$B$11/$B$9*((MAX(0,MIN(1,AF231))^2/(MAX(0,MIN(1,AF231))^2+(1-MAX(0,MIN(1,AF231)))^2/$B$5))-(MAX(0,MIN(1,AE231))^2/(MAX(0,MIN(1,AE231))^2+(1-MAX(0,MIN(1,AE231)))^2/$B$5))))&lt;0.000000001,0,AF231-$B$11/$B$9*((MAX(0,MIN(1,AF231))^2/(MAX(0,MIN(1,AF231))^2+(1-MAX(0,MIN(1,AF231)))^2/$B$5))-(MAX(0,MIN(1,AE231))^2/(MAX(0,MIN(1,AE231))^2+(1-MAX(0,MIN(1,AE231)))^2/$B$5))))</f>
        <v>0.847312390677619</v>
      </c>
    </row>
    <row r="233" customFormat="false" ht="15" hidden="false" customHeight="false" outlineLevel="0" collapsed="false">
      <c r="L233" s="0" t="n">
        <v>223</v>
      </c>
      <c r="M233" s="16" t="n">
        <f aca="false">IF(ABS(M232-$B$11/$B$9*((MAX(0,MIN(1,M232))^2/(MAX(0,MIN(1,M232))^2+(1-MAX(0,MIN(1,M232)))^2/$B$5))-(MAX(0,MIN(1,1))^2/(MAX(0,MIN(1,1))^2+(1-MAX(0,MIN(1,1)))^2/$B$5))))&lt;0.000000001,0,M232-$B$11/$B$9*((MAX(0,MIN(1,M232))^2/(MAX(0,MIN(1,M232))^2+(1-MAX(0,MIN(1,M232)))^2/$B$5))-(MAX(0,MIN(1,1))^2/(MAX(0,MIN(1,1))^2+(1-MAX(0,MIN(1,1)))^2/$B$5))))</f>
        <v>0.980444373249517</v>
      </c>
      <c r="N233" s="16" t="n">
        <f aca="false">IF(ABS(N232-$B$11/$B$9*((MAX(0,MIN(1,N232))^2/(MAX(0,MIN(1,N232))^2+(1-MAX(0,MIN(1,N232)))^2/$B$5))-(MAX(0,MIN(1,M232))^2/(MAX(0,MIN(1,M232))^2+(1-MAX(0,MIN(1,M232)))^2/$B$5))))&lt;0.000000001,0,N232-$B$11/$B$9*((MAX(0,MIN(1,N232))^2/(MAX(0,MIN(1,N232))^2+(1-MAX(0,MIN(1,N232)))^2/$B$5))-(MAX(0,MIN(1,M232))^2/(MAX(0,MIN(1,M232))^2+(1-MAX(0,MIN(1,M232)))^2/$B$5))))</f>
        <v>0.969200085979588</v>
      </c>
      <c r="O233" s="16" t="n">
        <f aca="false">IF(ABS(O232-$B$11/$B$9*((MAX(0,MIN(1,O232))^2/(MAX(0,MIN(1,O232))^2+(1-MAX(0,MIN(1,O232)))^2/$B$5))-(MAX(0,MIN(1,N232))^2/(MAX(0,MIN(1,N232))^2+(1-MAX(0,MIN(1,N232)))^2/$B$5))))&lt;0.000000001,0,O232-$B$11/$B$9*((MAX(0,MIN(1,O232))^2/(MAX(0,MIN(1,O232))^2+(1-MAX(0,MIN(1,O232)))^2/$B$5))-(MAX(0,MIN(1,N232))^2/(MAX(0,MIN(1,N232))^2+(1-MAX(0,MIN(1,N232)))^2/$B$5))))</f>
        <v>0.959274055490047</v>
      </c>
      <c r="P233" s="16" t="n">
        <f aca="false">IF(ABS(P232-$B$11/$B$9*((MAX(0,MIN(1,P232))^2/(MAX(0,MIN(1,P232))^2+(1-MAX(0,MIN(1,P232)))^2/$B$5))-(MAX(0,MIN(1,O232))^2/(MAX(0,MIN(1,O232))^2+(1-MAX(0,MIN(1,O232)))^2/$B$5))))&lt;0.000000001,0,P232-$B$11/$B$9*((MAX(0,MIN(1,P232))^2/(MAX(0,MIN(1,P232))^2+(1-MAX(0,MIN(1,P232)))^2/$B$5))-(MAX(0,MIN(1,O232))^2/(MAX(0,MIN(1,O232))^2+(1-MAX(0,MIN(1,O232)))^2/$B$5))))</f>
        <v>0.950134313138989</v>
      </c>
      <c r="Q233" s="16" t="n">
        <f aca="false">IF(ABS(Q232-$B$11/$B$9*((MAX(0,MIN(1,Q232))^2/(MAX(0,MIN(1,Q232))^2+(1-MAX(0,MIN(1,Q232)))^2/$B$5))-(MAX(0,MIN(1,P232))^2/(MAX(0,MIN(1,P232))^2+(1-MAX(0,MIN(1,P232)))^2/$B$5))))&lt;0.000000001,0,Q232-$B$11/$B$9*((MAX(0,MIN(1,Q232))^2/(MAX(0,MIN(1,Q232))^2+(1-MAX(0,MIN(1,Q232)))^2/$B$5))-(MAX(0,MIN(1,P232))^2/(MAX(0,MIN(1,P232))^2+(1-MAX(0,MIN(1,P232)))^2/$B$5))))</f>
        <v>0.941573965406564</v>
      </c>
      <c r="R233" s="16" t="n">
        <f aca="false">IF(ABS(R232-$B$11/$B$9*((MAX(0,MIN(1,R232))^2/(MAX(0,MIN(1,R232))^2+(1-MAX(0,MIN(1,R232)))^2/$B$5))-(MAX(0,MIN(1,Q232))^2/(MAX(0,MIN(1,Q232))^2+(1-MAX(0,MIN(1,Q232)))^2/$B$5))))&lt;0.000000001,0,R232-$B$11/$B$9*((MAX(0,MIN(1,R232))^2/(MAX(0,MIN(1,R232))^2+(1-MAX(0,MIN(1,R232)))^2/$B$5))-(MAX(0,MIN(1,Q232))^2/(MAX(0,MIN(1,Q232))^2+(1-MAX(0,MIN(1,Q232)))^2/$B$5))))</f>
        <v>0.933480894209196</v>
      </c>
      <c r="S233" s="16" t="n">
        <f aca="false">IF(ABS(S232-$B$11/$B$9*((MAX(0,MIN(1,S232))^2/(MAX(0,MIN(1,S232))^2+(1-MAX(0,MIN(1,S232)))^2/$B$5))-(MAX(0,MIN(1,R232))^2/(MAX(0,MIN(1,R232))^2+(1-MAX(0,MIN(1,R232)))^2/$B$5))))&lt;0.000000001,0,S232-$B$11/$B$9*((MAX(0,MIN(1,S232))^2/(MAX(0,MIN(1,S232))^2+(1-MAX(0,MIN(1,S232)))^2/$B$5))-(MAX(0,MIN(1,R232))^2/(MAX(0,MIN(1,R232))^2+(1-MAX(0,MIN(1,R232)))^2/$B$5))))</f>
        <v>0.92578304045376</v>
      </c>
      <c r="T233" s="16" t="n">
        <f aca="false">IF(ABS(T232-$B$11/$B$9*((MAX(0,MIN(1,T232))^2/(MAX(0,MIN(1,T232))^2+(1-MAX(0,MIN(1,T232)))^2/$B$5))-(MAX(0,MIN(1,S232))^2/(MAX(0,MIN(1,S232))^2+(1-MAX(0,MIN(1,S232)))^2/$B$5))))&lt;0.000000001,0,T232-$B$11/$B$9*((MAX(0,MIN(1,T232))^2/(MAX(0,MIN(1,T232))^2+(1-MAX(0,MIN(1,T232)))^2/$B$5))-(MAX(0,MIN(1,S232))^2/(MAX(0,MIN(1,S232))^2+(1-MAX(0,MIN(1,S232)))^2/$B$5))))</f>
        <v>0.918429110771439</v>
      </c>
      <c r="U233" s="16" t="n">
        <f aca="false">IF(ABS(U232-$B$11/$B$9*((MAX(0,MIN(1,U232))^2/(MAX(0,MIN(1,U232))^2+(1-MAX(0,MIN(1,U232)))^2/$B$5))-(MAX(0,MIN(1,T232))^2/(MAX(0,MIN(1,T232))^2+(1-MAX(0,MIN(1,T232)))^2/$B$5))))&lt;0.000000001,0,U232-$B$11/$B$9*((MAX(0,MIN(1,U232))^2/(MAX(0,MIN(1,U232))^2+(1-MAX(0,MIN(1,U232)))^2/$B$5))-(MAX(0,MIN(1,T232))^2/(MAX(0,MIN(1,T232))^2+(1-MAX(0,MIN(1,T232)))^2/$B$5))))</f>
        <v>0.911380102289861</v>
      </c>
      <c r="V233" s="16" t="n">
        <f aca="false">IF(ABS(V232-$B$11/$B$9*((MAX(0,MIN(1,V232))^2/(MAX(0,MIN(1,V232))^2+(1-MAX(0,MIN(1,V232)))^2/$B$5))-(MAX(0,MIN(1,U232))^2/(MAX(0,MIN(1,U232))^2+(1-MAX(0,MIN(1,U232)))^2/$B$5))))&lt;0.000000001,0,V232-$B$11/$B$9*((MAX(0,MIN(1,V232))^2/(MAX(0,MIN(1,V232))^2+(1-MAX(0,MIN(1,V232)))^2/$B$5))-(MAX(0,MIN(1,U232))^2/(MAX(0,MIN(1,U232))^2+(1-MAX(0,MIN(1,U232)))^2/$B$5))))</f>
        <v>0.90460499532312</v>
      </c>
      <c r="W233" s="16" t="n">
        <f aca="false">IF(ABS(W232-$B$11/$B$9*((MAX(0,MIN(1,W232))^2/(MAX(0,MIN(1,W232))^2+(1-MAX(0,MIN(1,W232)))^2/$B$5))-(MAX(0,MIN(1,V232))^2/(MAX(0,MIN(1,V232))^2+(1-MAX(0,MIN(1,V232)))^2/$B$5))))&lt;0.000000001,0,W232-$B$11/$B$9*((MAX(0,MIN(1,W232))^2/(MAX(0,MIN(1,W232))^2+(1-MAX(0,MIN(1,W232)))^2/$B$5))-(MAX(0,MIN(1,V232))^2/(MAX(0,MIN(1,V232))^2+(1-MAX(0,MIN(1,V232)))^2/$B$5))))</f>
        <v>0.898078320786357</v>
      </c>
      <c r="X233" s="16" t="n">
        <f aca="false">IF(ABS(X232-$B$11/$B$9*((MAX(0,MIN(1,X232))^2/(MAX(0,MIN(1,X232))^2+(1-MAX(0,MIN(1,X232)))^2/$B$5))-(MAX(0,MIN(1,W232))^2/(MAX(0,MIN(1,W232))^2+(1-MAX(0,MIN(1,W232)))^2/$B$5))))&lt;0.000000001,0,X232-$B$11/$B$9*((MAX(0,MIN(1,X232))^2/(MAX(0,MIN(1,X232))^2+(1-MAX(0,MIN(1,X232)))^2/$B$5))-(MAX(0,MIN(1,W232))^2/(MAX(0,MIN(1,W232))^2+(1-MAX(0,MIN(1,W232)))^2/$B$5))))</f>
        <v>0.891778671552757</v>
      </c>
      <c r="Y233" s="16" t="n">
        <f aca="false">IF(ABS(Y232-$B$11/$B$9*((MAX(0,MIN(1,Y232))^2/(MAX(0,MIN(1,Y232))^2+(1-MAX(0,MIN(1,Y232)))^2/$B$5))-(MAX(0,MIN(1,X232))^2/(MAX(0,MIN(1,X232))^2+(1-MAX(0,MIN(1,X232)))^2/$B$5))))&lt;0.000000001,0,Y232-$B$11/$B$9*((MAX(0,MIN(1,Y232))^2/(MAX(0,MIN(1,Y232))^2+(1-MAX(0,MIN(1,Y232)))^2/$B$5))-(MAX(0,MIN(1,X232))^2/(MAX(0,MIN(1,X232))^2+(1-MAX(0,MIN(1,X232)))^2/$B$5))))</f>
        <v>0.885687732200596</v>
      </c>
      <c r="Z233" s="16" t="n">
        <f aca="false">IF(ABS(Z232-$B$11/$B$9*((MAX(0,MIN(1,Z232))^2/(MAX(0,MIN(1,Z232))^2+(1-MAX(0,MIN(1,Z232)))^2/$B$5))-(MAX(0,MIN(1,Y232))^2/(MAX(0,MIN(1,Y232))^2+(1-MAX(0,MIN(1,Y232)))^2/$B$5))))&lt;0.000000001,0,Z232-$B$11/$B$9*((MAX(0,MIN(1,Z232))^2/(MAX(0,MIN(1,Z232))^2+(1-MAX(0,MIN(1,Z232)))^2/$B$5))-(MAX(0,MIN(1,Y232))^2/(MAX(0,MIN(1,Y232))^2+(1-MAX(0,MIN(1,Y232)))^2/$B$5))))</f>
        <v>0.879789613873338</v>
      </c>
      <c r="AA233" s="16" t="n">
        <f aca="false">IF(ABS(AA232-$B$11/$B$9*((MAX(0,MIN(1,AA232))^2/(MAX(0,MIN(1,AA232))^2+(1-MAX(0,MIN(1,AA232)))^2/$B$5))-(MAX(0,MIN(1,Z232))^2/(MAX(0,MIN(1,Z232))^2+(1-MAX(0,MIN(1,Z232)))^2/$B$5))))&lt;0.000000001,0,AA232-$B$11/$B$9*((MAX(0,MIN(1,AA232))^2/(MAX(0,MIN(1,AA232))^2+(1-MAX(0,MIN(1,AA232)))^2/$B$5))-(MAX(0,MIN(1,Z232))^2/(MAX(0,MIN(1,Z232))^2+(1-MAX(0,MIN(1,Z232)))^2/$B$5))))</f>
        <v>0.87407037919947</v>
      </c>
      <c r="AB233" s="16" t="n">
        <f aca="false">IF(ABS(AB232-$B$11/$B$9*((MAX(0,MIN(1,AB232))^2/(MAX(0,MIN(1,AB232))^2+(1-MAX(0,MIN(1,AB232)))^2/$B$5))-(MAX(0,MIN(1,AA232))^2/(MAX(0,MIN(1,AA232))^2+(1-MAX(0,MIN(1,AA232)))^2/$B$5))))&lt;0.000000001,0,AB232-$B$11/$B$9*((MAX(0,MIN(1,AB232))^2/(MAX(0,MIN(1,AB232))^2+(1-MAX(0,MIN(1,AB232)))^2/$B$5))-(MAX(0,MIN(1,AA232))^2/(MAX(0,MIN(1,AA232))^2+(1-MAX(0,MIN(1,AA232)))^2/$B$5))))</f>
        <v>0.868517691326977</v>
      </c>
      <c r="AC233" s="16" t="n">
        <f aca="false">IF(ABS(AC232-$B$11/$B$9*((MAX(0,MIN(1,AC232))^2/(MAX(0,MIN(1,AC232))^2+(1-MAX(0,MIN(1,AC232)))^2/$B$5))-(MAX(0,MIN(1,AB232))^2/(MAX(0,MIN(1,AB232))^2+(1-MAX(0,MIN(1,AB232)))^2/$B$5))))&lt;0.000000001,0,AC232-$B$11/$B$9*((MAX(0,MIN(1,AC232))^2/(MAX(0,MIN(1,AC232))^2+(1-MAX(0,MIN(1,AC232)))^2/$B$5))-(MAX(0,MIN(1,AB232))^2/(MAX(0,MIN(1,AB232))^2+(1-MAX(0,MIN(1,AB232)))^2/$B$5))))</f>
        <v>0.863120547298824</v>
      </c>
      <c r="AD233" s="16" t="n">
        <f aca="false">IF(ABS(AD232-$B$11/$B$9*((MAX(0,MIN(1,AD232))^2/(MAX(0,MIN(1,AD232))^2+(1-MAX(0,MIN(1,AD232)))^2/$B$5))-(MAX(0,MIN(1,AC232))^2/(MAX(0,MIN(1,AC232))^2+(1-MAX(0,MIN(1,AC232)))^2/$B$5))))&lt;0.000000001,0,AD232-$B$11/$B$9*((MAX(0,MIN(1,AD232))^2/(MAX(0,MIN(1,AD232))^2+(1-MAX(0,MIN(1,AD232)))^2/$B$5))-(MAX(0,MIN(1,AC232))^2/(MAX(0,MIN(1,AC232))^2+(1-MAX(0,MIN(1,AC232)))^2/$B$5))))</f>
        <v>0.857869070714619</v>
      </c>
      <c r="AE233" s="16" t="n">
        <f aca="false">IF(ABS(AE232-$B$11/$B$9*((MAX(0,MIN(1,AE232))^2/(MAX(0,MIN(1,AE232))^2+(1-MAX(0,MIN(1,AE232)))^2/$B$5))-(MAX(0,MIN(1,AD232))^2/(MAX(0,MIN(1,AD232))^2+(1-MAX(0,MIN(1,AD232)))^2/$B$5))))&lt;0.000000001,0,AE232-$B$11/$B$9*((MAX(0,MIN(1,AE232))^2/(MAX(0,MIN(1,AE232))^2+(1-MAX(0,MIN(1,AE232)))^2/$B$5))-(MAX(0,MIN(1,AD232))^2/(MAX(0,MIN(1,AD232))^2+(1-MAX(0,MIN(1,AD232)))^2/$B$5))))</f>
        <v>0.852754347292159</v>
      </c>
      <c r="AF233" s="16" t="n">
        <f aca="false">IF(ABS(AF232-$B$11/$B$9*((MAX(0,MIN(1,AF232))^2/(MAX(0,MIN(1,AF232))^2+(1-MAX(0,MIN(1,AF232)))^2/$B$5))-(MAX(0,MIN(1,AE232))^2/(MAX(0,MIN(1,AE232))^2+(1-MAX(0,MIN(1,AE232)))^2/$B$5))))&lt;0.000000001,0,AF232-$B$11/$B$9*((MAX(0,MIN(1,AF232))^2/(MAX(0,MIN(1,AF232))^2+(1-MAX(0,MIN(1,AF232)))^2/$B$5))-(MAX(0,MIN(1,AE232))^2/(MAX(0,MIN(1,AE232))^2+(1-MAX(0,MIN(1,AE232)))^2/$B$5))))</f>
        <v>0.847768292256174</v>
      </c>
    </row>
    <row r="234" customFormat="false" ht="15" hidden="false" customHeight="false" outlineLevel="0" collapsed="false">
      <c r="L234" s="0" t="n">
        <v>224</v>
      </c>
      <c r="M234" s="16" t="n">
        <f aca="false">IF(ABS(M233-$B$11/$B$9*((MAX(0,MIN(1,M233))^2/(MAX(0,MIN(1,M233))^2+(1-MAX(0,MIN(1,M233)))^2/$B$5))-(MAX(0,MIN(1,1))^2/(MAX(0,MIN(1,1))^2+(1-MAX(0,MIN(1,1)))^2/$B$5))))&lt;0.000000001,0,M233-$B$11/$B$9*((MAX(0,MIN(1,M233))^2/(MAX(0,MIN(1,M233))^2+(1-MAX(0,MIN(1,M233)))^2/$B$5))-(MAX(0,MIN(1,1))^2/(MAX(0,MIN(1,1))^2+(1-MAX(0,MIN(1,1)))^2/$B$5))))</f>
        <v>0.980520847103879</v>
      </c>
      <c r="N234" s="16" t="n">
        <f aca="false">IF(ABS(N233-$B$11/$B$9*((MAX(0,MIN(1,N233))^2/(MAX(0,MIN(1,N233))^2+(1-MAX(0,MIN(1,N233)))^2/$B$5))-(MAX(0,MIN(1,M233))^2/(MAX(0,MIN(1,M233))^2+(1-MAX(0,MIN(1,M233)))^2/$B$5))))&lt;0.000000001,0,N233-$B$11/$B$9*((MAX(0,MIN(1,N233))^2/(MAX(0,MIN(1,N233))^2+(1-MAX(0,MIN(1,N233)))^2/$B$5))-(MAX(0,MIN(1,M233))^2/(MAX(0,MIN(1,M233))^2+(1-MAX(0,MIN(1,M233)))^2/$B$5))))</f>
        <v>0.969317680459611</v>
      </c>
      <c r="O234" s="16" t="n">
        <f aca="false">IF(ABS(O233-$B$11/$B$9*((MAX(0,MIN(1,O233))^2/(MAX(0,MIN(1,O233))^2+(1-MAX(0,MIN(1,O233)))^2/$B$5))-(MAX(0,MIN(1,N233))^2/(MAX(0,MIN(1,N233))^2+(1-MAX(0,MIN(1,N233)))^2/$B$5))))&lt;0.000000001,0,O233-$B$11/$B$9*((MAX(0,MIN(1,O233))^2/(MAX(0,MIN(1,O233))^2+(1-MAX(0,MIN(1,O233)))^2/$B$5))-(MAX(0,MIN(1,N233))^2/(MAX(0,MIN(1,N233))^2+(1-MAX(0,MIN(1,N233)))^2/$B$5))))</f>
        <v>0.959426219402869</v>
      </c>
      <c r="P234" s="16" t="n">
        <f aca="false">IF(ABS(P233-$B$11/$B$9*((MAX(0,MIN(1,P233))^2/(MAX(0,MIN(1,P233))^2+(1-MAX(0,MIN(1,P233)))^2/$B$5))-(MAX(0,MIN(1,O233))^2/(MAX(0,MIN(1,O233))^2+(1-MAX(0,MIN(1,O233)))^2/$B$5))))&lt;0.000000001,0,P233-$B$11/$B$9*((MAX(0,MIN(1,P233))^2/(MAX(0,MIN(1,P233))^2+(1-MAX(0,MIN(1,P233)))^2/$B$5))-(MAX(0,MIN(1,O233))^2/(MAX(0,MIN(1,O233))^2+(1-MAX(0,MIN(1,O233)))^2/$B$5))))</f>
        <v>0.950316937206986</v>
      </c>
      <c r="Q234" s="16" t="n">
        <f aca="false">IF(ABS(Q233-$B$11/$B$9*((MAX(0,MIN(1,Q233))^2/(MAX(0,MIN(1,Q233))^2+(1-MAX(0,MIN(1,Q233)))^2/$B$5))-(MAX(0,MIN(1,P233))^2/(MAX(0,MIN(1,P233))^2+(1-MAX(0,MIN(1,P233)))^2/$B$5))))&lt;0.000000001,0,Q233-$B$11/$B$9*((MAX(0,MIN(1,Q233))^2/(MAX(0,MIN(1,Q233))^2+(1-MAX(0,MIN(1,Q233)))^2/$B$5))-(MAX(0,MIN(1,P233))^2/(MAX(0,MIN(1,P233))^2+(1-MAX(0,MIN(1,P233)))^2/$B$5))))</f>
        <v>0.941783983185616</v>
      </c>
      <c r="R234" s="16" t="n">
        <f aca="false">IF(ABS(R233-$B$11/$B$9*((MAX(0,MIN(1,R233))^2/(MAX(0,MIN(1,R233))^2+(1-MAX(0,MIN(1,R233)))^2/$B$5))-(MAX(0,MIN(1,Q233))^2/(MAX(0,MIN(1,Q233))^2+(1-MAX(0,MIN(1,Q233)))^2/$B$5))))&lt;0.000000001,0,R233-$B$11/$B$9*((MAX(0,MIN(1,R233))^2/(MAX(0,MIN(1,R233))^2+(1-MAX(0,MIN(1,R233)))^2/$B$5))-(MAX(0,MIN(1,Q233))^2/(MAX(0,MIN(1,Q233))^2+(1-MAX(0,MIN(1,Q233)))^2/$B$5))))</f>
        <v>0.93371584862613</v>
      </c>
      <c r="S234" s="16" t="n">
        <f aca="false">IF(ABS(S233-$B$11/$B$9*((MAX(0,MIN(1,S233))^2/(MAX(0,MIN(1,S233))^2+(1-MAX(0,MIN(1,S233)))^2/$B$5))-(MAX(0,MIN(1,R233))^2/(MAX(0,MIN(1,R233))^2+(1-MAX(0,MIN(1,R233)))^2/$B$5))))&lt;0.000000001,0,S233-$B$11/$B$9*((MAX(0,MIN(1,S233))^2/(MAX(0,MIN(1,S233))^2+(1-MAX(0,MIN(1,S233)))^2/$B$5))-(MAX(0,MIN(1,R233))^2/(MAX(0,MIN(1,R233))^2+(1-MAX(0,MIN(1,R233)))^2/$B$5))))</f>
        <v>0.926040887634354</v>
      </c>
      <c r="T234" s="16" t="n">
        <f aca="false">IF(ABS(T233-$B$11/$B$9*((MAX(0,MIN(1,T233))^2/(MAX(0,MIN(1,T233))^2+(1-MAX(0,MIN(1,T233)))^2/$B$5))-(MAX(0,MIN(1,S233))^2/(MAX(0,MIN(1,S233))^2+(1-MAX(0,MIN(1,S233)))^2/$B$5))))&lt;0.000000001,0,T233-$B$11/$B$9*((MAX(0,MIN(1,T233))^2/(MAX(0,MIN(1,T233))^2+(1-MAX(0,MIN(1,T233)))^2/$B$5))-(MAX(0,MIN(1,S233))^2/(MAX(0,MIN(1,S233))^2+(1-MAX(0,MIN(1,S233)))^2/$B$5))))</f>
        <v>0.918708111226998</v>
      </c>
      <c r="U234" s="16" t="n">
        <f aca="false">IF(ABS(U233-$B$11/$B$9*((MAX(0,MIN(1,U233))^2/(MAX(0,MIN(1,U233))^2+(1-MAX(0,MIN(1,U233)))^2/$B$5))-(MAX(0,MIN(1,T233))^2/(MAX(0,MIN(1,T233))^2+(1-MAX(0,MIN(1,T233)))^2/$B$5))))&lt;0.000000001,0,U233-$B$11/$B$9*((MAX(0,MIN(1,U233))^2/(MAX(0,MIN(1,U233))^2+(1-MAX(0,MIN(1,U233)))^2/$B$5))-(MAX(0,MIN(1,T233))^2/(MAX(0,MIN(1,T233))^2+(1-MAX(0,MIN(1,T233)))^2/$B$5))))</f>
        <v>0.911678752467897</v>
      </c>
      <c r="V234" s="16" t="n">
        <f aca="false">IF(ABS(V233-$B$11/$B$9*((MAX(0,MIN(1,V233))^2/(MAX(0,MIN(1,V233))^2+(1-MAX(0,MIN(1,V233)))^2/$B$5))-(MAX(0,MIN(1,U233))^2/(MAX(0,MIN(1,U233))^2+(1-MAX(0,MIN(1,U233)))^2/$B$5))))&lt;0.000000001,0,V233-$B$11/$B$9*((MAX(0,MIN(1,V233))^2/(MAX(0,MIN(1,V233))^2+(1-MAX(0,MIN(1,V233)))^2/$B$5))-(MAX(0,MIN(1,U233))^2/(MAX(0,MIN(1,U233))^2+(1-MAX(0,MIN(1,U233)))^2/$B$5))))</f>
        <v>0.904921980819189</v>
      </c>
      <c r="W234" s="16" t="n">
        <f aca="false">IF(ABS(W233-$B$11/$B$9*((MAX(0,MIN(1,W233))^2/(MAX(0,MIN(1,W233))^2+(1-MAX(0,MIN(1,W233)))^2/$B$5))-(MAX(0,MIN(1,V233))^2/(MAX(0,MIN(1,V233))^2+(1-MAX(0,MIN(1,V233)))^2/$B$5))))&lt;0.000000001,0,W233-$B$11/$B$9*((MAX(0,MIN(1,W233))^2/(MAX(0,MIN(1,W233))^2+(1-MAX(0,MIN(1,W233)))^2/$B$5))-(MAX(0,MIN(1,V233))^2/(MAX(0,MIN(1,V233))^2+(1-MAX(0,MIN(1,V233)))^2/$B$5))))</f>
        <v>0.898412482475746</v>
      </c>
      <c r="X234" s="16" t="n">
        <f aca="false">IF(ABS(X233-$B$11/$B$9*((MAX(0,MIN(1,X233))^2/(MAX(0,MIN(1,X233))^2+(1-MAX(0,MIN(1,X233)))^2/$B$5))-(MAX(0,MIN(1,W233))^2/(MAX(0,MIN(1,W233))^2+(1-MAX(0,MIN(1,W233)))^2/$B$5))))&lt;0.000000001,0,X233-$B$11/$B$9*((MAX(0,MIN(1,X233))^2/(MAX(0,MIN(1,X233))^2+(1-MAX(0,MIN(1,X233)))^2/$B$5))-(MAX(0,MIN(1,W233))^2/(MAX(0,MIN(1,W233))^2+(1-MAX(0,MIN(1,W233)))^2/$B$5))))</f>
        <v>0.892128980048262</v>
      </c>
      <c r="Y234" s="16" t="n">
        <f aca="false">IF(ABS(Y233-$B$11/$B$9*((MAX(0,MIN(1,Y233))^2/(MAX(0,MIN(1,Y233))^2+(1-MAX(0,MIN(1,Y233)))^2/$B$5))-(MAX(0,MIN(1,X233))^2/(MAX(0,MIN(1,X233))^2+(1-MAX(0,MIN(1,X233)))^2/$B$5))))&lt;0.000000001,0,Y233-$B$11/$B$9*((MAX(0,MIN(1,Y233))^2/(MAX(0,MIN(1,Y233))^2+(1-MAX(0,MIN(1,Y233)))^2/$B$5))-(MAX(0,MIN(1,X233))^2/(MAX(0,MIN(1,X233))^2+(1-MAX(0,MIN(1,X233)))^2/$B$5))))</f>
        <v>0.886053267996544</v>
      </c>
      <c r="Z234" s="16" t="n">
        <f aca="false">IF(ABS(Z233-$B$11/$B$9*((MAX(0,MIN(1,Z233))^2/(MAX(0,MIN(1,Z233))^2+(1-MAX(0,MIN(1,Z233)))^2/$B$5))-(MAX(0,MIN(1,Y233))^2/(MAX(0,MIN(1,Y233))^2+(1-MAX(0,MIN(1,Y233)))^2/$B$5))))&lt;0.000000001,0,Z233-$B$11/$B$9*((MAX(0,MIN(1,Z233))^2/(MAX(0,MIN(1,Z233))^2+(1-MAX(0,MIN(1,Z233)))^2/$B$5))-(MAX(0,MIN(1,Y233))^2/(MAX(0,MIN(1,Y233))^2+(1-MAX(0,MIN(1,Y233)))^2/$B$5))))</f>
        <v>0.880169551549054</v>
      </c>
      <c r="AA234" s="16" t="n">
        <f aca="false">IF(ABS(AA233-$B$11/$B$9*((MAX(0,MIN(1,AA233))^2/(MAX(0,MIN(1,AA233))^2+(1-MAX(0,MIN(1,AA233)))^2/$B$5))-(MAX(0,MIN(1,Z233))^2/(MAX(0,MIN(1,Z233))^2+(1-MAX(0,MIN(1,Z233)))^2/$B$5))))&lt;0.000000001,0,AA233-$B$11/$B$9*((MAX(0,MIN(1,AA233))^2/(MAX(0,MIN(1,AA233))^2+(1-MAX(0,MIN(1,AA233)))^2/$B$5))-(MAX(0,MIN(1,Z233))^2/(MAX(0,MIN(1,Z233))^2+(1-MAX(0,MIN(1,Z233)))^2/$B$5))))</f>
        <v>0.874463974622494</v>
      </c>
      <c r="AB234" s="16" t="n">
        <f aca="false">IF(ABS(AB233-$B$11/$B$9*((MAX(0,MIN(1,AB233))^2/(MAX(0,MIN(1,AB233))^2+(1-MAX(0,MIN(1,AB233)))^2/$B$5))-(MAX(0,MIN(1,AA233))^2/(MAX(0,MIN(1,AA233))^2+(1-MAX(0,MIN(1,AA233)))^2/$B$5))))&lt;0.000000001,0,AB233-$B$11/$B$9*((MAX(0,MIN(1,AB233))^2/(MAX(0,MIN(1,AB233))^2+(1-MAX(0,MIN(1,AB233)))^2/$B$5))-(MAX(0,MIN(1,AA233))^2/(MAX(0,MIN(1,AA233))^2+(1-MAX(0,MIN(1,AA233)))^2/$B$5))))</f>
        <v>0.868924271134275</v>
      </c>
      <c r="AC234" s="16" t="n">
        <f aca="false">IF(ABS(AC233-$B$11/$B$9*((MAX(0,MIN(1,AC233))^2/(MAX(0,MIN(1,AC233))^2+(1-MAX(0,MIN(1,AC233)))^2/$B$5))-(MAX(0,MIN(1,AB233))^2/(MAX(0,MIN(1,AB233))^2+(1-MAX(0,MIN(1,AB233)))^2/$B$5))))&lt;0.000000001,0,AC233-$B$11/$B$9*((MAX(0,MIN(1,AC233))^2/(MAX(0,MIN(1,AC233))^2+(1-MAX(0,MIN(1,AC233)))^2/$B$5))-(MAX(0,MIN(1,AB233))^2/(MAX(0,MIN(1,AB233))^2+(1-MAX(0,MIN(1,AB233)))^2/$B$5))))</f>
        <v>0.863539500146298</v>
      </c>
      <c r="AD234" s="16" t="n">
        <f aca="false">IF(ABS(AD233-$B$11/$B$9*((MAX(0,MIN(1,AD233))^2/(MAX(0,MIN(1,AD233))^2+(1-MAX(0,MIN(1,AD233)))^2/$B$5))-(MAX(0,MIN(1,AC233))^2/(MAX(0,MIN(1,AC233))^2+(1-MAX(0,MIN(1,AC233)))^2/$B$5))))&lt;0.000000001,0,AD233-$B$11/$B$9*((MAX(0,MIN(1,AD233))^2/(MAX(0,MIN(1,AD233))^2+(1-MAX(0,MIN(1,AD233)))^2/$B$5))-(MAX(0,MIN(1,AC233))^2/(MAX(0,MIN(1,AC233))^2+(1-MAX(0,MIN(1,AC233)))^2/$B$5))))</f>
        <v>0.858299839924167</v>
      </c>
      <c r="AE234" s="16" t="n">
        <f aca="false">IF(ABS(AE233-$B$11/$B$9*((MAX(0,MIN(1,AE233))^2/(MAX(0,MIN(1,AE233))^2+(1-MAX(0,MIN(1,AE233)))^2/$B$5))-(MAX(0,MIN(1,AD233))^2/(MAX(0,MIN(1,AD233))^2+(1-MAX(0,MIN(1,AD233)))^2/$B$5))))&lt;0.000000001,0,AE233-$B$11/$B$9*((MAX(0,MIN(1,AE233))^2/(MAX(0,MIN(1,AE233))^2+(1-MAX(0,MIN(1,AE233)))^2/$B$5))-(MAX(0,MIN(1,AD233))^2/(MAX(0,MIN(1,AD233))^2+(1-MAX(0,MIN(1,AD233)))^2/$B$5))))</f>
        <v>0.853196424619875</v>
      </c>
      <c r="AF234" s="16" t="n">
        <f aca="false">IF(ABS(AF233-$B$11/$B$9*((MAX(0,MIN(1,AF233))^2/(MAX(0,MIN(1,AF233))^2+(1-MAX(0,MIN(1,AF233)))^2/$B$5))-(MAX(0,MIN(1,AE233))^2/(MAX(0,MIN(1,AE233))^2+(1-MAX(0,MIN(1,AE233)))^2/$B$5))))&lt;0.000000001,0,AF233-$B$11/$B$9*((MAX(0,MIN(1,AF233))^2/(MAX(0,MIN(1,AF233))^2+(1-MAX(0,MIN(1,AF233)))^2/$B$5))-(MAX(0,MIN(1,AE233))^2/(MAX(0,MIN(1,AE233))^2+(1-MAX(0,MIN(1,AE233)))^2/$B$5))))</f>
        <v>0.848221212571405</v>
      </c>
    </row>
    <row r="235" customFormat="false" ht="15" hidden="false" customHeight="false" outlineLevel="0" collapsed="false">
      <c r="L235" s="0" t="n">
        <v>225</v>
      </c>
      <c r="M235" s="16" t="n">
        <f aca="false">IF(ABS(M234-$B$11/$B$9*((MAX(0,MIN(1,M234))^2/(MAX(0,MIN(1,M234))^2+(1-MAX(0,MIN(1,M234)))^2/$B$5))-(MAX(0,MIN(1,1))^2/(MAX(0,MIN(1,1))^2+(1-MAX(0,MIN(1,1)))^2/$B$5))))&lt;0.000000001,0,M234-$B$11/$B$9*((MAX(0,MIN(1,M234))^2/(MAX(0,MIN(1,M234))^2+(1-MAX(0,MIN(1,M234)))^2/$B$5))-(MAX(0,MIN(1,1))^2/(MAX(0,MIN(1,1))^2+(1-MAX(0,MIN(1,1)))^2/$B$5))))</f>
        <v>0.980596712298207</v>
      </c>
      <c r="N235" s="16" t="n">
        <f aca="false">IF(ABS(N234-$B$11/$B$9*((MAX(0,MIN(1,N234))^2/(MAX(0,MIN(1,N234))^2+(1-MAX(0,MIN(1,N234)))^2/$B$5))-(MAX(0,MIN(1,M234))^2/(MAX(0,MIN(1,M234))^2+(1-MAX(0,MIN(1,M234)))^2/$B$5))))&lt;0.000000001,0,N234-$B$11/$B$9*((MAX(0,MIN(1,N234))^2/(MAX(0,MIN(1,N234))^2+(1-MAX(0,MIN(1,N234)))^2/$B$5))-(MAX(0,MIN(1,M234))^2/(MAX(0,MIN(1,M234))^2+(1-MAX(0,MIN(1,M234)))^2/$B$5))))</f>
        <v>0.969434358555931</v>
      </c>
      <c r="O235" s="16" t="n">
        <f aca="false">IF(ABS(O234-$B$11/$B$9*((MAX(0,MIN(1,O234))^2/(MAX(0,MIN(1,O234))^2+(1-MAX(0,MIN(1,O234)))^2/$B$5))-(MAX(0,MIN(1,N234))^2/(MAX(0,MIN(1,N234))^2+(1-MAX(0,MIN(1,N234)))^2/$B$5))))&lt;0.000000001,0,O234-$B$11/$B$9*((MAX(0,MIN(1,O234))^2/(MAX(0,MIN(1,O234))^2+(1-MAX(0,MIN(1,O234)))^2/$B$5))-(MAX(0,MIN(1,N234))^2/(MAX(0,MIN(1,N234))^2+(1-MAX(0,MIN(1,N234)))^2/$B$5))))</f>
        <v>0.959577219353286</v>
      </c>
      <c r="P235" s="16" t="n">
        <f aca="false">IF(ABS(P234-$B$11/$B$9*((MAX(0,MIN(1,P234))^2/(MAX(0,MIN(1,P234))^2+(1-MAX(0,MIN(1,P234)))^2/$B$5))-(MAX(0,MIN(1,O234))^2/(MAX(0,MIN(1,O234))^2+(1-MAX(0,MIN(1,O234)))^2/$B$5))))&lt;0.000000001,0,P234-$B$11/$B$9*((MAX(0,MIN(1,P234))^2/(MAX(0,MIN(1,P234))^2+(1-MAX(0,MIN(1,P234)))^2/$B$5))-(MAX(0,MIN(1,O234))^2/(MAX(0,MIN(1,O234))^2+(1-MAX(0,MIN(1,O234)))^2/$B$5))))</f>
        <v>0.950498187488381</v>
      </c>
      <c r="Q235" s="16" t="n">
        <f aca="false">IF(ABS(Q234-$B$11/$B$9*((MAX(0,MIN(1,Q234))^2/(MAX(0,MIN(1,Q234))^2+(1-MAX(0,MIN(1,Q234)))^2/$B$5))-(MAX(0,MIN(1,P234))^2/(MAX(0,MIN(1,P234))^2+(1-MAX(0,MIN(1,P234)))^2/$B$5))))&lt;0.000000001,0,Q234-$B$11/$B$9*((MAX(0,MIN(1,Q234))^2/(MAX(0,MIN(1,Q234))^2+(1-MAX(0,MIN(1,Q234)))^2/$B$5))-(MAX(0,MIN(1,P234))^2/(MAX(0,MIN(1,P234))^2+(1-MAX(0,MIN(1,P234)))^2/$B$5))))</f>
        <v>0.941992445000417</v>
      </c>
      <c r="R235" s="16" t="n">
        <f aca="false">IF(ABS(R234-$B$11/$B$9*((MAX(0,MIN(1,R234))^2/(MAX(0,MIN(1,R234))^2+(1-MAX(0,MIN(1,R234)))^2/$B$5))-(MAX(0,MIN(1,Q234))^2/(MAX(0,MIN(1,Q234))^2+(1-MAX(0,MIN(1,Q234)))^2/$B$5))))&lt;0.000000001,0,R234-$B$11/$B$9*((MAX(0,MIN(1,R234))^2/(MAX(0,MIN(1,R234))^2+(1-MAX(0,MIN(1,R234)))^2/$B$5))-(MAX(0,MIN(1,Q234))^2/(MAX(0,MIN(1,Q234))^2+(1-MAX(0,MIN(1,Q234)))^2/$B$5))))</f>
        <v>0.933949086467654</v>
      </c>
      <c r="S235" s="16" t="n">
        <f aca="false">IF(ABS(S234-$B$11/$B$9*((MAX(0,MIN(1,S234))^2/(MAX(0,MIN(1,S234))^2+(1-MAX(0,MIN(1,S234)))^2/$B$5))-(MAX(0,MIN(1,R234))^2/(MAX(0,MIN(1,R234))^2+(1-MAX(0,MIN(1,R234)))^2/$B$5))))&lt;0.000000001,0,S234-$B$11/$B$9*((MAX(0,MIN(1,S234))^2/(MAX(0,MIN(1,S234))^2+(1-MAX(0,MIN(1,S234)))^2/$B$5))-(MAX(0,MIN(1,R234))^2/(MAX(0,MIN(1,R234))^2+(1-MAX(0,MIN(1,R234)))^2/$B$5))))</f>
        <v>0.926296875033528</v>
      </c>
      <c r="T235" s="16" t="n">
        <f aca="false">IF(ABS(T234-$B$11/$B$9*((MAX(0,MIN(1,T234))^2/(MAX(0,MIN(1,T234))^2+(1-MAX(0,MIN(1,T234)))^2/$B$5))-(MAX(0,MIN(1,S234))^2/(MAX(0,MIN(1,S234))^2+(1-MAX(0,MIN(1,S234)))^2/$B$5))))&lt;0.000000001,0,T234-$B$11/$B$9*((MAX(0,MIN(1,T234))^2/(MAX(0,MIN(1,T234))^2+(1-MAX(0,MIN(1,T234)))^2/$B$5))-(MAX(0,MIN(1,S234))^2/(MAX(0,MIN(1,S234))^2+(1-MAX(0,MIN(1,S234)))^2/$B$5))))</f>
        <v>0.918985123045466</v>
      </c>
      <c r="U235" s="16" t="n">
        <f aca="false">IF(ABS(U234-$B$11/$B$9*((MAX(0,MIN(1,U234))^2/(MAX(0,MIN(1,U234))^2+(1-MAX(0,MIN(1,U234)))^2/$B$5))-(MAX(0,MIN(1,T234))^2/(MAX(0,MIN(1,T234))^2+(1-MAX(0,MIN(1,T234)))^2/$B$5))))&lt;0.000000001,0,U234-$B$11/$B$9*((MAX(0,MIN(1,U234))^2/(MAX(0,MIN(1,U234))^2+(1-MAX(0,MIN(1,U234)))^2/$B$5))-(MAX(0,MIN(1,T234))^2/(MAX(0,MIN(1,T234))^2+(1-MAX(0,MIN(1,T234)))^2/$B$5))))</f>
        <v>0.911975297162682</v>
      </c>
      <c r="V235" s="16" t="n">
        <f aca="false">IF(ABS(V234-$B$11/$B$9*((MAX(0,MIN(1,V234))^2/(MAX(0,MIN(1,V234))^2+(1-MAX(0,MIN(1,V234)))^2/$B$5))-(MAX(0,MIN(1,U234))^2/(MAX(0,MIN(1,U234))^2+(1-MAX(0,MIN(1,U234)))^2/$B$5))))&lt;0.000000001,0,V234-$B$11/$B$9*((MAX(0,MIN(1,V234))^2/(MAX(0,MIN(1,V234))^2+(1-MAX(0,MIN(1,V234)))^2/$B$5))-(MAX(0,MIN(1,U234))^2/(MAX(0,MIN(1,U234))^2+(1-MAX(0,MIN(1,U234)))^2/$B$5))))</f>
        <v>0.905236754149195</v>
      </c>
      <c r="W235" s="16" t="n">
        <f aca="false">IF(ABS(W234-$B$11/$B$9*((MAX(0,MIN(1,W234))^2/(MAX(0,MIN(1,W234))^2+(1-MAX(0,MIN(1,W234)))^2/$B$5))-(MAX(0,MIN(1,V234))^2/(MAX(0,MIN(1,V234))^2+(1-MAX(0,MIN(1,V234)))^2/$B$5))))&lt;0.000000001,0,W234-$B$11/$B$9*((MAX(0,MIN(1,W234))^2/(MAX(0,MIN(1,W234))^2+(1-MAX(0,MIN(1,W234)))^2/$B$5))-(MAX(0,MIN(1,V234))^2/(MAX(0,MIN(1,V234))^2+(1-MAX(0,MIN(1,V234)))^2/$B$5))))</f>
        <v>0.898744333992996</v>
      </c>
      <c r="X235" s="16" t="n">
        <f aca="false">IF(ABS(X234-$B$11/$B$9*((MAX(0,MIN(1,X234))^2/(MAX(0,MIN(1,X234))^2+(1-MAX(0,MIN(1,X234)))^2/$B$5))-(MAX(0,MIN(1,W234))^2/(MAX(0,MIN(1,W234))^2+(1-MAX(0,MIN(1,W234)))^2/$B$5))))&lt;0.000000001,0,X234-$B$11/$B$9*((MAX(0,MIN(1,X234))^2/(MAX(0,MIN(1,X234))^2+(1-MAX(0,MIN(1,X234)))^2/$B$5))-(MAX(0,MIN(1,W234))^2/(MAX(0,MIN(1,W234))^2+(1-MAX(0,MIN(1,W234)))^2/$B$5))))</f>
        <v>0.892476887826027</v>
      </c>
      <c r="Y235" s="16" t="n">
        <f aca="false">IF(ABS(Y234-$B$11/$B$9*((MAX(0,MIN(1,Y234))^2/(MAX(0,MIN(1,Y234))^2+(1-MAX(0,MIN(1,Y234)))^2/$B$5))-(MAX(0,MIN(1,X234))^2/(MAX(0,MIN(1,X234))^2+(1-MAX(0,MIN(1,X234)))^2/$B$5))))&lt;0.000000001,0,Y234-$B$11/$B$9*((MAX(0,MIN(1,Y234))^2/(MAX(0,MIN(1,Y234))^2+(1-MAX(0,MIN(1,Y234)))^2/$B$5))-(MAX(0,MIN(1,X234))^2/(MAX(0,MIN(1,X234))^2+(1-MAX(0,MIN(1,X234)))^2/$B$5))))</f>
        <v>0.886416318981814</v>
      </c>
      <c r="Z235" s="16" t="n">
        <f aca="false">IF(ABS(Z234-$B$11/$B$9*((MAX(0,MIN(1,Z234))^2/(MAX(0,MIN(1,Z234))^2+(1-MAX(0,MIN(1,Z234)))^2/$B$5))-(MAX(0,MIN(1,Y234))^2/(MAX(0,MIN(1,Y234))^2+(1-MAX(0,MIN(1,Y234)))^2/$B$5))))&lt;0.000000001,0,Z234-$B$11/$B$9*((MAX(0,MIN(1,Z234))^2/(MAX(0,MIN(1,Z234))^2+(1-MAX(0,MIN(1,Z234)))^2/$B$5))-(MAX(0,MIN(1,Y234))^2/(MAX(0,MIN(1,Y234))^2+(1-MAX(0,MIN(1,Y234)))^2/$B$5))))</f>
        <v>0.880546925929878</v>
      </c>
      <c r="AA235" s="16" t="n">
        <f aca="false">IF(ABS(AA234-$B$11/$B$9*((MAX(0,MIN(1,AA234))^2/(MAX(0,MIN(1,AA234))^2+(1-MAX(0,MIN(1,AA234)))^2/$B$5))-(MAX(0,MIN(1,Z234))^2/(MAX(0,MIN(1,Z234))^2+(1-MAX(0,MIN(1,Z234)))^2/$B$5))))&lt;0.000000001,0,AA234-$B$11/$B$9*((MAX(0,MIN(1,AA234))^2/(MAX(0,MIN(1,AA234))^2+(1-MAX(0,MIN(1,AA234)))^2/$B$5))-(MAX(0,MIN(1,Z234))^2/(MAX(0,MIN(1,Z234))^2+(1-MAX(0,MIN(1,Z234)))^2/$B$5))))</f>
        <v>0.874854933162032</v>
      </c>
      <c r="AB235" s="16" t="n">
        <f aca="false">IF(ABS(AB234-$B$11/$B$9*((MAX(0,MIN(1,AB234))^2/(MAX(0,MIN(1,AB234))^2+(1-MAX(0,MIN(1,AB234)))^2/$B$5))-(MAX(0,MIN(1,AA234))^2/(MAX(0,MIN(1,AA234))^2+(1-MAX(0,MIN(1,AA234)))^2/$B$5))))&lt;0.000000001,0,AB234-$B$11/$B$9*((MAX(0,MIN(1,AB234))^2/(MAX(0,MIN(1,AB234))^2+(1-MAX(0,MIN(1,AB234)))^2/$B$5))-(MAX(0,MIN(1,AA234))^2/(MAX(0,MIN(1,AA234))^2+(1-MAX(0,MIN(1,AA234)))^2/$B$5))))</f>
        <v>0.869328144757794</v>
      </c>
      <c r="AC235" s="16" t="n">
        <f aca="false">IF(ABS(AC234-$B$11/$B$9*((MAX(0,MIN(1,AC234))^2/(MAX(0,MIN(1,AC234))^2+(1-MAX(0,MIN(1,AC234)))^2/$B$5))-(MAX(0,MIN(1,AB234))^2/(MAX(0,MIN(1,AB234))^2+(1-MAX(0,MIN(1,AB234)))^2/$B$5))))&lt;0.000000001,0,AC234-$B$11/$B$9*((MAX(0,MIN(1,AC234))^2/(MAX(0,MIN(1,AC234))^2+(1-MAX(0,MIN(1,AC234)))^2/$B$5))-(MAX(0,MIN(1,AB234))^2/(MAX(0,MIN(1,AB234))^2+(1-MAX(0,MIN(1,AB234)))^2/$B$5))))</f>
        <v>0.86395568127713</v>
      </c>
      <c r="AD235" s="16" t="n">
        <f aca="false">IF(ABS(AD234-$B$11/$B$9*((MAX(0,MIN(1,AD234))^2/(MAX(0,MIN(1,AD234))^2+(1-MAX(0,MIN(1,AD234)))^2/$B$5))-(MAX(0,MIN(1,AC234))^2/(MAX(0,MIN(1,AC234))^2+(1-MAX(0,MIN(1,AC234)))^2/$B$5))))&lt;0.000000001,0,AD234-$B$11/$B$9*((MAX(0,MIN(1,AD234))^2/(MAX(0,MIN(1,AD234))^2+(1-MAX(0,MIN(1,AD234)))^2/$B$5))-(MAX(0,MIN(1,AC234))^2/(MAX(0,MIN(1,AC234))^2+(1-MAX(0,MIN(1,AC234)))^2/$B$5))))</f>
        <v>0.858727775202049</v>
      </c>
      <c r="AE235" s="16" t="n">
        <f aca="false">IF(ABS(AE234-$B$11/$B$9*((MAX(0,MIN(1,AE234))^2/(MAX(0,MIN(1,AE234))^2+(1-MAX(0,MIN(1,AE234)))^2/$B$5))-(MAX(0,MIN(1,AD234))^2/(MAX(0,MIN(1,AD234))^2+(1-MAX(0,MIN(1,AD234)))^2/$B$5))))&lt;0.000000001,0,AE234-$B$11/$B$9*((MAX(0,MIN(1,AE234))^2/(MAX(0,MIN(1,AE234))^2+(1-MAX(0,MIN(1,AE234)))^2/$B$5))-(MAX(0,MIN(1,AD234))^2/(MAX(0,MIN(1,AD234))^2+(1-MAX(0,MIN(1,AD234)))^2/$B$5))))</f>
        <v>0.853635608728403</v>
      </c>
      <c r="AF235" s="16" t="n">
        <f aca="false">IF(ABS(AF234-$B$11/$B$9*((MAX(0,MIN(1,AF234))^2/(MAX(0,MIN(1,AF234))^2+(1-MAX(0,MIN(1,AF234)))^2/$B$5))-(MAX(0,MIN(1,AE234))^2/(MAX(0,MIN(1,AE234))^2+(1-MAX(0,MIN(1,AE234)))^2/$B$5))))&lt;0.000000001,0,AF234-$B$11/$B$9*((MAX(0,MIN(1,AF234))^2/(MAX(0,MIN(1,AF234))^2+(1-MAX(0,MIN(1,AF234)))^2/$B$5))-(MAX(0,MIN(1,AE234))^2/(MAX(0,MIN(1,AE234))^2+(1-MAX(0,MIN(1,AE234)))^2/$B$5))))</f>
        <v>0.848671182966675</v>
      </c>
    </row>
    <row r="236" customFormat="false" ht="15" hidden="false" customHeight="false" outlineLevel="0" collapsed="false">
      <c r="L236" s="0" t="n">
        <v>226</v>
      </c>
      <c r="M236" s="16" t="n">
        <f aca="false">IF(ABS(M235-$B$11/$B$9*((MAX(0,MIN(1,M235))^2/(MAX(0,MIN(1,M235))^2+(1-MAX(0,MIN(1,M235)))^2/$B$5))-(MAX(0,MIN(1,1))^2/(MAX(0,MIN(1,1))^2+(1-MAX(0,MIN(1,1)))^2/$B$5))))&lt;0.000000001,0,M235-$B$11/$B$9*((MAX(0,MIN(1,M235))^2/(MAX(0,MIN(1,M235))^2+(1-MAX(0,MIN(1,M235)))^2/$B$5))-(MAX(0,MIN(1,1))^2/(MAX(0,MIN(1,1))^2+(1-MAX(0,MIN(1,1)))^2/$B$5))))</f>
        <v>0.980671976171604</v>
      </c>
      <c r="N236" s="16" t="n">
        <f aca="false">IF(ABS(N235-$B$11/$B$9*((MAX(0,MIN(1,N235))^2/(MAX(0,MIN(1,N235))^2+(1-MAX(0,MIN(1,N235)))^2/$B$5))-(MAX(0,MIN(1,M235))^2/(MAX(0,MIN(1,M235))^2+(1-MAX(0,MIN(1,M235)))^2/$B$5))))&lt;0.000000001,0,N235-$B$11/$B$9*((MAX(0,MIN(1,N235))^2/(MAX(0,MIN(1,N235))^2+(1-MAX(0,MIN(1,N235)))^2/$B$5))-(MAX(0,MIN(1,M235))^2/(MAX(0,MIN(1,M235))^2+(1-MAX(0,MIN(1,M235)))^2/$B$5))))</f>
        <v>0.969550131113975</v>
      </c>
      <c r="O236" s="16" t="n">
        <f aca="false">IF(ABS(O235-$B$11/$B$9*((MAX(0,MIN(1,O235))^2/(MAX(0,MIN(1,O235))^2+(1-MAX(0,MIN(1,O235)))^2/$B$5))-(MAX(0,MIN(1,N235))^2/(MAX(0,MIN(1,N235))^2+(1-MAX(0,MIN(1,N235)))^2/$B$5))))&lt;0.000000001,0,O235-$B$11/$B$9*((MAX(0,MIN(1,O235))^2/(MAX(0,MIN(1,O235))^2+(1-MAX(0,MIN(1,O235)))^2/$B$5))-(MAX(0,MIN(1,N235))^2/(MAX(0,MIN(1,N235))^2+(1-MAX(0,MIN(1,N235)))^2/$B$5))))</f>
        <v>0.959727068899344</v>
      </c>
      <c r="P236" s="16" t="n">
        <f aca="false">IF(ABS(P235-$B$11/$B$9*((MAX(0,MIN(1,P235))^2/(MAX(0,MIN(1,P235))^2+(1-MAX(0,MIN(1,P235)))^2/$B$5))-(MAX(0,MIN(1,O235))^2/(MAX(0,MIN(1,O235))^2+(1-MAX(0,MIN(1,O235)))^2/$B$5))))&lt;0.000000001,0,P235-$B$11/$B$9*((MAX(0,MIN(1,P235))^2/(MAX(0,MIN(1,P235))^2+(1-MAX(0,MIN(1,P235)))^2/$B$5))-(MAX(0,MIN(1,O235))^2/(MAX(0,MIN(1,O235))^2+(1-MAX(0,MIN(1,O235)))^2/$B$5))))</f>
        <v>0.950678079763966</v>
      </c>
      <c r="Q236" s="16" t="n">
        <f aca="false">IF(ABS(Q235-$B$11/$B$9*((MAX(0,MIN(1,Q235))^2/(MAX(0,MIN(1,Q235))^2+(1-MAX(0,MIN(1,Q235)))^2/$B$5))-(MAX(0,MIN(1,P235))^2/(MAX(0,MIN(1,P235))^2+(1-MAX(0,MIN(1,P235)))^2/$B$5))))&lt;0.000000001,0,Q235-$B$11/$B$9*((MAX(0,MIN(1,Q235))^2/(MAX(0,MIN(1,Q235))^2+(1-MAX(0,MIN(1,Q235)))^2/$B$5))-(MAX(0,MIN(1,P235))^2/(MAX(0,MIN(1,P235))^2+(1-MAX(0,MIN(1,P235)))^2/$B$5))))</f>
        <v>0.942199368505695</v>
      </c>
      <c r="R236" s="16" t="n">
        <f aca="false">IF(ABS(R235-$B$11/$B$9*((MAX(0,MIN(1,R235))^2/(MAX(0,MIN(1,R235))^2+(1-MAX(0,MIN(1,R235)))^2/$B$5))-(MAX(0,MIN(1,Q235))^2/(MAX(0,MIN(1,Q235))^2+(1-MAX(0,MIN(1,Q235)))^2/$B$5))))&lt;0.000000001,0,R235-$B$11/$B$9*((MAX(0,MIN(1,R235))^2/(MAX(0,MIN(1,R235))^2+(1-MAX(0,MIN(1,R235)))^2/$B$5))-(MAX(0,MIN(1,Q235))^2/(MAX(0,MIN(1,Q235))^2+(1-MAX(0,MIN(1,Q235)))^2/$B$5))))</f>
        <v>0.934180626998874</v>
      </c>
      <c r="S236" s="16" t="n">
        <f aca="false">IF(ABS(S235-$B$11/$B$9*((MAX(0,MIN(1,S235))^2/(MAX(0,MIN(1,S235))^2+(1-MAX(0,MIN(1,S235)))^2/$B$5))-(MAX(0,MIN(1,R235))^2/(MAX(0,MIN(1,R235))^2+(1-MAX(0,MIN(1,R235)))^2/$B$5))))&lt;0.000000001,0,S235-$B$11/$B$9*((MAX(0,MIN(1,S235))^2/(MAX(0,MIN(1,S235))^2+(1-MAX(0,MIN(1,S235)))^2/$B$5))-(MAX(0,MIN(1,R235))^2/(MAX(0,MIN(1,R235))^2+(1-MAX(0,MIN(1,R235)))^2/$B$5))))</f>
        <v>0.926551023321007</v>
      </c>
      <c r="T236" s="16" t="n">
        <f aca="false">IF(ABS(T235-$B$11/$B$9*((MAX(0,MIN(1,T235))^2/(MAX(0,MIN(1,T235))^2+(1-MAX(0,MIN(1,T235)))^2/$B$5))-(MAX(0,MIN(1,S235))^2/(MAX(0,MIN(1,S235))^2+(1-MAX(0,MIN(1,S235)))^2/$B$5))))&lt;0.000000001,0,T235-$B$11/$B$9*((MAX(0,MIN(1,T235))^2/(MAX(0,MIN(1,T235))^2+(1-MAX(0,MIN(1,T235)))^2/$B$5))-(MAX(0,MIN(1,S235))^2/(MAX(0,MIN(1,S235))^2+(1-MAX(0,MIN(1,S235)))^2/$B$5))))</f>
        <v>0.919260168137172</v>
      </c>
      <c r="U236" s="16" t="n">
        <f aca="false">IF(ABS(U235-$B$11/$B$9*((MAX(0,MIN(1,U235))^2/(MAX(0,MIN(1,U235))^2+(1-MAX(0,MIN(1,U235)))^2/$B$5))-(MAX(0,MIN(1,T235))^2/(MAX(0,MIN(1,T235))^2+(1-MAX(0,MIN(1,T235)))^2/$B$5))))&lt;0.000000001,0,U235-$B$11/$B$9*((MAX(0,MIN(1,U235))^2/(MAX(0,MIN(1,U235))^2+(1-MAX(0,MIN(1,U235)))^2/$B$5))-(MAX(0,MIN(1,T235))^2/(MAX(0,MIN(1,T235))^2+(1-MAX(0,MIN(1,T235)))^2/$B$5))))</f>
        <v>0.912269759392453</v>
      </c>
      <c r="V236" s="16" t="n">
        <f aca="false">IF(ABS(V235-$B$11/$B$9*((MAX(0,MIN(1,V235))^2/(MAX(0,MIN(1,V235))^2+(1-MAX(0,MIN(1,V235)))^2/$B$5))-(MAX(0,MIN(1,U235))^2/(MAX(0,MIN(1,U235))^2+(1-MAX(0,MIN(1,U235)))^2/$B$5))))&lt;0.000000001,0,V235-$B$11/$B$9*((MAX(0,MIN(1,V235))^2/(MAX(0,MIN(1,V235))^2+(1-MAX(0,MIN(1,V235)))^2/$B$5))-(MAX(0,MIN(1,U235))^2/(MAX(0,MIN(1,U235))^2+(1-MAX(0,MIN(1,U235)))^2/$B$5))))</f>
        <v>0.905549339330757</v>
      </c>
      <c r="W236" s="16" t="n">
        <f aca="false">IF(ABS(W235-$B$11/$B$9*((MAX(0,MIN(1,W235))^2/(MAX(0,MIN(1,W235))^2+(1-MAX(0,MIN(1,W235)))^2/$B$5))-(MAX(0,MIN(1,V235))^2/(MAX(0,MIN(1,V235))^2+(1-MAX(0,MIN(1,V235)))^2/$B$5))))&lt;0.000000001,0,W235-$B$11/$B$9*((MAX(0,MIN(1,W235))^2/(MAX(0,MIN(1,W235))^2+(1-MAX(0,MIN(1,W235)))^2/$B$5))-(MAX(0,MIN(1,V235))^2/(MAX(0,MIN(1,V235))^2+(1-MAX(0,MIN(1,V235)))^2/$B$5))))</f>
        <v>0.899073900265588</v>
      </c>
      <c r="X236" s="16" t="n">
        <f aca="false">IF(ABS(X235-$B$11/$B$9*((MAX(0,MIN(1,X235))^2/(MAX(0,MIN(1,X235))^2+(1-MAX(0,MIN(1,X235)))^2/$B$5))-(MAX(0,MIN(1,W235))^2/(MAX(0,MIN(1,W235))^2+(1-MAX(0,MIN(1,W235)))^2/$B$5))))&lt;0.000000001,0,X235-$B$11/$B$9*((MAX(0,MIN(1,X235))^2/(MAX(0,MIN(1,X235))^2+(1-MAX(0,MIN(1,X235)))^2/$B$5))-(MAX(0,MIN(1,W235))^2/(MAX(0,MIN(1,W235))^2+(1-MAX(0,MIN(1,W235)))^2/$B$5))))</f>
        <v>0.892822420649062</v>
      </c>
      <c r="Y236" s="16" t="n">
        <f aca="false">IF(ABS(Y235-$B$11/$B$9*((MAX(0,MIN(1,Y235))^2/(MAX(0,MIN(1,Y235))^2+(1-MAX(0,MIN(1,Y235)))^2/$B$5))-(MAX(0,MIN(1,X235))^2/(MAX(0,MIN(1,X235))^2+(1-MAX(0,MIN(1,X235)))^2/$B$5))))&lt;0.000000001,0,Y235-$B$11/$B$9*((MAX(0,MIN(1,Y235))^2/(MAX(0,MIN(1,Y235))^2+(1-MAX(0,MIN(1,Y235)))^2/$B$5))-(MAX(0,MIN(1,X235))^2/(MAX(0,MIN(1,X235))^2+(1-MAX(0,MIN(1,X235)))^2/$B$5))))</f>
        <v>0.886776911692912</v>
      </c>
      <c r="Z236" s="16" t="n">
        <f aca="false">IF(ABS(Z235-$B$11/$B$9*((MAX(0,MIN(1,Z235))^2/(MAX(0,MIN(1,Z235))^2+(1-MAX(0,MIN(1,Z235)))^2/$B$5))-(MAX(0,MIN(1,Y235))^2/(MAX(0,MIN(1,Y235))^2+(1-MAX(0,MIN(1,Y235)))^2/$B$5))))&lt;0.000000001,0,Z235-$B$11/$B$9*((MAX(0,MIN(1,Z235))^2/(MAX(0,MIN(1,Z235))^2+(1-MAX(0,MIN(1,Z235)))^2/$B$5))-(MAX(0,MIN(1,Y235))^2/(MAX(0,MIN(1,Y235))^2+(1-MAX(0,MIN(1,Y235)))^2/$B$5))))</f>
        <v>0.880921764273859</v>
      </c>
      <c r="AA236" s="16" t="n">
        <f aca="false">IF(ABS(AA235-$B$11/$B$9*((MAX(0,MIN(1,AA235))^2/(MAX(0,MIN(1,AA235))^2+(1-MAX(0,MIN(1,AA235)))^2/$B$5))-(MAX(0,MIN(1,Z235))^2/(MAX(0,MIN(1,Z235))^2+(1-MAX(0,MIN(1,Z235)))^2/$B$5))))&lt;0.000000001,0,AA235-$B$11/$B$9*((MAX(0,MIN(1,AA235))^2/(MAX(0,MIN(1,AA235))^2+(1-MAX(0,MIN(1,AA235)))^2/$B$5))-(MAX(0,MIN(1,Z235))^2/(MAX(0,MIN(1,Z235))^2+(1-MAX(0,MIN(1,Z235)))^2/$B$5))))</f>
        <v>0.875243282754055</v>
      </c>
      <c r="AB236" s="16" t="n">
        <f aca="false">IF(ABS(AB235-$B$11/$B$9*((MAX(0,MIN(1,AB235))^2/(MAX(0,MIN(1,AB235))^2+(1-MAX(0,MIN(1,AB235)))^2/$B$5))-(MAX(0,MIN(1,AA235))^2/(MAX(0,MIN(1,AA235))^2+(1-MAX(0,MIN(1,AA235)))^2/$B$5))))&lt;0.000000001,0,AB235-$B$11/$B$9*((MAX(0,MIN(1,AB235))^2/(MAX(0,MIN(1,AB235))^2+(1-MAX(0,MIN(1,AB235)))^2/$B$5))-(MAX(0,MIN(1,AA235))^2/(MAX(0,MIN(1,AA235))^2+(1-MAX(0,MIN(1,AA235)))^2/$B$5))))</f>
        <v>0.869729340774762</v>
      </c>
      <c r="AC236" s="16" t="n">
        <f aca="false">IF(ABS(AC235-$B$11/$B$9*((MAX(0,MIN(1,AC235))^2/(MAX(0,MIN(1,AC235))^2+(1-MAX(0,MIN(1,AC235)))^2/$B$5))-(MAX(0,MIN(1,AB235))^2/(MAX(0,MIN(1,AB235))^2+(1-MAX(0,MIN(1,AB235)))^2/$B$5))))&lt;0.000000001,0,AC235-$B$11/$B$9*((MAX(0,MIN(1,AC235))^2/(MAX(0,MIN(1,AC235))^2+(1-MAX(0,MIN(1,AC235)))^2/$B$5))-(MAX(0,MIN(1,AB235))^2/(MAX(0,MIN(1,AB235))^2+(1-MAX(0,MIN(1,AB235)))^2/$B$5))))</f>
        <v>0.864369119878993</v>
      </c>
      <c r="AD236" s="16" t="n">
        <f aca="false">IF(ABS(AD235-$B$11/$B$9*((MAX(0,MIN(1,AD235))^2/(MAX(0,MIN(1,AD235))^2+(1-MAX(0,MIN(1,AD235)))^2/$B$5))-(MAX(0,MIN(1,AC235))^2/(MAX(0,MIN(1,AC235))^2+(1-MAX(0,MIN(1,AC235)))^2/$B$5))))&lt;0.000000001,0,AD235-$B$11/$B$9*((MAX(0,MIN(1,AD235))^2/(MAX(0,MIN(1,AD235))^2+(1-MAX(0,MIN(1,AD235)))^2/$B$5))-(MAX(0,MIN(1,AC235))^2/(MAX(0,MIN(1,AC235))^2+(1-MAX(0,MIN(1,AC235)))^2/$B$5))))</f>
        <v>0.859152906320538</v>
      </c>
      <c r="AE236" s="16" t="n">
        <f aca="false">IF(ABS(AE235-$B$11/$B$9*((MAX(0,MIN(1,AE235))^2/(MAX(0,MIN(1,AE235))^2+(1-MAX(0,MIN(1,AE235)))^2/$B$5))-(MAX(0,MIN(1,AD235))^2/(MAX(0,MIN(1,AD235))^2+(1-MAX(0,MIN(1,AD235)))^2/$B$5))))&lt;0.000000001,0,AE235-$B$11/$B$9*((MAX(0,MIN(1,AE235))^2/(MAX(0,MIN(1,AE235))^2+(1-MAX(0,MIN(1,AE235)))^2/$B$5))-(MAX(0,MIN(1,AD235))^2/(MAX(0,MIN(1,AD235))^2+(1-MAX(0,MIN(1,AD235)))^2/$B$5))))</f>
        <v>0.854071929953014</v>
      </c>
      <c r="AF236" s="16" t="n">
        <f aca="false">IF(ABS(AF235-$B$11/$B$9*((MAX(0,MIN(1,AF235))^2/(MAX(0,MIN(1,AF235))^2+(1-MAX(0,MIN(1,AF235)))^2/$B$5))-(MAX(0,MIN(1,AE235))^2/(MAX(0,MIN(1,AE235))^2+(1-MAX(0,MIN(1,AE235)))^2/$B$5))))&lt;0.000000001,0,AF235-$B$11/$B$9*((MAX(0,MIN(1,AF235))^2/(MAX(0,MIN(1,AF235))^2+(1-MAX(0,MIN(1,AF235)))^2/$B$5))-(MAX(0,MIN(1,AE235))^2/(MAX(0,MIN(1,AE235))^2+(1-MAX(0,MIN(1,AE235)))^2/$B$5))))</f>
        <v>0.849118234322301</v>
      </c>
    </row>
    <row r="237" customFormat="false" ht="15" hidden="false" customHeight="false" outlineLevel="0" collapsed="false">
      <c r="L237" s="0" t="n">
        <v>227</v>
      </c>
      <c r="M237" s="16" t="n">
        <f aca="false">IF(ABS(M236-$B$11/$B$9*((MAX(0,MIN(1,M236))^2/(MAX(0,MIN(1,M236))^2+(1-MAX(0,MIN(1,M236)))^2/$B$5))-(MAX(0,MIN(1,1))^2/(MAX(0,MIN(1,1))^2+(1-MAX(0,MIN(1,1)))^2/$B$5))))&lt;0.000000001,0,M236-$B$11/$B$9*((MAX(0,MIN(1,M236))^2/(MAX(0,MIN(1,M236))^2+(1-MAX(0,MIN(1,M236)))^2/$B$5))-(MAX(0,MIN(1,1))^2/(MAX(0,MIN(1,1))^2+(1-MAX(0,MIN(1,1)))^2/$B$5))))</f>
        <v>0.980746645944461</v>
      </c>
      <c r="N237" s="16" t="n">
        <f aca="false">IF(ABS(N236-$B$11/$B$9*((MAX(0,MIN(1,N236))^2/(MAX(0,MIN(1,N236))^2+(1-MAX(0,MIN(1,N236)))^2/$B$5))-(MAX(0,MIN(1,M236))^2/(MAX(0,MIN(1,M236))^2+(1-MAX(0,MIN(1,M236)))^2/$B$5))))&lt;0.000000001,0,N236-$B$11/$B$9*((MAX(0,MIN(1,N236))^2/(MAX(0,MIN(1,N236))^2+(1-MAX(0,MIN(1,N236)))^2/$B$5))-(MAX(0,MIN(1,M236))^2/(MAX(0,MIN(1,M236))^2+(1-MAX(0,MIN(1,M236)))^2/$B$5))))</f>
        <v>0.969665008806612</v>
      </c>
      <c r="O237" s="16" t="n">
        <f aca="false">IF(ABS(O236-$B$11/$B$9*((MAX(0,MIN(1,O236))^2/(MAX(0,MIN(1,O236))^2+(1-MAX(0,MIN(1,O236)))^2/$B$5))-(MAX(0,MIN(1,N236))^2/(MAX(0,MIN(1,N236))^2+(1-MAX(0,MIN(1,N236)))^2/$B$5))))&lt;0.000000001,0,O236-$B$11/$B$9*((MAX(0,MIN(1,O236))^2/(MAX(0,MIN(1,O236))^2+(1-MAX(0,MIN(1,O236)))^2/$B$5))-(MAX(0,MIN(1,N236))^2/(MAX(0,MIN(1,N236))^2+(1-MAX(0,MIN(1,N236)))^2/$B$5))))</f>
        <v>0.959875781386301</v>
      </c>
      <c r="P237" s="16" t="n">
        <f aca="false">IF(ABS(P236-$B$11/$B$9*((MAX(0,MIN(1,P236))^2/(MAX(0,MIN(1,P236))^2+(1-MAX(0,MIN(1,P236)))^2/$B$5))-(MAX(0,MIN(1,O236))^2/(MAX(0,MIN(1,O236))^2+(1-MAX(0,MIN(1,O236)))^2/$B$5))))&lt;0.000000001,0,P236-$B$11/$B$9*((MAX(0,MIN(1,P236))^2/(MAX(0,MIN(1,P236))^2+(1-MAX(0,MIN(1,P236)))^2/$B$5))-(MAX(0,MIN(1,O236))^2/(MAX(0,MIN(1,O236))^2+(1-MAX(0,MIN(1,O236)))^2/$B$5))))</f>
        <v>0.950856629569696</v>
      </c>
      <c r="Q237" s="16" t="n">
        <f aca="false">IF(ABS(Q236-$B$11/$B$9*((MAX(0,MIN(1,Q236))^2/(MAX(0,MIN(1,Q236))^2+(1-MAX(0,MIN(1,Q236)))^2/$B$5))-(MAX(0,MIN(1,P236))^2/(MAX(0,MIN(1,P236))^2+(1-MAX(0,MIN(1,P236)))^2/$B$5))))&lt;0.000000001,0,Q236-$B$11/$B$9*((MAX(0,MIN(1,Q236))^2/(MAX(0,MIN(1,Q236))^2+(1-MAX(0,MIN(1,Q236)))^2/$B$5))-(MAX(0,MIN(1,P236))^2/(MAX(0,MIN(1,P236))^2+(1-MAX(0,MIN(1,P236)))^2/$B$5))))</f>
        <v>0.942404771084961</v>
      </c>
      <c r="R237" s="16" t="n">
        <f aca="false">IF(ABS(R236-$B$11/$B$9*((MAX(0,MIN(1,R236))^2/(MAX(0,MIN(1,R236))^2+(1-MAX(0,MIN(1,R236)))^2/$B$5))-(MAX(0,MIN(1,Q236))^2/(MAX(0,MIN(1,Q236))^2+(1-MAX(0,MIN(1,Q236)))^2/$B$5))))&lt;0.000000001,0,R236-$B$11/$B$9*((MAX(0,MIN(1,R236))^2/(MAX(0,MIN(1,R236))^2+(1-MAX(0,MIN(1,R236)))^2/$B$5))-(MAX(0,MIN(1,Q236))^2/(MAX(0,MIN(1,Q236))^2+(1-MAX(0,MIN(1,Q236)))^2/$B$5))))</f>
        <v>0.934410489191419</v>
      </c>
      <c r="S237" s="16" t="n">
        <f aca="false">IF(ABS(S236-$B$11/$B$9*((MAX(0,MIN(1,S236))^2/(MAX(0,MIN(1,S236))^2+(1-MAX(0,MIN(1,S236)))^2/$B$5))-(MAX(0,MIN(1,R236))^2/(MAX(0,MIN(1,R236))^2+(1-MAX(0,MIN(1,R236)))^2/$B$5))))&lt;0.000000001,0,S236-$B$11/$B$9*((MAX(0,MIN(1,S236))^2/(MAX(0,MIN(1,S236))^2+(1-MAX(0,MIN(1,S236)))^2/$B$5))-(MAX(0,MIN(1,R236))^2/(MAX(0,MIN(1,R236))^2+(1-MAX(0,MIN(1,R236)))^2/$B$5))))</f>
        <v>0.926803352853908</v>
      </c>
      <c r="T237" s="16" t="n">
        <f aca="false">IF(ABS(T236-$B$11/$B$9*((MAX(0,MIN(1,T236))^2/(MAX(0,MIN(1,T236))^2+(1-MAX(0,MIN(1,T236)))^2/$B$5))-(MAX(0,MIN(1,S236))^2/(MAX(0,MIN(1,S236))^2+(1-MAX(0,MIN(1,S236)))^2/$B$5))))&lt;0.000000001,0,T236-$B$11/$B$9*((MAX(0,MIN(1,T236))^2/(MAX(0,MIN(1,T236))^2+(1-MAX(0,MIN(1,T236)))^2/$B$5))-(MAX(0,MIN(1,S236))^2/(MAX(0,MIN(1,S236))^2+(1-MAX(0,MIN(1,S236)))^2/$B$5))))</f>
        <v>0.919533268083098</v>
      </c>
      <c r="U237" s="16" t="n">
        <f aca="false">IF(ABS(U236-$B$11/$B$9*((MAX(0,MIN(1,U236))^2/(MAX(0,MIN(1,U236))^2+(1-MAX(0,MIN(1,U236)))^2/$B$5))-(MAX(0,MIN(1,T236))^2/(MAX(0,MIN(1,T236))^2+(1-MAX(0,MIN(1,T236)))^2/$B$5))))&lt;0.000000001,0,U236-$B$11/$B$9*((MAX(0,MIN(1,U236))^2/(MAX(0,MIN(1,U236))^2+(1-MAX(0,MIN(1,U236)))^2/$B$5))-(MAX(0,MIN(1,T236))^2/(MAX(0,MIN(1,T236))^2+(1-MAX(0,MIN(1,T236)))^2/$B$5))))</f>
        <v>0.91256216183125</v>
      </c>
      <c r="V237" s="16" t="n">
        <f aca="false">IF(ABS(V236-$B$11/$B$9*((MAX(0,MIN(1,V236))^2/(MAX(0,MIN(1,V236))^2+(1-MAX(0,MIN(1,V236)))^2/$B$5))-(MAX(0,MIN(1,U236))^2/(MAX(0,MIN(1,U236))^2+(1-MAX(0,MIN(1,U236)))^2/$B$5))))&lt;0.000000001,0,V236-$B$11/$B$9*((MAX(0,MIN(1,V236))^2/(MAX(0,MIN(1,V236))^2+(1-MAX(0,MIN(1,V236)))^2/$B$5))-(MAX(0,MIN(1,U236))^2/(MAX(0,MIN(1,U236))^2+(1-MAX(0,MIN(1,U236)))^2/$B$5))))</f>
        <v>0.905859760023919</v>
      </c>
      <c r="W237" s="16" t="n">
        <f aca="false">IF(ABS(W236-$B$11/$B$9*((MAX(0,MIN(1,W236))^2/(MAX(0,MIN(1,W236))^2+(1-MAX(0,MIN(1,W236)))^2/$B$5))-(MAX(0,MIN(1,V236))^2/(MAX(0,MIN(1,V236))^2+(1-MAX(0,MIN(1,V236)))^2/$B$5))))&lt;0.000000001,0,W236-$B$11/$B$9*((MAX(0,MIN(1,W236))^2/(MAX(0,MIN(1,W236))^2+(1-MAX(0,MIN(1,W236)))^2/$B$5))-(MAX(0,MIN(1,V236))^2/(MAX(0,MIN(1,V236))^2+(1-MAX(0,MIN(1,V236)))^2/$B$5))))</f>
        <v>0.899401205851221</v>
      </c>
      <c r="X237" s="16" t="n">
        <f aca="false">IF(ABS(X236-$B$11/$B$9*((MAX(0,MIN(1,X236))^2/(MAX(0,MIN(1,X236))^2+(1-MAX(0,MIN(1,X236)))^2/$B$5))-(MAX(0,MIN(1,W236))^2/(MAX(0,MIN(1,W236))^2+(1-MAX(0,MIN(1,W236)))^2/$B$5))))&lt;0.000000001,0,X236-$B$11/$B$9*((MAX(0,MIN(1,X236))^2/(MAX(0,MIN(1,X236))^2+(1-MAX(0,MIN(1,X236)))^2/$B$5))-(MAX(0,MIN(1,W236))^2/(MAX(0,MIN(1,W236))^2+(1-MAX(0,MIN(1,W236)))^2/$B$5))))</f>
        <v>0.893165603899323</v>
      </c>
      <c r="Y237" s="16" t="n">
        <f aca="false">IF(ABS(Y236-$B$11/$B$9*((MAX(0,MIN(1,Y236))^2/(MAX(0,MIN(1,Y236))^2+(1-MAX(0,MIN(1,Y236)))^2/$B$5))-(MAX(0,MIN(1,X236))^2/(MAX(0,MIN(1,X236))^2+(1-MAX(0,MIN(1,X236)))^2/$B$5))))&lt;0.000000001,0,Y236-$B$11/$B$9*((MAX(0,MIN(1,Y236))^2/(MAX(0,MIN(1,Y236))^2+(1-MAX(0,MIN(1,Y236)))^2/$B$5))-(MAX(0,MIN(1,X236))^2/(MAX(0,MIN(1,X236))^2+(1-MAX(0,MIN(1,X236)))^2/$B$5))))</f>
        <v>0.887135072274774</v>
      </c>
      <c r="Z237" s="16" t="n">
        <f aca="false">IF(ABS(Z236-$B$11/$B$9*((MAX(0,MIN(1,Z236))^2/(MAX(0,MIN(1,Z236))^2+(1-MAX(0,MIN(1,Z236)))^2/$B$5))-(MAX(0,MIN(1,Y236))^2/(MAX(0,MIN(1,Y236))^2+(1-MAX(0,MIN(1,Y236)))^2/$B$5))))&lt;0.000000001,0,Z236-$B$11/$B$9*((MAX(0,MIN(1,Z236))^2/(MAX(0,MIN(1,Z236))^2+(1-MAX(0,MIN(1,Z236)))^2/$B$5))-(MAX(0,MIN(1,Y236))^2/(MAX(0,MIN(1,Y236))^2+(1-MAX(0,MIN(1,Y236)))^2/$B$5))))</f>
        <v>0.881294093437551</v>
      </c>
      <c r="AA237" s="16" t="n">
        <f aca="false">IF(ABS(AA236-$B$11/$B$9*((MAX(0,MIN(1,AA236))^2/(MAX(0,MIN(1,AA236))^2+(1-MAX(0,MIN(1,AA236)))^2/$B$5))-(MAX(0,MIN(1,Z236))^2/(MAX(0,MIN(1,Z236))^2+(1-MAX(0,MIN(1,Z236)))^2/$B$5))))&lt;0.000000001,0,AA236-$B$11/$B$9*((MAX(0,MIN(1,AA236))^2/(MAX(0,MIN(1,AA236))^2+(1-MAX(0,MIN(1,AA236)))^2/$B$5))-(MAX(0,MIN(1,Z236))^2/(MAX(0,MIN(1,Z236))^2+(1-MAX(0,MIN(1,Z236)))^2/$B$5))))</f>
        <v>0.875629050923588</v>
      </c>
      <c r="AB237" s="16" t="n">
        <f aca="false">IF(ABS(AB236-$B$11/$B$9*((MAX(0,MIN(1,AB236))^2/(MAX(0,MIN(1,AB236))^2+(1-MAX(0,MIN(1,AB236)))^2/$B$5))-(MAX(0,MIN(1,AA236))^2/(MAX(0,MIN(1,AA236))^2+(1-MAX(0,MIN(1,AA236)))^2/$B$5))))&lt;0.000000001,0,AB236-$B$11/$B$9*((MAX(0,MIN(1,AB236))^2/(MAX(0,MIN(1,AB236))^2+(1-MAX(0,MIN(1,AB236)))^2/$B$5))-(MAX(0,MIN(1,AA236))^2/(MAX(0,MIN(1,AA236))^2+(1-MAX(0,MIN(1,AA236)))^2/$B$5))))</f>
        <v>0.870127887342382</v>
      </c>
      <c r="AC237" s="16" t="n">
        <f aca="false">IF(ABS(AC236-$B$11/$B$9*((MAX(0,MIN(1,AC236))^2/(MAX(0,MIN(1,AC236))^2+(1-MAX(0,MIN(1,AC236)))^2/$B$5))-(MAX(0,MIN(1,AB236))^2/(MAX(0,MIN(1,AB236))^2+(1-MAX(0,MIN(1,AB236)))^2/$B$5))))&lt;0.000000001,0,AC236-$B$11/$B$9*((MAX(0,MIN(1,AC236))^2/(MAX(0,MIN(1,AC236))^2+(1-MAX(0,MIN(1,AC236)))^2/$B$5))-(MAX(0,MIN(1,AB236))^2/(MAX(0,MIN(1,AB236))^2+(1-MAX(0,MIN(1,AB236)))^2/$B$5))))</f>
        <v>0.86477984471074</v>
      </c>
      <c r="AD237" s="16" t="n">
        <f aca="false">IF(ABS(AD236-$B$11/$B$9*((MAX(0,MIN(1,AD236))^2/(MAX(0,MIN(1,AD236))^2+(1-MAX(0,MIN(1,AD236)))^2/$B$5))-(MAX(0,MIN(1,AC236))^2/(MAX(0,MIN(1,AC236))^2+(1-MAX(0,MIN(1,AC236)))^2/$B$5))))&lt;0.000000001,0,AD236-$B$11/$B$9*((MAX(0,MIN(1,AD236))^2/(MAX(0,MIN(1,AD236))^2+(1-MAX(0,MIN(1,AD236)))^2/$B$5))-(MAX(0,MIN(1,AC236))^2/(MAX(0,MIN(1,AC236))^2+(1-MAX(0,MIN(1,AC236)))^2/$B$5))))</f>
        <v>0.859575262614505</v>
      </c>
      <c r="AE237" s="16" t="n">
        <f aca="false">IF(ABS(AE236-$B$11/$B$9*((MAX(0,MIN(1,AE236))^2/(MAX(0,MIN(1,AE236))^2+(1-MAX(0,MIN(1,AE236)))^2/$B$5))-(MAX(0,MIN(1,AD236))^2/(MAX(0,MIN(1,AD236))^2+(1-MAX(0,MIN(1,AD236)))^2/$B$5))))&lt;0.000000001,0,AE236-$B$11/$B$9*((MAX(0,MIN(1,AE236))^2/(MAX(0,MIN(1,AE236))^2+(1-MAX(0,MIN(1,AE236)))^2/$B$5))-(MAX(0,MIN(1,AD236))^2/(MAX(0,MIN(1,AD236))^2+(1-MAX(0,MIN(1,AD236)))^2/$B$5))))</f>
        <v>0.854505418183148</v>
      </c>
      <c r="AF237" s="16" t="n">
        <f aca="false">IF(ABS(AF236-$B$11/$B$9*((MAX(0,MIN(1,AF236))^2/(MAX(0,MIN(1,AF236))^2+(1-MAX(0,MIN(1,AF236)))^2/$B$5))-(MAX(0,MIN(1,AE236))^2/(MAX(0,MIN(1,AE236))^2+(1-MAX(0,MIN(1,AE236)))^2/$B$5))))&lt;0.000000001,0,AF236-$B$11/$B$9*((MAX(0,MIN(1,AF236))^2/(MAX(0,MIN(1,AF236))^2+(1-MAX(0,MIN(1,AF236)))^2/$B$5))-(MAX(0,MIN(1,AE236))^2/(MAX(0,MIN(1,AE236))^2+(1-MAX(0,MIN(1,AE236)))^2/$B$5))))</f>
        <v>0.84956239706445</v>
      </c>
    </row>
    <row r="238" customFormat="false" ht="15" hidden="false" customHeight="false" outlineLevel="0" collapsed="false">
      <c r="L238" s="0" t="n">
        <v>228</v>
      </c>
      <c r="M238" s="16" t="n">
        <f aca="false">IF(ABS(M237-$B$11/$B$9*((MAX(0,MIN(1,M237))^2/(MAX(0,MIN(1,M237))^2+(1-MAX(0,MIN(1,M237)))^2/$B$5))-(MAX(0,MIN(1,1))^2/(MAX(0,MIN(1,1))^2+(1-MAX(0,MIN(1,1)))^2/$B$5))))&lt;0.000000001,0,M237-$B$11/$B$9*((MAX(0,MIN(1,M237))^2/(MAX(0,MIN(1,M237))^2+(1-MAX(0,MIN(1,M237)))^2/$B$5))-(MAX(0,MIN(1,1))^2/(MAX(0,MIN(1,1))^2+(1-MAX(0,MIN(1,1)))^2/$B$5))))</f>
        <v>0.980820728720861</v>
      </c>
      <c r="N238" s="16" t="n">
        <f aca="false">IF(ABS(N237-$B$11/$B$9*((MAX(0,MIN(1,N237))^2/(MAX(0,MIN(1,N237))^2+(1-MAX(0,MIN(1,N237)))^2/$B$5))-(MAX(0,MIN(1,M237))^2/(MAX(0,MIN(1,M237))^2+(1-MAX(0,MIN(1,M237)))^2/$B$5))))&lt;0.000000001,0,N237-$B$11/$B$9*((MAX(0,MIN(1,N237))^2/(MAX(0,MIN(1,N237))^2+(1-MAX(0,MIN(1,N237)))^2/$B$5))-(MAX(0,MIN(1,M237))^2/(MAX(0,MIN(1,M237))^2+(1-MAX(0,MIN(1,M237)))^2/$B$5))))</f>
        <v>0.969779002137607</v>
      </c>
      <c r="O238" s="16" t="n">
        <f aca="false">IF(ABS(O237-$B$11/$B$9*((MAX(0,MIN(1,O237))^2/(MAX(0,MIN(1,O237))^2+(1-MAX(0,MIN(1,O237)))^2/$B$5))-(MAX(0,MIN(1,N237))^2/(MAX(0,MIN(1,N237))^2+(1-MAX(0,MIN(1,N237)))^2/$B$5))))&lt;0.000000001,0,O237-$B$11/$B$9*((MAX(0,MIN(1,O237))^2/(MAX(0,MIN(1,O237))^2+(1-MAX(0,MIN(1,O237)))^2/$B$5))-(MAX(0,MIN(1,N237))^2/(MAX(0,MIN(1,N237))^2+(1-MAX(0,MIN(1,N237)))^2/$B$5))))</f>
        <v>0.960023369950823</v>
      </c>
      <c r="P238" s="16" t="n">
        <f aca="false">IF(ABS(P237-$B$11/$B$9*((MAX(0,MIN(1,P237))^2/(MAX(0,MIN(1,P237))^2+(1-MAX(0,MIN(1,P237)))^2/$B$5))-(MAX(0,MIN(1,O237))^2/(MAX(0,MIN(1,O237))^2+(1-MAX(0,MIN(1,O237)))^2/$B$5))))&lt;0.000000001,0,P237-$B$11/$B$9*((MAX(0,MIN(1,P237))^2/(MAX(0,MIN(1,P237))^2+(1-MAX(0,MIN(1,P237)))^2/$B$5))-(MAX(0,MIN(1,O237))^2/(MAX(0,MIN(1,O237))^2+(1-MAX(0,MIN(1,O237)))^2/$B$5))))</f>
        <v>0.951033852201487</v>
      </c>
      <c r="Q238" s="16" t="n">
        <f aca="false">IF(ABS(Q237-$B$11/$B$9*((MAX(0,MIN(1,Q237))^2/(MAX(0,MIN(1,Q237))^2+(1-MAX(0,MIN(1,Q237)))^2/$B$5))-(MAX(0,MIN(1,P237))^2/(MAX(0,MIN(1,P237))^2+(1-MAX(0,MIN(1,P237)))^2/$B$5))))&lt;0.000000001,0,Q237-$B$11/$B$9*((MAX(0,MIN(1,Q237))^2/(MAX(0,MIN(1,Q237))^2+(1-MAX(0,MIN(1,Q237)))^2/$B$5))-(MAX(0,MIN(1,P237))^2/(MAX(0,MIN(1,P237))^2+(1-MAX(0,MIN(1,P237)))^2/$B$5))))</f>
        <v>0.942608669855768</v>
      </c>
      <c r="R238" s="16" t="n">
        <f aca="false">IF(ABS(R237-$B$11/$B$9*((MAX(0,MIN(1,R237))^2/(MAX(0,MIN(1,R237))^2+(1-MAX(0,MIN(1,R237)))^2/$B$5))-(MAX(0,MIN(1,Q237))^2/(MAX(0,MIN(1,Q237))^2+(1-MAX(0,MIN(1,Q237)))^2/$B$5))))&lt;0.000000001,0,R237-$B$11/$B$9*((MAX(0,MIN(1,R237))^2/(MAX(0,MIN(1,R237))^2+(1-MAX(0,MIN(1,R237)))^2/$B$5))-(MAX(0,MIN(1,Q237))^2/(MAX(0,MIN(1,Q237))^2+(1-MAX(0,MIN(1,Q237)))^2/$B$5))))</f>
        <v>0.93463869172911</v>
      </c>
      <c r="S238" s="16" t="n">
        <f aca="false">IF(ABS(S237-$B$11/$B$9*((MAX(0,MIN(1,S237))^2/(MAX(0,MIN(1,S237))^2+(1-MAX(0,MIN(1,S237)))^2/$B$5))-(MAX(0,MIN(1,R237))^2/(MAX(0,MIN(1,R237))^2+(1-MAX(0,MIN(1,R237)))^2/$B$5))))&lt;0.000000001,0,S237-$B$11/$B$9*((MAX(0,MIN(1,S237))^2/(MAX(0,MIN(1,S237))^2+(1-MAX(0,MIN(1,S237)))^2/$B$5))-(MAX(0,MIN(1,R237))^2/(MAX(0,MIN(1,R237))^2+(1-MAX(0,MIN(1,R237)))^2/$B$5))))</f>
        <v>0.927053883682742</v>
      </c>
      <c r="T238" s="16" t="n">
        <f aca="false">IF(ABS(T237-$B$11/$B$9*((MAX(0,MIN(1,T237))^2/(MAX(0,MIN(1,T237))^2+(1-MAX(0,MIN(1,T237)))^2/$B$5))-(MAX(0,MIN(1,S237))^2/(MAX(0,MIN(1,S237))^2+(1-MAX(0,MIN(1,S237)))^2/$B$5))))&lt;0.000000001,0,T237-$B$11/$B$9*((MAX(0,MIN(1,T237))^2/(MAX(0,MIN(1,T237))^2+(1-MAX(0,MIN(1,T237)))^2/$B$5))-(MAX(0,MIN(1,S237))^2/(MAX(0,MIN(1,S237))^2+(1-MAX(0,MIN(1,S237)))^2/$B$5))))</f>
        <v>0.919804444141187</v>
      </c>
      <c r="U238" s="16" t="n">
        <f aca="false">IF(ABS(U237-$B$11/$B$9*((MAX(0,MIN(1,U237))^2/(MAX(0,MIN(1,U237))^2+(1-MAX(0,MIN(1,U237)))^2/$B$5))-(MAX(0,MIN(1,T237))^2/(MAX(0,MIN(1,T237))^2+(1-MAX(0,MIN(1,T237)))^2/$B$5))))&lt;0.000000001,0,U237-$B$11/$B$9*((MAX(0,MIN(1,U237))^2/(MAX(0,MIN(1,U237))^2+(1-MAX(0,MIN(1,U237)))^2/$B$5))-(MAX(0,MIN(1,T237))^2/(MAX(0,MIN(1,T237))^2+(1-MAX(0,MIN(1,T237)))^2/$B$5))))</f>
        <v>0.912852526815473</v>
      </c>
      <c r="V238" s="16" t="n">
        <f aca="false">IF(ABS(V237-$B$11/$B$9*((MAX(0,MIN(1,V237))^2/(MAX(0,MIN(1,V237))^2+(1-MAX(0,MIN(1,V237)))^2/$B$5))-(MAX(0,MIN(1,U237))^2/(MAX(0,MIN(1,U237))^2+(1-MAX(0,MIN(1,U237)))^2/$B$5))))&lt;0.000000001,0,V237-$B$11/$B$9*((MAX(0,MIN(1,V237))^2/(MAX(0,MIN(1,V237))^2+(1-MAX(0,MIN(1,V237)))^2/$B$5))-(MAX(0,MIN(1,U237))^2/(MAX(0,MIN(1,U237))^2+(1-MAX(0,MIN(1,U237)))^2/$B$5))))</f>
        <v>0.906168039537946</v>
      </c>
      <c r="W238" s="16" t="n">
        <f aca="false">IF(ABS(W237-$B$11/$B$9*((MAX(0,MIN(1,W237))^2/(MAX(0,MIN(1,W237))^2+(1-MAX(0,MIN(1,W237)))^2/$B$5))-(MAX(0,MIN(1,V237))^2/(MAX(0,MIN(1,V237))^2+(1-MAX(0,MIN(1,V237)))^2/$B$5))))&lt;0.000000001,0,W237-$B$11/$B$9*((MAX(0,MIN(1,W237))^2/(MAX(0,MIN(1,W237))^2+(1-MAX(0,MIN(1,W237)))^2/$B$5))-(MAX(0,MIN(1,V237))^2/(MAX(0,MIN(1,V237))^2+(1-MAX(0,MIN(1,V237)))^2/$B$5))))</f>
        <v>0.899726274944832</v>
      </c>
      <c r="X238" s="16" t="n">
        <f aca="false">IF(ABS(X237-$B$11/$B$9*((MAX(0,MIN(1,X237))^2/(MAX(0,MIN(1,X237))^2+(1-MAX(0,MIN(1,X237)))^2/$B$5))-(MAX(0,MIN(1,W237))^2/(MAX(0,MIN(1,W237))^2+(1-MAX(0,MIN(1,W237)))^2/$B$5))))&lt;0.000000001,0,X237-$B$11/$B$9*((MAX(0,MIN(1,X237))^2/(MAX(0,MIN(1,X237))^2+(1-MAX(0,MIN(1,X237)))^2/$B$5))-(MAX(0,MIN(1,W237))^2/(MAX(0,MIN(1,W237))^2+(1-MAX(0,MIN(1,W237)))^2/$B$5))))</f>
        <v>0.893506462584949</v>
      </c>
      <c r="Y238" s="16" t="n">
        <f aca="false">IF(ABS(Y237-$B$11/$B$9*((MAX(0,MIN(1,Y237))^2/(MAX(0,MIN(1,Y237))^2+(1-MAX(0,MIN(1,Y237)))^2/$B$5))-(MAX(0,MIN(1,X237))^2/(MAX(0,MIN(1,X237))^2+(1-MAX(0,MIN(1,X237)))^2/$B$5))))&lt;0.000000001,0,Y237-$B$11/$B$9*((MAX(0,MIN(1,Y237))^2/(MAX(0,MIN(1,Y237))^2+(1-MAX(0,MIN(1,Y237)))^2/$B$5))-(MAX(0,MIN(1,X237))^2/(MAX(0,MIN(1,X237))^2+(1-MAX(0,MIN(1,X237)))^2/$B$5))))</f>
        <v>0.88749082648819</v>
      </c>
      <c r="Z238" s="16" t="n">
        <f aca="false">IF(ABS(Z237-$B$11/$B$9*((MAX(0,MIN(1,Z237))^2/(MAX(0,MIN(1,Z237))^2+(1-MAX(0,MIN(1,Z237)))^2/$B$5))-(MAX(0,MIN(1,Y237))^2/(MAX(0,MIN(1,Y237))^2+(1-MAX(0,MIN(1,Y237)))^2/$B$5))))&lt;0.000000001,0,Z237-$B$11/$B$9*((MAX(0,MIN(1,Z237))^2/(MAX(0,MIN(1,Z237))^2+(1-MAX(0,MIN(1,Z237)))^2/$B$5))-(MAX(0,MIN(1,Y237))^2/(MAX(0,MIN(1,Y237))^2+(1-MAX(0,MIN(1,Y237)))^2/$B$5))))</f>
        <v>0.881663939883629</v>
      </c>
      <c r="AA238" s="16" t="n">
        <f aca="false">IF(ABS(AA237-$B$11/$B$9*((MAX(0,MIN(1,AA237))^2/(MAX(0,MIN(1,AA237))^2+(1-MAX(0,MIN(1,AA237)))^2/$B$5))-(MAX(0,MIN(1,Z237))^2/(MAX(0,MIN(1,Z237))^2+(1-MAX(0,MIN(1,Z237)))^2/$B$5))))&lt;0.000000001,0,AA237-$B$11/$B$9*((MAX(0,MIN(1,AA237))^2/(MAX(0,MIN(1,AA237))^2+(1-MAX(0,MIN(1,AA237)))^2/$B$5))-(MAX(0,MIN(1,Z237))^2/(MAX(0,MIN(1,Z237))^2+(1-MAX(0,MIN(1,Z237)))^2/$B$5))))</f>
        <v>0.876012264792508</v>
      </c>
      <c r="AB238" s="16" t="n">
        <f aca="false">IF(ABS(AB237-$B$11/$B$9*((MAX(0,MIN(1,AB237))^2/(MAX(0,MIN(1,AB237))^2+(1-MAX(0,MIN(1,AB237)))^2/$B$5))-(MAX(0,MIN(1,AA237))^2/(MAX(0,MIN(1,AA237))^2+(1-MAX(0,MIN(1,AA237)))^2/$B$5))))&lt;0.000000001,0,AB237-$B$11/$B$9*((MAX(0,MIN(1,AB237))^2/(MAX(0,MIN(1,AB237))^2+(1-MAX(0,MIN(1,AB237)))^2/$B$5))-(MAX(0,MIN(1,AA237))^2/(MAX(0,MIN(1,AA237))^2+(1-MAX(0,MIN(1,AA237)))^2/$B$5))))</f>
        <v>0.870523812205802</v>
      </c>
      <c r="AC238" s="16" t="n">
        <f aca="false">IF(ABS(AC237-$B$11/$B$9*((MAX(0,MIN(1,AC237))^2/(MAX(0,MIN(1,AC237))^2+(1-MAX(0,MIN(1,AC237)))^2/$B$5))-(MAX(0,MIN(1,AB237))^2/(MAX(0,MIN(1,AB237))^2+(1-MAX(0,MIN(1,AB237)))^2/$B$5))))&lt;0.000000001,0,AC237-$B$11/$B$9*((MAX(0,MIN(1,AC237))^2/(MAX(0,MIN(1,AC237))^2+(1-MAX(0,MIN(1,AC237)))^2/$B$5))-(MAX(0,MIN(1,AB237))^2/(MAX(0,MIN(1,AB237))^2+(1-MAX(0,MIN(1,AB237)))^2/$B$5))))</f>
        <v>0.86518788411055</v>
      </c>
      <c r="AD238" s="16" t="n">
        <f aca="false">IF(ABS(AD237-$B$11/$B$9*((MAX(0,MIN(1,AD237))^2/(MAX(0,MIN(1,AD237))^2+(1-MAX(0,MIN(1,AD237)))^2/$B$5))-(MAX(0,MIN(1,AC237))^2/(MAX(0,MIN(1,AC237))^2+(1-MAX(0,MIN(1,AC237)))^2/$B$5))))&lt;0.000000001,0,AD237-$B$11/$B$9*((MAX(0,MIN(1,AD237))^2/(MAX(0,MIN(1,AD237))^2+(1-MAX(0,MIN(1,AD237)))^2/$B$5))-(MAX(0,MIN(1,AC237))^2/(MAX(0,MIN(1,AC237))^2+(1-MAX(0,MIN(1,AC237)))^2/$B$5))))</f>
        <v>0.859994872989747</v>
      </c>
      <c r="AE238" s="16" t="n">
        <f aca="false">IF(ABS(AE237-$B$11/$B$9*((MAX(0,MIN(1,AE237))^2/(MAX(0,MIN(1,AE237))^2+(1-MAX(0,MIN(1,AE237)))^2/$B$5))-(MAX(0,MIN(1,AD237))^2/(MAX(0,MIN(1,AD237))^2+(1-MAX(0,MIN(1,AD237)))^2/$B$5))))&lt;0.000000001,0,AE237-$B$11/$B$9*((MAX(0,MIN(1,AE237))^2/(MAX(0,MIN(1,AE237))^2+(1-MAX(0,MIN(1,AE237)))^2/$B$5))-(MAX(0,MIN(1,AD237))^2/(MAX(0,MIN(1,AD237))^2+(1-MAX(0,MIN(1,AD237)))^2/$B$5))))</f>
        <v>0.854936102870926</v>
      </c>
      <c r="AF238" s="16" t="n">
        <f aca="false">IF(ABS(AF237-$B$11/$B$9*((MAX(0,MIN(1,AF237))^2/(MAX(0,MIN(1,AF237))^2+(1-MAX(0,MIN(1,AF237)))^2/$B$5))-(MAX(0,MIN(1,AE237))^2/(MAX(0,MIN(1,AE237))^2+(1-MAX(0,MIN(1,AE237)))^2/$B$5))))&lt;0.000000001,0,AF237-$B$11/$B$9*((MAX(0,MIN(1,AF237))^2/(MAX(0,MIN(1,AF237))^2+(1-MAX(0,MIN(1,AF237)))^2/$B$5))-(MAX(0,MIN(1,AE237))^2/(MAX(0,MIN(1,AE237))^2+(1-MAX(0,MIN(1,AE237)))^2/$B$5))))</f>
        <v>0.850003701173822</v>
      </c>
    </row>
    <row r="239" customFormat="false" ht="15" hidden="false" customHeight="false" outlineLevel="0" collapsed="false">
      <c r="L239" s="0" t="n">
        <v>229</v>
      </c>
      <c r="M239" s="16" t="n">
        <f aca="false">IF(ABS(M238-$B$11/$B$9*((MAX(0,MIN(1,M238))^2/(MAX(0,MIN(1,M238))^2+(1-MAX(0,MIN(1,M238)))^2/$B$5))-(MAX(0,MIN(1,1))^2/(MAX(0,MIN(1,1))^2+(1-MAX(0,MIN(1,1)))^2/$B$5))))&lt;0.000000001,0,M238-$B$11/$B$9*((MAX(0,MIN(1,M238))^2/(MAX(0,MIN(1,M238))^2+(1-MAX(0,MIN(1,M238)))^2/$B$5))-(MAX(0,MIN(1,1))^2/(MAX(0,MIN(1,1))^2+(1-MAX(0,MIN(1,1)))^2/$B$5))))</f>
        <v>0.980894231490937</v>
      </c>
      <c r="N239" s="16" t="n">
        <f aca="false">IF(ABS(N238-$B$11/$B$9*((MAX(0,MIN(1,N238))^2/(MAX(0,MIN(1,N238))^2+(1-MAX(0,MIN(1,N238)))^2/$B$5))-(MAX(0,MIN(1,M238))^2/(MAX(0,MIN(1,M238))^2+(1-MAX(0,MIN(1,M238)))^2/$B$5))))&lt;0.000000001,0,N238-$B$11/$B$9*((MAX(0,MIN(1,N238))^2/(MAX(0,MIN(1,N238))^2+(1-MAX(0,MIN(1,N238)))^2/$B$5))-(MAX(0,MIN(1,M238))^2/(MAX(0,MIN(1,M238))^2+(1-MAX(0,MIN(1,M238)))^2/$B$5))))</f>
        <v>0.969892121444987</v>
      </c>
      <c r="O239" s="16" t="n">
        <f aca="false">IF(ABS(O238-$B$11/$B$9*((MAX(0,MIN(1,O238))^2/(MAX(0,MIN(1,O238))^2+(1-MAX(0,MIN(1,O238)))^2/$B$5))-(MAX(0,MIN(1,N238))^2/(MAX(0,MIN(1,N238))^2+(1-MAX(0,MIN(1,N238)))^2/$B$5))))&lt;0.000000001,0,O238-$B$11/$B$9*((MAX(0,MIN(1,O238))^2/(MAX(0,MIN(1,O238))^2+(1-MAX(0,MIN(1,O238)))^2/$B$5))-(MAX(0,MIN(1,N238))^2/(MAX(0,MIN(1,N238))^2+(1-MAX(0,MIN(1,N238)))^2/$B$5))))</f>
        <v>0.960169847525099</v>
      </c>
      <c r="P239" s="16" t="n">
        <f aca="false">IF(ABS(P238-$B$11/$B$9*((MAX(0,MIN(1,P238))^2/(MAX(0,MIN(1,P238))^2+(1-MAX(0,MIN(1,P238)))^2/$B$5))-(MAX(0,MIN(1,O238))^2/(MAX(0,MIN(1,O238))^2+(1-MAX(0,MIN(1,O238)))^2/$B$5))))&lt;0.000000001,0,P238-$B$11/$B$9*((MAX(0,MIN(1,P238))^2/(MAX(0,MIN(1,P238))^2+(1-MAX(0,MIN(1,P238)))^2/$B$5))-(MAX(0,MIN(1,O238))^2/(MAX(0,MIN(1,O238))^2+(1-MAX(0,MIN(1,O238)))^2/$B$5))))</f>
        <v>0.951209762719893</v>
      </c>
      <c r="Q239" s="16" t="n">
        <f aca="false">IF(ABS(Q238-$B$11/$B$9*((MAX(0,MIN(1,Q238))^2/(MAX(0,MIN(1,Q238))^2+(1-MAX(0,MIN(1,Q238)))^2/$B$5))-(MAX(0,MIN(1,P238))^2/(MAX(0,MIN(1,P238))^2+(1-MAX(0,MIN(1,P238)))^2/$B$5))))&lt;0.000000001,0,Q238-$B$11/$B$9*((MAX(0,MIN(1,Q238))^2/(MAX(0,MIN(1,Q238))^2+(1-MAX(0,MIN(1,Q238)))^2/$B$5))-(MAX(0,MIN(1,P238))^2/(MAX(0,MIN(1,P238))^2+(1-MAX(0,MIN(1,P238)))^2/$B$5))))</f>
        <v>0.942811081674868</v>
      </c>
      <c r="R239" s="16" t="n">
        <f aca="false">IF(ABS(R238-$B$11/$B$9*((MAX(0,MIN(1,R238))^2/(MAX(0,MIN(1,R238))^2+(1-MAX(0,MIN(1,R238)))^2/$B$5))-(MAX(0,MIN(1,Q238))^2/(MAX(0,MIN(1,Q238))^2+(1-MAX(0,MIN(1,Q238)))^2/$B$5))))&lt;0.000000001,0,R238-$B$11/$B$9*((MAX(0,MIN(1,R238))^2/(MAX(0,MIN(1,R238))^2+(1-MAX(0,MIN(1,R238)))^2/$B$5))-(MAX(0,MIN(1,Q238))^2/(MAX(0,MIN(1,Q238))^2+(1-MAX(0,MIN(1,Q238)))^2/$B$5))))</f>
        <v>0.934865253013494</v>
      </c>
      <c r="S239" s="16" t="n">
        <f aca="false">IF(ABS(S238-$B$11/$B$9*((MAX(0,MIN(1,S238))^2/(MAX(0,MIN(1,S238))^2+(1-MAX(0,MIN(1,S238)))^2/$B$5))-(MAX(0,MIN(1,R238))^2/(MAX(0,MIN(1,R238))^2+(1-MAX(0,MIN(1,R238)))^2/$B$5))))&lt;0.000000001,0,S238-$B$11/$B$9*((MAX(0,MIN(1,S238))^2/(MAX(0,MIN(1,S238))^2+(1-MAX(0,MIN(1,S238)))^2/$B$5))-(MAX(0,MIN(1,R238))^2/(MAX(0,MIN(1,R238))^2+(1-MAX(0,MIN(1,R238)))^2/$B$5))))</f>
        <v>0.927302635557279</v>
      </c>
      <c r="T239" s="16" t="n">
        <f aca="false">IF(ABS(T238-$B$11/$B$9*((MAX(0,MIN(1,T238))^2/(MAX(0,MIN(1,T238))^2+(1-MAX(0,MIN(1,T238)))^2/$B$5))-(MAX(0,MIN(1,S238))^2/(MAX(0,MIN(1,S238))^2+(1-MAX(0,MIN(1,S238)))^2/$B$5))))&lt;0.000000001,0,T238-$B$11/$B$9*((MAX(0,MIN(1,T238))^2/(MAX(0,MIN(1,T238))^2+(1-MAX(0,MIN(1,T238)))^2/$B$5))-(MAX(0,MIN(1,S238))^2/(MAX(0,MIN(1,S238))^2+(1-MAX(0,MIN(1,S238)))^2/$B$5))))</f>
        <v>0.92007371725249</v>
      </c>
      <c r="U239" s="16" t="n">
        <f aca="false">IF(ABS(U238-$B$11/$B$9*((MAX(0,MIN(1,U238))^2/(MAX(0,MIN(1,U238))^2+(1-MAX(0,MIN(1,U238)))^2/$B$5))-(MAX(0,MIN(1,T238))^2/(MAX(0,MIN(1,T238))^2+(1-MAX(0,MIN(1,T238)))^2/$B$5))))&lt;0.000000001,0,U238-$B$11/$B$9*((MAX(0,MIN(1,U238))^2/(MAX(0,MIN(1,U238))^2+(1-MAX(0,MIN(1,U238)))^2/$B$5))-(MAX(0,MIN(1,T238))^2/(MAX(0,MIN(1,T238))^2+(1-MAX(0,MIN(1,T238)))^2/$B$5))))</f>
        <v>0.913140876350299</v>
      </c>
      <c r="V239" s="16" t="n">
        <f aca="false">IF(ABS(V238-$B$11/$B$9*((MAX(0,MIN(1,V238))^2/(MAX(0,MIN(1,V238))^2+(1-MAX(0,MIN(1,V238)))^2/$B$5))-(MAX(0,MIN(1,U238))^2/(MAX(0,MIN(1,U238))^2+(1-MAX(0,MIN(1,U238)))^2/$B$5))))&lt;0.000000001,0,V238-$B$11/$B$9*((MAX(0,MIN(1,V238))^2/(MAX(0,MIN(1,V238))^2+(1-MAX(0,MIN(1,V238)))^2/$B$5))-(MAX(0,MIN(1,U238))^2/(MAX(0,MIN(1,U238))^2+(1-MAX(0,MIN(1,U238)))^2/$B$5))))</f>
        <v>0.906474200837973</v>
      </c>
      <c r="W239" s="16" t="n">
        <f aca="false">IF(ABS(W238-$B$11/$B$9*((MAX(0,MIN(1,W238))^2/(MAX(0,MIN(1,W238))^2+(1-MAX(0,MIN(1,W238)))^2/$B$5))-(MAX(0,MIN(1,V238))^2/(MAX(0,MIN(1,V238))^2+(1-MAX(0,MIN(1,V238)))^2/$B$5))))&lt;0.000000001,0,W238-$B$11/$B$9*((MAX(0,MIN(1,W238))^2/(MAX(0,MIN(1,W238))^2+(1-MAX(0,MIN(1,W238)))^2/$B$5))-(MAX(0,MIN(1,V238))^2/(MAX(0,MIN(1,V238))^2+(1-MAX(0,MIN(1,V238)))^2/$B$5))))</f>
        <v>0.900049131385458</v>
      </c>
      <c r="X239" s="16" t="n">
        <f aca="false">IF(ABS(X238-$B$11/$B$9*((MAX(0,MIN(1,X238))^2/(MAX(0,MIN(1,X238))^2+(1-MAX(0,MIN(1,X238)))^2/$B$5))-(MAX(0,MIN(1,W238))^2/(MAX(0,MIN(1,W238))^2+(1-MAX(0,MIN(1,W238)))^2/$B$5))))&lt;0.000000001,0,X238-$B$11/$B$9*((MAX(0,MIN(1,X238))^2/(MAX(0,MIN(1,X238))^2+(1-MAX(0,MIN(1,X238)))^2/$B$5))-(MAX(0,MIN(1,W238))^2/(MAX(0,MIN(1,W238))^2+(1-MAX(0,MIN(1,W238)))^2/$B$5))))</f>
        <v>0.893845021347315</v>
      </c>
      <c r="Y239" s="16" t="n">
        <f aca="false">IF(ABS(Y238-$B$11/$B$9*((MAX(0,MIN(1,Y238))^2/(MAX(0,MIN(1,Y238))^2+(1-MAX(0,MIN(1,Y238)))^2/$B$5))-(MAX(0,MIN(1,X238))^2/(MAX(0,MIN(1,X238))^2+(1-MAX(0,MIN(1,X238)))^2/$B$5))))&lt;0.000000001,0,Y238-$B$11/$B$9*((MAX(0,MIN(1,Y238))^2/(MAX(0,MIN(1,Y238))^2+(1-MAX(0,MIN(1,Y238)))^2/$B$5))-(MAX(0,MIN(1,X238))^2/(MAX(0,MIN(1,X238))^2+(1-MAX(0,MIN(1,X238)))^2/$B$5))))</f>
        <v>0.887844199717061</v>
      </c>
      <c r="Z239" s="16" t="n">
        <f aca="false">IF(ABS(Z238-$B$11/$B$9*((MAX(0,MIN(1,Z238))^2/(MAX(0,MIN(1,Z238))^2+(1-MAX(0,MIN(1,Z238)))^2/$B$5))-(MAX(0,MIN(1,Y238))^2/(MAX(0,MIN(1,Y238))^2+(1-MAX(0,MIN(1,Y238)))^2/$B$5))))&lt;0.000000001,0,Z238-$B$11/$B$9*((MAX(0,MIN(1,Z238))^2/(MAX(0,MIN(1,Z238))^2+(1-MAX(0,MIN(1,Z238)))^2/$B$5))-(MAX(0,MIN(1,Y238))^2/(MAX(0,MIN(1,Y238))^2+(1-MAX(0,MIN(1,Y238)))^2/$B$5))))</f>
        <v>0.882031329688323</v>
      </c>
      <c r="AA239" s="16" t="n">
        <f aca="false">IF(ABS(AA238-$B$11/$B$9*((MAX(0,MIN(1,AA238))^2/(MAX(0,MIN(1,AA238))^2+(1-MAX(0,MIN(1,AA238)))^2/$B$5))-(MAX(0,MIN(1,Z238))^2/(MAX(0,MIN(1,Z238))^2+(1-MAX(0,MIN(1,Z238)))^2/$B$5))))&lt;0.000000001,0,AA238-$B$11/$B$9*((MAX(0,MIN(1,AA238))^2/(MAX(0,MIN(1,AA238))^2+(1-MAX(0,MIN(1,AA238)))^2/$B$5))-(MAX(0,MIN(1,Z238))^2/(MAX(0,MIN(1,Z238))^2+(1-MAX(0,MIN(1,Z238)))^2/$B$5))))</f>
        <v>0.876392951087153</v>
      </c>
      <c r="AB239" s="16" t="n">
        <f aca="false">IF(ABS(AB238-$B$11/$B$9*((MAX(0,MIN(1,AB238))^2/(MAX(0,MIN(1,AB238))^2+(1-MAX(0,MIN(1,AB238)))^2/$B$5))-(MAX(0,MIN(1,AA238))^2/(MAX(0,MIN(1,AA238))^2+(1-MAX(0,MIN(1,AA238)))^2/$B$5))))&lt;0.000000001,0,AB238-$B$11/$B$9*((MAX(0,MIN(1,AB238))^2/(MAX(0,MIN(1,AB238))^2+(1-MAX(0,MIN(1,AB238)))^2/$B$5))-(MAX(0,MIN(1,AA238))^2/(MAX(0,MIN(1,AA238))^2+(1-MAX(0,MIN(1,AA238)))^2/$B$5))))</f>
        <v>0.870917142705908</v>
      </c>
      <c r="AC239" s="16" t="n">
        <f aca="false">IF(ABS(AC238-$B$11/$B$9*((MAX(0,MIN(1,AC238))^2/(MAX(0,MIN(1,AC238))^2+(1-MAX(0,MIN(1,AC238)))^2/$B$5))-(MAX(0,MIN(1,AB238))^2/(MAX(0,MIN(1,AB238))^2+(1-MAX(0,MIN(1,AB238)))^2/$B$5))))&lt;0.000000001,0,AC238-$B$11/$B$9*((MAX(0,MIN(1,AC238))^2/(MAX(0,MIN(1,AC238))^2+(1-MAX(0,MIN(1,AC238)))^2/$B$5))-(MAX(0,MIN(1,AB238))^2/(MAX(0,MIN(1,AB238))^2+(1-MAX(0,MIN(1,AB238)))^2/$B$5))))</f>
        <v>0.865593266003897</v>
      </c>
      <c r="AD239" s="16" t="n">
        <f aca="false">IF(ABS(AD238-$B$11/$B$9*((MAX(0,MIN(1,AD238))^2/(MAX(0,MIN(1,AD238))^2+(1-MAX(0,MIN(1,AD238)))^2/$B$5))-(MAX(0,MIN(1,AC238))^2/(MAX(0,MIN(1,AC238))^2+(1-MAX(0,MIN(1,AC238)))^2/$B$5))))&lt;0.000000001,0,AD238-$B$11/$B$9*((MAX(0,MIN(1,AD238))^2/(MAX(0,MIN(1,AD238))^2+(1-MAX(0,MIN(1,AD238)))^2/$B$5))-(MAX(0,MIN(1,AC238))^2/(MAX(0,MIN(1,AC238))^2+(1-MAX(0,MIN(1,AC238)))^2/$B$5))))</f>
        <v>0.86041176593112</v>
      </c>
      <c r="AE239" s="16" t="n">
        <f aca="false">IF(ABS(AE238-$B$11/$B$9*((MAX(0,MIN(1,AE238))^2/(MAX(0,MIN(1,AE238))^2+(1-MAX(0,MIN(1,AE238)))^2/$B$5))-(MAX(0,MIN(1,AD238))^2/(MAX(0,MIN(1,AD238))^2+(1-MAX(0,MIN(1,AD238)))^2/$B$5))))&lt;0.000000001,0,AE238-$B$11/$B$9*((MAX(0,MIN(1,AE238))^2/(MAX(0,MIN(1,AE238))^2+(1-MAX(0,MIN(1,AE238)))^2/$B$5))-(MAX(0,MIN(1,AD238))^2/(MAX(0,MIN(1,AD238))^2+(1-MAX(0,MIN(1,AD238)))^2/$B$5))))</f>
        <v>0.855364013039451</v>
      </c>
      <c r="AF239" s="16" t="n">
        <f aca="false">IF(ABS(AF238-$B$11/$B$9*((MAX(0,MIN(1,AF238))^2/(MAX(0,MIN(1,AF238))^2+(1-MAX(0,MIN(1,AF238)))^2/$B$5))-(MAX(0,MIN(1,AE238))^2/(MAX(0,MIN(1,AE238))^2+(1-MAX(0,MIN(1,AE238)))^2/$B$5))))&lt;0.000000001,0,AF238-$B$11/$B$9*((MAX(0,MIN(1,AF238))^2/(MAX(0,MIN(1,AF238))^2+(1-MAX(0,MIN(1,AF238)))^2/$B$5))-(MAX(0,MIN(1,AE238))^2/(MAX(0,MIN(1,AE238))^2+(1-MAX(0,MIN(1,AE238)))^2/$B$5))))</f>
        <v>0.850442176194134</v>
      </c>
    </row>
    <row r="240" customFormat="false" ht="15" hidden="false" customHeight="false" outlineLevel="0" collapsed="false">
      <c r="L240" s="0" t="n">
        <v>230</v>
      </c>
      <c r="M240" s="16" t="n">
        <f aca="false">IF(ABS(M239-$B$11/$B$9*((MAX(0,MIN(1,M239))^2/(MAX(0,MIN(1,M239))^2+(1-MAX(0,MIN(1,M239)))^2/$B$5))-(MAX(0,MIN(1,1))^2/(MAX(0,MIN(1,1))^2+(1-MAX(0,MIN(1,1)))^2/$B$5))))&lt;0.000000001,0,M239-$B$11/$B$9*((MAX(0,MIN(1,M239))^2/(MAX(0,MIN(1,M239))^2+(1-MAX(0,MIN(1,M239)))^2/$B$5))-(MAX(0,MIN(1,1))^2/(MAX(0,MIN(1,1))^2+(1-MAX(0,MIN(1,1)))^2/$B$5))))</f>
        <v>0.980967161133161</v>
      </c>
      <c r="N240" s="16" t="n">
        <f aca="false">IF(ABS(N239-$B$11/$B$9*((MAX(0,MIN(1,N239))^2/(MAX(0,MIN(1,N239))^2+(1-MAX(0,MIN(1,N239)))^2/$B$5))-(MAX(0,MIN(1,M239))^2/(MAX(0,MIN(1,M239))^2+(1-MAX(0,MIN(1,M239)))^2/$B$5))))&lt;0.000000001,0,N239-$B$11/$B$9*((MAX(0,MIN(1,N239))^2/(MAX(0,MIN(1,N239))^2+(1-MAX(0,MIN(1,N239)))^2/$B$5))-(MAX(0,MIN(1,M239))^2/(MAX(0,MIN(1,M239))^2+(1-MAX(0,MIN(1,M239)))^2/$B$5))))</f>
        <v>0.970004376904327</v>
      </c>
      <c r="O240" s="16" t="n">
        <f aca="false">IF(ABS(O239-$B$11/$B$9*((MAX(0,MIN(1,O239))^2/(MAX(0,MIN(1,O239))^2+(1-MAX(0,MIN(1,O239)))^2/$B$5))-(MAX(0,MIN(1,N239))^2/(MAX(0,MIN(1,N239))^2+(1-MAX(0,MIN(1,N239)))^2/$B$5))))&lt;0.000000001,0,O239-$B$11/$B$9*((MAX(0,MIN(1,O239))^2/(MAX(0,MIN(1,O239))^2+(1-MAX(0,MIN(1,O239)))^2/$B$5))-(MAX(0,MIN(1,N239))^2/(MAX(0,MIN(1,N239))^2+(1-MAX(0,MIN(1,N239)))^2/$B$5))))</f>
        <v>0.960315226840844</v>
      </c>
      <c r="P240" s="16" t="n">
        <f aca="false">IF(ABS(P239-$B$11/$B$9*((MAX(0,MIN(1,P239))^2/(MAX(0,MIN(1,P239))^2+(1-MAX(0,MIN(1,P239)))^2/$B$5))-(MAX(0,MIN(1,O239))^2/(MAX(0,MIN(1,O239))^2+(1-MAX(0,MIN(1,O239)))^2/$B$5))))&lt;0.000000001,0,P239-$B$11/$B$9*((MAX(0,MIN(1,P239))^2/(MAX(0,MIN(1,P239))^2+(1-MAX(0,MIN(1,P239)))^2/$B$5))-(MAX(0,MIN(1,O239))^2/(MAX(0,MIN(1,O239))^2+(1-MAX(0,MIN(1,O239)))^2/$B$5))))</f>
        <v>0.95138437595468</v>
      </c>
      <c r="Q240" s="16" t="n">
        <f aca="false">IF(ABS(Q239-$B$11/$B$9*((MAX(0,MIN(1,Q239))^2/(MAX(0,MIN(1,Q239))^2+(1-MAX(0,MIN(1,Q239)))^2/$B$5))-(MAX(0,MIN(1,P239))^2/(MAX(0,MIN(1,P239))^2+(1-MAX(0,MIN(1,P239)))^2/$B$5))))&lt;0.000000001,0,Q239-$B$11/$B$9*((MAX(0,MIN(1,Q239))^2/(MAX(0,MIN(1,Q239))^2+(1-MAX(0,MIN(1,Q239)))^2/$B$5))-(MAX(0,MIN(1,P239))^2/(MAX(0,MIN(1,P239))^2+(1-MAX(0,MIN(1,P239)))^2/$B$5))))</f>
        <v>0.943012023143229</v>
      </c>
      <c r="R240" s="16" t="n">
        <f aca="false">IF(ABS(R239-$B$11/$B$9*((MAX(0,MIN(1,R239))^2/(MAX(0,MIN(1,R239))^2+(1-MAX(0,MIN(1,R239)))^2/$B$5))-(MAX(0,MIN(1,Q239))^2/(MAX(0,MIN(1,Q239))^2+(1-MAX(0,MIN(1,Q239)))^2/$B$5))))&lt;0.000000001,0,R239-$B$11/$B$9*((MAX(0,MIN(1,R239))^2/(MAX(0,MIN(1,R239))^2+(1-MAX(0,MIN(1,R239)))^2/$B$5))-(MAX(0,MIN(1,Q239))^2/(MAX(0,MIN(1,Q239))^2+(1-MAX(0,MIN(1,Q239)))^2/$B$5))))</f>
        <v>0.935090191169244</v>
      </c>
      <c r="S240" s="16" t="n">
        <f aca="false">IF(ABS(S239-$B$11/$B$9*((MAX(0,MIN(1,S239))^2/(MAX(0,MIN(1,S239))^2+(1-MAX(0,MIN(1,S239)))^2/$B$5))-(MAX(0,MIN(1,R239))^2/(MAX(0,MIN(1,R239))^2+(1-MAX(0,MIN(1,R239)))^2/$B$5))))&lt;0.000000001,0,S239-$B$11/$B$9*((MAX(0,MIN(1,S239))^2/(MAX(0,MIN(1,S239))^2+(1-MAX(0,MIN(1,S239)))^2/$B$5))-(MAX(0,MIN(1,R239))^2/(MAX(0,MIN(1,R239))^2+(1-MAX(0,MIN(1,R239)))^2/$B$5))))</f>
        <v>0.927549627932274</v>
      </c>
      <c r="T240" s="16" t="n">
        <f aca="false">IF(ABS(T239-$B$11/$B$9*((MAX(0,MIN(1,T239))^2/(MAX(0,MIN(1,T239))^2+(1-MAX(0,MIN(1,T239)))^2/$B$5))-(MAX(0,MIN(1,S239))^2/(MAX(0,MIN(1,S239))^2+(1-MAX(0,MIN(1,S239)))^2/$B$5))))&lt;0.000000001,0,T239-$B$11/$B$9*((MAX(0,MIN(1,T239))^2/(MAX(0,MIN(1,T239))^2+(1-MAX(0,MIN(1,T239)))^2/$B$5))-(MAX(0,MIN(1,S239))^2/(MAX(0,MIN(1,S239))^2+(1-MAX(0,MIN(1,S239)))^2/$B$5))))</f>
        <v>0.920341108047179</v>
      </c>
      <c r="U240" s="16" t="n">
        <f aca="false">IF(ABS(U239-$B$11/$B$9*((MAX(0,MIN(1,U239))^2/(MAX(0,MIN(1,U239))^2+(1-MAX(0,MIN(1,U239)))^2/$B$5))-(MAX(0,MIN(1,T239))^2/(MAX(0,MIN(1,T239))^2+(1-MAX(0,MIN(1,T239)))^2/$B$5))))&lt;0.000000001,0,U239-$B$11/$B$9*((MAX(0,MIN(1,U239))^2/(MAX(0,MIN(1,U239))^2+(1-MAX(0,MIN(1,U239)))^2/$B$5))-(MAX(0,MIN(1,T239))^2/(MAX(0,MIN(1,T239))^2+(1-MAX(0,MIN(1,T239)))^2/$B$5))))</f>
        <v>0.913427232115936</v>
      </c>
      <c r="V240" s="16" t="n">
        <f aca="false">IF(ABS(V239-$B$11/$B$9*((MAX(0,MIN(1,V239))^2/(MAX(0,MIN(1,V239))^2+(1-MAX(0,MIN(1,V239)))^2/$B$5))-(MAX(0,MIN(1,U239))^2/(MAX(0,MIN(1,U239))^2+(1-MAX(0,MIN(1,U239)))^2/$B$5))))&lt;0.000000001,0,V239-$B$11/$B$9*((MAX(0,MIN(1,V239))^2/(MAX(0,MIN(1,V239))^2+(1-MAX(0,MIN(1,V239)))^2/$B$5))-(MAX(0,MIN(1,U239))^2/(MAX(0,MIN(1,U239))^2+(1-MAX(0,MIN(1,U239)))^2/$B$5))))</f>
        <v>0.906778266551489</v>
      </c>
      <c r="W240" s="16" t="n">
        <f aca="false">IF(ABS(W239-$B$11/$B$9*((MAX(0,MIN(1,W239))^2/(MAX(0,MIN(1,W239))^2+(1-MAX(0,MIN(1,W239)))^2/$B$5))-(MAX(0,MIN(1,V239))^2/(MAX(0,MIN(1,V239))^2+(1-MAX(0,MIN(1,V239)))^2/$B$5))))&lt;0.000000001,0,W239-$B$11/$B$9*((MAX(0,MIN(1,W239))^2/(MAX(0,MIN(1,W239))^2+(1-MAX(0,MIN(1,W239)))^2/$B$5))-(MAX(0,MIN(1,V239))^2/(MAX(0,MIN(1,V239))^2+(1-MAX(0,MIN(1,V239)))^2/$B$5))))</f>
        <v>0.900369798662936</v>
      </c>
      <c r="X240" s="16" t="n">
        <f aca="false">IF(ABS(X239-$B$11/$B$9*((MAX(0,MIN(1,X239))^2/(MAX(0,MIN(1,X239))^2+(1-MAX(0,MIN(1,X239)))^2/$B$5))-(MAX(0,MIN(1,W239))^2/(MAX(0,MIN(1,W239))^2+(1-MAX(0,MIN(1,W239)))^2/$B$5))))&lt;0.000000001,0,X239-$B$11/$B$9*((MAX(0,MIN(1,X239))^2/(MAX(0,MIN(1,X239))^2+(1-MAX(0,MIN(1,X239)))^2/$B$5))-(MAX(0,MIN(1,W239))^2/(MAX(0,MIN(1,W239))^2+(1-MAX(0,MIN(1,W239)))^2/$B$5))))</f>
        <v>0.894181304467936</v>
      </c>
      <c r="Y240" s="16" t="n">
        <f aca="false">IF(ABS(Y239-$B$11/$B$9*((MAX(0,MIN(1,Y239))^2/(MAX(0,MIN(1,Y239))^2+(1-MAX(0,MIN(1,Y239)))^2/$B$5))-(MAX(0,MIN(1,X239))^2/(MAX(0,MIN(1,X239))^2+(1-MAX(0,MIN(1,X239)))^2/$B$5))))&lt;0.000000001,0,Y239-$B$11/$B$9*((MAX(0,MIN(1,Y239))^2/(MAX(0,MIN(1,Y239))^2+(1-MAX(0,MIN(1,Y239)))^2/$B$5))-(MAX(0,MIN(1,X239))^2/(MAX(0,MIN(1,X239))^2+(1-MAX(0,MIN(1,X239)))^2/$B$5))))</f>
        <v>0.888195216975472</v>
      </c>
      <c r="Z240" s="16" t="n">
        <f aca="false">IF(ABS(Z239-$B$11/$B$9*((MAX(0,MIN(1,Z239))^2/(MAX(0,MIN(1,Z239))^2+(1-MAX(0,MIN(1,Z239)))^2/$B$5))-(MAX(0,MIN(1,Y239))^2/(MAX(0,MIN(1,Y239))^2+(1-MAX(0,MIN(1,Y239)))^2/$B$5))))&lt;0.000000001,0,Z239-$B$11/$B$9*((MAX(0,MIN(1,Z239))^2/(MAX(0,MIN(1,Z239))^2+(1-MAX(0,MIN(1,Z239)))^2/$B$5))-(MAX(0,MIN(1,Y239))^2/(MAX(0,MIN(1,Y239))^2+(1-MAX(0,MIN(1,Y239)))^2/$B$5))))</f>
        <v>0.882396288548679</v>
      </c>
      <c r="AA240" s="16" t="n">
        <f aca="false">IF(ABS(AA239-$B$11/$B$9*((MAX(0,MIN(1,AA239))^2/(MAX(0,MIN(1,AA239))^2+(1-MAX(0,MIN(1,AA239)))^2/$B$5))-(MAX(0,MIN(1,Z239))^2/(MAX(0,MIN(1,Z239))^2+(1-MAX(0,MIN(1,Z239)))^2/$B$5))))&lt;0.000000001,0,AA239-$B$11/$B$9*((MAX(0,MIN(1,AA239))^2/(MAX(0,MIN(1,AA239))^2+(1-MAX(0,MIN(1,AA239)))^2/$B$5))-(MAX(0,MIN(1,Z239))^2/(MAX(0,MIN(1,Z239))^2+(1-MAX(0,MIN(1,Z239)))^2/$B$5))))</f>
        <v>0.876771136145765</v>
      </c>
      <c r="AB240" s="16" t="n">
        <f aca="false">IF(ABS(AB239-$B$11/$B$9*((MAX(0,MIN(1,AB239))^2/(MAX(0,MIN(1,AB239))^2+(1-MAX(0,MIN(1,AB239)))^2/$B$5))-(MAX(0,MIN(1,AA239))^2/(MAX(0,MIN(1,AA239))^2+(1-MAX(0,MIN(1,AA239)))^2/$B$5))))&lt;0.000000001,0,AB239-$B$11/$B$9*((MAX(0,MIN(1,AB239))^2/(MAX(0,MIN(1,AB239))^2+(1-MAX(0,MIN(1,AB239)))^2/$B$5))-(MAX(0,MIN(1,AA239))^2/(MAX(0,MIN(1,AA239))^2+(1-MAX(0,MIN(1,AA239)))^2/$B$5))))</f>
        <v>0.871307905786929</v>
      </c>
      <c r="AC240" s="16" t="n">
        <f aca="false">IF(ABS(AC239-$B$11/$B$9*((MAX(0,MIN(1,AC239))^2/(MAX(0,MIN(1,AC239))^2+(1-MAX(0,MIN(1,AC239)))^2/$B$5))-(MAX(0,MIN(1,AB239))^2/(MAX(0,MIN(1,AB239))^2+(1-MAX(0,MIN(1,AB239)))^2/$B$5))))&lt;0.000000001,0,AC239-$B$11/$B$9*((MAX(0,MIN(1,AC239))^2/(MAX(0,MIN(1,AC239))^2+(1-MAX(0,MIN(1,AC239)))^2/$B$5))-(MAX(0,MIN(1,AB239))^2/(MAX(0,MIN(1,AB239))^2+(1-MAX(0,MIN(1,AB239)))^2/$B$5))))</f>
        <v>0.865996017911322</v>
      </c>
      <c r="AD240" s="16" t="n">
        <f aca="false">IF(ABS(AD239-$B$11/$B$9*((MAX(0,MIN(1,AD239))^2/(MAX(0,MIN(1,AD239))^2+(1-MAX(0,MIN(1,AD239)))^2/$B$5))-(MAX(0,MIN(1,AC239))^2/(MAX(0,MIN(1,AC239))^2+(1-MAX(0,MIN(1,AC239)))^2/$B$5))))&lt;0.000000001,0,AD239-$B$11/$B$9*((MAX(0,MIN(1,AD239))^2/(MAX(0,MIN(1,AD239))^2+(1-MAX(0,MIN(1,AD239)))^2/$B$5))-(MAX(0,MIN(1,AC239))^2/(MAX(0,MIN(1,AC239))^2+(1-MAX(0,MIN(1,AC239)))^2/$B$5))))</f>
        <v>0.860825969510486</v>
      </c>
      <c r="AE240" s="16" t="n">
        <f aca="false">IF(ABS(AE239-$B$11/$B$9*((MAX(0,MIN(1,AE239))^2/(MAX(0,MIN(1,AE239))^2+(1-MAX(0,MIN(1,AE239)))^2/$B$5))-(MAX(0,MIN(1,AD239))^2/(MAX(0,MIN(1,AD239))^2+(1-MAX(0,MIN(1,AD239)))^2/$B$5))))&lt;0.000000001,0,AE239-$B$11/$B$9*((MAX(0,MIN(1,AE239))^2/(MAX(0,MIN(1,AE239))^2+(1-MAX(0,MIN(1,AE239)))^2/$B$5))-(MAX(0,MIN(1,AD239))^2/(MAX(0,MIN(1,AD239))^2+(1-MAX(0,MIN(1,AD239)))^2/$B$5))))</f>
        <v>0.855789177290926</v>
      </c>
      <c r="AF240" s="16" t="n">
        <f aca="false">IF(ABS(AF239-$B$11/$B$9*((MAX(0,MIN(1,AF239))^2/(MAX(0,MIN(1,AF239))^2+(1-MAX(0,MIN(1,AF239)))^2/$B$5))-(MAX(0,MIN(1,AE239))^2/(MAX(0,MIN(1,AE239))^2+(1-MAX(0,MIN(1,AE239)))^2/$B$5))))&lt;0.000000001,0,AF239-$B$11/$B$9*((MAX(0,MIN(1,AF239))^2/(MAX(0,MIN(1,AF239))^2+(1-MAX(0,MIN(1,AF239)))^2/$B$5))-(MAX(0,MIN(1,AE239))^2/(MAX(0,MIN(1,AE239))^2+(1-MAX(0,MIN(1,AE239)))^2/$B$5))))</f>
        <v>0.850877851240401</v>
      </c>
    </row>
    <row r="241" customFormat="false" ht="15" hidden="false" customHeight="false" outlineLevel="0" collapsed="false">
      <c r="L241" s="0" t="n">
        <v>231</v>
      </c>
      <c r="M241" s="16" t="n">
        <f aca="false">IF(ABS(M240-$B$11/$B$9*((MAX(0,MIN(1,M240))^2/(MAX(0,MIN(1,M240))^2+(1-MAX(0,MIN(1,M240)))^2/$B$5))-(MAX(0,MIN(1,1))^2/(MAX(0,MIN(1,1))^2+(1-MAX(0,MIN(1,1)))^2/$B$5))))&lt;0.000000001,0,M240-$B$11/$B$9*((MAX(0,MIN(1,M240))^2/(MAX(0,MIN(1,M240))^2+(1-MAX(0,MIN(1,M240)))^2/$B$5))-(MAX(0,MIN(1,1))^2/(MAX(0,MIN(1,1))^2+(1-MAX(0,MIN(1,1)))^2/$B$5))))</f>
        <v>0.98103952441658</v>
      </c>
      <c r="N241" s="16" t="n">
        <f aca="false">IF(ABS(N240-$B$11/$B$9*((MAX(0,MIN(1,N240))^2/(MAX(0,MIN(1,N240))^2+(1-MAX(0,MIN(1,N240)))^2/$B$5))-(MAX(0,MIN(1,M240))^2/(MAX(0,MIN(1,M240))^2+(1-MAX(0,MIN(1,M240)))^2/$B$5))))&lt;0.000000001,0,N240-$B$11/$B$9*((MAX(0,MIN(1,N240))^2/(MAX(0,MIN(1,N240))^2+(1-MAX(0,MIN(1,N240)))^2/$B$5))-(MAX(0,MIN(1,M240))^2/(MAX(0,MIN(1,M240))^2+(1-MAX(0,MIN(1,M240)))^2/$B$5))))</f>
        <v>0.970115778531964</v>
      </c>
      <c r="O241" s="16" t="n">
        <f aca="false">IF(ABS(O240-$B$11/$B$9*((MAX(0,MIN(1,O240))^2/(MAX(0,MIN(1,O240))^2+(1-MAX(0,MIN(1,O240)))^2/$B$5))-(MAX(0,MIN(1,N240))^2/(MAX(0,MIN(1,N240))^2+(1-MAX(0,MIN(1,N240)))^2/$B$5))))&lt;0.000000001,0,O240-$B$11/$B$9*((MAX(0,MIN(1,O240))^2/(MAX(0,MIN(1,O240))^2+(1-MAX(0,MIN(1,O240)))^2/$B$5))-(MAX(0,MIN(1,N240))^2/(MAX(0,MIN(1,N240))^2+(1-MAX(0,MIN(1,N240)))^2/$B$5))))</f>
        <v>0.960459520433215</v>
      </c>
      <c r="P241" s="16" t="n">
        <f aca="false">IF(ABS(P240-$B$11/$B$9*((MAX(0,MIN(1,P240))^2/(MAX(0,MIN(1,P240))^2+(1-MAX(0,MIN(1,P240)))^2/$B$5))-(MAX(0,MIN(1,O240))^2/(MAX(0,MIN(1,O240))^2+(1-MAX(0,MIN(1,O240)))^2/$B$5))))&lt;0.000000001,0,P240-$B$11/$B$9*((MAX(0,MIN(1,P240))^2/(MAX(0,MIN(1,P240))^2+(1-MAX(0,MIN(1,P240)))^2/$B$5))-(MAX(0,MIN(1,O240))^2/(MAX(0,MIN(1,O240))^2+(1-MAX(0,MIN(1,O240)))^2/$B$5))))</f>
        <v>0.951557706509285</v>
      </c>
      <c r="Q241" s="16" t="n">
        <f aca="false">IF(ABS(Q240-$B$11/$B$9*((MAX(0,MIN(1,Q240))^2/(MAX(0,MIN(1,Q240))^2+(1-MAX(0,MIN(1,Q240)))^2/$B$5))-(MAX(0,MIN(1,P240))^2/(MAX(0,MIN(1,P240))^2+(1-MAX(0,MIN(1,P240)))^2/$B$5))))&lt;0.000000001,0,Q240-$B$11/$B$9*((MAX(0,MIN(1,Q240))^2/(MAX(0,MIN(1,Q240))^2+(1-MAX(0,MIN(1,Q240)))^2/$B$5))-(MAX(0,MIN(1,P240))^2/(MAX(0,MIN(1,P240))^2+(1-MAX(0,MIN(1,P240)))^2/$B$5))))</f>
        <v>0.943211510610945</v>
      </c>
      <c r="R241" s="16" t="n">
        <f aca="false">IF(ABS(R240-$B$11/$B$9*((MAX(0,MIN(1,R240))^2/(MAX(0,MIN(1,R240))^2+(1-MAX(0,MIN(1,R240)))^2/$B$5))-(MAX(0,MIN(1,Q240))^2/(MAX(0,MIN(1,Q240))^2+(1-MAX(0,MIN(1,Q240)))^2/$B$5))))&lt;0.000000001,0,R240-$B$11/$B$9*((MAX(0,MIN(1,R240))^2/(MAX(0,MIN(1,R240))^2+(1-MAX(0,MIN(1,R240)))^2/$B$5))-(MAX(0,MIN(1,Q240))^2/(MAX(0,MIN(1,Q240))^2+(1-MAX(0,MIN(1,Q240)))^2/$B$5))))</f>
        <v>0.935313524049438</v>
      </c>
      <c r="S241" s="16" t="n">
        <f aca="false">IF(ABS(S240-$B$11/$B$9*((MAX(0,MIN(1,S240))^2/(MAX(0,MIN(1,S240))^2+(1-MAX(0,MIN(1,S240)))^2/$B$5))-(MAX(0,MIN(1,R240))^2/(MAX(0,MIN(1,R240))^2+(1-MAX(0,MIN(1,R240)))^2/$B$5))))&lt;0.000000001,0,S240-$B$11/$B$9*((MAX(0,MIN(1,S240))^2/(MAX(0,MIN(1,S240))^2+(1-MAX(0,MIN(1,S240)))^2/$B$5))-(MAX(0,MIN(1,R240))^2/(MAX(0,MIN(1,R240))^2+(1-MAX(0,MIN(1,R240)))^2/$B$5))))</f>
        <v>0.927794879973066</v>
      </c>
      <c r="T241" s="16" t="n">
        <f aca="false">IF(ABS(T240-$B$11/$B$9*((MAX(0,MIN(1,T240))^2/(MAX(0,MIN(1,T240))^2+(1-MAX(0,MIN(1,T240)))^2/$B$5))-(MAX(0,MIN(1,S240))^2/(MAX(0,MIN(1,S240))^2+(1-MAX(0,MIN(1,S240)))^2/$B$5))))&lt;0.000000001,0,T240-$B$11/$B$9*((MAX(0,MIN(1,T240))^2/(MAX(0,MIN(1,T240))^2+(1-MAX(0,MIN(1,T240)))^2/$B$5))-(MAX(0,MIN(1,S240))^2/(MAX(0,MIN(1,S240))^2+(1-MAX(0,MIN(1,S240)))^2/$B$5))))</f>
        <v>0.92060663685042</v>
      </c>
      <c r="U241" s="16" t="n">
        <f aca="false">IF(ABS(U240-$B$11/$B$9*((MAX(0,MIN(1,U240))^2/(MAX(0,MIN(1,U240))^2+(1-MAX(0,MIN(1,U240)))^2/$B$5))-(MAX(0,MIN(1,T240))^2/(MAX(0,MIN(1,T240))^2+(1-MAX(0,MIN(1,T240)))^2/$B$5))))&lt;0.000000001,0,U240-$B$11/$B$9*((MAX(0,MIN(1,U240))^2/(MAX(0,MIN(1,U240))^2+(1-MAX(0,MIN(1,U240)))^2/$B$5))-(MAX(0,MIN(1,T240))^2/(MAX(0,MIN(1,T240))^2+(1-MAX(0,MIN(1,T240)))^2/$B$5))))</f>
        <v>0.913711615473749</v>
      </c>
      <c r="V241" s="16" t="n">
        <f aca="false">IF(ABS(V240-$B$11/$B$9*((MAX(0,MIN(1,V240))^2/(MAX(0,MIN(1,V240))^2+(1-MAX(0,MIN(1,V240)))^2/$B$5))-(MAX(0,MIN(1,U240))^2/(MAX(0,MIN(1,U240))^2+(1-MAX(0,MIN(1,U240)))^2/$B$5))))&lt;0.000000001,0,V240-$B$11/$B$9*((MAX(0,MIN(1,V240))^2/(MAX(0,MIN(1,V240))^2+(1-MAX(0,MIN(1,V240)))^2/$B$5))-(MAX(0,MIN(1,U240))^2/(MAX(0,MIN(1,U240))^2+(1-MAX(0,MIN(1,U240)))^2/$B$5))))</f>
        <v>0.907080258974682</v>
      </c>
      <c r="W241" s="16" t="n">
        <f aca="false">IF(ABS(W240-$B$11/$B$9*((MAX(0,MIN(1,W240))^2/(MAX(0,MIN(1,W240))^2+(1-MAX(0,MIN(1,W240)))^2/$B$5))-(MAX(0,MIN(1,V240))^2/(MAX(0,MIN(1,V240))^2+(1-MAX(0,MIN(1,V240)))^2/$B$5))))&lt;0.000000001,0,W240-$B$11/$B$9*((MAX(0,MIN(1,W240))^2/(MAX(0,MIN(1,W240))^2+(1-MAX(0,MIN(1,W240)))^2/$B$5))-(MAX(0,MIN(1,V240))^2/(MAX(0,MIN(1,V240))^2+(1-MAX(0,MIN(1,V240)))^2/$B$5))))</f>
        <v>0.900688299924447</v>
      </c>
      <c r="X241" s="16" t="n">
        <f aca="false">IF(ABS(X240-$B$11/$B$9*((MAX(0,MIN(1,X240))^2/(MAX(0,MIN(1,X240))^2+(1-MAX(0,MIN(1,X240)))^2/$B$5))-(MAX(0,MIN(1,W240))^2/(MAX(0,MIN(1,W240))^2+(1-MAX(0,MIN(1,W240)))^2/$B$5))))&lt;0.000000001,0,X240-$B$11/$B$9*((MAX(0,MIN(1,X240))^2/(MAX(0,MIN(1,X240))^2+(1-MAX(0,MIN(1,X240)))^2/$B$5))-(MAX(0,MIN(1,W240))^2/(MAX(0,MIN(1,W240))^2+(1-MAX(0,MIN(1,W240)))^2/$B$5))))</f>
        <v>0.8945153358752</v>
      </c>
      <c r="Y241" s="16" t="n">
        <f aca="false">IF(ABS(Y240-$B$11/$B$9*((MAX(0,MIN(1,Y240))^2/(MAX(0,MIN(1,Y240))^2+(1-MAX(0,MIN(1,Y240)))^2/$B$5))-(MAX(0,MIN(1,X240))^2/(MAX(0,MIN(1,X240))^2+(1-MAX(0,MIN(1,X240)))^2/$B$5))))&lt;0.000000001,0,Y240-$B$11/$B$9*((MAX(0,MIN(1,Y240))^2/(MAX(0,MIN(1,Y240))^2+(1-MAX(0,MIN(1,Y240)))^2/$B$5))-(MAX(0,MIN(1,X240))^2/(MAX(0,MIN(1,X240))^2+(1-MAX(0,MIN(1,X240)))^2/$B$5))))</f>
        <v>0.888543902914627</v>
      </c>
      <c r="Z241" s="16" t="n">
        <f aca="false">IF(ABS(Z240-$B$11/$B$9*((MAX(0,MIN(1,Z240))^2/(MAX(0,MIN(1,Z240))^2+(1-MAX(0,MIN(1,Z240)))^2/$B$5))-(MAX(0,MIN(1,Y240))^2/(MAX(0,MIN(1,Y240))^2+(1-MAX(0,MIN(1,Y240)))^2/$B$5))))&lt;0.000000001,0,Z240-$B$11/$B$9*((MAX(0,MIN(1,Z240))^2/(MAX(0,MIN(1,Z240))^2+(1-MAX(0,MIN(1,Z240)))^2/$B$5))-(MAX(0,MIN(1,Y240))^2/(MAX(0,MIN(1,Y240))^2+(1-MAX(0,MIN(1,Y240)))^2/$B$5))))</f>
        <v>0.882758841789656</v>
      </c>
      <c r="AA241" s="16" t="n">
        <f aca="false">IF(ABS(AA240-$B$11/$B$9*((MAX(0,MIN(1,AA240))^2/(MAX(0,MIN(1,AA240))^2+(1-MAX(0,MIN(1,AA240)))^2/$B$5))-(MAX(0,MIN(1,Z240))^2/(MAX(0,MIN(1,Z240))^2+(1-MAX(0,MIN(1,Z240)))^2/$B$5))))&lt;0.000000001,0,AA240-$B$11/$B$9*((MAX(0,MIN(1,AA240))^2/(MAX(0,MIN(1,AA240))^2+(1-MAX(0,MIN(1,AA240)))^2/$B$5))-(MAX(0,MIN(1,Z240))^2/(MAX(0,MIN(1,Z240))^2+(1-MAX(0,MIN(1,Z240)))^2/$B$5))))</f>
        <v>0.877146845925749</v>
      </c>
      <c r="AB241" s="16" t="n">
        <f aca="false">IF(ABS(AB240-$B$11/$B$9*((MAX(0,MIN(1,AB240))^2/(MAX(0,MIN(1,AB240))^2+(1-MAX(0,MIN(1,AB240)))^2/$B$5))-(MAX(0,MIN(1,AA240))^2/(MAX(0,MIN(1,AA240))^2+(1-MAX(0,MIN(1,AA240)))^2/$B$5))))&lt;0.000000001,0,AB240-$B$11/$B$9*((MAX(0,MIN(1,AB240))^2/(MAX(0,MIN(1,AB240))^2+(1-MAX(0,MIN(1,AB240)))^2/$B$5))-(MAX(0,MIN(1,AA240))^2/(MAX(0,MIN(1,AA240))^2+(1-MAX(0,MIN(1,AA240)))^2/$B$5))))</f>
        <v>0.871696128003872</v>
      </c>
      <c r="AC241" s="16" t="n">
        <f aca="false">IF(ABS(AC240-$B$11/$B$9*((MAX(0,MIN(1,AC240))^2/(MAX(0,MIN(1,AC240))^2+(1-MAX(0,MIN(1,AC240)))^2/$B$5))-(MAX(0,MIN(1,AB240))^2/(MAX(0,MIN(1,AB240))^2+(1-MAX(0,MIN(1,AB240)))^2/$B$5))))&lt;0.000000001,0,AC240-$B$11/$B$9*((MAX(0,MIN(1,AC240))^2/(MAX(0,MIN(1,AC240))^2+(1-MAX(0,MIN(1,AC240)))^2/$B$5))-(MAX(0,MIN(1,AB240))^2/(MAX(0,MIN(1,AB240))^2+(1-MAX(0,MIN(1,AB240)))^2/$B$5))))</f>
        <v>0.866396166956027</v>
      </c>
      <c r="AD241" s="16" t="n">
        <f aca="false">IF(ABS(AD240-$B$11/$B$9*((MAX(0,MIN(1,AD240))^2/(MAX(0,MIN(1,AD240))^2+(1-MAX(0,MIN(1,AD240)))^2/$B$5))-(MAX(0,MIN(1,AC240))^2/(MAX(0,MIN(1,AC240))^2+(1-MAX(0,MIN(1,AC240)))^2/$B$5))))&lt;0.000000001,0,AD240-$B$11/$B$9*((MAX(0,MIN(1,AD240))^2/(MAX(0,MIN(1,AD240))^2+(1-MAX(0,MIN(1,AD240)))^2/$B$5))-(MAX(0,MIN(1,AC240))^2/(MAX(0,MIN(1,AC240))^2+(1-MAX(0,MIN(1,AC240)))^2/$B$5))))</f>
        <v>0.861237511394469</v>
      </c>
      <c r="AE241" s="16" t="n">
        <f aca="false">IF(ABS(AE240-$B$11/$B$9*((MAX(0,MIN(1,AE240))^2/(MAX(0,MIN(1,AE240))^2+(1-MAX(0,MIN(1,AE240)))^2/$B$5))-(MAX(0,MIN(1,AD240))^2/(MAX(0,MIN(1,AD240))^2+(1-MAX(0,MIN(1,AD240)))^2/$B$5))))&lt;0.000000001,0,AE240-$B$11/$B$9*((MAX(0,MIN(1,AE240))^2/(MAX(0,MIN(1,AE240))^2+(1-MAX(0,MIN(1,AE240)))^2/$B$5))-(MAX(0,MIN(1,AD240))^2/(MAX(0,MIN(1,AD240))^2+(1-MAX(0,MIN(1,AD240)))^2/$B$5))))</f>
        <v>0.856211623814571</v>
      </c>
      <c r="AF241" s="16" t="n">
        <f aca="false">IF(ABS(AF240-$B$11/$B$9*((MAX(0,MIN(1,AF240))^2/(MAX(0,MIN(1,AF240))^2+(1-MAX(0,MIN(1,AF240)))^2/$B$5))-(MAX(0,MIN(1,AE240))^2/(MAX(0,MIN(1,AE240))^2+(1-MAX(0,MIN(1,AE240)))^2/$B$5))))&lt;0.000000001,0,AF240-$B$11/$B$9*((MAX(0,MIN(1,AF240))^2/(MAX(0,MIN(1,AF240))^2+(1-MAX(0,MIN(1,AF240)))^2/$B$5))-(MAX(0,MIN(1,AE240))^2/(MAX(0,MIN(1,AE240))^2+(1-MAX(0,MIN(1,AE240)))^2/$B$5))))</f>
        <v>0.851310755007018</v>
      </c>
    </row>
    <row r="242" customFormat="false" ht="15" hidden="false" customHeight="false" outlineLevel="0" collapsed="false">
      <c r="L242" s="0" t="n">
        <v>232</v>
      </c>
      <c r="M242" s="16" t="n">
        <f aca="false">IF(ABS(M241-$B$11/$B$9*((MAX(0,MIN(1,M241))^2/(MAX(0,MIN(1,M241))^2+(1-MAX(0,MIN(1,M241)))^2/$B$5))-(MAX(0,MIN(1,1))^2/(MAX(0,MIN(1,1))^2+(1-MAX(0,MIN(1,1)))^2/$B$5))))&lt;0.000000001,0,M241-$B$11/$B$9*((MAX(0,MIN(1,M241))^2/(MAX(0,MIN(1,M241))^2+(1-MAX(0,MIN(1,M241)))^2/$B$5))-(MAX(0,MIN(1,1))^2/(MAX(0,MIN(1,1))^2+(1-MAX(0,MIN(1,1)))^2/$B$5))))</f>
        <v>0.981111328003006</v>
      </c>
      <c r="N242" s="16" t="n">
        <f aca="false">IF(ABS(N241-$B$11/$B$9*((MAX(0,MIN(1,N241))^2/(MAX(0,MIN(1,N241))^2+(1-MAX(0,MIN(1,N241)))^2/$B$5))-(MAX(0,MIN(1,M241))^2/(MAX(0,MIN(1,M241))^2+(1-MAX(0,MIN(1,M241)))^2/$B$5))))&lt;0.000000001,0,N241-$B$11/$B$9*((MAX(0,MIN(1,N241))^2/(MAX(0,MIN(1,N241))^2+(1-MAX(0,MIN(1,N241)))^2/$B$5))-(MAX(0,MIN(1,M241))^2/(MAX(0,MIN(1,M241))^2+(1-MAX(0,MIN(1,M241)))^2/$B$5))))</f>
        <v>0.970226336188122</v>
      </c>
      <c r="O242" s="16" t="n">
        <f aca="false">IF(ABS(O241-$B$11/$B$9*((MAX(0,MIN(1,O241))^2/(MAX(0,MIN(1,O241))^2+(1-MAX(0,MIN(1,O241)))^2/$B$5))-(MAX(0,MIN(1,N241))^2/(MAX(0,MIN(1,N241))^2+(1-MAX(0,MIN(1,N241)))^2/$B$5))))&lt;0.000000001,0,O241-$B$11/$B$9*((MAX(0,MIN(1,O241))^2/(MAX(0,MIN(1,O241))^2+(1-MAX(0,MIN(1,O241)))^2/$B$5))-(MAX(0,MIN(1,N241))^2/(MAX(0,MIN(1,N241))^2+(1-MAX(0,MIN(1,N241)))^2/$B$5))))</f>
        <v>0.960602740644633</v>
      </c>
      <c r="P242" s="16" t="n">
        <f aca="false">IF(ABS(P241-$B$11/$B$9*((MAX(0,MIN(1,P241))^2/(MAX(0,MIN(1,P241))^2+(1-MAX(0,MIN(1,P241)))^2/$B$5))-(MAX(0,MIN(1,O241))^2/(MAX(0,MIN(1,O241))^2+(1-MAX(0,MIN(1,O241)))^2/$B$5))))&lt;0.000000001,0,P241-$B$11/$B$9*((MAX(0,MIN(1,P241))^2/(MAX(0,MIN(1,P241))^2+(1-MAX(0,MIN(1,P241)))^2/$B$5))-(MAX(0,MIN(1,O241))^2/(MAX(0,MIN(1,O241))^2+(1-MAX(0,MIN(1,O241)))^2/$B$5))))</f>
        <v>0.951729768765177</v>
      </c>
      <c r="Q242" s="16" t="n">
        <f aca="false">IF(ABS(Q241-$B$11/$B$9*((MAX(0,MIN(1,Q241))^2/(MAX(0,MIN(1,Q241))^2+(1-MAX(0,MIN(1,Q241)))^2/$B$5))-(MAX(0,MIN(1,P241))^2/(MAX(0,MIN(1,P241))^2+(1-MAX(0,MIN(1,P241)))^2/$B$5))))&lt;0.000000001,0,Q241-$B$11/$B$9*((MAX(0,MIN(1,Q241))^2/(MAX(0,MIN(1,Q241))^2+(1-MAX(0,MIN(1,Q241)))^2/$B$5))-(MAX(0,MIN(1,P241))^2/(MAX(0,MIN(1,P241))^2+(1-MAX(0,MIN(1,P241)))^2/$B$5))))</f>
        <v>0.943409560182029</v>
      </c>
      <c r="R242" s="16" t="n">
        <f aca="false">IF(ABS(R241-$B$11/$B$9*((MAX(0,MIN(1,R241))^2/(MAX(0,MIN(1,R241))^2+(1-MAX(0,MIN(1,R241)))^2/$B$5))-(MAX(0,MIN(1,Q241))^2/(MAX(0,MIN(1,Q241))^2+(1-MAX(0,MIN(1,Q241)))^2/$B$5))))&lt;0.000000001,0,R241-$B$11/$B$9*((MAX(0,MIN(1,R241))^2/(MAX(0,MIN(1,R241))^2+(1-MAX(0,MIN(1,R241)))^2/$B$5))-(MAX(0,MIN(1,Q241))^2/(MAX(0,MIN(1,Q241))^2+(1-MAX(0,MIN(1,Q241)))^2/$B$5))))</f>
        <v>0.93553526924072</v>
      </c>
      <c r="S242" s="16" t="n">
        <f aca="false">IF(ABS(S241-$B$11/$B$9*((MAX(0,MIN(1,S241))^2/(MAX(0,MIN(1,S241))^2+(1-MAX(0,MIN(1,S241)))^2/$B$5))-(MAX(0,MIN(1,R241))^2/(MAX(0,MIN(1,R241))^2+(1-MAX(0,MIN(1,R241)))^2/$B$5))))&lt;0.000000001,0,S241-$B$11/$B$9*((MAX(0,MIN(1,S241))^2/(MAX(0,MIN(1,S241))^2+(1-MAX(0,MIN(1,S241)))^2/$B$5))-(MAX(0,MIN(1,R241))^2/(MAX(0,MIN(1,R241))^2+(1-MAX(0,MIN(1,R241)))^2/$B$5))))</f>
        <v>0.928038410561039</v>
      </c>
      <c r="T242" s="16" t="n">
        <f aca="false">IF(ABS(T241-$B$11/$B$9*((MAX(0,MIN(1,T241))^2/(MAX(0,MIN(1,T241))^2+(1-MAX(0,MIN(1,T241)))^2/$B$5))-(MAX(0,MIN(1,S241))^2/(MAX(0,MIN(1,S241))^2+(1-MAX(0,MIN(1,S241)))^2/$B$5))))&lt;0.000000001,0,T241-$B$11/$B$9*((MAX(0,MIN(1,T241))^2/(MAX(0,MIN(1,T241))^2+(1-MAX(0,MIN(1,T241)))^2/$B$5))-(MAX(0,MIN(1,S241))^2/(MAX(0,MIN(1,S241))^2+(1-MAX(0,MIN(1,S241)))^2/$B$5))))</f>
        <v>0.920870323688103</v>
      </c>
      <c r="U242" s="16" t="n">
        <f aca="false">IF(ABS(U241-$B$11/$B$9*((MAX(0,MIN(1,U241))^2/(MAX(0,MIN(1,U241))^2+(1-MAX(0,MIN(1,U241)))^2/$B$5))-(MAX(0,MIN(1,T241))^2/(MAX(0,MIN(1,T241))^2+(1-MAX(0,MIN(1,T241)))^2/$B$5))))&lt;0.000000001,0,U241-$B$11/$B$9*((MAX(0,MIN(1,U241))^2/(MAX(0,MIN(1,U241))^2+(1-MAX(0,MIN(1,U241)))^2/$B$5))-(MAX(0,MIN(1,T241))^2/(MAX(0,MIN(1,T241))^2+(1-MAX(0,MIN(1,T241)))^2/$B$5))))</f>
        <v>0.913994047472228</v>
      </c>
      <c r="V242" s="16" t="n">
        <f aca="false">IF(ABS(V241-$B$11/$B$9*((MAX(0,MIN(1,V241))^2/(MAX(0,MIN(1,V241))^2+(1-MAX(0,MIN(1,V241)))^2/$B$5))-(MAX(0,MIN(1,U241))^2/(MAX(0,MIN(1,U241))^2+(1-MAX(0,MIN(1,U241)))^2/$B$5))))&lt;0.000000001,0,V241-$B$11/$B$9*((MAX(0,MIN(1,V241))^2/(MAX(0,MIN(1,V241))^2+(1-MAX(0,MIN(1,V241)))^2/$B$5))-(MAX(0,MIN(1,U241))^2/(MAX(0,MIN(1,U241))^2+(1-MAX(0,MIN(1,U241)))^2/$B$5))))</f>
        <v>0.907380200078635</v>
      </c>
      <c r="W242" s="16" t="n">
        <f aca="false">IF(ABS(W241-$B$11/$B$9*((MAX(0,MIN(1,W241))^2/(MAX(0,MIN(1,W241))^2+(1-MAX(0,MIN(1,W241)))^2/$B$5))-(MAX(0,MIN(1,V241))^2/(MAX(0,MIN(1,V241))^2+(1-MAX(0,MIN(1,V241)))^2/$B$5))))&lt;0.000000001,0,W241-$B$11/$B$9*((MAX(0,MIN(1,W241))^2/(MAX(0,MIN(1,W241))^2+(1-MAX(0,MIN(1,W241)))^2/$B$5))-(MAX(0,MIN(1,V241))^2/(MAX(0,MIN(1,V241))^2+(1-MAX(0,MIN(1,V241)))^2/$B$5))))</f>
        <v>0.901004657980917</v>
      </c>
      <c r="X242" s="16" t="n">
        <f aca="false">IF(ABS(X241-$B$11/$B$9*((MAX(0,MIN(1,X241))^2/(MAX(0,MIN(1,X241))^2+(1-MAX(0,MIN(1,X241)))^2/$B$5))-(MAX(0,MIN(1,W241))^2/(MAX(0,MIN(1,W241))^2+(1-MAX(0,MIN(1,W241)))^2/$B$5))))&lt;0.000000001,0,X241-$B$11/$B$9*((MAX(0,MIN(1,X241))^2/(MAX(0,MIN(1,X241))^2+(1-MAX(0,MIN(1,X241)))^2/$B$5))-(MAX(0,MIN(1,W241))^2/(MAX(0,MIN(1,W241))^2+(1-MAX(0,MIN(1,W241)))^2/$B$5))))</f>
        <v>0.894847139150955</v>
      </c>
      <c r="Y242" s="16" t="n">
        <f aca="false">IF(ABS(Y241-$B$11/$B$9*((MAX(0,MIN(1,Y241))^2/(MAX(0,MIN(1,Y241))^2+(1-MAX(0,MIN(1,Y241)))^2/$B$5))-(MAX(0,MIN(1,X241))^2/(MAX(0,MIN(1,X241))^2+(1-MAX(0,MIN(1,X241)))^2/$B$5))))&lt;0.000000001,0,Y241-$B$11/$B$9*((MAX(0,MIN(1,Y241))^2/(MAX(0,MIN(1,Y241))^2+(1-MAX(0,MIN(1,Y241)))^2/$B$5))-(MAX(0,MIN(1,X241))^2/(MAX(0,MIN(1,X241))^2+(1-MAX(0,MIN(1,X241)))^2/$B$5))))</f>
        <v>0.888890281829596</v>
      </c>
      <c r="Z242" s="16" t="n">
        <f aca="false">IF(ABS(Z241-$B$11/$B$9*((MAX(0,MIN(1,Z241))^2/(MAX(0,MIN(1,Z241))^2+(1-MAX(0,MIN(1,Z241)))^2/$B$5))-(MAX(0,MIN(1,Y241))^2/(MAX(0,MIN(1,Y241))^2+(1-MAX(0,MIN(1,Y241)))^2/$B$5))))&lt;0.000000001,0,Z241-$B$11/$B$9*((MAX(0,MIN(1,Z241))^2/(MAX(0,MIN(1,Z241))^2+(1-MAX(0,MIN(1,Z241)))^2/$B$5))-(MAX(0,MIN(1,Y241))^2/(MAX(0,MIN(1,Y241))^2+(1-MAX(0,MIN(1,Y241)))^2/$B$5))))</f>
        <v>0.883119014371062</v>
      </c>
      <c r="AA242" s="16" t="n">
        <f aca="false">IF(ABS(AA241-$B$11/$B$9*((MAX(0,MIN(1,AA241))^2/(MAX(0,MIN(1,AA241))^2+(1-MAX(0,MIN(1,AA241)))^2/$B$5))-(MAX(0,MIN(1,Z241))^2/(MAX(0,MIN(1,Z241))^2+(1-MAX(0,MIN(1,Z241)))^2/$B$5))))&lt;0.000000001,0,AA241-$B$11/$B$9*((MAX(0,MIN(1,AA241))^2/(MAX(0,MIN(1,AA241))^2+(1-MAX(0,MIN(1,AA241)))^2/$B$5))-(MAX(0,MIN(1,Z241))^2/(MAX(0,MIN(1,Z241))^2+(1-MAX(0,MIN(1,Z241)))^2/$B$5))))</f>
        <v>0.877520106010777</v>
      </c>
      <c r="AB242" s="16" t="n">
        <f aca="false">IF(ABS(AB241-$B$11/$B$9*((MAX(0,MIN(1,AB241))^2/(MAX(0,MIN(1,AB241))^2+(1-MAX(0,MIN(1,AB241)))^2/$B$5))-(MAX(0,MIN(1,AA241))^2/(MAX(0,MIN(1,AA241))^2+(1-MAX(0,MIN(1,AA241)))^2/$B$5))))&lt;0.000000001,0,AB241-$B$11/$B$9*((MAX(0,MIN(1,AB241))^2/(MAX(0,MIN(1,AB241))^2+(1-MAX(0,MIN(1,AB241)))^2/$B$5))-(MAX(0,MIN(1,AA241))^2/(MAX(0,MIN(1,AA241))^2+(1-MAX(0,MIN(1,AA241)))^2/$B$5))))</f>
        <v>0.872081835529777</v>
      </c>
      <c r="AC242" s="16" t="n">
        <f aca="false">IF(ABS(AC241-$B$11/$B$9*((MAX(0,MIN(1,AC241))^2/(MAX(0,MIN(1,AC241))^2+(1-MAX(0,MIN(1,AC241)))^2/$B$5))-(MAX(0,MIN(1,AB241))^2/(MAX(0,MIN(1,AB241))^2+(1-MAX(0,MIN(1,AB241)))^2/$B$5))))&lt;0.000000001,0,AC241-$B$11/$B$9*((MAX(0,MIN(1,AC241))^2/(MAX(0,MIN(1,AC241))^2+(1-MAX(0,MIN(1,AC241)))^2/$B$5))-(MAX(0,MIN(1,AB241))^2/(MAX(0,MIN(1,AB241))^2+(1-MAX(0,MIN(1,AB241)))^2/$B$5))))</f>
        <v>0.8667937398713</v>
      </c>
      <c r="AD242" s="16" t="n">
        <f aca="false">IF(ABS(AD241-$B$11/$B$9*((MAX(0,MIN(1,AD241))^2/(MAX(0,MIN(1,AD241))^2+(1-MAX(0,MIN(1,AD241)))^2/$B$5))-(MAX(0,MIN(1,AC241))^2/(MAX(0,MIN(1,AC241))^2+(1-MAX(0,MIN(1,AC241)))^2/$B$5))))&lt;0.000000001,0,AD241-$B$11/$B$9*((MAX(0,MIN(1,AD241))^2/(MAX(0,MIN(1,AD241))^2+(1-MAX(0,MIN(1,AD241)))^2/$B$5))-(MAX(0,MIN(1,AC241))^2/(MAX(0,MIN(1,AC241))^2+(1-MAX(0,MIN(1,AC241)))^2/$B$5))))</f>
        <v>0.861646418852034</v>
      </c>
      <c r="AE242" s="16" t="n">
        <f aca="false">IF(ABS(AE241-$B$11/$B$9*((MAX(0,MIN(1,AE241))^2/(MAX(0,MIN(1,AE241))^2+(1-MAX(0,MIN(1,AE241)))^2/$B$5))-(MAX(0,MIN(1,AD241))^2/(MAX(0,MIN(1,AD241))^2+(1-MAX(0,MIN(1,AD241)))^2/$B$5))))&lt;0.000000001,0,AE241-$B$11/$B$9*((MAX(0,MIN(1,AE241))^2/(MAX(0,MIN(1,AE241))^2+(1-MAX(0,MIN(1,AE241)))^2/$B$5))-(MAX(0,MIN(1,AD241))^2/(MAX(0,MIN(1,AD241))^2+(1-MAX(0,MIN(1,AD241)))^2/$B$5))))</f>
        <v>0.856631380394362</v>
      </c>
      <c r="AF242" s="16" t="n">
        <f aca="false">IF(ABS(AF241-$B$11/$B$9*((MAX(0,MIN(1,AF241))^2/(MAX(0,MIN(1,AF241))^2+(1-MAX(0,MIN(1,AF241)))^2/$B$5))-(MAX(0,MIN(1,AE241))^2/(MAX(0,MIN(1,AE241))^2+(1-MAX(0,MIN(1,AE241)))^2/$B$5))))&lt;0.000000001,0,AF241-$B$11/$B$9*((MAX(0,MIN(1,AF241))^2/(MAX(0,MIN(1,AF241))^2+(1-MAX(0,MIN(1,AF241)))^2/$B$5))-(MAX(0,MIN(1,AE241))^2/(MAX(0,MIN(1,AE241))^2+(1-MAX(0,MIN(1,AE241)))^2/$B$5))))</f>
        <v>0.851740915775661</v>
      </c>
    </row>
    <row r="243" customFormat="false" ht="15" hidden="false" customHeight="false" outlineLevel="0" collapsed="false">
      <c r="L243" s="0" t="n">
        <v>233</v>
      </c>
      <c r="M243" s="16" t="n">
        <f aca="false">IF(ABS(M242-$B$11/$B$9*((MAX(0,MIN(1,M242))^2/(MAX(0,MIN(1,M242))^2+(1-MAX(0,MIN(1,M242)))^2/$B$5))-(MAX(0,MIN(1,1))^2/(MAX(0,MIN(1,1))^2+(1-MAX(0,MIN(1,1)))^2/$B$5))))&lt;0.000000001,0,M242-$B$11/$B$9*((MAX(0,MIN(1,M242))^2/(MAX(0,MIN(1,M242))^2+(1-MAX(0,MIN(1,M242)))^2/$B$5))-(MAX(0,MIN(1,1))^2/(MAX(0,MIN(1,1))^2+(1-MAX(0,MIN(1,1)))^2/$B$5))))</f>
        <v>0.981182578449142</v>
      </c>
      <c r="N243" s="16" t="n">
        <f aca="false">IF(ABS(N242-$B$11/$B$9*((MAX(0,MIN(1,N242))^2/(MAX(0,MIN(1,N242))^2+(1-MAX(0,MIN(1,N242)))^2/$B$5))-(MAX(0,MIN(1,M242))^2/(MAX(0,MIN(1,M242))^2+(1-MAX(0,MIN(1,M242)))^2/$B$5))))&lt;0.000000001,0,N242-$B$11/$B$9*((MAX(0,MIN(1,N242))^2/(MAX(0,MIN(1,N242))^2+(1-MAX(0,MIN(1,N242)))^2/$B$5))-(MAX(0,MIN(1,M242))^2/(MAX(0,MIN(1,M242))^2+(1-MAX(0,MIN(1,M242)))^2/$B$5))))</f>
        <v>0.970336059579977</v>
      </c>
      <c r="O243" s="16" t="n">
        <f aca="false">IF(ABS(O242-$B$11/$B$9*((MAX(0,MIN(1,O242))^2/(MAX(0,MIN(1,O242))^2+(1-MAX(0,MIN(1,O242)))^2/$B$5))-(MAX(0,MIN(1,N242))^2/(MAX(0,MIN(1,N242))^2+(1-MAX(0,MIN(1,N242)))^2/$B$5))))&lt;0.000000001,0,O242-$B$11/$B$9*((MAX(0,MIN(1,O242))^2/(MAX(0,MIN(1,O242))^2+(1-MAX(0,MIN(1,O242)))^2/$B$5))-(MAX(0,MIN(1,N242))^2/(MAX(0,MIN(1,N242))^2+(1-MAX(0,MIN(1,N242)))^2/$B$5))))</f>
        <v>0.960744899628514</v>
      </c>
      <c r="P243" s="16" t="n">
        <f aca="false">IF(ABS(P242-$B$11/$B$9*((MAX(0,MIN(1,P242))^2/(MAX(0,MIN(1,P242))^2+(1-MAX(0,MIN(1,P242)))^2/$B$5))-(MAX(0,MIN(1,O242))^2/(MAX(0,MIN(1,O242))^2+(1-MAX(0,MIN(1,O242)))^2/$B$5))))&lt;0.000000001,0,P242-$B$11/$B$9*((MAX(0,MIN(1,P242))^2/(MAX(0,MIN(1,P242))^2+(1-MAX(0,MIN(1,P242)))^2/$B$5))-(MAX(0,MIN(1,O242))^2/(MAX(0,MIN(1,O242))^2+(1-MAX(0,MIN(1,O242)))^2/$B$5))))</f>
        <v>0.951900576886114</v>
      </c>
      <c r="Q243" s="16" t="n">
        <f aca="false">IF(ABS(Q242-$B$11/$B$9*((MAX(0,MIN(1,Q242))^2/(MAX(0,MIN(1,Q242))^2+(1-MAX(0,MIN(1,Q242)))^2/$B$5))-(MAX(0,MIN(1,P242))^2/(MAX(0,MIN(1,P242))^2+(1-MAX(0,MIN(1,P242)))^2/$B$5))))&lt;0.000000001,0,Q242-$B$11/$B$9*((MAX(0,MIN(1,Q242))^2/(MAX(0,MIN(1,Q242))^2+(1-MAX(0,MIN(1,Q242)))^2/$B$5))-(MAX(0,MIN(1,P242))^2/(MAX(0,MIN(1,P242))^2+(1-MAX(0,MIN(1,P242)))^2/$B$5))))</f>
        <v>0.943606187719099</v>
      </c>
      <c r="R243" s="16" t="n">
        <f aca="false">IF(ABS(R242-$B$11/$B$9*((MAX(0,MIN(1,R242))^2/(MAX(0,MIN(1,R242))^2+(1-MAX(0,MIN(1,R242)))^2/$B$5))-(MAX(0,MIN(1,Q242))^2/(MAX(0,MIN(1,Q242))^2+(1-MAX(0,MIN(1,Q242)))^2/$B$5))))&lt;0.000000001,0,R242-$B$11/$B$9*((MAX(0,MIN(1,R242))^2/(MAX(0,MIN(1,R242))^2+(1-MAX(0,MIN(1,R242)))^2/$B$5))-(MAX(0,MIN(1,Q242))^2/(MAX(0,MIN(1,Q242))^2+(1-MAX(0,MIN(1,Q242)))^2/$B$5))))</f>
        <v>0.935755444068331</v>
      </c>
      <c r="S243" s="16" t="n">
        <f aca="false">IF(ABS(S242-$B$11/$B$9*((MAX(0,MIN(1,S242))^2/(MAX(0,MIN(1,S242))^2+(1-MAX(0,MIN(1,S242)))^2/$B$5))-(MAX(0,MIN(1,R242))^2/(MAX(0,MIN(1,R242))^2+(1-MAX(0,MIN(1,R242)))^2/$B$5))))&lt;0.000000001,0,S242-$B$11/$B$9*((MAX(0,MIN(1,S242))^2/(MAX(0,MIN(1,S242))^2+(1-MAX(0,MIN(1,S242)))^2/$B$5))-(MAX(0,MIN(1,R242))^2/(MAX(0,MIN(1,R242))^2+(1-MAX(0,MIN(1,R242)))^2/$B$5))))</f>
        <v>0.928280238298968</v>
      </c>
      <c r="T243" s="16" t="n">
        <f aca="false">IF(ABS(T242-$B$11/$B$9*((MAX(0,MIN(1,T242))^2/(MAX(0,MIN(1,T242))^2+(1-MAX(0,MIN(1,T242)))^2/$B$5))-(MAX(0,MIN(1,S242))^2/(MAX(0,MIN(1,S242))^2+(1-MAX(0,MIN(1,S242)))^2/$B$5))))&lt;0.000000001,0,T242-$B$11/$B$9*((MAX(0,MIN(1,T242))^2/(MAX(0,MIN(1,T242))^2+(1-MAX(0,MIN(1,T242)))^2/$B$5))-(MAX(0,MIN(1,S242))^2/(MAX(0,MIN(1,S242))^2+(1-MAX(0,MIN(1,S242)))^2/$B$5))))</f>
        <v>0.921132188292456</v>
      </c>
      <c r="U243" s="16" t="n">
        <f aca="false">IF(ABS(U242-$B$11/$B$9*((MAX(0,MIN(1,U242))^2/(MAX(0,MIN(1,U242))^2+(1-MAX(0,MIN(1,U242)))^2/$B$5))-(MAX(0,MIN(1,T242))^2/(MAX(0,MIN(1,T242))^2+(1-MAX(0,MIN(1,T242)))^2/$B$5))))&lt;0.000000001,0,U242-$B$11/$B$9*((MAX(0,MIN(1,U242))^2/(MAX(0,MIN(1,U242))^2+(1-MAX(0,MIN(1,U242)))^2/$B$5))-(MAX(0,MIN(1,T242))^2/(MAX(0,MIN(1,T242))^2+(1-MAX(0,MIN(1,T242)))^2/$B$5))))</f>
        <v>0.914274548852838</v>
      </c>
      <c r="V243" s="16" t="n">
        <f aca="false">IF(ABS(V242-$B$11/$B$9*((MAX(0,MIN(1,V242))^2/(MAX(0,MIN(1,V242))^2+(1-MAX(0,MIN(1,V242)))^2/$B$5))-(MAX(0,MIN(1,U242))^2/(MAX(0,MIN(1,U242))^2+(1-MAX(0,MIN(1,U242)))^2/$B$5))))&lt;0.000000001,0,V242-$B$11/$B$9*((MAX(0,MIN(1,V242))^2/(MAX(0,MIN(1,V242))^2+(1-MAX(0,MIN(1,V242)))^2/$B$5))-(MAX(0,MIN(1,U242))^2/(MAX(0,MIN(1,U242))^2+(1-MAX(0,MIN(1,U242)))^2/$B$5))))</f>
        <v>0.907678111515376</v>
      </c>
      <c r="W243" s="16" t="n">
        <f aca="false">IF(ABS(W242-$B$11/$B$9*((MAX(0,MIN(1,W242))^2/(MAX(0,MIN(1,W242))^2+(1-MAX(0,MIN(1,W242)))^2/$B$5))-(MAX(0,MIN(1,V242))^2/(MAX(0,MIN(1,V242))^2+(1-MAX(0,MIN(1,V242)))^2/$B$5))))&lt;0.000000001,0,W242-$B$11/$B$9*((MAX(0,MIN(1,W242))^2/(MAX(0,MIN(1,W242))^2+(1-MAX(0,MIN(1,W242)))^2/$B$5))-(MAX(0,MIN(1,V242))^2/(MAX(0,MIN(1,V242))^2+(1-MAX(0,MIN(1,V242)))^2/$B$5))))</f>
        <v>0.90131889531326</v>
      </c>
      <c r="X243" s="16" t="n">
        <f aca="false">IF(ABS(X242-$B$11/$B$9*((MAX(0,MIN(1,X242))^2/(MAX(0,MIN(1,X242))^2+(1-MAX(0,MIN(1,X242)))^2/$B$5))-(MAX(0,MIN(1,W242))^2/(MAX(0,MIN(1,W242))^2+(1-MAX(0,MIN(1,W242)))^2/$B$5))))&lt;0.000000001,0,X242-$B$11/$B$9*((MAX(0,MIN(1,X242))^2/(MAX(0,MIN(1,X242))^2+(1-MAX(0,MIN(1,X242)))^2/$B$5))-(MAX(0,MIN(1,W242))^2/(MAX(0,MIN(1,W242))^2+(1-MAX(0,MIN(1,W242)))^2/$B$5))))</f>
        <v>0.895176737536941</v>
      </c>
      <c r="Y243" s="16" t="n">
        <f aca="false">IF(ABS(Y242-$B$11/$B$9*((MAX(0,MIN(1,Y242))^2/(MAX(0,MIN(1,Y242))^2+(1-MAX(0,MIN(1,Y242)))^2/$B$5))-(MAX(0,MIN(1,X242))^2/(MAX(0,MIN(1,X242))^2+(1-MAX(0,MIN(1,X242)))^2/$B$5))))&lt;0.000000001,0,Y242-$B$11/$B$9*((MAX(0,MIN(1,Y242))^2/(MAX(0,MIN(1,Y242))^2+(1-MAX(0,MIN(1,Y242)))^2/$B$5))-(MAX(0,MIN(1,X242))^2/(MAX(0,MIN(1,X242))^2+(1-MAX(0,MIN(1,X242)))^2/$B$5))))</f>
        <v>0.889234377665937</v>
      </c>
      <c r="Z243" s="16" t="n">
        <f aca="false">IF(ABS(Z242-$B$11/$B$9*((MAX(0,MIN(1,Z242))^2/(MAX(0,MIN(1,Z242))^2+(1-MAX(0,MIN(1,Z242)))^2/$B$5))-(MAX(0,MIN(1,Y242))^2/(MAX(0,MIN(1,Y242))^2+(1-MAX(0,MIN(1,Y242)))^2/$B$5))))&lt;0.000000001,0,Z242-$B$11/$B$9*((MAX(0,MIN(1,Z242))^2/(MAX(0,MIN(1,Z242))^2+(1-MAX(0,MIN(1,Z242)))^2/$B$5))-(MAX(0,MIN(1,Y242))^2/(MAX(0,MIN(1,Y242))^2+(1-MAX(0,MIN(1,Y242)))^2/$B$5))))</f>
        <v>0.883476830894322</v>
      </c>
      <c r="AA243" s="16" t="n">
        <f aca="false">IF(ABS(AA242-$B$11/$B$9*((MAX(0,MIN(1,AA242))^2/(MAX(0,MIN(1,AA242))^2+(1-MAX(0,MIN(1,AA242)))^2/$B$5))-(MAX(0,MIN(1,Z242))^2/(MAX(0,MIN(1,Z242))^2+(1-MAX(0,MIN(1,Z242)))^2/$B$5))))&lt;0.000000001,0,AA242-$B$11/$B$9*((MAX(0,MIN(1,AA242))^2/(MAX(0,MIN(1,AA242))^2+(1-MAX(0,MIN(1,AA242)))^2/$B$5))-(MAX(0,MIN(1,Z242))^2/(MAX(0,MIN(1,Z242))^2+(1-MAX(0,MIN(1,Z242)))^2/$B$5))))</f>
        <v>0.877890941617718</v>
      </c>
      <c r="AB243" s="16" t="n">
        <f aca="false">IF(ABS(AB242-$B$11/$B$9*((MAX(0,MIN(1,AB242))^2/(MAX(0,MIN(1,AB242))^2+(1-MAX(0,MIN(1,AB242)))^2/$B$5))-(MAX(0,MIN(1,AA242))^2/(MAX(0,MIN(1,AA242))^2+(1-MAX(0,MIN(1,AA242)))^2/$B$5))))&lt;0.000000001,0,AB242-$B$11/$B$9*((MAX(0,MIN(1,AB242))^2/(MAX(0,MIN(1,AB242))^2+(1-MAX(0,MIN(1,AB242)))^2/$B$5))-(MAX(0,MIN(1,AA242))^2/(MAX(0,MIN(1,AA242))^2+(1-MAX(0,MIN(1,AA242)))^2/$B$5))))</f>
        <v>0.872465054162815</v>
      </c>
      <c r="AC243" s="16" t="n">
        <f aca="false">IF(ABS(AC242-$B$11/$B$9*((MAX(0,MIN(1,AC242))^2/(MAX(0,MIN(1,AC242))^2+(1-MAX(0,MIN(1,AC242)))^2/$B$5))-(MAX(0,MIN(1,AB242))^2/(MAX(0,MIN(1,AB242))^2+(1-MAX(0,MIN(1,AB242)))^2/$B$5))))&lt;0.000000001,0,AC242-$B$11/$B$9*((MAX(0,MIN(1,AC242))^2/(MAX(0,MIN(1,AC242))^2+(1-MAX(0,MIN(1,AC242)))^2/$B$5))-(MAX(0,MIN(1,AB242))^2/(MAX(0,MIN(1,AB242))^2+(1-MAX(0,MIN(1,AB242)))^2/$B$5))))</f>
        <v>0.867188763007758</v>
      </c>
      <c r="AD243" s="16" t="n">
        <f aca="false">IF(ABS(AD242-$B$11/$B$9*((MAX(0,MIN(1,AD242))^2/(MAX(0,MIN(1,AD242))^2+(1-MAX(0,MIN(1,AD242)))^2/$B$5))-(MAX(0,MIN(1,AC242))^2/(MAX(0,MIN(1,AC242))^2+(1-MAX(0,MIN(1,AC242)))^2/$B$5))))&lt;0.000000001,0,AD242-$B$11/$B$9*((MAX(0,MIN(1,AD242))^2/(MAX(0,MIN(1,AD242))^2+(1-MAX(0,MIN(1,AD242)))^2/$B$5))-(MAX(0,MIN(1,AC242))^2/(MAX(0,MIN(1,AC242))^2+(1-MAX(0,MIN(1,AC242)))^2/$B$5))))</f>
        <v>0.862052718761893</v>
      </c>
      <c r="AE243" s="16" t="n">
        <f aca="false">IF(ABS(AE242-$B$11/$B$9*((MAX(0,MIN(1,AE242))^2/(MAX(0,MIN(1,AE242))^2+(1-MAX(0,MIN(1,AE242)))^2/$B$5))-(MAX(0,MIN(1,AD242))^2/(MAX(0,MIN(1,AD242))^2+(1-MAX(0,MIN(1,AD242)))^2/$B$5))))&lt;0.000000001,0,AE242-$B$11/$B$9*((MAX(0,MIN(1,AE242))^2/(MAX(0,MIN(1,AE242))^2+(1-MAX(0,MIN(1,AE242)))^2/$B$5))-(MAX(0,MIN(1,AD242))^2/(MAX(0,MIN(1,AD242))^2+(1-MAX(0,MIN(1,AD242)))^2/$B$5))))</f>
        <v>0.857048474416592</v>
      </c>
      <c r="AF243" s="16" t="n">
        <f aca="false">IF(ABS(AF242-$B$11/$B$9*((MAX(0,MIN(1,AF242))^2/(MAX(0,MIN(1,AF242))^2+(1-MAX(0,MIN(1,AF242)))^2/$B$5))-(MAX(0,MIN(1,AE242))^2/(MAX(0,MIN(1,AE242))^2+(1-MAX(0,MIN(1,AE242)))^2/$B$5))))&lt;0.000000001,0,AF242-$B$11/$B$9*((MAX(0,MIN(1,AF242))^2/(MAX(0,MIN(1,AF242))^2+(1-MAX(0,MIN(1,AF242)))^2/$B$5))-(MAX(0,MIN(1,AE242))^2/(MAX(0,MIN(1,AE242))^2+(1-MAX(0,MIN(1,AE242)))^2/$B$5))))</f>
        <v>0.852168361423</v>
      </c>
    </row>
    <row r="244" customFormat="false" ht="15" hidden="false" customHeight="false" outlineLevel="0" collapsed="false">
      <c r="L244" s="0" t="n">
        <v>234</v>
      </c>
      <c r="M244" s="16" t="n">
        <f aca="false">IF(ABS(M243-$B$11/$B$9*((MAX(0,MIN(1,M243))^2/(MAX(0,MIN(1,M243))^2+(1-MAX(0,MIN(1,M243)))^2/$B$5))-(MAX(0,MIN(1,1))^2/(MAX(0,MIN(1,1))^2+(1-MAX(0,MIN(1,1)))^2/$B$5))))&lt;0.000000001,0,M243-$B$11/$B$9*((MAX(0,MIN(1,M243))^2/(MAX(0,MIN(1,M243))^2+(1-MAX(0,MIN(1,M243)))^2/$B$5))-(MAX(0,MIN(1,1))^2/(MAX(0,MIN(1,1))^2+(1-MAX(0,MIN(1,1)))^2/$B$5))))</f>
        <v>0.981253282208667</v>
      </c>
      <c r="N244" s="16" t="n">
        <f aca="false">IF(ABS(N243-$B$11/$B$9*((MAX(0,MIN(1,N243))^2/(MAX(0,MIN(1,N243))^2+(1-MAX(0,MIN(1,N243)))^2/$B$5))-(MAX(0,MIN(1,M243))^2/(MAX(0,MIN(1,M243))^2+(1-MAX(0,MIN(1,M243)))^2/$B$5))))&lt;0.000000001,0,N243-$B$11/$B$9*((MAX(0,MIN(1,N243))^2/(MAX(0,MIN(1,N243))^2+(1-MAX(0,MIN(1,N243)))^2/$B$5))-(MAX(0,MIN(1,M243))^2/(MAX(0,MIN(1,M243))^2+(1-MAX(0,MIN(1,M243)))^2/$B$5))))</f>
        <v>0.970444958264639</v>
      </c>
      <c r="O244" s="16" t="n">
        <f aca="false">IF(ABS(O243-$B$11/$B$9*((MAX(0,MIN(1,O243))^2/(MAX(0,MIN(1,O243))^2+(1-MAX(0,MIN(1,O243)))^2/$B$5))-(MAX(0,MIN(1,N243))^2/(MAX(0,MIN(1,N243))^2+(1-MAX(0,MIN(1,N243)))^2/$B$5))))&lt;0.000000001,0,O243-$B$11/$B$9*((MAX(0,MIN(1,O243))^2/(MAX(0,MIN(1,O243))^2+(1-MAX(0,MIN(1,O243)))^2/$B$5))-(MAX(0,MIN(1,N243))^2/(MAX(0,MIN(1,N243))^2+(1-MAX(0,MIN(1,N243)))^2/$B$5))))</f>
        <v>0.960886009352916</v>
      </c>
      <c r="P244" s="16" t="n">
        <f aca="false">IF(ABS(P243-$B$11/$B$9*((MAX(0,MIN(1,P243))^2/(MAX(0,MIN(1,P243))^2+(1-MAX(0,MIN(1,P243)))^2/$B$5))-(MAX(0,MIN(1,O243))^2/(MAX(0,MIN(1,O243))^2+(1-MAX(0,MIN(1,O243)))^2/$B$5))))&lt;0.000000001,0,P243-$B$11/$B$9*((MAX(0,MIN(1,P243))^2/(MAX(0,MIN(1,P243))^2+(1-MAX(0,MIN(1,P243)))^2/$B$5))-(MAX(0,MIN(1,O243))^2/(MAX(0,MIN(1,O243))^2+(1-MAX(0,MIN(1,O243)))^2/$B$5))))</f>
        <v>0.952070144822299</v>
      </c>
      <c r="Q244" s="16" t="n">
        <f aca="false">IF(ABS(Q243-$B$11/$B$9*((MAX(0,MIN(1,Q243))^2/(MAX(0,MIN(1,Q243))^2+(1-MAX(0,MIN(1,Q243)))^2/$B$5))-(MAX(0,MIN(1,P243))^2/(MAX(0,MIN(1,P243))^2+(1-MAX(0,MIN(1,P243)))^2/$B$5))))&lt;0.000000001,0,Q243-$B$11/$B$9*((MAX(0,MIN(1,Q243))^2/(MAX(0,MIN(1,Q243))^2+(1-MAX(0,MIN(1,Q243)))^2/$B$5))-(MAX(0,MIN(1,P243))^2/(MAX(0,MIN(1,P243))^2+(1-MAX(0,MIN(1,P243)))^2/$B$5))))</f>
        <v>0.943801408847947</v>
      </c>
      <c r="R244" s="16" t="n">
        <f aca="false">IF(ABS(R243-$B$11/$B$9*((MAX(0,MIN(1,R243))^2/(MAX(0,MIN(1,R243))^2+(1-MAX(0,MIN(1,R243)))^2/$B$5))-(MAX(0,MIN(1,Q243))^2/(MAX(0,MIN(1,Q243))^2+(1-MAX(0,MIN(1,Q243)))^2/$B$5))))&lt;0.000000001,0,R243-$B$11/$B$9*((MAX(0,MIN(1,R243))^2/(MAX(0,MIN(1,R243))^2+(1-MAX(0,MIN(1,R243)))^2/$B$5))-(MAX(0,MIN(1,Q243))^2/(MAX(0,MIN(1,Q243))^2+(1-MAX(0,MIN(1,Q243)))^2/$B$5))))</f>
        <v>0.935974065601035</v>
      </c>
      <c r="S244" s="16" t="n">
        <f aca="false">IF(ABS(S243-$B$11/$B$9*((MAX(0,MIN(1,S243))^2/(MAX(0,MIN(1,S243))^2+(1-MAX(0,MIN(1,S243)))^2/$B$5))-(MAX(0,MIN(1,R243))^2/(MAX(0,MIN(1,R243))^2+(1-MAX(0,MIN(1,R243)))^2/$B$5))))&lt;0.000000001,0,S243-$B$11/$B$9*((MAX(0,MIN(1,S243))^2/(MAX(0,MIN(1,S243))^2+(1-MAX(0,MIN(1,S243)))^2/$B$5))-(MAX(0,MIN(1,R243))^2/(MAX(0,MIN(1,R243))^2+(1-MAX(0,MIN(1,R243)))^2/$B$5))))</f>
        <v>0.928520381516232</v>
      </c>
      <c r="T244" s="16" t="n">
        <f aca="false">IF(ABS(T243-$B$11/$B$9*((MAX(0,MIN(1,T243))^2/(MAX(0,MIN(1,T243))^2+(1-MAX(0,MIN(1,T243)))^2/$B$5))-(MAX(0,MIN(1,S243))^2/(MAX(0,MIN(1,S243))^2+(1-MAX(0,MIN(1,S243)))^2/$B$5))))&lt;0.000000001,0,T243-$B$11/$B$9*((MAX(0,MIN(1,T243))^2/(MAX(0,MIN(1,T243))^2+(1-MAX(0,MIN(1,T243)))^2/$B$5))-(MAX(0,MIN(1,S243))^2/(MAX(0,MIN(1,S243))^2+(1-MAX(0,MIN(1,S243)))^2/$B$5))))</f>
        <v>0.921392250107516</v>
      </c>
      <c r="U244" s="16" t="n">
        <f aca="false">IF(ABS(U243-$B$11/$B$9*((MAX(0,MIN(1,U243))^2/(MAX(0,MIN(1,U243))^2+(1-MAX(0,MIN(1,U243)))^2/$B$5))-(MAX(0,MIN(1,T243))^2/(MAX(0,MIN(1,T243))^2+(1-MAX(0,MIN(1,T243)))^2/$B$5))))&lt;0.000000001,0,U243-$B$11/$B$9*((MAX(0,MIN(1,U243))^2/(MAX(0,MIN(1,U243))^2+(1-MAX(0,MIN(1,U243)))^2/$B$5))-(MAX(0,MIN(1,T243))^2/(MAX(0,MIN(1,T243))^2+(1-MAX(0,MIN(1,T243)))^2/$B$5))))</f>
        <v>0.914553140055721</v>
      </c>
      <c r="V244" s="16" t="n">
        <f aca="false">IF(ABS(V243-$B$11/$B$9*((MAX(0,MIN(1,V243))^2/(MAX(0,MIN(1,V243))^2+(1-MAX(0,MIN(1,V243)))^2/$B$5))-(MAX(0,MIN(1,U243))^2/(MAX(0,MIN(1,U243))^2+(1-MAX(0,MIN(1,U243)))^2/$B$5))))&lt;0.000000001,0,V243-$B$11/$B$9*((MAX(0,MIN(1,V243))^2/(MAX(0,MIN(1,V243))^2+(1-MAX(0,MIN(1,V243)))^2/$B$5))-(MAX(0,MIN(1,U243))^2/(MAX(0,MIN(1,U243))^2+(1-MAX(0,MIN(1,U243)))^2/$B$5))))</f>
        <v>0.907974014623797</v>
      </c>
      <c r="W244" s="16" t="n">
        <f aca="false">IF(ABS(W243-$B$11/$B$9*((MAX(0,MIN(1,W243))^2/(MAX(0,MIN(1,W243))^2+(1-MAX(0,MIN(1,W243)))^2/$B$5))-(MAX(0,MIN(1,V243))^2/(MAX(0,MIN(1,V243))^2+(1-MAX(0,MIN(1,V243)))^2/$B$5))))&lt;0.000000001,0,W243-$B$11/$B$9*((MAX(0,MIN(1,W243))^2/(MAX(0,MIN(1,W243))^2+(1-MAX(0,MIN(1,W243)))^2/$B$5))-(MAX(0,MIN(1,V243))^2/(MAX(0,MIN(1,V243))^2+(1-MAX(0,MIN(1,V243)))^2/$B$5))))</f>
        <v>0.901631034078492</v>
      </c>
      <c r="X244" s="16" t="n">
        <f aca="false">IF(ABS(X243-$B$11/$B$9*((MAX(0,MIN(1,X243))^2/(MAX(0,MIN(1,X243))^2+(1-MAX(0,MIN(1,X243)))^2/$B$5))-(MAX(0,MIN(1,W243))^2/(MAX(0,MIN(1,W243))^2+(1-MAX(0,MIN(1,W243)))^2/$B$5))))&lt;0.000000001,0,X243-$B$11/$B$9*((MAX(0,MIN(1,X243))^2/(MAX(0,MIN(1,X243))^2+(1-MAX(0,MIN(1,X243)))^2/$B$5))-(MAX(0,MIN(1,W243))^2/(MAX(0,MIN(1,W243))^2+(1-MAX(0,MIN(1,W243)))^2/$B$5))))</f>
        <v>0.895504153941081</v>
      </c>
      <c r="Y244" s="16" t="n">
        <f aca="false">IF(ABS(Y243-$B$11/$B$9*((MAX(0,MIN(1,Y243))^2/(MAX(0,MIN(1,Y243))^2+(1-MAX(0,MIN(1,Y243)))^2/$B$5))-(MAX(0,MIN(1,X243))^2/(MAX(0,MIN(1,X243))^2+(1-MAX(0,MIN(1,X243)))^2/$B$5))))&lt;0.000000001,0,Y243-$B$11/$B$9*((MAX(0,MIN(1,Y243))^2/(MAX(0,MIN(1,Y243))^2+(1-MAX(0,MIN(1,Y243)))^2/$B$5))-(MAX(0,MIN(1,X243))^2/(MAX(0,MIN(1,X243))^2+(1-MAX(0,MIN(1,X243)))^2/$B$5))))</f>
        <v>0.88957621402614</v>
      </c>
      <c r="Z244" s="16" t="n">
        <f aca="false">IF(ABS(Z243-$B$11/$B$9*((MAX(0,MIN(1,Z243))^2/(MAX(0,MIN(1,Z243))^2+(1-MAX(0,MIN(1,Z243)))^2/$B$5))-(MAX(0,MIN(1,Y243))^2/(MAX(0,MIN(1,Y243))^2+(1-MAX(0,MIN(1,Y243)))^2/$B$5))))&lt;0.000000001,0,Z243-$B$11/$B$9*((MAX(0,MIN(1,Z243))^2/(MAX(0,MIN(1,Z243))^2+(1-MAX(0,MIN(1,Z243)))^2/$B$5))-(MAX(0,MIN(1,Y243))^2/(MAX(0,MIN(1,Y243))^2+(1-MAX(0,MIN(1,Y243)))^2/$B$5))))</f>
        <v>0.883832315609103</v>
      </c>
      <c r="AA244" s="16" t="n">
        <f aca="false">IF(ABS(AA243-$B$11/$B$9*((MAX(0,MIN(1,AA243))^2/(MAX(0,MIN(1,AA243))^2+(1-MAX(0,MIN(1,AA243)))^2/$B$5))-(MAX(0,MIN(1,Z243))^2/(MAX(0,MIN(1,Z243))^2+(1-MAX(0,MIN(1,Z243)))^2/$B$5))))&lt;0.000000001,0,AA243-$B$11/$B$9*((MAX(0,MIN(1,AA243))^2/(MAX(0,MIN(1,AA243))^2+(1-MAX(0,MIN(1,AA243)))^2/$B$5))-(MAX(0,MIN(1,Z243))^2/(MAX(0,MIN(1,Z243))^2+(1-MAX(0,MIN(1,Z243)))^2/$B$5))))</f>
        <v>0.878259377603423</v>
      </c>
      <c r="AB244" s="16" t="n">
        <f aca="false">IF(ABS(AB243-$B$11/$B$9*((MAX(0,MIN(1,AB243))^2/(MAX(0,MIN(1,AB243))^2+(1-MAX(0,MIN(1,AB243)))^2/$B$5))-(MAX(0,MIN(1,AA243))^2/(MAX(0,MIN(1,AA243))^2+(1-MAX(0,MIN(1,AA243)))^2/$B$5))))&lt;0.000000001,0,AB243-$B$11/$B$9*((MAX(0,MIN(1,AB243))^2/(MAX(0,MIN(1,AB243))^2+(1-MAX(0,MIN(1,AB243)))^2/$B$5))-(MAX(0,MIN(1,AA243))^2/(MAX(0,MIN(1,AA243))^2+(1-MAX(0,MIN(1,AA243)))^2/$B$5))))</f>
        <v>0.872845809333217</v>
      </c>
      <c r="AC244" s="16" t="n">
        <f aca="false">IF(ABS(AC243-$B$11/$B$9*((MAX(0,MIN(1,AC243))^2/(MAX(0,MIN(1,AC243))^2+(1-MAX(0,MIN(1,AC243)))^2/$B$5))-(MAX(0,MIN(1,AB243))^2/(MAX(0,MIN(1,AB243))^2+(1-MAX(0,MIN(1,AB243)))^2/$B$5))))&lt;0.000000001,0,AC243-$B$11/$B$9*((MAX(0,MIN(1,AC243))^2/(MAX(0,MIN(1,AC243))^2+(1-MAX(0,MIN(1,AC243)))^2/$B$5))-(MAX(0,MIN(1,AB243))^2/(MAX(0,MIN(1,AB243))^2+(1-MAX(0,MIN(1,AB243)))^2/$B$5))))</f>
        <v>0.867581262340438</v>
      </c>
      <c r="AD244" s="16" t="n">
        <f aca="false">IF(ABS(AD243-$B$11/$B$9*((MAX(0,MIN(1,AD243))^2/(MAX(0,MIN(1,AD243))^2+(1-MAX(0,MIN(1,AD243)))^2/$B$5))-(MAX(0,MIN(1,AC243))^2/(MAX(0,MIN(1,AC243))^2+(1-MAX(0,MIN(1,AC243)))^2/$B$5))))&lt;0.000000001,0,AD243-$B$11/$B$9*((MAX(0,MIN(1,AD243))^2/(MAX(0,MIN(1,AD243))^2+(1-MAX(0,MIN(1,AD243)))^2/$B$5))-(MAX(0,MIN(1,AC243))^2/(MAX(0,MIN(1,AC243))^2+(1-MAX(0,MIN(1,AC243)))^2/$B$5))))</f>
        <v>0.862456437619737</v>
      </c>
      <c r="AE244" s="16" t="n">
        <f aca="false">IF(ABS(AE243-$B$11/$B$9*((MAX(0,MIN(1,AE243))^2/(MAX(0,MIN(1,AE243))^2+(1-MAX(0,MIN(1,AE243)))^2/$B$5))-(MAX(0,MIN(1,AD243))^2/(MAX(0,MIN(1,AD243))^2+(1-MAX(0,MIN(1,AD243)))^2/$B$5))))&lt;0.000000001,0,AE243-$B$11/$B$9*((MAX(0,MIN(1,AE243))^2/(MAX(0,MIN(1,AE243))^2+(1-MAX(0,MIN(1,AE243)))^2/$B$5))-(MAX(0,MIN(1,AD243))^2/(MAX(0,MIN(1,AD243))^2+(1-MAX(0,MIN(1,AD243)))^2/$B$5))))</f>
        <v>0.857462932877251</v>
      </c>
      <c r="AF244" s="16" t="n">
        <f aca="false">IF(ABS(AF243-$B$11/$B$9*((MAX(0,MIN(1,AF243))^2/(MAX(0,MIN(1,AF243))^2+(1-MAX(0,MIN(1,AF243)))^2/$B$5))-(MAX(0,MIN(1,AE243))^2/(MAX(0,MIN(1,AE243))^2+(1-MAX(0,MIN(1,AE243)))^2/$B$5))))&lt;0.000000001,0,AF243-$B$11/$B$9*((MAX(0,MIN(1,AF243))^2/(MAX(0,MIN(1,AF243))^2+(1-MAX(0,MIN(1,AF243)))^2/$B$5))-(MAX(0,MIN(1,AE243))^2/(MAX(0,MIN(1,AE243))^2+(1-MAX(0,MIN(1,AE243)))^2/$B$5))))</f>
        <v>0.852593119428239</v>
      </c>
    </row>
    <row r="245" customFormat="false" ht="15" hidden="false" customHeight="false" outlineLevel="0" collapsed="false">
      <c r="L245" s="0" t="n">
        <v>235</v>
      </c>
      <c r="M245" s="16" t="n">
        <f aca="false">IF(ABS(M244-$B$11/$B$9*((MAX(0,MIN(1,M244))^2/(MAX(0,MIN(1,M244))^2+(1-MAX(0,MIN(1,M244)))^2/$B$5))-(MAX(0,MIN(1,1))^2/(MAX(0,MIN(1,1))^2+(1-MAX(0,MIN(1,1)))^2/$B$5))))&lt;0.000000001,0,M244-$B$11/$B$9*((MAX(0,MIN(1,M244))^2/(MAX(0,MIN(1,M244))^2+(1-MAX(0,MIN(1,M244)))^2/$B$5))-(MAX(0,MIN(1,1))^2/(MAX(0,MIN(1,1))^2+(1-MAX(0,MIN(1,1)))^2/$B$5))))</f>
        <v>0.981323445634264</v>
      </c>
      <c r="N245" s="16" t="n">
        <f aca="false">IF(ABS(N244-$B$11/$B$9*((MAX(0,MIN(1,N244))^2/(MAX(0,MIN(1,N244))^2+(1-MAX(0,MIN(1,N244)))^2/$B$5))-(MAX(0,MIN(1,M244))^2/(MAX(0,MIN(1,M244))^2+(1-MAX(0,MIN(1,M244)))^2/$B$5))))&lt;0.000000001,0,N244-$B$11/$B$9*((MAX(0,MIN(1,N244))^2/(MAX(0,MIN(1,N244))^2+(1-MAX(0,MIN(1,N244)))^2/$B$5))-(MAX(0,MIN(1,M244))^2/(MAX(0,MIN(1,M244))^2+(1-MAX(0,MIN(1,M244)))^2/$B$5))))</f>
        <v>0.970553041652069</v>
      </c>
      <c r="O245" s="16" t="n">
        <f aca="false">IF(ABS(O244-$B$11/$B$9*((MAX(0,MIN(1,O244))^2/(MAX(0,MIN(1,O244))^2+(1-MAX(0,MIN(1,O244)))^2/$B$5))-(MAX(0,MIN(1,N244))^2/(MAX(0,MIN(1,N244))^2+(1-MAX(0,MIN(1,N244)))^2/$B$5))))&lt;0.000000001,0,O244-$B$11/$B$9*((MAX(0,MIN(1,O244))^2/(MAX(0,MIN(1,O244))^2+(1-MAX(0,MIN(1,O244)))^2/$B$5))-(MAX(0,MIN(1,N244))^2/(MAX(0,MIN(1,N244))^2+(1-MAX(0,MIN(1,N244)))^2/$B$5))))</f>
        <v>0.961026081604094</v>
      </c>
      <c r="P245" s="16" t="n">
        <f aca="false">IF(ABS(P244-$B$11/$B$9*((MAX(0,MIN(1,P244))^2/(MAX(0,MIN(1,P244))^2+(1-MAX(0,MIN(1,P244)))^2/$B$5))-(MAX(0,MIN(1,O244))^2/(MAX(0,MIN(1,O244))^2+(1-MAX(0,MIN(1,O244)))^2/$B$5))))&lt;0.000000001,0,P244-$B$11/$B$9*((MAX(0,MIN(1,P244))^2/(MAX(0,MIN(1,P244))^2+(1-MAX(0,MIN(1,P244)))^2/$B$5))-(MAX(0,MIN(1,O244))^2/(MAX(0,MIN(1,O244))^2+(1-MAX(0,MIN(1,O244)))^2/$B$5))))</f>
        <v>0.952238486314448</v>
      </c>
      <c r="Q245" s="16" t="n">
        <f aca="false">IF(ABS(Q244-$B$11/$B$9*((MAX(0,MIN(1,Q244))^2/(MAX(0,MIN(1,Q244))^2+(1-MAX(0,MIN(1,Q244)))^2/$B$5))-(MAX(0,MIN(1,P244))^2/(MAX(0,MIN(1,P244))^2+(1-MAX(0,MIN(1,P244)))^2/$B$5))))&lt;0.000000001,0,Q244-$B$11/$B$9*((MAX(0,MIN(1,Q244))^2/(MAX(0,MIN(1,Q244))^2+(1-MAX(0,MIN(1,Q244)))^2/$B$5))-(MAX(0,MIN(1,P244))^2/(MAX(0,MIN(1,P244))^2+(1-MAX(0,MIN(1,P244)))^2/$B$5))))</f>
        <v>0.943995238962015</v>
      </c>
      <c r="R245" s="16" t="n">
        <f aca="false">IF(ABS(R244-$B$11/$B$9*((MAX(0,MIN(1,R244))^2/(MAX(0,MIN(1,R244))^2+(1-MAX(0,MIN(1,R244)))^2/$B$5))-(MAX(0,MIN(1,Q244))^2/(MAX(0,MIN(1,Q244))^2+(1-MAX(0,MIN(1,Q244)))^2/$B$5))))&lt;0.000000001,0,R244-$B$11/$B$9*((MAX(0,MIN(1,R244))^2/(MAX(0,MIN(1,R244))^2+(1-MAX(0,MIN(1,R244)))^2/$B$5))-(MAX(0,MIN(1,Q244))^2/(MAX(0,MIN(1,Q244))^2+(1-MAX(0,MIN(1,Q244)))^2/$B$5))))</f>
        <v>0.93619115065593</v>
      </c>
      <c r="S245" s="16" t="n">
        <f aca="false">IF(ABS(S244-$B$11/$B$9*((MAX(0,MIN(1,S244))^2/(MAX(0,MIN(1,S244))^2+(1-MAX(0,MIN(1,S244)))^2/$B$5))-(MAX(0,MIN(1,R244))^2/(MAX(0,MIN(1,R244))^2+(1-MAX(0,MIN(1,R244)))^2/$B$5))))&lt;0.000000001,0,S244-$B$11/$B$9*((MAX(0,MIN(1,S244))^2/(MAX(0,MIN(1,S244))^2+(1-MAX(0,MIN(1,S244)))^2/$B$5))-(MAX(0,MIN(1,R244))^2/(MAX(0,MIN(1,R244))^2+(1-MAX(0,MIN(1,R244)))^2/$B$5))))</f>
        <v>0.928758858273919</v>
      </c>
      <c r="T245" s="16" t="n">
        <f aca="false">IF(ABS(T244-$B$11/$B$9*((MAX(0,MIN(1,T244))^2/(MAX(0,MIN(1,T244))^2+(1-MAX(0,MIN(1,T244)))^2/$B$5))-(MAX(0,MIN(1,S244))^2/(MAX(0,MIN(1,S244))^2+(1-MAX(0,MIN(1,S244)))^2/$B$5))))&lt;0.000000001,0,T244-$B$11/$B$9*((MAX(0,MIN(1,T244))^2/(MAX(0,MIN(1,T244))^2+(1-MAX(0,MIN(1,T244)))^2/$B$5))-(MAX(0,MIN(1,S244))^2/(MAX(0,MIN(1,S244))^2+(1-MAX(0,MIN(1,S244)))^2/$B$5))))</f>
        <v>0.921650528294486</v>
      </c>
      <c r="U245" s="16" t="n">
        <f aca="false">IF(ABS(U244-$B$11/$B$9*((MAX(0,MIN(1,U244))^2/(MAX(0,MIN(1,U244))^2+(1-MAX(0,MIN(1,U244)))^2/$B$5))-(MAX(0,MIN(1,T244))^2/(MAX(0,MIN(1,T244))^2+(1-MAX(0,MIN(1,T244)))^2/$B$5))))&lt;0.000000001,0,U244-$B$11/$B$9*((MAX(0,MIN(1,U244))^2/(MAX(0,MIN(1,U244))^2+(1-MAX(0,MIN(1,U244)))^2/$B$5))-(MAX(0,MIN(1,T244))^2/(MAX(0,MIN(1,T244))^2+(1-MAX(0,MIN(1,T244)))^2/$B$5))))</f>
        <v>0.914829841225275</v>
      </c>
      <c r="V245" s="16" t="n">
        <f aca="false">IF(ABS(V244-$B$11/$B$9*((MAX(0,MIN(1,V244))^2/(MAX(0,MIN(1,V244))^2+(1-MAX(0,MIN(1,V244)))^2/$B$5))-(MAX(0,MIN(1,U244))^2/(MAX(0,MIN(1,U244))^2+(1-MAX(0,MIN(1,U244)))^2/$B$5))))&lt;0.000000001,0,V244-$B$11/$B$9*((MAX(0,MIN(1,V244))^2/(MAX(0,MIN(1,V244))^2+(1-MAX(0,MIN(1,V244)))^2/$B$5))-(MAX(0,MIN(1,U244))^2/(MAX(0,MIN(1,U244))^2+(1-MAX(0,MIN(1,U244)))^2/$B$5))))</f>
        <v>0.908267930435436</v>
      </c>
      <c r="W245" s="16" t="n">
        <f aca="false">IF(ABS(W244-$B$11/$B$9*((MAX(0,MIN(1,W244))^2/(MAX(0,MIN(1,W244))^2+(1-MAX(0,MIN(1,W244)))^2/$B$5))-(MAX(0,MIN(1,V244))^2/(MAX(0,MIN(1,V244))^2+(1-MAX(0,MIN(1,V244)))^2/$B$5))))&lt;0.000000001,0,W244-$B$11/$B$9*((MAX(0,MIN(1,W244))^2/(MAX(0,MIN(1,W244))^2+(1-MAX(0,MIN(1,W244)))^2/$B$5))-(MAX(0,MIN(1,V244))^2/(MAX(0,MIN(1,V244))^2+(1-MAX(0,MIN(1,V244)))^2/$B$5))))</f>
        <v>0.901941096115702</v>
      </c>
      <c r="X245" s="16" t="n">
        <f aca="false">IF(ABS(X244-$B$11/$B$9*((MAX(0,MIN(1,X244))^2/(MAX(0,MIN(1,X244))^2+(1-MAX(0,MIN(1,X244)))^2/$B$5))-(MAX(0,MIN(1,W244))^2/(MAX(0,MIN(1,W244))^2+(1-MAX(0,MIN(1,W244)))^2/$B$5))))&lt;0.000000001,0,X244-$B$11/$B$9*((MAX(0,MIN(1,X244))^2/(MAX(0,MIN(1,X244))^2+(1-MAX(0,MIN(1,X244)))^2/$B$5))-(MAX(0,MIN(1,W244))^2/(MAX(0,MIN(1,W244))^2+(1-MAX(0,MIN(1,W244)))^2/$B$5))))</f>
        <v>0.895829410943622</v>
      </c>
      <c r="Y245" s="16" t="n">
        <f aca="false">IF(ABS(Y244-$B$11/$B$9*((MAX(0,MIN(1,Y244))^2/(MAX(0,MIN(1,Y244))^2+(1-MAX(0,MIN(1,Y244)))^2/$B$5))-(MAX(0,MIN(1,X244))^2/(MAX(0,MIN(1,X244))^2+(1-MAX(0,MIN(1,X244)))^2/$B$5))))&lt;0.000000001,0,Y244-$B$11/$B$9*((MAX(0,MIN(1,Y244))^2/(MAX(0,MIN(1,Y244))^2+(1-MAX(0,MIN(1,Y244)))^2/$B$5))-(MAX(0,MIN(1,X244))^2/(MAX(0,MIN(1,X244))^2+(1-MAX(0,MIN(1,X244)))^2/$B$5))))</f>
        <v>0.88991581417595</v>
      </c>
      <c r="Z245" s="16" t="n">
        <f aca="false">IF(ABS(Z244-$B$11/$B$9*((MAX(0,MIN(1,Z244))^2/(MAX(0,MIN(1,Z244))^2+(1-MAX(0,MIN(1,Z244)))^2/$B$5))-(MAX(0,MIN(1,Y244))^2/(MAX(0,MIN(1,Y244))^2+(1-MAX(0,MIN(1,Y244)))^2/$B$5))))&lt;0.000000001,0,Z244-$B$11/$B$9*((MAX(0,MIN(1,Z244))^2/(MAX(0,MIN(1,Z244))^2+(1-MAX(0,MIN(1,Z244)))^2/$B$5))-(MAX(0,MIN(1,Y244))^2/(MAX(0,MIN(1,Y244))^2+(1-MAX(0,MIN(1,Y244)))^2/$B$5))))</f>
        <v>0.884185492419781</v>
      </c>
      <c r="AA245" s="16" t="n">
        <f aca="false">IF(ABS(AA244-$B$11/$B$9*((MAX(0,MIN(1,AA244))^2/(MAX(0,MIN(1,AA244))^2+(1-MAX(0,MIN(1,AA244)))^2/$B$5))-(MAX(0,MIN(1,Z244))^2/(MAX(0,MIN(1,Z244))^2+(1-MAX(0,MIN(1,Z244)))^2/$B$5))))&lt;0.000000001,0,AA244-$B$11/$B$9*((MAX(0,MIN(1,AA244))^2/(MAX(0,MIN(1,AA244))^2+(1-MAX(0,MIN(1,AA244)))^2/$B$5))-(MAX(0,MIN(1,Z244))^2/(MAX(0,MIN(1,Z244))^2+(1-MAX(0,MIN(1,Z244)))^2/$B$5))))</f>
        <v>0.878625438471339</v>
      </c>
      <c r="AB245" s="16" t="n">
        <f aca="false">IF(ABS(AB244-$B$11/$B$9*((MAX(0,MIN(1,AB244))^2/(MAX(0,MIN(1,AB244))^2+(1-MAX(0,MIN(1,AB244)))^2/$B$5))-(MAX(0,MIN(1,AA244))^2/(MAX(0,MIN(1,AA244))^2+(1-MAX(0,MIN(1,AA244)))^2/$B$5))))&lt;0.000000001,0,AB244-$B$11/$B$9*((MAX(0,MIN(1,AB244))^2/(MAX(0,MIN(1,AB244))^2+(1-MAX(0,MIN(1,AB244)))^2/$B$5))-(MAX(0,MIN(1,AA244))^2/(MAX(0,MIN(1,AA244))^2+(1-MAX(0,MIN(1,AA244)))^2/$B$5))))</f>
        <v>0.873224126110048</v>
      </c>
      <c r="AC245" s="16" t="n">
        <f aca="false">IF(ABS(AC244-$B$11/$B$9*((MAX(0,MIN(1,AC244))^2/(MAX(0,MIN(1,AC244))^2+(1-MAX(0,MIN(1,AC244)))^2/$B$5))-(MAX(0,MIN(1,AB244))^2/(MAX(0,MIN(1,AB244))^2+(1-MAX(0,MIN(1,AB244)))^2/$B$5))))&lt;0.000000001,0,AC244-$B$11/$B$9*((MAX(0,MIN(1,AC244))^2/(MAX(0,MIN(1,AC244))^2+(1-MAX(0,MIN(1,AC244)))^2/$B$5))-(MAX(0,MIN(1,AB244))^2/(MAX(0,MIN(1,AB244))^2+(1-MAX(0,MIN(1,AB244)))^2/$B$5))))</f>
        <v>0.86797126347571</v>
      </c>
      <c r="AD245" s="16" t="n">
        <f aca="false">IF(ABS(AD244-$B$11/$B$9*((MAX(0,MIN(1,AD244))^2/(MAX(0,MIN(1,AD244))^2+(1-MAX(0,MIN(1,AD244)))^2/$B$5))-(MAX(0,MIN(1,AC244))^2/(MAX(0,MIN(1,AC244))^2+(1-MAX(0,MIN(1,AC244)))^2/$B$5))))&lt;0.000000001,0,AD244-$B$11/$B$9*((MAX(0,MIN(1,AD244))^2/(MAX(0,MIN(1,AD244))^2+(1-MAX(0,MIN(1,AD244)))^2/$B$5))-(MAX(0,MIN(1,AC244))^2/(MAX(0,MIN(1,AC244))^2+(1-MAX(0,MIN(1,AC244)))^2/$B$5))))</f>
        <v>0.862857601545306</v>
      </c>
      <c r="AE245" s="16" t="n">
        <f aca="false">IF(ABS(AE244-$B$11/$B$9*((MAX(0,MIN(1,AE244))^2/(MAX(0,MIN(1,AE244))^2+(1-MAX(0,MIN(1,AE244)))^2/$B$5))-(MAX(0,MIN(1,AD244))^2/(MAX(0,MIN(1,AD244))^2+(1-MAX(0,MIN(1,AD244)))^2/$B$5))))&lt;0.000000001,0,AE244-$B$11/$B$9*((MAX(0,MIN(1,AE244))^2/(MAX(0,MIN(1,AE244))^2+(1-MAX(0,MIN(1,AE244)))^2/$B$5))-(MAX(0,MIN(1,AD244))^2/(MAX(0,MIN(1,AD244))^2+(1-MAX(0,MIN(1,AD244)))^2/$B$5))))</f>
        <v>0.857874782389249</v>
      </c>
      <c r="AF245" s="16" t="n">
        <f aca="false">IF(ABS(AF244-$B$11/$B$9*((MAX(0,MIN(1,AF244))^2/(MAX(0,MIN(1,AF244))^2+(1-MAX(0,MIN(1,AF244)))^2/$B$5))-(MAX(0,MIN(1,AE244))^2/(MAX(0,MIN(1,AE244))^2+(1-MAX(0,MIN(1,AE244)))^2/$B$5))))&lt;0.000000001,0,AF244-$B$11/$B$9*((MAX(0,MIN(1,AF244))^2/(MAX(0,MIN(1,AF244))^2+(1-MAX(0,MIN(1,AF244)))^2/$B$5))-(MAX(0,MIN(1,AE244))^2/(MAX(0,MIN(1,AE244))^2+(1-MAX(0,MIN(1,AE244)))^2/$B$5))))</f>
        <v>0.853015216880474</v>
      </c>
    </row>
    <row r="246" customFormat="false" ht="15" hidden="false" customHeight="false" outlineLevel="0" collapsed="false">
      <c r="L246" s="0" t="n">
        <v>236</v>
      </c>
      <c r="M246" s="16" t="n">
        <f aca="false">IF(ABS(M245-$B$11/$B$9*((MAX(0,MIN(1,M245))^2/(MAX(0,MIN(1,M245))^2+(1-MAX(0,MIN(1,M245)))^2/$B$5))-(MAX(0,MIN(1,1))^2/(MAX(0,MIN(1,1))^2+(1-MAX(0,MIN(1,1)))^2/$B$5))))&lt;0.000000001,0,M245-$B$11/$B$9*((MAX(0,MIN(1,M245))^2/(MAX(0,MIN(1,M245))^2+(1-MAX(0,MIN(1,M245)))^2/$B$5))-(MAX(0,MIN(1,1))^2/(MAX(0,MIN(1,1))^2+(1-MAX(0,MIN(1,1)))^2/$B$5))))</f>
        <v>0.981393074979603</v>
      </c>
      <c r="N246" s="16" t="n">
        <f aca="false">IF(ABS(N245-$B$11/$B$9*((MAX(0,MIN(1,N245))^2/(MAX(0,MIN(1,N245))^2+(1-MAX(0,MIN(1,N245)))^2/$B$5))-(MAX(0,MIN(1,M245))^2/(MAX(0,MIN(1,M245))^2+(1-MAX(0,MIN(1,M245)))^2/$B$5))))&lt;0.000000001,0,N245-$B$11/$B$9*((MAX(0,MIN(1,N245))^2/(MAX(0,MIN(1,N245))^2+(1-MAX(0,MIN(1,N245)))^2/$B$5))-(MAX(0,MIN(1,M245))^2/(MAX(0,MIN(1,M245))^2+(1-MAX(0,MIN(1,M245)))^2/$B$5))))</f>
        <v>0.970660319007927</v>
      </c>
      <c r="O246" s="16" t="n">
        <f aca="false">IF(ABS(O245-$B$11/$B$9*((MAX(0,MIN(1,O245))^2/(MAX(0,MIN(1,O245))^2+(1-MAX(0,MIN(1,O245)))^2/$B$5))-(MAX(0,MIN(1,N245))^2/(MAX(0,MIN(1,N245))^2+(1-MAX(0,MIN(1,N245)))^2/$B$5))))&lt;0.000000001,0,O245-$B$11/$B$9*((MAX(0,MIN(1,O245))^2/(MAX(0,MIN(1,O245))^2+(1-MAX(0,MIN(1,O245)))^2/$B$5))-(MAX(0,MIN(1,N245))^2/(MAX(0,MIN(1,N245))^2+(1-MAX(0,MIN(1,N245)))^2/$B$5))))</f>
        <v>0.961165127989984</v>
      </c>
      <c r="P246" s="16" t="n">
        <f aca="false">IF(ABS(P245-$B$11/$B$9*((MAX(0,MIN(1,P245))^2/(MAX(0,MIN(1,P245))^2+(1-MAX(0,MIN(1,P245)))^2/$B$5))-(MAX(0,MIN(1,O245))^2/(MAX(0,MIN(1,O245))^2+(1-MAX(0,MIN(1,O245)))^2/$B$5))))&lt;0.000000001,0,P245-$B$11/$B$9*((MAX(0,MIN(1,P245))^2/(MAX(0,MIN(1,P245))^2+(1-MAX(0,MIN(1,P245)))^2/$B$5))-(MAX(0,MIN(1,O245))^2/(MAX(0,MIN(1,O245))^2+(1-MAX(0,MIN(1,O245)))^2/$B$5))))</f>
        <v>0.952405614897752</v>
      </c>
      <c r="Q246" s="16" t="n">
        <f aca="false">IF(ABS(Q245-$B$11/$B$9*((MAX(0,MIN(1,Q245))^2/(MAX(0,MIN(1,Q245))^2+(1-MAX(0,MIN(1,Q245)))^2/$B$5))-(MAX(0,MIN(1,P245))^2/(MAX(0,MIN(1,P245))^2+(1-MAX(0,MIN(1,P245)))^2/$B$5))))&lt;0.000000001,0,Q245-$B$11/$B$9*((MAX(0,MIN(1,Q245))^2/(MAX(0,MIN(1,Q245))^2+(1-MAX(0,MIN(1,Q245)))^2/$B$5))-(MAX(0,MIN(1,P245))^2/(MAX(0,MIN(1,P245))^2+(1-MAX(0,MIN(1,P245)))^2/$B$5))))</f>
        <v>0.944187693226758</v>
      </c>
      <c r="R246" s="16" t="n">
        <f aca="false">IF(ABS(R245-$B$11/$B$9*((MAX(0,MIN(1,R245))^2/(MAX(0,MIN(1,R245))^2+(1-MAX(0,MIN(1,R245)))^2/$B$5))-(MAX(0,MIN(1,Q245))^2/(MAX(0,MIN(1,Q245))^2+(1-MAX(0,MIN(1,Q245)))^2/$B$5))))&lt;0.000000001,0,R245-$B$11/$B$9*((MAX(0,MIN(1,R245))^2/(MAX(0,MIN(1,R245))^2+(1-MAX(0,MIN(1,R245)))^2/$B$5))-(MAX(0,MIN(1,Q245))^2/(MAX(0,MIN(1,Q245))^2+(1-MAX(0,MIN(1,Q245)))^2/$B$5))))</f>
        <v>0.936406715803143</v>
      </c>
      <c r="S246" s="16" t="n">
        <f aca="false">IF(ABS(S245-$B$11/$B$9*((MAX(0,MIN(1,S245))^2/(MAX(0,MIN(1,S245))^2+(1-MAX(0,MIN(1,S245)))^2/$B$5))-(MAX(0,MIN(1,R245))^2/(MAX(0,MIN(1,R245))^2+(1-MAX(0,MIN(1,R245)))^2/$B$5))))&lt;0.000000001,0,S245-$B$11/$B$9*((MAX(0,MIN(1,S245))^2/(MAX(0,MIN(1,S245))^2+(1-MAX(0,MIN(1,S245)))^2/$B$5))-(MAX(0,MIN(1,R245))^2/(MAX(0,MIN(1,R245))^2+(1-MAX(0,MIN(1,R245)))^2/$B$5))))</f>
        <v>0.928995686369809</v>
      </c>
      <c r="T246" s="16" t="n">
        <f aca="false">IF(ABS(T245-$B$11/$B$9*((MAX(0,MIN(1,T245))^2/(MAX(0,MIN(1,T245))^2+(1-MAX(0,MIN(1,T245)))^2/$B$5))-(MAX(0,MIN(1,S245))^2/(MAX(0,MIN(1,S245))^2+(1-MAX(0,MIN(1,S245)))^2/$B$5))))&lt;0.000000001,0,T245-$B$11/$B$9*((MAX(0,MIN(1,T245))^2/(MAX(0,MIN(1,T245))^2+(1-MAX(0,MIN(1,T245)))^2/$B$5))-(MAX(0,MIN(1,S245))^2/(MAX(0,MIN(1,S245))^2+(1-MAX(0,MIN(1,S245)))^2/$B$5))))</f>
        <v>0.921907041736963</v>
      </c>
      <c r="U246" s="16" t="n">
        <f aca="false">IF(ABS(U245-$B$11/$B$9*((MAX(0,MIN(1,U245))^2/(MAX(0,MIN(1,U245))^2+(1-MAX(0,MIN(1,U245)))^2/$B$5))-(MAX(0,MIN(1,T245))^2/(MAX(0,MIN(1,T245))^2+(1-MAX(0,MIN(1,T245)))^2/$B$5))))&lt;0.000000001,0,U245-$B$11/$B$9*((MAX(0,MIN(1,U245))^2/(MAX(0,MIN(1,U245))^2+(1-MAX(0,MIN(1,U245)))^2/$B$5))-(MAX(0,MIN(1,T245))^2/(MAX(0,MIN(1,T245))^2+(1-MAX(0,MIN(1,T245)))^2/$B$5))))</f>
        <v>0.915104672215609</v>
      </c>
      <c r="V246" s="16" t="n">
        <f aca="false">IF(ABS(V245-$B$11/$B$9*((MAX(0,MIN(1,V245))^2/(MAX(0,MIN(1,V245))^2+(1-MAX(0,MIN(1,V245)))^2/$B$5))-(MAX(0,MIN(1,U245))^2/(MAX(0,MIN(1,U245))^2+(1-MAX(0,MIN(1,U245)))^2/$B$5))))&lt;0.000000001,0,V245-$B$11/$B$9*((MAX(0,MIN(1,V245))^2/(MAX(0,MIN(1,V245))^2+(1-MAX(0,MIN(1,V245)))^2/$B$5))-(MAX(0,MIN(1,U245))^2/(MAX(0,MIN(1,U245))^2+(1-MAX(0,MIN(1,U245)))^2/$B$5))))</f>
        <v>0.908559879680129</v>
      </c>
      <c r="W246" s="16" t="n">
        <f aca="false">IF(ABS(W245-$B$11/$B$9*((MAX(0,MIN(1,W245))^2/(MAX(0,MIN(1,W245))^2+(1-MAX(0,MIN(1,W245)))^2/$B$5))-(MAX(0,MIN(1,V245))^2/(MAX(0,MIN(1,V245))^2+(1-MAX(0,MIN(1,V245)))^2/$B$5))))&lt;0.000000001,0,W245-$B$11/$B$9*((MAX(0,MIN(1,W245))^2/(MAX(0,MIN(1,W245))^2+(1-MAX(0,MIN(1,W245)))^2/$B$5))-(MAX(0,MIN(1,V245))^2/(MAX(0,MIN(1,V245))^2+(1-MAX(0,MIN(1,V245)))^2/$B$5))))</f>
        <v>0.902249102951882</v>
      </c>
      <c r="X246" s="16" t="n">
        <f aca="false">IF(ABS(X245-$B$11/$B$9*((MAX(0,MIN(1,X245))^2/(MAX(0,MIN(1,X245))^2+(1-MAX(0,MIN(1,X245)))^2/$B$5))-(MAX(0,MIN(1,W245))^2/(MAX(0,MIN(1,W245))^2+(1-MAX(0,MIN(1,W245)))^2/$B$5))))&lt;0.000000001,0,X245-$B$11/$B$9*((MAX(0,MIN(1,X245))^2/(MAX(0,MIN(1,X245))^2+(1-MAX(0,MIN(1,X245)))^2/$B$5))-(MAX(0,MIN(1,W245))^2/(MAX(0,MIN(1,W245))^2+(1-MAX(0,MIN(1,W245)))^2/$B$5))))</f>
        <v>0.896152530803143</v>
      </c>
      <c r="Y246" s="16" t="n">
        <f aca="false">IF(ABS(Y245-$B$11/$B$9*((MAX(0,MIN(1,Y245))^2/(MAX(0,MIN(1,Y245))^2+(1-MAX(0,MIN(1,Y245)))^2/$B$5))-(MAX(0,MIN(1,X245))^2/(MAX(0,MIN(1,X245))^2+(1-MAX(0,MIN(1,X245)))^2/$B$5))))&lt;0.000000001,0,Y245-$B$11/$B$9*((MAX(0,MIN(1,Y245))^2/(MAX(0,MIN(1,Y245))^2+(1-MAX(0,MIN(1,Y245)))^2/$B$5))-(MAX(0,MIN(1,X245))^2/(MAX(0,MIN(1,X245))^2+(1-MAX(0,MIN(1,X245)))^2/$B$5))))</f>
        <v>0.890253201050526</v>
      </c>
      <c r="Z246" s="16" t="n">
        <f aca="false">IF(ABS(Z245-$B$11/$B$9*((MAX(0,MIN(1,Z245))^2/(MAX(0,MIN(1,Z245))^2+(1-MAX(0,MIN(1,Z245)))^2/$B$5))-(MAX(0,MIN(1,Y245))^2/(MAX(0,MIN(1,Y245))^2+(1-MAX(0,MIN(1,Y245)))^2/$B$5))))&lt;0.000000001,0,Z245-$B$11/$B$9*((MAX(0,MIN(1,Z245))^2/(MAX(0,MIN(1,Z245))^2+(1-MAX(0,MIN(1,Z245)))^2/$B$5))-(MAX(0,MIN(1,Y245))^2/(MAX(0,MIN(1,Y245))^2+(1-MAX(0,MIN(1,Y245)))^2/$B$5))))</f>
        <v>0.884536384891767</v>
      </c>
      <c r="AA246" s="16" t="n">
        <f aca="false">IF(ABS(AA245-$B$11/$B$9*((MAX(0,MIN(1,AA245))^2/(MAX(0,MIN(1,AA245))^2+(1-MAX(0,MIN(1,AA245)))^2/$B$5))-(MAX(0,MIN(1,Z245))^2/(MAX(0,MIN(1,Z245))^2+(1-MAX(0,MIN(1,Z245)))^2/$B$5))))&lt;0.000000001,0,AA245-$B$11/$B$9*((MAX(0,MIN(1,AA245))^2/(MAX(0,MIN(1,AA245))^2+(1-MAX(0,MIN(1,AA245)))^2/$B$5))-(MAX(0,MIN(1,Z245))^2/(MAX(0,MIN(1,Z245))^2+(1-MAX(0,MIN(1,Z245)))^2/$B$5))))</f>
        <v>0.878989148377992</v>
      </c>
      <c r="AB246" s="16" t="n">
        <f aca="false">IF(ABS(AB245-$B$11/$B$9*((MAX(0,MIN(1,AB245))^2/(MAX(0,MIN(1,AB245))^2+(1-MAX(0,MIN(1,AB245)))^2/$B$5))-(MAX(0,MIN(1,AA245))^2/(MAX(0,MIN(1,AA245))^2+(1-MAX(0,MIN(1,AA245)))^2/$B$5))))&lt;0.000000001,0,AB245-$B$11/$B$9*((MAX(0,MIN(1,AB245))^2/(MAX(0,MIN(1,AB245))^2+(1-MAX(0,MIN(1,AB245)))^2/$B$5))-(MAX(0,MIN(1,AA245))^2/(MAX(0,MIN(1,AA245))^2+(1-MAX(0,MIN(1,AA245)))^2/$B$5))))</f>
        <v>0.87360002920783</v>
      </c>
      <c r="AC246" s="16" t="n">
        <f aca="false">IF(ABS(AC245-$B$11/$B$9*((MAX(0,MIN(1,AC245))^2/(MAX(0,MIN(1,AC245))^2+(1-MAX(0,MIN(1,AC245)))^2/$B$5))-(MAX(0,MIN(1,AB245))^2/(MAX(0,MIN(1,AB245))^2+(1-MAX(0,MIN(1,AB245)))^2/$B$5))))&lt;0.000000001,0,AC245-$B$11/$B$9*((MAX(0,MIN(1,AC245))^2/(MAX(0,MIN(1,AC245))^2+(1-MAX(0,MIN(1,AC245)))^2/$B$5))-(MAX(0,MIN(1,AB245))^2/(MAX(0,MIN(1,AB245))^2+(1-MAX(0,MIN(1,AB245)))^2/$B$5))))</f>
        <v>0.868358791658051</v>
      </c>
      <c r="AD246" s="16" t="n">
        <f aca="false">IF(ABS(AD245-$B$11/$B$9*((MAX(0,MIN(1,AD245))^2/(MAX(0,MIN(1,AD245))^2+(1-MAX(0,MIN(1,AD245)))^2/$B$5))-(MAX(0,MIN(1,AC245))^2/(MAX(0,MIN(1,AC245))^2+(1-MAX(0,MIN(1,AC245)))^2/$B$5))))&lt;0.000000001,0,AD245-$B$11/$B$9*((MAX(0,MIN(1,AD245))^2/(MAX(0,MIN(1,AD245))^2+(1-MAX(0,MIN(1,AD245)))^2/$B$5))-(MAX(0,MIN(1,AC245))^2/(MAX(0,MIN(1,AC245))^2+(1-MAX(0,MIN(1,AC245)))^2/$B$5))))</f>
        <v>0.863256236289297</v>
      </c>
      <c r="AE246" s="16" t="n">
        <f aca="false">IF(ABS(AE245-$B$11/$B$9*((MAX(0,MIN(1,AE245))^2/(MAX(0,MIN(1,AE245))^2+(1-MAX(0,MIN(1,AE245)))^2/$B$5))-(MAX(0,MIN(1,AD245))^2/(MAX(0,MIN(1,AD245))^2+(1-MAX(0,MIN(1,AD245)))^2/$B$5))))&lt;0.000000001,0,AE245-$B$11/$B$9*((MAX(0,MIN(1,AE245))^2/(MAX(0,MIN(1,AE245))^2+(1-MAX(0,MIN(1,AE245)))^2/$B$5))-(MAX(0,MIN(1,AD245))^2/(MAX(0,MIN(1,AD245))^2+(1-MAX(0,MIN(1,AD245)))^2/$B$5))))</f>
        <v>0.85828404918946</v>
      </c>
      <c r="AF246" s="16" t="n">
        <f aca="false">IF(ABS(AF245-$B$11/$B$9*((MAX(0,MIN(1,AF245))^2/(MAX(0,MIN(1,AF245))^2+(1-MAX(0,MIN(1,AF245)))^2/$B$5))-(MAX(0,MIN(1,AE245))^2/(MAX(0,MIN(1,AE245))^2+(1-MAX(0,MIN(1,AE245)))^2/$B$5))))&lt;0.000000001,0,AF245-$B$11/$B$9*((MAX(0,MIN(1,AF245))^2/(MAX(0,MIN(1,AF245))^2+(1-MAX(0,MIN(1,AF245)))^2/$B$5))-(MAX(0,MIN(1,AE245))^2/(MAX(0,MIN(1,AE245))^2+(1-MAX(0,MIN(1,AE245)))^2/$B$5))))</f>
        <v>0.853434680485889</v>
      </c>
    </row>
    <row r="247" customFormat="false" ht="15" hidden="false" customHeight="false" outlineLevel="0" collapsed="false">
      <c r="L247" s="0" t="n">
        <v>237</v>
      </c>
      <c r="M247" s="16" t="n">
        <f aca="false">IF(ABS(M246-$B$11/$B$9*((MAX(0,MIN(1,M246))^2/(MAX(0,MIN(1,M246))^2+(1-MAX(0,MIN(1,M246)))^2/$B$5))-(MAX(0,MIN(1,1))^2/(MAX(0,MIN(1,1))^2+(1-MAX(0,MIN(1,1)))^2/$B$5))))&lt;0.000000001,0,M246-$B$11/$B$9*((MAX(0,MIN(1,M246))^2/(MAX(0,MIN(1,M246))^2+(1-MAX(0,MIN(1,M246)))^2/$B$5))-(MAX(0,MIN(1,1))^2/(MAX(0,MIN(1,1))^2+(1-MAX(0,MIN(1,1)))^2/$B$5))))</f>
        <v>0.98146217640128</v>
      </c>
      <c r="N247" s="16" t="n">
        <f aca="false">IF(ABS(N246-$B$11/$B$9*((MAX(0,MIN(1,N246))^2/(MAX(0,MIN(1,N246))^2+(1-MAX(0,MIN(1,N246)))^2/$B$5))-(MAX(0,MIN(1,M246))^2/(MAX(0,MIN(1,M246))^2+(1-MAX(0,MIN(1,M246)))^2/$B$5))))&lt;0.000000001,0,N246-$B$11/$B$9*((MAX(0,MIN(1,N246))^2/(MAX(0,MIN(1,N246))^2+(1-MAX(0,MIN(1,N246)))^2/$B$5))-(MAX(0,MIN(1,M246))^2/(MAX(0,MIN(1,M246))^2+(1-MAX(0,MIN(1,M246)))^2/$B$5))))</f>
        <v>0.970766799456351</v>
      </c>
      <c r="O247" s="16" t="n">
        <f aca="false">IF(ABS(O246-$B$11/$B$9*((MAX(0,MIN(1,O246))^2/(MAX(0,MIN(1,O246))^2+(1-MAX(0,MIN(1,O246)))^2/$B$5))-(MAX(0,MIN(1,N246))^2/(MAX(0,MIN(1,N246))^2+(1-MAX(0,MIN(1,N246)))^2/$B$5))))&lt;0.000000001,0,O246-$B$11/$B$9*((MAX(0,MIN(1,O246))^2/(MAX(0,MIN(1,O246))^2+(1-MAX(0,MIN(1,O246)))^2/$B$5))-(MAX(0,MIN(1,N246))^2/(MAX(0,MIN(1,N246))^2+(1-MAX(0,MIN(1,N246)))^2/$B$5))))</f>
        <v>0.961303159943596</v>
      </c>
      <c r="P247" s="16" t="n">
        <f aca="false">IF(ABS(P246-$B$11/$B$9*((MAX(0,MIN(1,P246))^2/(MAX(0,MIN(1,P246))^2+(1-MAX(0,MIN(1,P246)))^2/$B$5))-(MAX(0,MIN(1,O246))^2/(MAX(0,MIN(1,O246))^2+(1-MAX(0,MIN(1,O246)))^2/$B$5))))&lt;0.000000001,0,P246-$B$11/$B$9*((MAX(0,MIN(1,P246))^2/(MAX(0,MIN(1,P246))^2+(1-MAX(0,MIN(1,P246)))^2/$B$5))-(MAX(0,MIN(1,O246))^2/(MAX(0,MIN(1,O246))^2+(1-MAX(0,MIN(1,O246)))^2/$B$5))))</f>
        <v>0.952571543905764</v>
      </c>
      <c r="Q247" s="16" t="n">
        <f aca="false">IF(ABS(Q246-$B$11/$B$9*((MAX(0,MIN(1,Q246))^2/(MAX(0,MIN(1,Q246))^2+(1-MAX(0,MIN(1,Q246)))^2/$B$5))-(MAX(0,MIN(1,P246))^2/(MAX(0,MIN(1,P246))^2+(1-MAX(0,MIN(1,P246)))^2/$B$5))))&lt;0.000000001,0,Q246-$B$11/$B$9*((MAX(0,MIN(1,Q246))^2/(MAX(0,MIN(1,Q246))^2+(1-MAX(0,MIN(1,Q246)))^2/$B$5))-(MAX(0,MIN(1,P246))^2/(MAX(0,MIN(1,P246))^2+(1-MAX(0,MIN(1,P246)))^2/$B$5))))</f>
        <v>0.944378786583917</v>
      </c>
      <c r="R247" s="16" t="n">
        <f aca="false">IF(ABS(R246-$B$11/$B$9*((MAX(0,MIN(1,R246))^2/(MAX(0,MIN(1,R246))^2+(1-MAX(0,MIN(1,R246)))^2/$B$5))-(MAX(0,MIN(1,Q246))^2/(MAX(0,MIN(1,Q246))^2+(1-MAX(0,MIN(1,Q246)))^2/$B$5))))&lt;0.000000001,0,R246-$B$11/$B$9*((MAX(0,MIN(1,R246))^2/(MAX(0,MIN(1,R246))^2+(1-MAX(0,MIN(1,R246)))^2/$B$5))-(MAX(0,MIN(1,Q246))^2/(MAX(0,MIN(1,Q246))^2+(1-MAX(0,MIN(1,Q246)))^2/$B$5))))</f>
        <v>0.93662077737043</v>
      </c>
      <c r="S247" s="16" t="n">
        <f aca="false">IF(ABS(S246-$B$11/$B$9*((MAX(0,MIN(1,S246))^2/(MAX(0,MIN(1,S246))^2+(1-MAX(0,MIN(1,S246)))^2/$B$5))-(MAX(0,MIN(1,R246))^2/(MAX(0,MIN(1,R246))^2+(1-MAX(0,MIN(1,R246)))^2/$B$5))))&lt;0.000000001,0,S246-$B$11/$B$9*((MAX(0,MIN(1,S246))^2/(MAX(0,MIN(1,S246))^2+(1-MAX(0,MIN(1,S246)))^2/$B$5))-(MAX(0,MIN(1,R246))^2/(MAX(0,MIN(1,R246))^2+(1-MAX(0,MIN(1,R246)))^2/$B$5))))</f>
        <v>0.929230883343245</v>
      </c>
      <c r="T247" s="16" t="n">
        <f aca="false">IF(ABS(T246-$B$11/$B$9*((MAX(0,MIN(1,T246))^2/(MAX(0,MIN(1,T246))^2+(1-MAX(0,MIN(1,T246)))^2/$B$5))-(MAX(0,MIN(1,S246))^2/(MAX(0,MIN(1,S246))^2+(1-MAX(0,MIN(1,S246)))^2/$B$5))))&lt;0.000000001,0,T246-$B$11/$B$9*((MAX(0,MIN(1,T246))^2/(MAX(0,MIN(1,T246))^2+(1-MAX(0,MIN(1,T246)))^2/$B$5))-(MAX(0,MIN(1,S246))^2/(MAX(0,MIN(1,S246))^2+(1-MAX(0,MIN(1,S246)))^2/$B$5))))</f>
        <v>0.92216180904606</v>
      </c>
      <c r="U247" s="16" t="n">
        <f aca="false">IF(ABS(U246-$B$11/$B$9*((MAX(0,MIN(1,U246))^2/(MAX(0,MIN(1,U246))^2+(1-MAX(0,MIN(1,U246)))^2/$B$5))-(MAX(0,MIN(1,T246))^2/(MAX(0,MIN(1,T246))^2+(1-MAX(0,MIN(1,T246)))^2/$B$5))))&lt;0.000000001,0,U246-$B$11/$B$9*((MAX(0,MIN(1,U246))^2/(MAX(0,MIN(1,U246))^2+(1-MAX(0,MIN(1,U246)))^2/$B$5))-(MAX(0,MIN(1,T246))^2/(MAX(0,MIN(1,T246))^2+(1-MAX(0,MIN(1,T246)))^2/$B$5))))</f>
        <v>0.915377652595871</v>
      </c>
      <c r="V247" s="16" t="n">
        <f aca="false">IF(ABS(V246-$B$11/$B$9*((MAX(0,MIN(1,V246))^2/(MAX(0,MIN(1,V246))^2+(1-MAX(0,MIN(1,V246)))^2/$B$5))-(MAX(0,MIN(1,U246))^2/(MAX(0,MIN(1,U246))^2+(1-MAX(0,MIN(1,U246)))^2/$B$5))))&lt;0.000000001,0,V246-$B$11/$B$9*((MAX(0,MIN(1,V246))^2/(MAX(0,MIN(1,V246))^2+(1-MAX(0,MIN(1,V246)))^2/$B$5))-(MAX(0,MIN(1,U246))^2/(MAX(0,MIN(1,U246))^2+(1-MAX(0,MIN(1,U246)))^2/$B$5))))</f>
        <v>0.908849882791538</v>
      </c>
      <c r="W247" s="16" t="n">
        <f aca="false">IF(ABS(W246-$B$11/$B$9*((MAX(0,MIN(1,W246))^2/(MAX(0,MIN(1,W246))^2+(1-MAX(0,MIN(1,W246)))^2/$B$5))-(MAX(0,MIN(1,V246))^2/(MAX(0,MIN(1,V246))^2+(1-MAX(0,MIN(1,V246)))^2/$B$5))))&lt;0.000000001,0,W246-$B$11/$B$9*((MAX(0,MIN(1,W246))^2/(MAX(0,MIN(1,W246))^2+(1-MAX(0,MIN(1,W246)))^2/$B$5))-(MAX(0,MIN(1,V246))^2/(MAX(0,MIN(1,V246))^2+(1-MAX(0,MIN(1,V246)))^2/$B$5))))</f>
        <v>0.902555075807635</v>
      </c>
      <c r="X247" s="16" t="n">
        <f aca="false">IF(ABS(X246-$B$11/$B$9*((MAX(0,MIN(1,X246))^2/(MAX(0,MIN(1,X246))^2+(1-MAX(0,MIN(1,X246)))^2/$B$5))-(MAX(0,MIN(1,W246))^2/(MAX(0,MIN(1,W246))^2+(1-MAX(0,MIN(1,W246)))^2/$B$5))))&lt;0.000000001,0,X246-$B$11/$B$9*((MAX(0,MIN(1,X246))^2/(MAX(0,MIN(1,X246))^2+(1-MAX(0,MIN(1,X246)))^2/$B$5))-(MAX(0,MIN(1,W246))^2/(MAX(0,MIN(1,W246))^2+(1-MAX(0,MIN(1,W246)))^2/$B$5))))</f>
        <v>0.896473535462431</v>
      </c>
      <c r="Y247" s="16" t="n">
        <f aca="false">IF(ABS(Y246-$B$11/$B$9*((MAX(0,MIN(1,Y246))^2/(MAX(0,MIN(1,Y246))^2+(1-MAX(0,MIN(1,Y246)))^2/$B$5))-(MAX(0,MIN(1,X246))^2/(MAX(0,MIN(1,X246))^2+(1-MAX(0,MIN(1,X246)))^2/$B$5))))&lt;0.000000001,0,Y246-$B$11/$B$9*((MAX(0,MIN(1,Y246))^2/(MAX(0,MIN(1,Y246))^2+(1-MAX(0,MIN(1,Y246)))^2/$B$5))-(MAX(0,MIN(1,X246))^2/(MAX(0,MIN(1,X246))^2+(1-MAX(0,MIN(1,X246)))^2/$B$5))))</f>
        <v>0.890588397260478</v>
      </c>
      <c r="Z247" s="16" t="n">
        <f aca="false">IF(ABS(Z246-$B$11/$B$9*((MAX(0,MIN(1,Z246))^2/(MAX(0,MIN(1,Z246))^2+(1-MAX(0,MIN(1,Z246)))^2/$B$5))-(MAX(0,MIN(1,Y246))^2/(MAX(0,MIN(1,Y246))^2+(1-MAX(0,MIN(1,Y246)))^2/$B$5))))&lt;0.000000001,0,Z246-$B$11/$B$9*((MAX(0,MIN(1,Z246))^2/(MAX(0,MIN(1,Z246))^2+(1-MAX(0,MIN(1,Z246)))^2/$B$5))-(MAX(0,MIN(1,Y246))^2/(MAX(0,MIN(1,Y246))^2+(1-MAX(0,MIN(1,Y246)))^2/$B$5))))</f>
        <v>0.884885016257686</v>
      </c>
      <c r="AA247" s="16" t="n">
        <f aca="false">IF(ABS(AA246-$B$11/$B$9*((MAX(0,MIN(1,AA246))^2/(MAX(0,MIN(1,AA246))^2+(1-MAX(0,MIN(1,AA246)))^2/$B$5))-(MAX(0,MIN(1,Z246))^2/(MAX(0,MIN(1,Z246))^2+(1-MAX(0,MIN(1,Z246)))^2/$B$5))))&lt;0.000000001,0,AA246-$B$11/$B$9*((MAX(0,MIN(1,AA246))^2/(MAX(0,MIN(1,AA246))^2+(1-MAX(0,MIN(1,AA246)))^2/$B$5))-(MAX(0,MIN(1,Z246))^2/(MAX(0,MIN(1,Z246))^2+(1-MAX(0,MIN(1,Z246)))^2/$B$5))))</f>
        <v>0.879350531139307</v>
      </c>
      <c r="AB247" s="16" t="n">
        <f aca="false">IF(ABS(AB246-$B$11/$B$9*((MAX(0,MIN(1,AB246))^2/(MAX(0,MIN(1,AB246))^2+(1-MAX(0,MIN(1,AB246)))^2/$B$5))-(MAX(0,MIN(1,AA246))^2/(MAX(0,MIN(1,AA246))^2+(1-MAX(0,MIN(1,AA246)))^2/$B$5))))&lt;0.000000001,0,AB246-$B$11/$B$9*((MAX(0,MIN(1,AB246))^2/(MAX(0,MIN(1,AB246))^2+(1-MAX(0,MIN(1,AB246)))^2/$B$5))-(MAX(0,MIN(1,AA246))^2/(MAX(0,MIN(1,AA246))^2+(1-MAX(0,MIN(1,AA246)))^2/$B$5))))</f>
        <v>0.873973542993008</v>
      </c>
      <c r="AC247" s="16" t="n">
        <f aca="false">IF(ABS(AC246-$B$11/$B$9*((MAX(0,MIN(1,AC246))^2/(MAX(0,MIN(1,AC246))^2+(1-MAX(0,MIN(1,AC246)))^2/$B$5))-(MAX(0,MIN(1,AB246))^2/(MAX(0,MIN(1,AB246))^2+(1-MAX(0,MIN(1,AB246)))^2/$B$5))))&lt;0.000000001,0,AC246-$B$11/$B$9*((MAX(0,MIN(1,AC246))^2/(MAX(0,MIN(1,AC246))^2+(1-MAX(0,MIN(1,AC246)))^2/$B$5))-(MAX(0,MIN(1,AB246))^2/(MAX(0,MIN(1,AB246))^2+(1-MAX(0,MIN(1,AB246)))^2/$B$5))))</f>
        <v>0.868743871776646</v>
      </c>
      <c r="AD247" s="16" t="n">
        <f aca="false">IF(ABS(AD246-$B$11/$B$9*((MAX(0,MIN(1,AD246))^2/(MAX(0,MIN(1,AD246))^2+(1-MAX(0,MIN(1,AD246)))^2/$B$5))-(MAX(0,MIN(1,AC246))^2/(MAX(0,MIN(1,AC246))^2+(1-MAX(0,MIN(1,AC246)))^2/$B$5))))&lt;0.000000001,0,AD246-$B$11/$B$9*((MAX(0,MIN(1,AD246))^2/(MAX(0,MIN(1,AD246))^2+(1-MAX(0,MIN(1,AD246)))^2/$B$5))-(MAX(0,MIN(1,AC246))^2/(MAX(0,MIN(1,AC246))^2+(1-MAX(0,MIN(1,AC246)))^2/$B$5))))</f>
        <v>0.863652367240112</v>
      </c>
      <c r="AE247" s="16" t="n">
        <f aca="false">IF(ABS(AE246-$B$11/$B$9*((MAX(0,MIN(1,AE246))^2/(MAX(0,MIN(1,AE246))^2+(1-MAX(0,MIN(1,AE246)))^2/$B$5))-(MAX(0,MIN(1,AD246))^2/(MAX(0,MIN(1,AD246))^2+(1-MAX(0,MIN(1,AD246)))^2/$B$5))))&lt;0.000000001,0,AE246-$B$11/$B$9*((MAX(0,MIN(1,AE246))^2/(MAX(0,MIN(1,AE246))^2+(1-MAX(0,MIN(1,AE246)))^2/$B$5))-(MAX(0,MIN(1,AD246))^2/(MAX(0,MIN(1,AD246))^2+(1-MAX(0,MIN(1,AD246)))^2/$B$5))))</f>
        <v>0.858690759145614</v>
      </c>
      <c r="AF247" s="16" t="n">
        <f aca="false">IF(ABS(AF246-$B$11/$B$9*((MAX(0,MIN(1,AF246))^2/(MAX(0,MIN(1,AF246))^2+(1-MAX(0,MIN(1,AF246)))^2/$B$5))-(MAX(0,MIN(1,AE246))^2/(MAX(0,MIN(1,AE246))^2+(1-MAX(0,MIN(1,AE246)))^2/$B$5))))&lt;0.000000001,0,AF246-$B$11/$B$9*((MAX(0,MIN(1,AF246))^2/(MAX(0,MIN(1,AF246))^2+(1-MAX(0,MIN(1,AF246)))^2/$B$5))-(MAX(0,MIN(1,AE246))^2/(MAX(0,MIN(1,AE246))^2+(1-MAX(0,MIN(1,AE246)))^2/$B$5))))</f>
        <v>0.85385153657479</v>
      </c>
    </row>
    <row r="248" customFormat="false" ht="15" hidden="false" customHeight="false" outlineLevel="0" collapsed="false">
      <c r="L248" s="0" t="n">
        <v>238</v>
      </c>
      <c r="M248" s="16" t="n">
        <f aca="false">IF(ABS(M247-$B$11/$B$9*((MAX(0,MIN(1,M247))^2/(MAX(0,MIN(1,M247))^2+(1-MAX(0,MIN(1,M247)))^2/$B$5))-(MAX(0,MIN(1,1))^2/(MAX(0,MIN(1,1))^2+(1-MAX(0,MIN(1,1)))^2/$B$5))))&lt;0.000000001,0,M247-$B$11/$B$9*((MAX(0,MIN(1,M247))^2/(MAX(0,MIN(1,M247))^2+(1-MAX(0,MIN(1,M247)))^2/$B$5))-(MAX(0,MIN(1,1))^2/(MAX(0,MIN(1,1))^2+(1-MAX(0,MIN(1,1)))^2/$B$5))))</f>
        <v>0.981530755960705</v>
      </c>
      <c r="N248" s="16" t="n">
        <f aca="false">IF(ABS(N247-$B$11/$B$9*((MAX(0,MIN(1,N247))^2/(MAX(0,MIN(1,N247))^2+(1-MAX(0,MIN(1,N247)))^2/$B$5))-(MAX(0,MIN(1,M247))^2/(MAX(0,MIN(1,M247))^2+(1-MAX(0,MIN(1,M247)))^2/$B$5))))&lt;0.000000001,0,N247-$B$11/$B$9*((MAX(0,MIN(1,N247))^2/(MAX(0,MIN(1,N247))^2+(1-MAX(0,MIN(1,N247)))^2/$B$5))-(MAX(0,MIN(1,M247))^2/(MAX(0,MIN(1,M247))^2+(1-MAX(0,MIN(1,M247)))^2/$B$5))))</f>
        <v>0.970872491982679</v>
      </c>
      <c r="O248" s="16" t="n">
        <f aca="false">IF(ABS(O247-$B$11/$B$9*((MAX(0,MIN(1,O247))^2/(MAX(0,MIN(1,O247))^2+(1-MAX(0,MIN(1,O247)))^2/$B$5))-(MAX(0,MIN(1,N247))^2/(MAX(0,MIN(1,N247))^2+(1-MAX(0,MIN(1,N247)))^2/$B$5))))&lt;0.000000001,0,O247-$B$11/$B$9*((MAX(0,MIN(1,O247))^2/(MAX(0,MIN(1,O247))^2+(1-MAX(0,MIN(1,O247)))^2/$B$5))-(MAX(0,MIN(1,N247))^2/(MAX(0,MIN(1,N247))^2+(1-MAX(0,MIN(1,N247)))^2/$B$5))))</f>
        <v>0.961440188726332</v>
      </c>
      <c r="P248" s="16" t="n">
        <f aca="false">IF(ABS(P247-$B$11/$B$9*((MAX(0,MIN(1,P247))^2/(MAX(0,MIN(1,P247))^2+(1-MAX(0,MIN(1,P247)))^2/$B$5))-(MAX(0,MIN(1,O247))^2/(MAX(0,MIN(1,O247))^2+(1-MAX(0,MIN(1,O247)))^2/$B$5))))&lt;0.000000001,0,P247-$B$11/$B$9*((MAX(0,MIN(1,P247))^2/(MAX(0,MIN(1,P247))^2+(1-MAX(0,MIN(1,P247)))^2/$B$5))-(MAX(0,MIN(1,O247))^2/(MAX(0,MIN(1,O247))^2+(1-MAX(0,MIN(1,O247)))^2/$B$5))))</f>
        <v>0.952736286474179</v>
      </c>
      <c r="Q248" s="16" t="n">
        <f aca="false">IF(ABS(Q247-$B$11/$B$9*((MAX(0,MIN(1,Q247))^2/(MAX(0,MIN(1,Q247))^2+(1-MAX(0,MIN(1,Q247)))^2/$B$5))-(MAX(0,MIN(1,P247))^2/(MAX(0,MIN(1,P247))^2+(1-MAX(0,MIN(1,P247)))^2/$B$5))))&lt;0.000000001,0,Q247-$B$11/$B$9*((MAX(0,MIN(1,Q247))^2/(MAX(0,MIN(1,Q247))^2+(1-MAX(0,MIN(1,Q247)))^2/$B$5))-(MAX(0,MIN(1,P247))^2/(MAX(0,MIN(1,P247))^2+(1-MAX(0,MIN(1,P247)))^2/$B$5))))</f>
        <v>0.944568533755684</v>
      </c>
      <c r="R248" s="16" t="n">
        <f aca="false">IF(ABS(R247-$B$11/$B$9*((MAX(0,MIN(1,R247))^2/(MAX(0,MIN(1,R247))^2+(1-MAX(0,MIN(1,R247)))^2/$B$5))-(MAX(0,MIN(1,Q247))^2/(MAX(0,MIN(1,Q247))^2+(1-MAX(0,MIN(1,Q247)))^2/$B$5))))&lt;0.000000001,0,R247-$B$11/$B$9*((MAX(0,MIN(1,R247))^2/(MAX(0,MIN(1,R247))^2+(1-MAX(0,MIN(1,R247)))^2/$B$5))-(MAX(0,MIN(1,Q247))^2/(MAX(0,MIN(1,Q247))^2+(1-MAX(0,MIN(1,Q247)))^2/$B$5))))</f>
        <v>0.936833351447664</v>
      </c>
      <c r="S248" s="16" t="n">
        <f aca="false">IF(ABS(S247-$B$11/$B$9*((MAX(0,MIN(1,S247))^2/(MAX(0,MIN(1,S247))^2+(1-MAX(0,MIN(1,S247)))^2/$B$5))-(MAX(0,MIN(1,R247))^2/(MAX(0,MIN(1,R247))^2+(1-MAX(0,MIN(1,R247)))^2/$B$5))))&lt;0.000000001,0,S247-$B$11/$B$9*((MAX(0,MIN(1,S247))^2/(MAX(0,MIN(1,S247))^2+(1-MAX(0,MIN(1,S247)))^2/$B$5))-(MAX(0,MIN(1,R247))^2/(MAX(0,MIN(1,R247))^2+(1-MAX(0,MIN(1,R247)))^2/$B$5))))</f>
        <v>0.929464466479895</v>
      </c>
      <c r="T248" s="16" t="n">
        <f aca="false">IF(ABS(T247-$B$11/$B$9*((MAX(0,MIN(1,T247))^2/(MAX(0,MIN(1,T247))^2+(1-MAX(0,MIN(1,T247)))^2/$B$5))-(MAX(0,MIN(1,S247))^2/(MAX(0,MIN(1,S247))^2+(1-MAX(0,MIN(1,S247)))^2/$B$5))))&lt;0.000000001,0,T247-$B$11/$B$9*((MAX(0,MIN(1,T247))^2/(MAX(0,MIN(1,T247))^2+(1-MAX(0,MIN(1,T247)))^2/$B$5))-(MAX(0,MIN(1,S247))^2/(MAX(0,MIN(1,S247))^2+(1-MAX(0,MIN(1,S247)))^2/$B$5))))</f>
        <v>0.922414848565398</v>
      </c>
      <c r="U248" s="16" t="n">
        <f aca="false">IF(ABS(U247-$B$11/$B$9*((MAX(0,MIN(1,U247))^2/(MAX(0,MIN(1,U247))^2+(1-MAX(0,MIN(1,U247)))^2/$B$5))-(MAX(0,MIN(1,T247))^2/(MAX(0,MIN(1,T247))^2+(1-MAX(0,MIN(1,T247)))^2/$B$5))))&lt;0.000000001,0,U247-$B$11/$B$9*((MAX(0,MIN(1,U247))^2/(MAX(0,MIN(1,U247))^2+(1-MAX(0,MIN(1,U247)))^2/$B$5))-(MAX(0,MIN(1,T247))^2/(MAX(0,MIN(1,T247))^2+(1-MAX(0,MIN(1,T247)))^2/$B$5))))</f>
        <v>0.915648801655461</v>
      </c>
      <c r="V248" s="16" t="n">
        <f aca="false">IF(ABS(V247-$B$11/$B$9*((MAX(0,MIN(1,V247))^2/(MAX(0,MIN(1,V247))^2+(1-MAX(0,MIN(1,V247)))^2/$B$5))-(MAX(0,MIN(1,U247))^2/(MAX(0,MIN(1,U247))^2+(1-MAX(0,MIN(1,U247)))^2/$B$5))))&lt;0.000000001,0,V247-$B$11/$B$9*((MAX(0,MIN(1,V247))^2/(MAX(0,MIN(1,V247))^2+(1-MAX(0,MIN(1,V247)))^2/$B$5))-(MAX(0,MIN(1,U247))^2/(MAX(0,MIN(1,U247))^2+(1-MAX(0,MIN(1,U247)))^2/$B$5))))</f>
        <v>0.909137959912546</v>
      </c>
      <c r="W248" s="16" t="n">
        <f aca="false">IF(ABS(W247-$B$11/$B$9*((MAX(0,MIN(1,W247))^2/(MAX(0,MIN(1,W247))^2+(1-MAX(0,MIN(1,W247)))^2/$B$5))-(MAX(0,MIN(1,V247))^2/(MAX(0,MIN(1,V247))^2+(1-MAX(0,MIN(1,V247)))^2/$B$5))))&lt;0.000000001,0,W247-$B$11/$B$9*((MAX(0,MIN(1,W247))^2/(MAX(0,MIN(1,W247))^2+(1-MAX(0,MIN(1,W247)))^2/$B$5))-(MAX(0,MIN(1,V247))^2/(MAX(0,MIN(1,V247))^2+(1-MAX(0,MIN(1,V247)))^2/$B$5))))</f>
        <v>0.902859035602755</v>
      </c>
      <c r="X248" s="16" t="n">
        <f aca="false">IF(ABS(X247-$B$11/$B$9*((MAX(0,MIN(1,X247))^2/(MAX(0,MIN(1,X247))^2+(1-MAX(0,MIN(1,X247)))^2/$B$5))-(MAX(0,MIN(1,W247))^2/(MAX(0,MIN(1,W247))^2+(1-MAX(0,MIN(1,W247)))^2/$B$5))))&lt;0.000000001,0,X247-$B$11/$B$9*((MAX(0,MIN(1,X247))^2/(MAX(0,MIN(1,X247))^2+(1-MAX(0,MIN(1,X247)))^2/$B$5))-(MAX(0,MIN(1,W247))^2/(MAX(0,MIN(1,W247))^2+(1-MAX(0,MIN(1,W247)))^2/$B$5))))</f>
        <v>0.896792446554215</v>
      </c>
      <c r="Y248" s="16" t="n">
        <f aca="false">IF(ABS(Y247-$B$11/$B$9*((MAX(0,MIN(1,Y247))^2/(MAX(0,MIN(1,Y247))^2+(1-MAX(0,MIN(1,Y247)))^2/$B$5))-(MAX(0,MIN(1,X247))^2/(MAX(0,MIN(1,X247))^2+(1-MAX(0,MIN(1,X247)))^2/$B$5))))&lt;0.000000001,0,Y247-$B$11/$B$9*((MAX(0,MIN(1,Y247))^2/(MAX(0,MIN(1,Y247))^2+(1-MAX(0,MIN(1,Y247)))^2/$B$5))-(MAX(0,MIN(1,X247))^2/(MAX(0,MIN(1,X247))^2+(1-MAX(0,MIN(1,X247)))^2/$B$5))))</f>
        <v>0.89092142509776</v>
      </c>
      <c r="Z248" s="16" t="n">
        <f aca="false">IF(ABS(Z247-$B$11/$B$9*((MAX(0,MIN(1,Z247))^2/(MAX(0,MIN(1,Z247))^2+(1-MAX(0,MIN(1,Z247)))^2/$B$5))-(MAX(0,MIN(1,Y247))^2/(MAX(0,MIN(1,Y247))^2+(1-MAX(0,MIN(1,Y247)))^2/$B$5))))&lt;0.000000001,0,Z247-$B$11/$B$9*((MAX(0,MIN(1,Z247))^2/(MAX(0,MIN(1,Z247))^2+(1-MAX(0,MIN(1,Z247)))^2/$B$5))-(MAX(0,MIN(1,Y247))^2/(MAX(0,MIN(1,Y247))^2+(1-MAX(0,MIN(1,Y247)))^2/$B$5))))</f>
        <v>0.885231409423424</v>
      </c>
      <c r="AA248" s="16" t="n">
        <f aca="false">IF(ABS(AA247-$B$11/$B$9*((MAX(0,MIN(1,AA247))^2/(MAX(0,MIN(1,AA247))^2+(1-MAX(0,MIN(1,AA247)))^2/$B$5))-(MAX(0,MIN(1,Z247))^2/(MAX(0,MIN(1,Z247))^2+(1-MAX(0,MIN(1,Z247)))^2/$B$5))))&lt;0.000000001,0,AA247-$B$11/$B$9*((MAX(0,MIN(1,AA247))^2/(MAX(0,MIN(1,AA247))^2+(1-MAX(0,MIN(1,AA247)))^2/$B$5))-(MAX(0,MIN(1,Z247))^2/(MAX(0,MIN(1,Z247))^2+(1-MAX(0,MIN(1,Z247)))^2/$B$5))))</f>
        <v>0.879709610236802</v>
      </c>
      <c r="AB248" s="16" t="n">
        <f aca="false">IF(ABS(AB247-$B$11/$B$9*((MAX(0,MIN(1,AB247))^2/(MAX(0,MIN(1,AB247))^2+(1-MAX(0,MIN(1,AB247)))^2/$B$5))-(MAX(0,MIN(1,AA247))^2/(MAX(0,MIN(1,AA247))^2+(1-MAX(0,MIN(1,AA247)))^2/$B$5))))&lt;0.000000001,0,AB247-$B$11/$B$9*((MAX(0,MIN(1,AB247))^2/(MAX(0,MIN(1,AB247))^2+(1-MAX(0,MIN(1,AB247)))^2/$B$5))-(MAX(0,MIN(1,AA247))^2/(MAX(0,MIN(1,AA247))^2+(1-MAX(0,MIN(1,AA247)))^2/$B$5))))</f>
        <v>0.874344691490281</v>
      </c>
      <c r="AC248" s="16" t="n">
        <f aca="false">IF(ABS(AC247-$B$11/$B$9*((MAX(0,MIN(1,AC247))^2/(MAX(0,MIN(1,AC247))^2+(1-MAX(0,MIN(1,AC247)))^2/$B$5))-(MAX(0,MIN(1,AB247))^2/(MAX(0,MIN(1,AB247))^2+(1-MAX(0,MIN(1,AB247)))^2/$B$5))))&lt;0.000000001,0,AC247-$B$11/$B$9*((MAX(0,MIN(1,AC247))^2/(MAX(0,MIN(1,AC247))^2+(1-MAX(0,MIN(1,AC247)))^2/$B$5))-(MAX(0,MIN(1,AB247))^2/(MAX(0,MIN(1,AB247))^2+(1-MAX(0,MIN(1,AB247)))^2/$B$5))))</f>
        <v>0.869126528371863</v>
      </c>
      <c r="AD248" s="16" t="n">
        <f aca="false">IF(ABS(AD247-$B$11/$B$9*((MAX(0,MIN(1,AD247))^2/(MAX(0,MIN(1,AD247))^2+(1-MAX(0,MIN(1,AD247)))^2/$B$5))-(MAX(0,MIN(1,AC247))^2/(MAX(0,MIN(1,AC247))^2+(1-MAX(0,MIN(1,AC247)))^2/$B$5))))&lt;0.000000001,0,AD247-$B$11/$B$9*((MAX(0,MIN(1,AD247))^2/(MAX(0,MIN(1,AD247))^2+(1-MAX(0,MIN(1,AD247)))^2/$B$5))-(MAX(0,MIN(1,AC247))^2/(MAX(0,MIN(1,AC247))^2+(1-MAX(0,MIN(1,AC247)))^2/$B$5))))</f>
        <v>0.864046019430464</v>
      </c>
      <c r="AE248" s="16" t="n">
        <f aca="false">IF(ABS(AE247-$B$11/$B$9*((MAX(0,MIN(1,AE247))^2/(MAX(0,MIN(1,AE247))^2+(1-MAX(0,MIN(1,AE247)))^2/$B$5))-(MAX(0,MIN(1,AD247))^2/(MAX(0,MIN(1,AD247))^2+(1-MAX(0,MIN(1,AD247)))^2/$B$5))))&lt;0.000000001,0,AE247-$B$11/$B$9*((MAX(0,MIN(1,AE247))^2/(MAX(0,MIN(1,AE247))^2+(1-MAX(0,MIN(1,AE247)))^2/$B$5))-(MAX(0,MIN(1,AD247))^2/(MAX(0,MIN(1,AD247))^2+(1-MAX(0,MIN(1,AD247)))^2/$B$5))))</f>
        <v>0.859094937763036</v>
      </c>
      <c r="AF248" s="16" t="n">
        <f aca="false">IF(ABS(AF247-$B$11/$B$9*((MAX(0,MIN(1,AF247))^2/(MAX(0,MIN(1,AF247))^2+(1-MAX(0,MIN(1,AF247)))^2/$B$5))-(MAX(0,MIN(1,AE247))^2/(MAX(0,MIN(1,AE247))^2+(1-MAX(0,MIN(1,AE247)))^2/$B$5))))&lt;0.000000001,0,AF247-$B$11/$B$9*((MAX(0,MIN(1,AF247))^2/(MAX(0,MIN(1,AF247))^2+(1-MAX(0,MIN(1,AF247)))^2/$B$5))-(MAX(0,MIN(1,AE247))^2/(MAX(0,MIN(1,AE247))^2+(1-MAX(0,MIN(1,AE247)))^2/$B$5))))</f>
        <v>0.854265811108468</v>
      </c>
    </row>
    <row r="249" customFormat="false" ht="15" hidden="false" customHeight="false" outlineLevel="0" collapsed="false">
      <c r="L249" s="0" t="n">
        <v>239</v>
      </c>
      <c r="M249" s="16" t="n">
        <f aca="false">IF(ABS(M248-$B$11/$B$9*((MAX(0,MIN(1,M248))^2/(MAX(0,MIN(1,M248))^2+(1-MAX(0,MIN(1,M248)))^2/$B$5))-(MAX(0,MIN(1,1))^2/(MAX(0,MIN(1,1))^2+(1-MAX(0,MIN(1,1)))^2/$B$5))))&lt;0.000000001,0,M248-$B$11/$B$9*((MAX(0,MIN(1,M248))^2/(MAX(0,MIN(1,M248))^2+(1-MAX(0,MIN(1,M248)))^2/$B$5))-(MAX(0,MIN(1,1))^2/(MAX(0,MIN(1,1))^2+(1-MAX(0,MIN(1,1)))^2/$B$5))))</f>
        <v>0.981598819625949</v>
      </c>
      <c r="N249" s="16" t="n">
        <f aca="false">IF(ABS(N248-$B$11/$B$9*((MAX(0,MIN(1,N248))^2/(MAX(0,MIN(1,N248))^2+(1-MAX(0,MIN(1,N248)))^2/$B$5))-(MAX(0,MIN(1,M248))^2/(MAX(0,MIN(1,M248))^2+(1-MAX(0,MIN(1,M248)))^2/$B$5))))&lt;0.000000001,0,N248-$B$11/$B$9*((MAX(0,MIN(1,N248))^2/(MAX(0,MIN(1,N248))^2+(1-MAX(0,MIN(1,N248)))^2/$B$5))-(MAX(0,MIN(1,M248))^2/(MAX(0,MIN(1,M248))^2+(1-MAX(0,MIN(1,M248)))^2/$B$5))))</f>
        <v>0.970977405436096</v>
      </c>
      <c r="O249" s="16" t="n">
        <f aca="false">IF(ABS(O248-$B$11/$B$9*((MAX(0,MIN(1,O248))^2/(MAX(0,MIN(1,O248))^2+(1-MAX(0,MIN(1,O248)))^2/$B$5))-(MAX(0,MIN(1,N248))^2/(MAX(0,MIN(1,N248))^2+(1-MAX(0,MIN(1,N248)))^2/$B$5))))&lt;0.000000001,0,O248-$B$11/$B$9*((MAX(0,MIN(1,O248))^2/(MAX(0,MIN(1,O248))^2+(1-MAX(0,MIN(1,O248)))^2/$B$5))-(MAX(0,MIN(1,N248))^2/(MAX(0,MIN(1,N248))^2+(1-MAX(0,MIN(1,N248)))^2/$B$5))))</f>
        <v>0.961576225431234</v>
      </c>
      <c r="P249" s="16" t="n">
        <f aca="false">IF(ABS(P248-$B$11/$B$9*((MAX(0,MIN(1,P248))^2/(MAX(0,MIN(1,P248))^2+(1-MAX(0,MIN(1,P248)))^2/$B$5))-(MAX(0,MIN(1,O248))^2/(MAX(0,MIN(1,O248))^2+(1-MAX(0,MIN(1,O248)))^2/$B$5))))&lt;0.000000001,0,P248-$B$11/$B$9*((MAX(0,MIN(1,P248))^2/(MAX(0,MIN(1,P248))^2+(1-MAX(0,MIN(1,P248)))^2/$B$5))-(MAX(0,MIN(1,O248))^2/(MAX(0,MIN(1,O248))^2+(1-MAX(0,MIN(1,O248)))^2/$B$5))))</f>
        <v>0.952899855544545</v>
      </c>
      <c r="Q249" s="16" t="n">
        <f aca="false">IF(ABS(Q248-$B$11/$B$9*((MAX(0,MIN(1,Q248))^2/(MAX(0,MIN(1,Q248))^2+(1-MAX(0,MIN(1,Q248)))^2/$B$5))-(MAX(0,MIN(1,P248))^2/(MAX(0,MIN(1,P248))^2+(1-MAX(0,MIN(1,P248)))^2/$B$5))))&lt;0.000000001,0,Q248-$B$11/$B$9*((MAX(0,MIN(1,Q248))^2/(MAX(0,MIN(1,Q248))^2+(1-MAX(0,MIN(1,Q248)))^2/$B$5))-(MAX(0,MIN(1,P248))^2/(MAX(0,MIN(1,P248))^2+(1-MAX(0,MIN(1,P248)))^2/$B$5))))</f>
        <v>0.944756949248789</v>
      </c>
      <c r="R249" s="16" t="n">
        <f aca="false">IF(ABS(R248-$B$11/$B$9*((MAX(0,MIN(1,R248))^2/(MAX(0,MIN(1,R248))^2+(1-MAX(0,MIN(1,R248)))^2/$B$5))-(MAX(0,MIN(1,Q248))^2/(MAX(0,MIN(1,Q248))^2+(1-MAX(0,MIN(1,Q248)))^2/$B$5))))&lt;0.000000001,0,R248-$B$11/$B$9*((MAX(0,MIN(1,R248))^2/(MAX(0,MIN(1,R248))^2+(1-MAX(0,MIN(1,R248)))^2/$B$5))-(MAX(0,MIN(1,Q248))^2/(MAX(0,MIN(1,Q248))^2+(1-MAX(0,MIN(1,Q248)))^2/$B$5))))</f>
        <v>0.937044453891221</v>
      </c>
      <c r="S249" s="16" t="n">
        <f aca="false">IF(ABS(S248-$B$11/$B$9*((MAX(0,MIN(1,S248))^2/(MAX(0,MIN(1,S248))^2+(1-MAX(0,MIN(1,S248)))^2/$B$5))-(MAX(0,MIN(1,R248))^2/(MAX(0,MIN(1,R248))^2+(1-MAX(0,MIN(1,R248)))^2/$B$5))))&lt;0.000000001,0,S248-$B$11/$B$9*((MAX(0,MIN(1,S248))^2/(MAX(0,MIN(1,S248))^2+(1-MAX(0,MIN(1,S248)))^2/$B$5))-(MAX(0,MIN(1,R248))^2/(MAX(0,MIN(1,R248))^2+(1-MAX(0,MIN(1,R248)))^2/$B$5))))</f>
        <v>0.92969645281641</v>
      </c>
      <c r="T249" s="16" t="n">
        <f aca="false">IF(ABS(T248-$B$11/$B$9*((MAX(0,MIN(1,T248))^2/(MAX(0,MIN(1,T248))^2+(1-MAX(0,MIN(1,T248)))^2/$B$5))-(MAX(0,MIN(1,S248))^2/(MAX(0,MIN(1,S248))^2+(1-MAX(0,MIN(1,S248)))^2/$B$5))))&lt;0.000000001,0,T248-$B$11/$B$9*((MAX(0,MIN(1,T248))^2/(MAX(0,MIN(1,T248))^2+(1-MAX(0,MIN(1,T248)))^2/$B$5))-(MAX(0,MIN(1,S248))^2/(MAX(0,MIN(1,S248))^2+(1-MAX(0,MIN(1,S248)))^2/$B$5))))</f>
        <v>0.922666178375999</v>
      </c>
      <c r="U249" s="16" t="n">
        <f aca="false">IF(ABS(U248-$B$11/$B$9*((MAX(0,MIN(1,U248))^2/(MAX(0,MIN(1,U248))^2+(1-MAX(0,MIN(1,U248)))^2/$B$5))-(MAX(0,MIN(1,T248))^2/(MAX(0,MIN(1,T248))^2+(1-MAX(0,MIN(1,T248)))^2/$B$5))))&lt;0.000000001,0,U248-$B$11/$B$9*((MAX(0,MIN(1,U248))^2/(MAX(0,MIN(1,U248))^2+(1-MAX(0,MIN(1,U248)))^2/$B$5))-(MAX(0,MIN(1,T248))^2/(MAX(0,MIN(1,T248))^2+(1-MAX(0,MIN(1,T248)))^2/$B$5))))</f>
        <v>0.915918138409124</v>
      </c>
      <c r="V249" s="16" t="n">
        <f aca="false">IF(ABS(V248-$B$11/$B$9*((MAX(0,MIN(1,V248))^2/(MAX(0,MIN(1,V248))^2+(1-MAX(0,MIN(1,V248)))^2/$B$5))-(MAX(0,MIN(1,U248))^2/(MAX(0,MIN(1,U248))^2+(1-MAX(0,MIN(1,U248)))^2/$B$5))))&lt;0.000000001,0,V248-$B$11/$B$9*((MAX(0,MIN(1,V248))^2/(MAX(0,MIN(1,V248))^2+(1-MAX(0,MIN(1,V248)))^2/$B$5))-(MAX(0,MIN(1,U248))^2/(MAX(0,MIN(1,U248))^2+(1-MAX(0,MIN(1,U248)))^2/$B$5))))</f>
        <v>0.909424130900547</v>
      </c>
      <c r="W249" s="16" t="n">
        <f aca="false">IF(ABS(W248-$B$11/$B$9*((MAX(0,MIN(1,W248))^2/(MAX(0,MIN(1,W248))^2+(1-MAX(0,MIN(1,W248)))^2/$B$5))-(MAX(0,MIN(1,V248))^2/(MAX(0,MIN(1,V248))^2+(1-MAX(0,MIN(1,V248)))^2/$B$5))))&lt;0.000000001,0,W248-$B$11/$B$9*((MAX(0,MIN(1,W248))^2/(MAX(0,MIN(1,W248))^2+(1-MAX(0,MIN(1,W248)))^2/$B$5))-(MAX(0,MIN(1,V248))^2/(MAX(0,MIN(1,V248))^2+(1-MAX(0,MIN(1,V248)))^2/$B$5))))</f>
        <v>0.903161002961674</v>
      </c>
      <c r="X249" s="16" t="n">
        <f aca="false">IF(ABS(X248-$B$11/$B$9*((MAX(0,MIN(1,X248))^2/(MAX(0,MIN(1,X248))^2+(1-MAX(0,MIN(1,X248)))^2/$B$5))-(MAX(0,MIN(1,W248))^2/(MAX(0,MIN(1,W248))^2+(1-MAX(0,MIN(1,W248)))^2/$B$5))))&lt;0.000000001,0,X248-$B$11/$B$9*((MAX(0,MIN(1,X248))^2/(MAX(0,MIN(1,X248))^2+(1-MAX(0,MIN(1,X248)))^2/$B$5))-(MAX(0,MIN(1,W248))^2/(MAX(0,MIN(1,W248))^2+(1-MAX(0,MIN(1,W248)))^2/$B$5))))</f>
        <v>0.897109285406786</v>
      </c>
      <c r="Y249" s="16" t="n">
        <f aca="false">IF(ABS(Y248-$B$11/$B$9*((MAX(0,MIN(1,Y248))^2/(MAX(0,MIN(1,Y248))^2+(1-MAX(0,MIN(1,Y248)))^2/$B$5))-(MAX(0,MIN(1,X248))^2/(MAX(0,MIN(1,X248))^2+(1-MAX(0,MIN(1,X248)))^2/$B$5))))&lt;0.000000001,0,Y248-$B$11/$B$9*((MAX(0,MIN(1,Y248))^2/(MAX(0,MIN(1,Y248))^2+(1-MAX(0,MIN(1,Y248)))^2/$B$5))-(MAX(0,MIN(1,X248))^2/(MAX(0,MIN(1,X248))^2+(1-MAX(0,MIN(1,X248)))^2/$B$5))))</f>
        <v>0.891252306541432</v>
      </c>
      <c r="Z249" s="16" t="n">
        <f aca="false">IF(ABS(Z248-$B$11/$B$9*((MAX(0,MIN(1,Z248))^2/(MAX(0,MIN(1,Z248))^2+(1-MAX(0,MIN(1,Z248)))^2/$B$5))-(MAX(0,MIN(1,Y248))^2/(MAX(0,MIN(1,Y248))^2+(1-MAX(0,MIN(1,Y248)))^2/$B$5))))&lt;0.000000001,0,Z248-$B$11/$B$9*((MAX(0,MIN(1,Z248))^2/(MAX(0,MIN(1,Z248))^2+(1-MAX(0,MIN(1,Z248)))^2/$B$5))-(MAX(0,MIN(1,Y248))^2/(MAX(0,MIN(1,Y248))^2+(1-MAX(0,MIN(1,Y248)))^2/$B$5))))</f>
        <v>0.885575586974034</v>
      </c>
      <c r="AA249" s="16" t="n">
        <f aca="false">IF(ABS(AA248-$B$11/$B$9*((MAX(0,MIN(1,AA248))^2/(MAX(0,MIN(1,AA248))^2+(1-MAX(0,MIN(1,AA248)))^2/$B$5))-(MAX(0,MIN(1,Z248))^2/(MAX(0,MIN(1,Z248))^2+(1-MAX(0,MIN(1,Z248)))^2/$B$5))))&lt;0.000000001,0,AA248-$B$11/$B$9*((MAX(0,MIN(1,AA248))^2/(MAX(0,MIN(1,AA248))^2+(1-MAX(0,MIN(1,AA248)))^2/$B$5))-(MAX(0,MIN(1,Z248))^2/(MAX(0,MIN(1,Z248))^2+(1-MAX(0,MIN(1,Z248)))^2/$B$5))))</f>
        <v>0.880066408823631</v>
      </c>
      <c r="AB249" s="16" t="n">
        <f aca="false">IF(ABS(AB248-$B$11/$B$9*((MAX(0,MIN(1,AB248))^2/(MAX(0,MIN(1,AB248))^2+(1-MAX(0,MIN(1,AB248)))^2/$B$5))-(MAX(0,MIN(1,AA248))^2/(MAX(0,MIN(1,AA248))^2+(1-MAX(0,MIN(1,AA248)))^2/$B$5))))&lt;0.000000001,0,AB248-$B$11/$B$9*((MAX(0,MIN(1,AB248))^2/(MAX(0,MIN(1,AB248))^2+(1-MAX(0,MIN(1,AB248)))^2/$B$5))-(MAX(0,MIN(1,AA248))^2/(MAX(0,MIN(1,AA248))^2+(1-MAX(0,MIN(1,AA248)))^2/$B$5))))</f>
        <v>0.874713498388783</v>
      </c>
      <c r="AC249" s="16" t="n">
        <f aca="false">IF(ABS(AC248-$B$11/$B$9*((MAX(0,MIN(1,AC248))^2/(MAX(0,MIN(1,AC248))^2+(1-MAX(0,MIN(1,AC248)))^2/$B$5))-(MAX(0,MIN(1,AB248))^2/(MAX(0,MIN(1,AB248))^2+(1-MAX(0,MIN(1,AB248)))^2/$B$5))))&lt;0.000000001,0,AC248-$B$11/$B$9*((MAX(0,MIN(1,AC248))^2/(MAX(0,MIN(1,AC248))^2+(1-MAX(0,MIN(1,AC248)))^2/$B$5))-(MAX(0,MIN(1,AB248))^2/(MAX(0,MIN(1,AB248))^2+(1-MAX(0,MIN(1,AB248)))^2/$B$5))))</f>
        <v>0.86950678564156</v>
      </c>
      <c r="AD249" s="16" t="n">
        <f aca="false">IF(ABS(AD248-$B$11/$B$9*((MAX(0,MIN(1,AD248))^2/(MAX(0,MIN(1,AD248))^2+(1-MAX(0,MIN(1,AD248)))^2/$B$5))-(MAX(0,MIN(1,AC248))^2/(MAX(0,MIN(1,AC248))^2+(1-MAX(0,MIN(1,AC248)))^2/$B$5))))&lt;0.000000001,0,AD248-$B$11/$B$9*((MAX(0,MIN(1,AD248))^2/(MAX(0,MIN(1,AD248))^2+(1-MAX(0,MIN(1,AD248)))^2/$B$5))-(MAX(0,MIN(1,AC248))^2/(MAX(0,MIN(1,AC248))^2+(1-MAX(0,MIN(1,AC248)))^2/$B$5))))</f>
        <v>0.86443721754382</v>
      </c>
      <c r="AE249" s="16" t="n">
        <f aca="false">IF(ABS(AE248-$B$11/$B$9*((MAX(0,MIN(1,AE248))^2/(MAX(0,MIN(1,AE248))^2+(1-MAX(0,MIN(1,AE248)))^2/$B$5))-(MAX(0,MIN(1,AD248))^2/(MAX(0,MIN(1,AD248))^2+(1-MAX(0,MIN(1,AD248)))^2/$B$5))))&lt;0.000000001,0,AE248-$B$11/$B$9*((MAX(0,MIN(1,AE248))^2/(MAX(0,MIN(1,AE248))^2+(1-MAX(0,MIN(1,AE248)))^2/$B$5))-(MAX(0,MIN(1,AD248))^2/(MAX(0,MIN(1,AD248))^2+(1-MAX(0,MIN(1,AD248)))^2/$B$5))))</f>
        <v>0.859496610191222</v>
      </c>
      <c r="AF249" s="16" t="n">
        <f aca="false">IF(ABS(AF248-$B$11/$B$9*((MAX(0,MIN(1,AF248))^2/(MAX(0,MIN(1,AF248))^2+(1-MAX(0,MIN(1,AF248)))^2/$B$5))-(MAX(0,MIN(1,AE248))^2/(MAX(0,MIN(1,AE248))^2+(1-MAX(0,MIN(1,AE248)))^2/$B$5))))&lt;0.000000001,0,AF248-$B$11/$B$9*((MAX(0,MIN(1,AF248))^2/(MAX(0,MIN(1,AF248))^2+(1-MAX(0,MIN(1,AF248)))^2/$B$5))-(MAX(0,MIN(1,AE248))^2/(MAX(0,MIN(1,AE248))^2+(1-MAX(0,MIN(1,AE248)))^2/$B$5))))</f>
        <v>0.854677529685923</v>
      </c>
    </row>
    <row r="250" customFormat="false" ht="15" hidden="false" customHeight="false" outlineLevel="0" collapsed="false">
      <c r="L250" s="0" t="n">
        <v>240</v>
      </c>
      <c r="M250" s="16" t="n">
        <f aca="false">IF(ABS(M249-$B$11/$B$9*((MAX(0,MIN(1,M249))^2/(MAX(0,MIN(1,M249))^2+(1-MAX(0,MIN(1,M249)))^2/$B$5))-(MAX(0,MIN(1,1))^2/(MAX(0,MIN(1,1))^2+(1-MAX(0,MIN(1,1)))^2/$B$5))))&lt;0.000000001,0,M249-$B$11/$B$9*((MAX(0,MIN(1,M249))^2/(MAX(0,MIN(1,M249))^2+(1-MAX(0,MIN(1,M249)))^2/$B$5))-(MAX(0,MIN(1,1))^2/(MAX(0,MIN(1,1))^2+(1-MAX(0,MIN(1,1)))^2/$B$5))))</f>
        <v>0.981666373273547</v>
      </c>
      <c r="N250" s="16" t="n">
        <f aca="false">IF(ABS(N249-$B$11/$B$9*((MAX(0,MIN(1,N249))^2/(MAX(0,MIN(1,N249))^2+(1-MAX(0,MIN(1,N249)))^2/$B$5))-(MAX(0,MIN(1,M249))^2/(MAX(0,MIN(1,M249))^2+(1-MAX(0,MIN(1,M249)))^2/$B$5))))&lt;0.000000001,0,N249-$B$11/$B$9*((MAX(0,MIN(1,N249))^2/(MAX(0,MIN(1,N249))^2+(1-MAX(0,MIN(1,N249)))^2/$B$5))-(MAX(0,MIN(1,M249))^2/(MAX(0,MIN(1,M249))^2+(1-MAX(0,MIN(1,M249)))^2/$B$5))))</f>
        <v>0.971081548532231</v>
      </c>
      <c r="O250" s="16" t="n">
        <f aca="false">IF(ABS(O249-$B$11/$B$9*((MAX(0,MIN(1,O249))^2/(MAX(0,MIN(1,O249))^2+(1-MAX(0,MIN(1,O249)))^2/$B$5))-(MAX(0,MIN(1,N249))^2/(MAX(0,MIN(1,N249))^2+(1-MAX(0,MIN(1,N249)))^2/$B$5))))&lt;0.000000001,0,O249-$B$11/$B$9*((MAX(0,MIN(1,O249))^2/(MAX(0,MIN(1,O249))^2+(1-MAX(0,MIN(1,O249)))^2/$B$5))-(MAX(0,MIN(1,N249))^2/(MAX(0,MIN(1,N249))^2+(1-MAX(0,MIN(1,N249)))^2/$B$5))))</f>
        <v>0.96171128098615</v>
      </c>
      <c r="P250" s="16" t="n">
        <f aca="false">IF(ABS(P249-$B$11/$B$9*((MAX(0,MIN(1,P249))^2/(MAX(0,MIN(1,P249))^2+(1-MAX(0,MIN(1,P249)))^2/$B$5))-(MAX(0,MIN(1,O249))^2/(MAX(0,MIN(1,O249))^2+(1-MAX(0,MIN(1,O249)))^2/$B$5))))&lt;0.000000001,0,P249-$B$11/$B$9*((MAX(0,MIN(1,P249))^2/(MAX(0,MIN(1,P249))^2+(1-MAX(0,MIN(1,P249)))^2/$B$5))-(MAX(0,MIN(1,O249))^2/(MAX(0,MIN(1,O249))^2+(1-MAX(0,MIN(1,O249)))^2/$B$5))))</f>
        <v>0.95306226386788</v>
      </c>
      <c r="Q250" s="16" t="n">
        <f aca="false">IF(ABS(Q249-$B$11/$B$9*((MAX(0,MIN(1,Q249))^2/(MAX(0,MIN(1,Q249))^2+(1-MAX(0,MIN(1,Q249)))^2/$B$5))-(MAX(0,MIN(1,P249))^2/(MAX(0,MIN(1,P249))^2+(1-MAX(0,MIN(1,P249)))^2/$B$5))))&lt;0.000000001,0,Q249-$B$11/$B$9*((MAX(0,MIN(1,Q249))^2/(MAX(0,MIN(1,Q249))^2+(1-MAX(0,MIN(1,Q249)))^2/$B$5))-(MAX(0,MIN(1,P249))^2/(MAX(0,MIN(1,P249))^2+(1-MAX(0,MIN(1,P249)))^2/$B$5))))</f>
        <v>0.944944047358476</v>
      </c>
      <c r="R250" s="16" t="n">
        <f aca="false">IF(ABS(R249-$B$11/$B$9*((MAX(0,MIN(1,R249))^2/(MAX(0,MIN(1,R249))^2+(1-MAX(0,MIN(1,R249)))^2/$B$5))-(MAX(0,MIN(1,Q249))^2/(MAX(0,MIN(1,Q249))^2+(1-MAX(0,MIN(1,Q249)))^2/$B$5))))&lt;0.000000001,0,R249-$B$11/$B$9*((MAX(0,MIN(1,R249))^2/(MAX(0,MIN(1,R249))^2+(1-MAX(0,MIN(1,R249)))^2/$B$5))-(MAX(0,MIN(1,Q249))^2/(MAX(0,MIN(1,Q249))^2+(1-MAX(0,MIN(1,Q249)))^2/$B$5))))</f>
        <v>0.937254100328276</v>
      </c>
      <c r="S250" s="16" t="n">
        <f aca="false">IF(ABS(S249-$B$11/$B$9*((MAX(0,MIN(1,S249))^2/(MAX(0,MIN(1,S249))^2+(1-MAX(0,MIN(1,S249)))^2/$B$5))-(MAX(0,MIN(1,R249))^2/(MAX(0,MIN(1,R249))^2+(1-MAX(0,MIN(1,R249)))^2/$B$5))))&lt;0.000000001,0,S249-$B$11/$B$9*((MAX(0,MIN(1,S249))^2/(MAX(0,MIN(1,S249))^2+(1-MAX(0,MIN(1,S249)))^2/$B$5))-(MAX(0,MIN(1,R249))^2/(MAX(0,MIN(1,R249))^2+(1-MAX(0,MIN(1,R249)))^2/$B$5))))</f>
        <v>0.929926859144975</v>
      </c>
      <c r="T250" s="16" t="n">
        <f aca="false">IF(ABS(T249-$B$11/$B$9*((MAX(0,MIN(1,T249))^2/(MAX(0,MIN(1,T249))^2+(1-MAX(0,MIN(1,T249)))^2/$B$5))-(MAX(0,MIN(1,S249))^2/(MAX(0,MIN(1,S249))^2+(1-MAX(0,MIN(1,S249)))^2/$B$5))))&lt;0.000000001,0,T249-$B$11/$B$9*((MAX(0,MIN(1,T249))^2/(MAX(0,MIN(1,T249))^2+(1-MAX(0,MIN(1,T249)))^2/$B$5))-(MAX(0,MIN(1,S249))^2/(MAX(0,MIN(1,S249))^2+(1-MAX(0,MIN(1,S249)))^2/$B$5))))</f>
        <v>0.922915816301066</v>
      </c>
      <c r="U250" s="16" t="n">
        <f aca="false">IF(ABS(U249-$B$11/$B$9*((MAX(0,MIN(1,U249))^2/(MAX(0,MIN(1,U249))^2+(1-MAX(0,MIN(1,U249)))^2/$B$5))-(MAX(0,MIN(1,T249))^2/(MAX(0,MIN(1,T249))^2+(1-MAX(0,MIN(1,T249)))^2/$B$5))))&lt;0.000000001,0,U249-$B$11/$B$9*((MAX(0,MIN(1,U249))^2/(MAX(0,MIN(1,U249))^2+(1-MAX(0,MIN(1,U249)))^2/$B$5))-(MAX(0,MIN(1,T249))^2/(MAX(0,MIN(1,T249))^2+(1-MAX(0,MIN(1,T249)))^2/$B$5))))</f>
        <v>0.916185681601935</v>
      </c>
      <c r="V250" s="16" t="n">
        <f aca="false">IF(ABS(V249-$B$11/$B$9*((MAX(0,MIN(1,V249))^2/(MAX(0,MIN(1,V249))^2+(1-MAX(0,MIN(1,V249)))^2/$B$5))-(MAX(0,MIN(1,U249))^2/(MAX(0,MIN(1,U249))^2+(1-MAX(0,MIN(1,U249)))^2/$B$5))))&lt;0.000000001,0,V249-$B$11/$B$9*((MAX(0,MIN(1,V249))^2/(MAX(0,MIN(1,V249))^2+(1-MAX(0,MIN(1,V249)))^2/$B$5))-(MAX(0,MIN(1,U249))^2/(MAX(0,MIN(1,U249))^2+(1-MAX(0,MIN(1,U249)))^2/$B$5))))</f>
        <v>0.909708415332606</v>
      </c>
      <c r="W250" s="16" t="n">
        <f aca="false">IF(ABS(W249-$B$11/$B$9*((MAX(0,MIN(1,W249))^2/(MAX(0,MIN(1,W249))^2+(1-MAX(0,MIN(1,W249)))^2/$B$5))-(MAX(0,MIN(1,V249))^2/(MAX(0,MIN(1,V249))^2+(1-MAX(0,MIN(1,V249)))^2/$B$5))))&lt;0.000000001,0,W249-$B$11/$B$9*((MAX(0,MIN(1,W249))^2/(MAX(0,MIN(1,W249))^2+(1-MAX(0,MIN(1,W249)))^2/$B$5))-(MAX(0,MIN(1,V249))^2/(MAX(0,MIN(1,V249))^2+(1-MAX(0,MIN(1,V249)))^2/$B$5))))</f>
        <v>0.903460998218801</v>
      </c>
      <c r="X250" s="16" t="n">
        <f aca="false">IF(ABS(X249-$B$11/$B$9*((MAX(0,MIN(1,X249))^2/(MAX(0,MIN(1,X249))^2+(1-MAX(0,MIN(1,X249)))^2/$B$5))-(MAX(0,MIN(1,W249))^2/(MAX(0,MIN(1,W249))^2+(1-MAX(0,MIN(1,W249)))^2/$B$5))))&lt;0.000000001,0,X249-$B$11/$B$9*((MAX(0,MIN(1,X249))^2/(MAX(0,MIN(1,X249))^2+(1-MAX(0,MIN(1,X249)))^2/$B$5))-(MAX(0,MIN(1,W249))^2/(MAX(0,MIN(1,W249))^2+(1-MAX(0,MIN(1,W249)))^2/$B$5))))</f>
        <v>0.897424073049483</v>
      </c>
      <c r="Y250" s="16" t="n">
        <f aca="false">IF(ABS(Y249-$B$11/$B$9*((MAX(0,MIN(1,Y249))^2/(MAX(0,MIN(1,Y249))^2+(1-MAX(0,MIN(1,Y249)))^2/$B$5))-(MAX(0,MIN(1,X249))^2/(MAX(0,MIN(1,X249))^2+(1-MAX(0,MIN(1,X249)))^2/$B$5))))&lt;0.000000001,0,Y249-$B$11/$B$9*((MAX(0,MIN(1,Y249))^2/(MAX(0,MIN(1,Y249))^2+(1-MAX(0,MIN(1,Y249)))^2/$B$5))-(MAX(0,MIN(1,X249))^2/(MAX(0,MIN(1,X249))^2+(1-MAX(0,MIN(1,X249)))^2/$B$5))))</f>
        <v>0.891581063263302</v>
      </c>
      <c r="Z250" s="16" t="n">
        <f aca="false">IF(ABS(Z249-$B$11/$B$9*((MAX(0,MIN(1,Z249))^2/(MAX(0,MIN(1,Z249))^2+(1-MAX(0,MIN(1,Z249)))^2/$B$5))-(MAX(0,MIN(1,Y249))^2/(MAX(0,MIN(1,Y249))^2+(1-MAX(0,MIN(1,Y249)))^2/$B$5))))&lt;0.000000001,0,Z249-$B$11/$B$9*((MAX(0,MIN(1,Z249))^2/(MAX(0,MIN(1,Z249))^2+(1-MAX(0,MIN(1,Z249)))^2/$B$5))-(MAX(0,MIN(1,Y249))^2/(MAX(0,MIN(1,Y249))^2+(1-MAX(0,MIN(1,Y249)))^2/$B$5))))</f>
        <v>0.885917571179513</v>
      </c>
      <c r="AA250" s="16" t="n">
        <f aca="false">IF(ABS(AA249-$B$11/$B$9*((MAX(0,MIN(1,AA249))^2/(MAX(0,MIN(1,AA249))^2+(1-MAX(0,MIN(1,AA249)))^2/$B$5))-(MAX(0,MIN(1,Z249))^2/(MAX(0,MIN(1,Z249))^2+(1-MAX(0,MIN(1,Z249)))^2/$B$5))))&lt;0.000000001,0,AA249-$B$11/$B$9*((MAX(0,MIN(1,AA249))^2/(MAX(0,MIN(1,AA249))^2+(1-MAX(0,MIN(1,AA249)))^2/$B$5))-(MAX(0,MIN(1,Z249))^2/(MAX(0,MIN(1,Z249))^2+(1-MAX(0,MIN(1,Z249)))^2/$B$5))))</f>
        <v>0.880420949730499</v>
      </c>
      <c r="AB250" s="16" t="n">
        <f aca="false">IF(ABS(AB249-$B$11/$B$9*((MAX(0,MIN(1,AB249))^2/(MAX(0,MIN(1,AB249))^2+(1-MAX(0,MIN(1,AB249)))^2/$B$5))-(MAX(0,MIN(1,AA249))^2/(MAX(0,MIN(1,AA249))^2+(1-MAX(0,MIN(1,AA249)))^2/$B$5))))&lt;0.000000001,0,AB249-$B$11/$B$9*((MAX(0,MIN(1,AB249))^2/(MAX(0,MIN(1,AB249))^2+(1-MAX(0,MIN(1,AB249)))^2/$B$5))-(MAX(0,MIN(1,AA249))^2/(MAX(0,MIN(1,AA249))^2+(1-MAX(0,MIN(1,AA249)))^2/$B$5))))</f>
        <v>0.875079987048131</v>
      </c>
      <c r="AC250" s="16" t="n">
        <f aca="false">IF(ABS(AC249-$B$11/$B$9*((MAX(0,MIN(1,AC249))^2/(MAX(0,MIN(1,AC249))^2+(1-MAX(0,MIN(1,AC249)))^2/$B$5))-(MAX(0,MIN(1,AB249))^2/(MAX(0,MIN(1,AB249))^2+(1-MAX(0,MIN(1,AB249)))^2/$B$5))))&lt;0.000000001,0,AC249-$B$11/$B$9*((MAX(0,MIN(1,AC249))^2/(MAX(0,MIN(1,AC249))^2+(1-MAX(0,MIN(1,AC249)))^2/$B$5))-(MAX(0,MIN(1,AB249))^2/(MAX(0,MIN(1,AB249))^2+(1-MAX(0,MIN(1,AB249)))^2/$B$5))))</f>
        <v>0.869884667447272</v>
      </c>
      <c r="AD250" s="16" t="n">
        <f aca="false">IF(ABS(AD249-$B$11/$B$9*((MAX(0,MIN(1,AD249))^2/(MAX(0,MIN(1,AD249))^2+(1-MAX(0,MIN(1,AD249)))^2/$B$5))-(MAX(0,MIN(1,AC249))^2/(MAX(0,MIN(1,AC249))^2+(1-MAX(0,MIN(1,AC249)))^2/$B$5))))&lt;0.000000001,0,AD249-$B$11/$B$9*((MAX(0,MIN(1,AD249))^2/(MAX(0,MIN(1,AD249))^2+(1-MAX(0,MIN(1,AD249)))^2/$B$5))-(MAX(0,MIN(1,AC249))^2/(MAX(0,MIN(1,AC249))^2+(1-MAX(0,MIN(1,AC249)))^2/$B$5))))</f>
        <v>0.864825985920713</v>
      </c>
      <c r="AE250" s="16" t="n">
        <f aca="false">IF(ABS(AE249-$B$11/$B$9*((MAX(0,MIN(1,AE249))^2/(MAX(0,MIN(1,AE249))^2+(1-MAX(0,MIN(1,AE249)))^2/$B$5))-(MAX(0,MIN(1,AD249))^2/(MAX(0,MIN(1,AD249))^2+(1-MAX(0,MIN(1,AD249)))^2/$B$5))))&lt;0.000000001,0,AE249-$B$11/$B$9*((MAX(0,MIN(1,AE249))^2/(MAX(0,MIN(1,AE249))^2+(1-MAX(0,MIN(1,AE249)))^2/$B$5))-(MAX(0,MIN(1,AD249))^2/(MAX(0,MIN(1,AD249))^2+(1-MAX(0,MIN(1,AD249)))^2/$B$5))))</f>
        <v>0.859895801230282</v>
      </c>
      <c r="AF250" s="16" t="n">
        <f aca="false">IF(ABS(AF249-$B$11/$B$9*((MAX(0,MIN(1,AF249))^2/(MAX(0,MIN(1,AF249))^2+(1-MAX(0,MIN(1,AF249)))^2/$B$5))-(MAX(0,MIN(1,AE249))^2/(MAX(0,MIN(1,AE249))^2+(1-MAX(0,MIN(1,AE249)))^2/$B$5))))&lt;0.000000001,0,AF249-$B$11/$B$9*((MAX(0,MIN(1,AF249))^2/(MAX(0,MIN(1,AF249))^2+(1-MAX(0,MIN(1,AF249)))^2/$B$5))-(MAX(0,MIN(1,AE249))^2/(MAX(0,MIN(1,AE249))^2+(1-MAX(0,MIN(1,AE249)))^2/$B$5))))</f>
        <v>0.855086717550424</v>
      </c>
    </row>
    <row r="251" customFormat="false" ht="15" hidden="false" customHeight="false" outlineLevel="0" collapsed="false">
      <c r="L251" s="0" t="n">
        <v>241</v>
      </c>
      <c r="M251" s="16" t="n">
        <f aca="false">IF(ABS(M250-$B$11/$B$9*((MAX(0,MIN(1,M250))^2/(MAX(0,MIN(1,M250))^2+(1-MAX(0,MIN(1,M250)))^2/$B$5))-(MAX(0,MIN(1,1))^2/(MAX(0,MIN(1,1))^2+(1-MAX(0,MIN(1,1)))^2/$B$5))))&lt;0.000000001,0,M250-$B$11/$B$9*((MAX(0,MIN(1,M250))^2/(MAX(0,MIN(1,M250))^2+(1-MAX(0,MIN(1,M250)))^2/$B$5))-(MAX(0,MIN(1,1))^2/(MAX(0,MIN(1,1))^2+(1-MAX(0,MIN(1,1)))^2/$B$5))))</f>
        <v>0.981733422690261</v>
      </c>
      <c r="N251" s="16" t="n">
        <f aca="false">IF(ABS(N250-$B$11/$B$9*((MAX(0,MIN(1,N250))^2/(MAX(0,MIN(1,N250))^2+(1-MAX(0,MIN(1,N250)))^2/$B$5))-(MAX(0,MIN(1,M250))^2/(MAX(0,MIN(1,M250))^2+(1-MAX(0,MIN(1,M250)))^2/$B$5))))&lt;0.000000001,0,N250-$B$11/$B$9*((MAX(0,MIN(1,N250))^2/(MAX(0,MIN(1,N250))^2+(1-MAX(0,MIN(1,N250)))^2/$B$5))-(MAX(0,MIN(1,M250))^2/(MAX(0,MIN(1,M250))^2+(1-MAX(0,MIN(1,M250)))^2/$B$5))))</f>
        <v>0.97118492985569</v>
      </c>
      <c r="O251" s="16" t="n">
        <f aca="false">IF(ABS(O250-$B$11/$B$9*((MAX(0,MIN(1,O250))^2/(MAX(0,MIN(1,O250))^2+(1-MAX(0,MIN(1,O250)))^2/$B$5))-(MAX(0,MIN(1,N250))^2/(MAX(0,MIN(1,N250))^2+(1-MAX(0,MIN(1,N250)))^2/$B$5))))&lt;0.000000001,0,O250-$B$11/$B$9*((MAX(0,MIN(1,O250))^2/(MAX(0,MIN(1,O250))^2+(1-MAX(0,MIN(1,O250)))^2/$B$5))-(MAX(0,MIN(1,N250))^2/(MAX(0,MIN(1,N250))^2+(1-MAX(0,MIN(1,N250)))^2/$B$5))))</f>
        <v>0.961845366156831</v>
      </c>
      <c r="P251" s="16" t="n">
        <f aca="false">IF(ABS(P250-$B$11/$B$9*((MAX(0,MIN(1,P250))^2/(MAX(0,MIN(1,P250))^2+(1-MAX(0,MIN(1,P250)))^2/$B$5))-(MAX(0,MIN(1,O250))^2/(MAX(0,MIN(1,O250))^2+(1-MAX(0,MIN(1,O250)))^2/$B$5))))&lt;0.000000001,0,P250-$B$11/$B$9*((MAX(0,MIN(1,P250))^2/(MAX(0,MIN(1,P250))^2+(1-MAX(0,MIN(1,P250)))^2/$B$5))-(MAX(0,MIN(1,O250))^2/(MAX(0,MIN(1,O250))^2+(1-MAX(0,MIN(1,O250)))^2/$B$5))))</f>
        <v>0.953223524008212</v>
      </c>
      <c r="Q251" s="16" t="n">
        <f aca="false">IF(ABS(Q250-$B$11/$B$9*((MAX(0,MIN(1,Q250))^2/(MAX(0,MIN(1,Q250))^2+(1-MAX(0,MIN(1,Q250)))^2/$B$5))-(MAX(0,MIN(1,P250))^2/(MAX(0,MIN(1,P250))^2+(1-MAX(0,MIN(1,P250)))^2/$B$5))))&lt;0.000000001,0,Q250-$B$11/$B$9*((MAX(0,MIN(1,Q250))^2/(MAX(0,MIN(1,Q250))^2+(1-MAX(0,MIN(1,Q250)))^2/$B$5))-(MAX(0,MIN(1,P250))^2/(MAX(0,MIN(1,P250))^2+(1-MAX(0,MIN(1,P250)))^2/$B$5))))</f>
        <v>0.945129842172405</v>
      </c>
      <c r="R251" s="16" t="n">
        <f aca="false">IF(ABS(R250-$B$11/$B$9*((MAX(0,MIN(1,R250))^2/(MAX(0,MIN(1,R250))^2+(1-MAX(0,MIN(1,R250)))^2/$B$5))-(MAX(0,MIN(1,Q250))^2/(MAX(0,MIN(1,Q250))^2+(1-MAX(0,MIN(1,Q250)))^2/$B$5))))&lt;0.000000001,0,R250-$B$11/$B$9*((MAX(0,MIN(1,R250))^2/(MAX(0,MIN(1,R250))^2+(1-MAX(0,MIN(1,R250)))^2/$B$5))-(MAX(0,MIN(1,Q250))^2/(MAX(0,MIN(1,Q250))^2+(1-MAX(0,MIN(1,Q250)))^2/$B$5))))</f>
        <v>0.937462306160999</v>
      </c>
      <c r="S251" s="16" t="n">
        <f aca="false">IF(ABS(S250-$B$11/$B$9*((MAX(0,MIN(1,S250))^2/(MAX(0,MIN(1,S250))^2+(1-MAX(0,MIN(1,S250)))^2/$B$5))-(MAX(0,MIN(1,R250))^2/(MAX(0,MIN(1,R250))^2+(1-MAX(0,MIN(1,R250)))^2/$B$5))))&lt;0.000000001,0,S250-$B$11/$B$9*((MAX(0,MIN(1,S250))^2/(MAX(0,MIN(1,S250))^2+(1-MAX(0,MIN(1,S250)))^2/$B$5))-(MAX(0,MIN(1,R250))^2/(MAX(0,MIN(1,R250))^2+(1-MAX(0,MIN(1,R250)))^2/$B$5))))</f>
        <v>0.930155702017761</v>
      </c>
      <c r="T251" s="16" t="n">
        <f aca="false">IF(ABS(T250-$B$11/$B$9*((MAX(0,MIN(1,T250))^2/(MAX(0,MIN(1,T250))^2+(1-MAX(0,MIN(1,T250)))^2/$B$5))-(MAX(0,MIN(1,S250))^2/(MAX(0,MIN(1,S250))^2+(1-MAX(0,MIN(1,S250)))^2/$B$5))))&lt;0.000000001,0,T250-$B$11/$B$9*((MAX(0,MIN(1,T250))^2/(MAX(0,MIN(1,T250))^2+(1-MAX(0,MIN(1,T250)))^2/$B$5))-(MAX(0,MIN(1,S250))^2/(MAX(0,MIN(1,S250))^2+(1-MAX(0,MIN(1,S250)))^2/$B$5))))</f>
        <v>0.923163779910653</v>
      </c>
      <c r="U251" s="16" t="n">
        <f aca="false">IF(ABS(U250-$B$11/$B$9*((MAX(0,MIN(1,U250))^2/(MAX(0,MIN(1,U250))^2+(1-MAX(0,MIN(1,U250)))^2/$B$5))-(MAX(0,MIN(1,T250))^2/(MAX(0,MIN(1,T250))^2+(1-MAX(0,MIN(1,T250)))^2/$B$5))))&lt;0.000000001,0,U250-$B$11/$B$9*((MAX(0,MIN(1,U250))^2/(MAX(0,MIN(1,U250))^2+(1-MAX(0,MIN(1,U250)))^2/$B$5))-(MAX(0,MIN(1,T250))^2/(MAX(0,MIN(1,T250))^2+(1-MAX(0,MIN(1,T250)))^2/$B$5))))</f>
        <v>0.916451449714167</v>
      </c>
      <c r="V251" s="16" t="n">
        <f aca="false">IF(ABS(V250-$B$11/$B$9*((MAX(0,MIN(1,V250))^2/(MAX(0,MIN(1,V250))^2+(1-MAX(0,MIN(1,V250)))^2/$B$5))-(MAX(0,MIN(1,U250))^2/(MAX(0,MIN(1,U250))^2+(1-MAX(0,MIN(1,U250)))^2/$B$5))))&lt;0.000000001,0,V250-$B$11/$B$9*((MAX(0,MIN(1,V250))^2/(MAX(0,MIN(1,V250))^2+(1-MAX(0,MIN(1,V250)))^2/$B$5))-(MAX(0,MIN(1,U250))^2/(MAX(0,MIN(1,U250))^2+(1-MAX(0,MIN(1,U250)))^2/$B$5))))</f>
        <v>0.909990832510509</v>
      </c>
      <c r="W251" s="16" t="n">
        <f aca="false">IF(ABS(W250-$B$11/$B$9*((MAX(0,MIN(1,W250))^2/(MAX(0,MIN(1,W250))^2+(1-MAX(0,MIN(1,W250)))^2/$B$5))-(MAX(0,MIN(1,V250))^2/(MAX(0,MIN(1,V250))^2+(1-MAX(0,MIN(1,V250)))^2/$B$5))))&lt;0.000000001,0,W250-$B$11/$B$9*((MAX(0,MIN(1,W250))^2/(MAX(0,MIN(1,W250))^2+(1-MAX(0,MIN(1,W250)))^2/$B$5))-(MAX(0,MIN(1,V250))^2/(MAX(0,MIN(1,V250))^2+(1-MAX(0,MIN(1,V250)))^2/$B$5))))</f>
        <v>0.903759041423733</v>
      </c>
      <c r="X251" s="16" t="n">
        <f aca="false">IF(ABS(X250-$B$11/$B$9*((MAX(0,MIN(1,X250))^2/(MAX(0,MIN(1,X250))^2+(1-MAX(0,MIN(1,X250)))^2/$B$5))-(MAX(0,MIN(1,W250))^2/(MAX(0,MIN(1,W250))^2+(1-MAX(0,MIN(1,W250)))^2/$B$5))))&lt;0.000000001,0,X250-$B$11/$B$9*((MAX(0,MIN(1,X250))^2/(MAX(0,MIN(1,X250))^2+(1-MAX(0,MIN(1,X250)))^2/$B$5))-(MAX(0,MIN(1,W250))^2/(MAX(0,MIN(1,W250))^2+(1-MAX(0,MIN(1,W250)))^2/$B$5))))</f>
        <v>0.897736830218058</v>
      </c>
      <c r="Y251" s="16" t="n">
        <f aca="false">IF(ABS(Y250-$B$11/$B$9*((MAX(0,MIN(1,Y250))^2/(MAX(0,MIN(1,Y250))^2+(1-MAX(0,MIN(1,Y250)))^2/$B$5))-(MAX(0,MIN(1,X250))^2/(MAX(0,MIN(1,X250))^2+(1-MAX(0,MIN(1,X250)))^2/$B$5))))&lt;0.000000001,0,Y250-$B$11/$B$9*((MAX(0,MIN(1,Y250))^2/(MAX(0,MIN(1,Y250))^2+(1-MAX(0,MIN(1,Y250)))^2/$B$5))-(MAX(0,MIN(1,X250))^2/(MAX(0,MIN(1,X250))^2+(1-MAX(0,MIN(1,X250)))^2/$B$5))))</f>
        <v>0.891907716633436</v>
      </c>
      <c r="Z251" s="16" t="n">
        <f aca="false">IF(ABS(Z250-$B$11/$B$9*((MAX(0,MIN(1,Z250))^2/(MAX(0,MIN(1,Z250))^2+(1-MAX(0,MIN(1,Z250)))^2/$B$5))-(MAX(0,MIN(1,Y250))^2/(MAX(0,MIN(1,Y250))^2+(1-MAX(0,MIN(1,Y250)))^2/$B$5))))&lt;0.000000001,0,Z250-$B$11/$B$9*((MAX(0,MIN(1,Z250))^2/(MAX(0,MIN(1,Z250))^2+(1-MAX(0,MIN(1,Z250)))^2/$B$5))-(MAX(0,MIN(1,Y250))^2/(MAX(0,MIN(1,Y250))^2+(1-MAX(0,MIN(1,Y250)))^2/$B$5))))</f>
        <v>0.886257384000455</v>
      </c>
      <c r="AA251" s="16" t="n">
        <f aca="false">IF(ABS(AA250-$B$11/$B$9*((MAX(0,MIN(1,AA250))^2/(MAX(0,MIN(1,AA250))^2+(1-MAX(0,MIN(1,AA250)))^2/$B$5))-(MAX(0,MIN(1,Z250))^2/(MAX(0,MIN(1,Z250))^2+(1-MAX(0,MIN(1,Z250)))^2/$B$5))))&lt;0.000000001,0,AA250-$B$11/$B$9*((MAX(0,MIN(1,AA250))^2/(MAX(0,MIN(1,AA250))^2+(1-MAX(0,MIN(1,AA250)))^2/$B$5))-(MAX(0,MIN(1,Z250))^2/(MAX(0,MIN(1,Z250))^2+(1-MAX(0,MIN(1,Z250)))^2/$B$5))))</f>
        <v>0.880773255471447</v>
      </c>
      <c r="AB251" s="16" t="n">
        <f aca="false">IF(ABS(AB250-$B$11/$B$9*((MAX(0,MIN(1,AB250))^2/(MAX(0,MIN(1,AB250))^2+(1-MAX(0,MIN(1,AB250)))^2/$B$5))-(MAX(0,MIN(1,AA250))^2/(MAX(0,MIN(1,AA250))^2+(1-MAX(0,MIN(1,AA250)))^2/$B$5))))&lt;0.000000001,0,AB250-$B$11/$B$9*((MAX(0,MIN(1,AB250))^2/(MAX(0,MIN(1,AB250))^2+(1-MAX(0,MIN(1,AB250)))^2/$B$5))-(MAX(0,MIN(1,AA250))^2/(MAX(0,MIN(1,AA250))^2+(1-MAX(0,MIN(1,AA250)))^2/$B$5))))</f>
        <v>0.875444180504339</v>
      </c>
      <c r="AC251" s="16" t="n">
        <f aca="false">IF(ABS(AC250-$B$11/$B$9*((MAX(0,MIN(1,AC250))^2/(MAX(0,MIN(1,AC250))^2+(1-MAX(0,MIN(1,AC250)))^2/$B$5))-(MAX(0,MIN(1,AB250))^2/(MAX(0,MIN(1,AB250))^2+(1-MAX(0,MIN(1,AB250)))^2/$B$5))))&lt;0.000000001,0,AC250-$B$11/$B$9*((MAX(0,MIN(1,AC250))^2/(MAX(0,MIN(1,AC250))^2+(1-MAX(0,MIN(1,AC250)))^2/$B$5))-(MAX(0,MIN(1,AB250))^2/(MAX(0,MIN(1,AB250))^2+(1-MAX(0,MIN(1,AB250)))^2/$B$5))))</f>
        <v>0.870260197320243</v>
      </c>
      <c r="AD251" s="16" t="n">
        <f aca="false">IF(ABS(AD250-$B$11/$B$9*((MAX(0,MIN(1,AD250))^2/(MAX(0,MIN(1,AD250))^2+(1-MAX(0,MIN(1,AD250)))^2/$B$5))-(MAX(0,MIN(1,AC250))^2/(MAX(0,MIN(1,AC250))^2+(1-MAX(0,MIN(1,AC250)))^2/$B$5))))&lt;0.000000001,0,AD250-$B$11/$B$9*((MAX(0,MIN(1,AD250))^2/(MAX(0,MIN(1,AD250))^2+(1-MAX(0,MIN(1,AD250)))^2/$B$5))-(MAX(0,MIN(1,AC250))^2/(MAX(0,MIN(1,AC250))^2+(1-MAX(0,MIN(1,AC250)))^2/$B$5))))</f>
        <v>0.865212348564905</v>
      </c>
      <c r="AE251" s="16" t="n">
        <f aca="false">IF(ABS(AE250-$B$11/$B$9*((MAX(0,MIN(1,AE250))^2/(MAX(0,MIN(1,AE250))^2+(1-MAX(0,MIN(1,AE250)))^2/$B$5))-(MAX(0,MIN(1,AD250))^2/(MAX(0,MIN(1,AD250))^2+(1-MAX(0,MIN(1,AD250)))^2/$B$5))))&lt;0.000000001,0,AE250-$B$11/$B$9*((MAX(0,MIN(1,AE250))^2/(MAX(0,MIN(1,AE250))^2+(1-MAX(0,MIN(1,AE250)))^2/$B$5))-(MAX(0,MIN(1,AD250))^2/(MAX(0,MIN(1,AD250))^2+(1-MAX(0,MIN(1,AD250)))^2/$B$5))))</f>
        <v>0.860292535337225</v>
      </c>
      <c r="AF251" s="16" t="n">
        <f aca="false">IF(ABS(AF250-$B$11/$B$9*((MAX(0,MIN(1,AF250))^2/(MAX(0,MIN(1,AF250))^2+(1-MAX(0,MIN(1,AF250)))^2/$B$5))-(MAX(0,MIN(1,AE250))^2/(MAX(0,MIN(1,AE250))^2+(1-MAX(0,MIN(1,AE250)))^2/$B$5))))&lt;0.000000001,0,AF250-$B$11/$B$9*((MAX(0,MIN(1,AF250))^2/(MAX(0,MIN(1,AF250))^2+(1-MAX(0,MIN(1,AF250)))^2/$B$5))-(MAX(0,MIN(1,AE250))^2/(MAX(0,MIN(1,AE250))^2+(1-MAX(0,MIN(1,AE250)))^2/$B$5))))</f>
        <v>0.855493399595928</v>
      </c>
    </row>
    <row r="252" customFormat="false" ht="15" hidden="false" customHeight="false" outlineLevel="0" collapsed="false">
      <c r="L252" s="0" t="n">
        <v>242</v>
      </c>
      <c r="M252" s="16" t="n">
        <f aca="false">IF(ABS(M251-$B$11/$B$9*((MAX(0,MIN(1,M251))^2/(MAX(0,MIN(1,M251))^2+(1-MAX(0,MIN(1,M251)))^2/$B$5))-(MAX(0,MIN(1,1))^2/(MAX(0,MIN(1,1))^2+(1-MAX(0,MIN(1,1)))^2/$B$5))))&lt;0.000000001,0,M251-$B$11/$B$9*((MAX(0,MIN(1,M251))^2/(MAX(0,MIN(1,M251))^2+(1-MAX(0,MIN(1,M251)))^2/$B$5))-(MAX(0,MIN(1,1))^2/(MAX(0,MIN(1,1))^2+(1-MAX(0,MIN(1,1)))^2/$B$5))))</f>
        <v>0.981799973574797</v>
      </c>
      <c r="N252" s="16" t="n">
        <f aca="false">IF(ABS(N251-$B$11/$B$9*((MAX(0,MIN(1,N251))^2/(MAX(0,MIN(1,N251))^2+(1-MAX(0,MIN(1,N251)))^2/$B$5))-(MAX(0,MIN(1,M251))^2/(MAX(0,MIN(1,M251))^2+(1-MAX(0,MIN(1,M251)))^2/$B$5))))&lt;0.000000001,0,N251-$B$11/$B$9*((MAX(0,MIN(1,N251))^2/(MAX(0,MIN(1,N251))^2+(1-MAX(0,MIN(1,N251)))^2/$B$5))-(MAX(0,MIN(1,M251))^2/(MAX(0,MIN(1,M251))^2+(1-MAX(0,MIN(1,M251)))^2/$B$5))))</f>
        <v>0.97128755786253</v>
      </c>
      <c r="O252" s="16" t="n">
        <f aca="false">IF(ABS(O251-$B$11/$B$9*((MAX(0,MIN(1,O251))^2/(MAX(0,MIN(1,O251))^2+(1-MAX(0,MIN(1,O251)))^2/$B$5))-(MAX(0,MIN(1,N251))^2/(MAX(0,MIN(1,N251))^2+(1-MAX(0,MIN(1,N251)))^2/$B$5))))&lt;0.000000001,0,O251-$B$11/$B$9*((MAX(0,MIN(1,O251))^2/(MAX(0,MIN(1,O251))^2+(1-MAX(0,MIN(1,O251)))^2/$B$5))-(MAX(0,MIN(1,N251))^2/(MAX(0,MIN(1,N251))^2+(1-MAX(0,MIN(1,N251)))^2/$B$5))))</f>
        <v>0.96197849154996</v>
      </c>
      <c r="P252" s="16" t="n">
        <f aca="false">IF(ABS(P251-$B$11/$B$9*((MAX(0,MIN(1,P251))^2/(MAX(0,MIN(1,P251))^2+(1-MAX(0,MIN(1,P251)))^2/$B$5))-(MAX(0,MIN(1,O251))^2/(MAX(0,MIN(1,O251))^2+(1-MAX(0,MIN(1,O251)))^2/$B$5))))&lt;0.000000001,0,P251-$B$11/$B$9*((MAX(0,MIN(1,P251))^2/(MAX(0,MIN(1,P251))^2+(1-MAX(0,MIN(1,P251)))^2/$B$5))-(MAX(0,MIN(1,O251))^2/(MAX(0,MIN(1,O251))^2+(1-MAX(0,MIN(1,O251)))^2/$B$5))))</f>
        <v>0.953383648346035</v>
      </c>
      <c r="Q252" s="16" t="n">
        <f aca="false">IF(ABS(Q251-$B$11/$B$9*((MAX(0,MIN(1,Q251))^2/(MAX(0,MIN(1,Q251))^2+(1-MAX(0,MIN(1,Q251)))^2/$B$5))-(MAX(0,MIN(1,P251))^2/(MAX(0,MIN(1,P251))^2+(1-MAX(0,MIN(1,P251)))^2/$B$5))))&lt;0.000000001,0,Q251-$B$11/$B$9*((MAX(0,MIN(1,Q251))^2/(MAX(0,MIN(1,Q251))^2+(1-MAX(0,MIN(1,Q251)))^2/$B$5))-(MAX(0,MIN(1,P251))^2/(MAX(0,MIN(1,P251))^2+(1-MAX(0,MIN(1,P251)))^2/$B$5))))</f>
        <v>0.945314347574464</v>
      </c>
      <c r="R252" s="16" t="n">
        <f aca="false">IF(ABS(R251-$B$11/$B$9*((MAX(0,MIN(1,R251))^2/(MAX(0,MIN(1,R251))^2+(1-MAX(0,MIN(1,R251)))^2/$B$5))-(MAX(0,MIN(1,Q251))^2/(MAX(0,MIN(1,Q251))^2+(1-MAX(0,MIN(1,Q251)))^2/$B$5))))&lt;0.000000001,0,R251-$B$11/$B$9*((MAX(0,MIN(1,R251))^2/(MAX(0,MIN(1,R251))^2+(1-MAX(0,MIN(1,R251)))^2/$B$5))-(MAX(0,MIN(1,Q251))^2/(MAX(0,MIN(1,Q251))^2+(1-MAX(0,MIN(1,Q251)))^2/$B$5))))</f>
        <v>0.937669086570654</v>
      </c>
      <c r="S252" s="16" t="n">
        <f aca="false">IF(ABS(S251-$B$11/$B$9*((MAX(0,MIN(1,S251))^2/(MAX(0,MIN(1,S251))^2+(1-MAX(0,MIN(1,S251)))^2/$B$5))-(MAX(0,MIN(1,R251))^2/(MAX(0,MIN(1,R251))^2+(1-MAX(0,MIN(1,R251)))^2/$B$5))))&lt;0.000000001,0,S251-$B$11/$B$9*((MAX(0,MIN(1,S251))^2/(MAX(0,MIN(1,S251))^2+(1-MAX(0,MIN(1,S251)))^2/$B$5))-(MAX(0,MIN(1,R251))^2/(MAX(0,MIN(1,R251))^2+(1-MAX(0,MIN(1,R251)))^2/$B$5))))</f>
        <v>0.930382997751278</v>
      </c>
      <c r="T252" s="16" t="n">
        <f aca="false">IF(ABS(T251-$B$11/$B$9*((MAX(0,MIN(1,T251))^2/(MAX(0,MIN(1,T251))^2+(1-MAX(0,MIN(1,T251)))^2/$B$5))-(MAX(0,MIN(1,S251))^2/(MAX(0,MIN(1,S251))^2+(1-MAX(0,MIN(1,S251)))^2/$B$5))))&lt;0.000000001,0,T251-$B$11/$B$9*((MAX(0,MIN(1,T251))^2/(MAX(0,MIN(1,T251))^2+(1-MAX(0,MIN(1,T251)))^2/$B$5))-(MAX(0,MIN(1,S251))^2/(MAX(0,MIN(1,S251))^2+(1-MAX(0,MIN(1,S251)))^2/$B$5))))</f>
        <v>0.923410086526239</v>
      </c>
      <c r="U252" s="16" t="n">
        <f aca="false">IF(ABS(U251-$B$11/$B$9*((MAX(0,MIN(1,U251))^2/(MAX(0,MIN(1,U251))^2+(1-MAX(0,MIN(1,U251)))^2/$B$5))-(MAX(0,MIN(1,T251))^2/(MAX(0,MIN(1,T251))^2+(1-MAX(0,MIN(1,T251)))^2/$B$5))))&lt;0.000000001,0,U251-$B$11/$B$9*((MAX(0,MIN(1,U251))^2/(MAX(0,MIN(1,U251))^2+(1-MAX(0,MIN(1,U251)))^2/$B$5))-(MAX(0,MIN(1,T251))^2/(MAX(0,MIN(1,T251))^2+(1-MAX(0,MIN(1,T251)))^2/$B$5))))</f>
        <v>0.916715460966056</v>
      </c>
      <c r="V252" s="16" t="n">
        <f aca="false">IF(ABS(V251-$B$11/$B$9*((MAX(0,MIN(1,V251))^2/(MAX(0,MIN(1,V251))^2+(1-MAX(0,MIN(1,V251)))^2/$B$5))-(MAX(0,MIN(1,U251))^2/(MAX(0,MIN(1,U251))^2+(1-MAX(0,MIN(1,U251)))^2/$B$5))))&lt;0.000000001,0,V251-$B$11/$B$9*((MAX(0,MIN(1,V251))^2/(MAX(0,MIN(1,V251))^2+(1-MAX(0,MIN(1,V251)))^2/$B$5))-(MAX(0,MIN(1,U251))^2/(MAX(0,MIN(1,U251))^2+(1-MAX(0,MIN(1,U251)))^2/$B$5))))</f>
        <v>0.910271401465707</v>
      </c>
      <c r="W252" s="16" t="n">
        <f aca="false">IF(ABS(W251-$B$11/$B$9*((MAX(0,MIN(1,W251))^2/(MAX(0,MIN(1,W251))^2+(1-MAX(0,MIN(1,W251)))^2/$B$5))-(MAX(0,MIN(1,V251))^2/(MAX(0,MIN(1,V251))^2+(1-MAX(0,MIN(1,V251)))^2/$B$5))))&lt;0.000000001,0,W251-$B$11/$B$9*((MAX(0,MIN(1,W251))^2/(MAX(0,MIN(1,W251))^2+(1-MAX(0,MIN(1,W251)))^2/$B$5))-(MAX(0,MIN(1,V251))^2/(MAX(0,MIN(1,V251))^2+(1-MAX(0,MIN(1,V251)))^2/$B$5))))</f>
        <v>0.904055152346357</v>
      </c>
      <c r="X252" s="16" t="n">
        <f aca="false">IF(ABS(X251-$B$11/$B$9*((MAX(0,MIN(1,X251))^2/(MAX(0,MIN(1,X251))^2+(1-MAX(0,MIN(1,X251)))^2/$B$5))-(MAX(0,MIN(1,W251))^2/(MAX(0,MIN(1,W251))^2+(1-MAX(0,MIN(1,W251)))^2/$B$5))))&lt;0.000000001,0,X251-$B$11/$B$9*((MAX(0,MIN(1,X251))^2/(MAX(0,MIN(1,X251))^2+(1-MAX(0,MIN(1,X251)))^2/$B$5))-(MAX(0,MIN(1,W251))^2/(MAX(0,MIN(1,W251))^2+(1-MAX(0,MIN(1,W251)))^2/$B$5))))</f>
        <v>0.898047577359933</v>
      </c>
      <c r="Y252" s="16" t="n">
        <f aca="false">IF(ABS(Y251-$B$11/$B$9*((MAX(0,MIN(1,Y251))^2/(MAX(0,MIN(1,Y251))^2+(1-MAX(0,MIN(1,Y251)))^2/$B$5))-(MAX(0,MIN(1,X251))^2/(MAX(0,MIN(1,X251))^2+(1-MAX(0,MIN(1,X251)))^2/$B$5))))&lt;0.000000001,0,Y251-$B$11/$B$9*((MAX(0,MIN(1,Y251))^2/(MAX(0,MIN(1,Y251))^2+(1-MAX(0,MIN(1,Y251)))^2/$B$5))-(MAX(0,MIN(1,X251))^2/(MAX(0,MIN(1,X251))^2+(1-MAX(0,MIN(1,X251)))^2/$B$5))))</f>
        <v>0.892232287725544</v>
      </c>
      <c r="Z252" s="16" t="n">
        <f aca="false">IF(ABS(Z251-$B$11/$B$9*((MAX(0,MIN(1,Z251))^2/(MAX(0,MIN(1,Z251))^2+(1-MAX(0,MIN(1,Z251)))^2/$B$5))-(MAX(0,MIN(1,Y251))^2/(MAX(0,MIN(1,Y251))^2+(1-MAX(0,MIN(1,Y251)))^2/$B$5))))&lt;0.000000001,0,Z251-$B$11/$B$9*((MAX(0,MIN(1,Z251))^2/(MAX(0,MIN(1,Z251))^2+(1-MAX(0,MIN(1,Z251)))^2/$B$5))-(MAX(0,MIN(1,Y251))^2/(MAX(0,MIN(1,Y251))^2+(1-MAX(0,MIN(1,Y251)))^2/$B$5))))</f>
        <v>0.886595047093577</v>
      </c>
      <c r="AA252" s="16" t="n">
        <f aca="false">IF(ABS(AA251-$B$11/$B$9*((MAX(0,MIN(1,AA251))^2/(MAX(0,MIN(1,AA251))^2+(1-MAX(0,MIN(1,AA251)))^2/$B$5))-(MAX(0,MIN(1,Z251))^2/(MAX(0,MIN(1,Z251))^2+(1-MAX(0,MIN(1,Z251)))^2/$B$5))))&lt;0.000000001,0,AA251-$B$11/$B$9*((MAX(0,MIN(1,AA251))^2/(MAX(0,MIN(1,AA251))^2+(1-MAX(0,MIN(1,AA251)))^2/$B$5))-(MAX(0,MIN(1,Z251))^2/(MAX(0,MIN(1,Z251))^2+(1-MAX(0,MIN(1,Z251)))^2/$B$5))))</f>
        <v>0.881123348249504</v>
      </c>
      <c r="AB252" s="16" t="n">
        <f aca="false">IF(ABS(AB251-$B$11/$B$9*((MAX(0,MIN(1,AB251))^2/(MAX(0,MIN(1,AB251))^2+(1-MAX(0,MIN(1,AB251)))^2/$B$5))-(MAX(0,MIN(1,AA251))^2/(MAX(0,MIN(1,AA251))^2+(1-MAX(0,MIN(1,AA251)))^2/$B$5))))&lt;0.000000001,0,AB251-$B$11/$B$9*((MAX(0,MIN(1,AB251))^2/(MAX(0,MIN(1,AB251))^2+(1-MAX(0,MIN(1,AB251)))^2/$B$5))-(MAX(0,MIN(1,AA251))^2/(MAX(0,MIN(1,AA251))^2+(1-MAX(0,MIN(1,AA251)))^2/$B$5))))</f>
        <v>0.875806101475596</v>
      </c>
      <c r="AC252" s="16" t="n">
        <f aca="false">IF(ABS(AC251-$B$11/$B$9*((MAX(0,MIN(1,AC251))^2/(MAX(0,MIN(1,AC251))^2+(1-MAX(0,MIN(1,AC251)))^2/$B$5))-(MAX(0,MIN(1,AB251))^2/(MAX(0,MIN(1,AB251))^2+(1-MAX(0,MIN(1,AB251)))^2/$B$5))))&lt;0.000000001,0,AC251-$B$11/$B$9*((MAX(0,MIN(1,AC251))^2/(MAX(0,MIN(1,AC251))^2+(1-MAX(0,MIN(1,AC251)))^2/$B$5))-(MAX(0,MIN(1,AB251))^2/(MAX(0,MIN(1,AB251))^2+(1-MAX(0,MIN(1,AB251)))^2/$B$5))))</f>
        <v>0.870633398467338</v>
      </c>
      <c r="AD252" s="16" t="n">
        <f aca="false">IF(ABS(AD251-$B$11/$B$9*((MAX(0,MIN(1,AD251))^2/(MAX(0,MIN(1,AD251))^2+(1-MAX(0,MIN(1,AD251)))^2/$B$5))-(MAX(0,MIN(1,AC251))^2/(MAX(0,MIN(1,AC251))^2+(1-MAX(0,MIN(1,AC251)))^2/$B$5))))&lt;0.000000001,0,AD251-$B$11/$B$9*((MAX(0,MIN(1,AD251))^2/(MAX(0,MIN(1,AD251))^2+(1-MAX(0,MIN(1,AD251)))^2/$B$5))-(MAX(0,MIN(1,AC251))^2/(MAX(0,MIN(1,AC251))^2+(1-MAX(0,MIN(1,AC251)))^2/$B$5))))</f>
        <v>0.86559632914942</v>
      </c>
      <c r="AE252" s="16" t="n">
        <f aca="false">IF(ABS(AE251-$B$11/$B$9*((MAX(0,MIN(1,AE251))^2/(MAX(0,MIN(1,AE251))^2+(1-MAX(0,MIN(1,AE251)))^2/$B$5))-(MAX(0,MIN(1,AD251))^2/(MAX(0,MIN(1,AD251))^2+(1-MAX(0,MIN(1,AD251)))^2/$B$5))))&lt;0.000000001,0,AE251-$B$11/$B$9*((MAX(0,MIN(1,AE251))^2/(MAX(0,MIN(1,AE251))^2+(1-MAX(0,MIN(1,AE251)))^2/$B$5))-(MAX(0,MIN(1,AD251))^2/(MAX(0,MIN(1,AD251))^2+(1-MAX(0,MIN(1,AD251)))^2/$B$5))))</f>
        <v>0.860686836632117</v>
      </c>
      <c r="AF252" s="16" t="n">
        <f aca="false">IF(ABS(AF251-$B$11/$B$9*((MAX(0,MIN(1,AF251))^2/(MAX(0,MIN(1,AF251))^2+(1-MAX(0,MIN(1,AF251)))^2/$B$5))-(MAX(0,MIN(1,AE251))^2/(MAX(0,MIN(1,AE251))^2+(1-MAX(0,MIN(1,AE251)))^2/$B$5))))&lt;0.000000001,0,AF251-$B$11/$B$9*((MAX(0,MIN(1,AF251))^2/(MAX(0,MIN(1,AF251))^2+(1-MAX(0,MIN(1,AF251)))^2/$B$5))-(MAX(0,MIN(1,AE251))^2/(MAX(0,MIN(1,AE251))^2+(1-MAX(0,MIN(1,AE251)))^2/$B$5))))</f>
        <v>0.855897600373354</v>
      </c>
    </row>
    <row r="253" customFormat="false" ht="15" hidden="false" customHeight="false" outlineLevel="0" collapsed="false">
      <c r="L253" s="0" t="n">
        <v>243</v>
      </c>
      <c r="M253" s="16" t="n">
        <f aca="false">IF(ABS(M252-$B$11/$B$9*((MAX(0,MIN(1,M252))^2/(MAX(0,MIN(1,M252))^2+(1-MAX(0,MIN(1,M252)))^2/$B$5))-(MAX(0,MIN(1,1))^2/(MAX(0,MIN(1,1))^2+(1-MAX(0,MIN(1,1)))^2/$B$5))))&lt;0.000000001,0,M252-$B$11/$B$9*((MAX(0,MIN(1,M252))^2/(MAX(0,MIN(1,M252))^2+(1-MAX(0,MIN(1,M252)))^2/$B$5))-(MAX(0,MIN(1,1))^2/(MAX(0,MIN(1,1))^2+(1-MAX(0,MIN(1,1)))^2/$B$5))))</f>
        <v>0.981866031539489</v>
      </c>
      <c r="N253" s="16" t="n">
        <f aca="false">IF(ABS(N252-$B$11/$B$9*((MAX(0,MIN(1,N252))^2/(MAX(0,MIN(1,N252))^2+(1-MAX(0,MIN(1,N252)))^2/$B$5))-(MAX(0,MIN(1,M252))^2/(MAX(0,MIN(1,M252))^2+(1-MAX(0,MIN(1,M252)))^2/$B$5))))&lt;0.000000001,0,N252-$B$11/$B$9*((MAX(0,MIN(1,N252))^2/(MAX(0,MIN(1,N252))^2+(1-MAX(0,MIN(1,N252)))^2/$B$5))-(MAX(0,MIN(1,M252))^2/(MAX(0,MIN(1,M252))^2+(1-MAX(0,MIN(1,M252)))^2/$B$5))))</f>
        <v>0.971389440882679</v>
      </c>
      <c r="O253" s="16" t="n">
        <f aca="false">IF(ABS(O252-$B$11/$B$9*((MAX(0,MIN(1,O252))^2/(MAX(0,MIN(1,O252))^2+(1-MAX(0,MIN(1,O252)))^2/$B$5))-(MAX(0,MIN(1,N252))^2/(MAX(0,MIN(1,N252))^2+(1-MAX(0,MIN(1,N252)))^2/$B$5))))&lt;0.000000001,0,O252-$B$11/$B$9*((MAX(0,MIN(1,O252))^2/(MAX(0,MIN(1,O252))^2+(1-MAX(0,MIN(1,O252)))^2/$B$5))-(MAX(0,MIN(1,N252))^2/(MAX(0,MIN(1,N252))^2+(1-MAX(0,MIN(1,N252)))^2/$B$5))))</f>
        <v>0.96211066761611</v>
      </c>
      <c r="P253" s="16" t="n">
        <f aca="false">IF(ABS(P252-$B$11/$B$9*((MAX(0,MIN(1,P252))^2/(MAX(0,MIN(1,P252))^2+(1-MAX(0,MIN(1,P252)))^2/$B$5))-(MAX(0,MIN(1,O252))^2/(MAX(0,MIN(1,O252))^2+(1-MAX(0,MIN(1,O252)))^2/$B$5))))&lt;0.000000001,0,P252-$B$11/$B$9*((MAX(0,MIN(1,P252))^2/(MAX(0,MIN(1,P252))^2+(1-MAX(0,MIN(1,P252)))^2/$B$5))-(MAX(0,MIN(1,O252))^2/(MAX(0,MIN(1,O252))^2+(1-MAX(0,MIN(1,O252)))^2/$B$5))))</f>
        <v>0.953542649081694</v>
      </c>
      <c r="Q253" s="16" t="n">
        <f aca="false">IF(ABS(Q252-$B$11/$B$9*((MAX(0,MIN(1,Q252))^2/(MAX(0,MIN(1,Q252))^2+(1-MAX(0,MIN(1,Q252)))^2/$B$5))-(MAX(0,MIN(1,P252))^2/(MAX(0,MIN(1,P252))^2+(1-MAX(0,MIN(1,P252)))^2/$B$5))))&lt;0.000000001,0,Q252-$B$11/$B$9*((MAX(0,MIN(1,Q252))^2/(MAX(0,MIN(1,Q252))^2+(1-MAX(0,MIN(1,Q252)))^2/$B$5))-(MAX(0,MIN(1,P252))^2/(MAX(0,MIN(1,P252))^2+(1-MAX(0,MIN(1,P252)))^2/$B$5))))</f>
        <v>0.945497577248486</v>
      </c>
      <c r="R253" s="16" t="n">
        <f aca="false">IF(ABS(R252-$B$11/$B$9*((MAX(0,MIN(1,R252))^2/(MAX(0,MIN(1,R252))^2+(1-MAX(0,MIN(1,R252)))^2/$B$5))-(MAX(0,MIN(1,Q252))^2/(MAX(0,MIN(1,Q252))^2+(1-MAX(0,MIN(1,Q252)))^2/$B$5))))&lt;0.000000001,0,R252-$B$11/$B$9*((MAX(0,MIN(1,R252))^2/(MAX(0,MIN(1,R252))^2+(1-MAX(0,MIN(1,R252)))^2/$B$5))-(MAX(0,MIN(1,Q252))^2/(MAX(0,MIN(1,Q252))^2+(1-MAX(0,MIN(1,Q252)))^2/$B$5))))</f>
        <v>0.93787445652161</v>
      </c>
      <c r="S253" s="16" t="n">
        <f aca="false">IF(ABS(S252-$B$11/$B$9*((MAX(0,MIN(1,S252))^2/(MAX(0,MIN(1,S252))^2+(1-MAX(0,MIN(1,S252)))^2/$B$5))-(MAX(0,MIN(1,R252))^2/(MAX(0,MIN(1,R252))^2+(1-MAX(0,MIN(1,R252)))^2/$B$5))))&lt;0.000000001,0,S252-$B$11/$B$9*((MAX(0,MIN(1,S252))^2/(MAX(0,MIN(1,S252))^2+(1-MAX(0,MIN(1,S252)))^2/$B$5))-(MAX(0,MIN(1,R252))^2/(MAX(0,MIN(1,R252))^2+(1-MAX(0,MIN(1,R252)))^2/$B$5))))</f>
        <v>0.930608762430627</v>
      </c>
      <c r="T253" s="16" t="n">
        <f aca="false">IF(ABS(T252-$B$11/$B$9*((MAX(0,MIN(1,T252))^2/(MAX(0,MIN(1,T252))^2+(1-MAX(0,MIN(1,T252)))^2/$B$5))-(MAX(0,MIN(1,S252))^2/(MAX(0,MIN(1,S252))^2+(1-MAX(0,MIN(1,S252)))^2/$B$5))))&lt;0.000000001,0,T252-$B$11/$B$9*((MAX(0,MIN(1,T252))^2/(MAX(0,MIN(1,T252))^2+(1-MAX(0,MIN(1,T252)))^2/$B$5))-(MAX(0,MIN(1,S252))^2/(MAX(0,MIN(1,S252))^2+(1-MAX(0,MIN(1,S252)))^2/$B$5))))</f>
        <v>0.9236547532252</v>
      </c>
      <c r="U253" s="16" t="n">
        <f aca="false">IF(ABS(U252-$B$11/$B$9*((MAX(0,MIN(1,U252))^2/(MAX(0,MIN(1,U252))^2+(1-MAX(0,MIN(1,U252)))^2/$B$5))-(MAX(0,MIN(1,T252))^2/(MAX(0,MIN(1,T252))^2+(1-MAX(0,MIN(1,T252)))^2/$B$5))))&lt;0.000000001,0,U252-$B$11/$B$9*((MAX(0,MIN(1,U252))^2/(MAX(0,MIN(1,U252))^2+(1-MAX(0,MIN(1,U252)))^2/$B$5))-(MAX(0,MIN(1,T252))^2/(MAX(0,MIN(1,T252))^2+(1-MAX(0,MIN(1,T252)))^2/$B$5))))</f>
        <v>0.916977733322466</v>
      </c>
      <c r="V253" s="16" t="n">
        <f aca="false">IF(ABS(V252-$B$11/$B$9*((MAX(0,MIN(1,V252))^2/(MAX(0,MIN(1,V252))^2+(1-MAX(0,MIN(1,V252)))^2/$B$5))-(MAX(0,MIN(1,U252))^2/(MAX(0,MIN(1,U252))^2+(1-MAX(0,MIN(1,U252)))^2/$B$5))))&lt;0.000000001,0,V252-$B$11/$B$9*((MAX(0,MIN(1,V252))^2/(MAX(0,MIN(1,V252))^2+(1-MAX(0,MIN(1,V252)))^2/$B$5))-(MAX(0,MIN(1,U252))^2/(MAX(0,MIN(1,U252))^2+(1-MAX(0,MIN(1,U252)))^2/$B$5))))</f>
        <v>0.910550140964141</v>
      </c>
      <c r="W253" s="16" t="n">
        <f aca="false">IF(ABS(W252-$B$11/$B$9*((MAX(0,MIN(1,W252))^2/(MAX(0,MIN(1,W252))^2+(1-MAX(0,MIN(1,W252)))^2/$B$5))-(MAX(0,MIN(1,V252))^2/(MAX(0,MIN(1,V252))^2+(1-MAX(0,MIN(1,V252)))^2/$B$5))))&lt;0.000000001,0,W252-$B$11/$B$9*((MAX(0,MIN(1,W252))^2/(MAX(0,MIN(1,W252))^2+(1-MAX(0,MIN(1,W252)))^2/$B$5))-(MAX(0,MIN(1,V252))^2/(MAX(0,MIN(1,V252))^2+(1-MAX(0,MIN(1,V252)))^2/$B$5))))</f>
        <v>0.904349350481836</v>
      </c>
      <c r="X253" s="16" t="n">
        <f aca="false">IF(ABS(X252-$B$11/$B$9*((MAX(0,MIN(1,X252))^2/(MAX(0,MIN(1,X252))^2+(1-MAX(0,MIN(1,X252)))^2/$B$5))-(MAX(0,MIN(1,W252))^2/(MAX(0,MIN(1,W252))^2+(1-MAX(0,MIN(1,W252)))^2/$B$5))))&lt;0.000000001,0,X252-$B$11/$B$9*((MAX(0,MIN(1,X252))^2/(MAX(0,MIN(1,X252))^2+(1-MAX(0,MIN(1,X252)))^2/$B$5))-(MAX(0,MIN(1,W252))^2/(MAX(0,MIN(1,W252))^2+(1-MAX(0,MIN(1,W252)))^2/$B$5))))</f>
        <v>0.898356334639328</v>
      </c>
      <c r="Y253" s="16" t="n">
        <f aca="false">IF(ABS(Y252-$B$11/$B$9*((MAX(0,MIN(1,Y252))^2/(MAX(0,MIN(1,Y252))^2+(1-MAX(0,MIN(1,Y252)))^2/$B$5))-(MAX(0,MIN(1,X252))^2/(MAX(0,MIN(1,X252))^2+(1-MAX(0,MIN(1,X252)))^2/$B$5))))&lt;0.000000001,0,Y252-$B$11/$B$9*((MAX(0,MIN(1,Y252))^2/(MAX(0,MIN(1,Y252))^2+(1-MAX(0,MIN(1,Y252)))^2/$B$5))-(MAX(0,MIN(1,X252))^2/(MAX(0,MIN(1,X252))^2+(1-MAX(0,MIN(1,X252)))^2/$B$5))))</f>
        <v>0.892554797322262</v>
      </c>
      <c r="Z253" s="16" t="n">
        <f aca="false">IF(ABS(Z252-$B$11/$B$9*((MAX(0,MIN(1,Z252))^2/(MAX(0,MIN(1,Z252))^2+(1-MAX(0,MIN(1,Z252)))^2/$B$5))-(MAX(0,MIN(1,Y252))^2/(MAX(0,MIN(1,Y252))^2+(1-MAX(0,MIN(1,Y252)))^2/$B$5))))&lt;0.000000001,0,Z252-$B$11/$B$9*((MAX(0,MIN(1,Z252))^2/(MAX(0,MIN(1,Z252))^2+(1-MAX(0,MIN(1,Z252)))^2/$B$5))-(MAX(0,MIN(1,Y252))^2/(MAX(0,MIN(1,Y252))^2+(1-MAX(0,MIN(1,Y252)))^2/$B$5))))</f>
        <v>0.886930581817119</v>
      </c>
      <c r="AA253" s="16" t="n">
        <f aca="false">IF(ABS(AA252-$B$11/$B$9*((MAX(0,MIN(1,AA252))^2/(MAX(0,MIN(1,AA252))^2+(1-MAX(0,MIN(1,AA252)))^2/$B$5))-(MAX(0,MIN(1,Z252))^2/(MAX(0,MIN(1,Z252))^2+(1-MAX(0,MIN(1,Z252)))^2/$B$5))))&lt;0.000000001,0,AA252-$B$11/$B$9*((MAX(0,MIN(1,AA252))^2/(MAX(0,MIN(1,AA252))^2+(1-MAX(0,MIN(1,AA252)))^2/$B$5))-(MAX(0,MIN(1,Z252))^2/(MAX(0,MIN(1,Z252))^2+(1-MAX(0,MIN(1,Z252)))^2/$B$5))))</f>
        <v>0.881471249962226</v>
      </c>
      <c r="AB253" s="16" t="n">
        <f aca="false">IF(ABS(AB252-$B$11/$B$9*((MAX(0,MIN(1,AB252))^2/(MAX(0,MIN(1,AB252))^2+(1-MAX(0,MIN(1,AB252)))^2/$B$5))-(MAX(0,MIN(1,AA252))^2/(MAX(0,MIN(1,AA252))^2+(1-MAX(0,MIN(1,AA252)))^2/$B$5))))&lt;0.000000001,0,AB252-$B$11/$B$9*((MAX(0,MIN(1,AB252))^2/(MAX(0,MIN(1,AB252))^2+(1-MAX(0,MIN(1,AB252)))^2/$B$5))-(MAX(0,MIN(1,AA252))^2/(MAX(0,MIN(1,AA252))^2+(1-MAX(0,MIN(1,AA252)))^2/$B$5))))</f>
        <v>0.876165772367927</v>
      </c>
      <c r="AC253" s="16" t="n">
        <f aca="false">IF(ABS(AC252-$B$11/$B$9*((MAX(0,MIN(1,AC252))^2/(MAX(0,MIN(1,AC252))^2+(1-MAX(0,MIN(1,AC252)))^2/$B$5))-(MAX(0,MIN(1,AB252))^2/(MAX(0,MIN(1,AB252))^2+(1-MAX(0,MIN(1,AB252)))^2/$B$5))))&lt;0.000000001,0,AC252-$B$11/$B$9*((MAX(0,MIN(1,AC252))^2/(MAX(0,MIN(1,AC252))^2+(1-MAX(0,MIN(1,AC252)))^2/$B$5))-(MAX(0,MIN(1,AB252))^2/(MAX(0,MIN(1,AB252))^2+(1-MAX(0,MIN(1,AB252)))^2/$B$5))))</f>
        <v>0.871004293776817</v>
      </c>
      <c r="AD253" s="16" t="n">
        <f aca="false">IF(ABS(AD252-$B$11/$B$9*((MAX(0,MIN(1,AD252))^2/(MAX(0,MIN(1,AD252))^2+(1-MAX(0,MIN(1,AD252)))^2/$B$5))-(MAX(0,MIN(1,AC252))^2/(MAX(0,MIN(1,AC252))^2+(1-MAX(0,MIN(1,AC252)))^2/$B$5))))&lt;0.000000001,0,AD252-$B$11/$B$9*((MAX(0,MIN(1,AD252))^2/(MAX(0,MIN(1,AD252))^2+(1-MAX(0,MIN(1,AD252)))^2/$B$5))-(MAX(0,MIN(1,AC252))^2/(MAX(0,MIN(1,AC252))^2+(1-MAX(0,MIN(1,AC252)))^2/$B$5))))</f>
        <v>0.865977951022437</v>
      </c>
      <c r="AE253" s="16" t="n">
        <f aca="false">IF(ABS(AE252-$B$11/$B$9*((MAX(0,MIN(1,AE252))^2/(MAX(0,MIN(1,AE252))^2+(1-MAX(0,MIN(1,AE252)))^2/$B$5))-(MAX(0,MIN(1,AD252))^2/(MAX(0,MIN(1,AD252))^2+(1-MAX(0,MIN(1,AD252)))^2/$B$5))))&lt;0.000000001,0,AE252-$B$11/$B$9*((MAX(0,MIN(1,AE252))^2/(MAX(0,MIN(1,AE252))^2+(1-MAX(0,MIN(1,AE252)))^2/$B$5))-(MAX(0,MIN(1,AD252))^2/(MAX(0,MIN(1,AD252))^2+(1-MAX(0,MIN(1,AD252)))^2/$B$5))))</f>
        <v>0.861078728904092</v>
      </c>
      <c r="AF253" s="16" t="n">
        <f aca="false">IF(ABS(AF252-$B$11/$B$9*((MAX(0,MIN(1,AF252))^2/(MAX(0,MIN(1,AF252))^2+(1-MAX(0,MIN(1,AF252)))^2/$B$5))-(MAX(0,MIN(1,AE252))^2/(MAX(0,MIN(1,AE252))^2+(1-MAX(0,MIN(1,AE252)))^2/$B$5))))&lt;0.000000001,0,AF252-$B$11/$B$9*((MAX(0,MIN(1,AF252))^2/(MAX(0,MIN(1,AF252))^2+(1-MAX(0,MIN(1,AF252)))^2/$B$5))-(MAX(0,MIN(1,AE252))^2/(MAX(0,MIN(1,AE252))^2+(1-MAX(0,MIN(1,AE252)))^2/$B$5))))</f>
        <v>0.856299344096718</v>
      </c>
    </row>
    <row r="254" customFormat="false" ht="15" hidden="false" customHeight="false" outlineLevel="0" collapsed="false">
      <c r="L254" s="0" t="n">
        <v>244</v>
      </c>
      <c r="M254" s="16" t="n">
        <f aca="false">IF(ABS(M253-$B$11/$B$9*((MAX(0,MIN(1,M253))^2/(MAX(0,MIN(1,M253))^2+(1-MAX(0,MIN(1,M253)))^2/$B$5))-(MAX(0,MIN(1,1))^2/(MAX(0,MIN(1,1))^2+(1-MAX(0,MIN(1,1)))^2/$B$5))))&lt;0.000000001,0,M253-$B$11/$B$9*((MAX(0,MIN(1,M253))^2/(MAX(0,MIN(1,M253))^2+(1-MAX(0,MIN(1,M253)))^2/$B$5))-(MAX(0,MIN(1,1))^2/(MAX(0,MIN(1,1))^2+(1-MAX(0,MIN(1,1)))^2/$B$5))))</f>
        <v>0.981931602111942</v>
      </c>
      <c r="N254" s="16" t="n">
        <f aca="false">IF(ABS(N253-$B$11/$B$9*((MAX(0,MIN(1,N253))^2/(MAX(0,MIN(1,N253))^2+(1-MAX(0,MIN(1,N253)))^2/$B$5))-(MAX(0,MIN(1,M253))^2/(MAX(0,MIN(1,M253))^2+(1-MAX(0,MIN(1,M253)))^2/$B$5))))&lt;0.000000001,0,N253-$B$11/$B$9*((MAX(0,MIN(1,N253))^2/(MAX(0,MIN(1,N253))^2+(1-MAX(0,MIN(1,N253)))^2/$B$5))-(MAX(0,MIN(1,M253))^2/(MAX(0,MIN(1,M253))^2+(1-MAX(0,MIN(1,M253)))^2/$B$5))))</f>
        <v>0.9714905871223</v>
      </c>
      <c r="O254" s="16" t="n">
        <f aca="false">IF(ABS(O253-$B$11/$B$9*((MAX(0,MIN(1,O253))^2/(MAX(0,MIN(1,O253))^2+(1-MAX(0,MIN(1,O253)))^2/$B$5))-(MAX(0,MIN(1,N253))^2/(MAX(0,MIN(1,N253))^2+(1-MAX(0,MIN(1,N253)))^2/$B$5))))&lt;0.000000001,0,O253-$B$11/$B$9*((MAX(0,MIN(1,O253))^2/(MAX(0,MIN(1,O253))^2+(1-MAX(0,MIN(1,O253)))^2/$B$5))-(MAX(0,MIN(1,N253))^2/(MAX(0,MIN(1,N253))^2+(1-MAX(0,MIN(1,N253)))^2/$B$5))))</f>
        <v>0.962241904652635</v>
      </c>
      <c r="P254" s="16" t="n">
        <f aca="false">IF(ABS(P253-$B$11/$B$9*((MAX(0,MIN(1,P253))^2/(MAX(0,MIN(1,P253))^2+(1-MAX(0,MIN(1,P253)))^2/$B$5))-(MAX(0,MIN(1,O253))^2/(MAX(0,MIN(1,O253))^2+(1-MAX(0,MIN(1,O253)))^2/$B$5))))&lt;0.000000001,0,P253-$B$11/$B$9*((MAX(0,MIN(1,P253))^2/(MAX(0,MIN(1,P253))^2+(1-MAX(0,MIN(1,P253)))^2/$B$5))-(MAX(0,MIN(1,O253))^2/(MAX(0,MIN(1,O253))^2+(1-MAX(0,MIN(1,O253)))^2/$B$5))))</f>
        <v>0.953700538238689</v>
      </c>
      <c r="Q254" s="16" t="n">
        <f aca="false">IF(ABS(Q253-$B$11/$B$9*((MAX(0,MIN(1,Q253))^2/(MAX(0,MIN(1,Q253))^2+(1-MAX(0,MIN(1,Q253)))^2/$B$5))-(MAX(0,MIN(1,P253))^2/(MAX(0,MIN(1,P253))^2+(1-MAX(0,MIN(1,P253)))^2/$B$5))))&lt;0.000000001,0,Q253-$B$11/$B$9*((MAX(0,MIN(1,Q253))^2/(MAX(0,MIN(1,Q253))^2+(1-MAX(0,MIN(1,Q253)))^2/$B$5))-(MAX(0,MIN(1,P253))^2/(MAX(0,MIN(1,P253))^2+(1-MAX(0,MIN(1,P253)))^2/$B$5))))</f>
        <v>0.945679544681901</v>
      </c>
      <c r="R254" s="16" t="n">
        <f aca="false">IF(ABS(R253-$B$11/$B$9*((MAX(0,MIN(1,R253))^2/(MAX(0,MIN(1,R253))^2+(1-MAX(0,MIN(1,R253)))^2/$B$5))-(MAX(0,MIN(1,Q253))^2/(MAX(0,MIN(1,Q253))^2+(1-MAX(0,MIN(1,Q253)))^2/$B$5))))&lt;0.000000001,0,R253-$B$11/$B$9*((MAX(0,MIN(1,R253))^2/(MAX(0,MIN(1,R253))^2+(1-MAX(0,MIN(1,R253)))^2/$B$5))-(MAX(0,MIN(1,Q253))^2/(MAX(0,MIN(1,Q253))^2+(1-MAX(0,MIN(1,Q253)))^2/$B$5))))</f>
        <v>0.938078430765272</v>
      </c>
      <c r="S254" s="16" t="n">
        <f aca="false">IF(ABS(S253-$B$11/$B$9*((MAX(0,MIN(1,S253))^2/(MAX(0,MIN(1,S253))^2+(1-MAX(0,MIN(1,S253)))^2/$B$5))-(MAX(0,MIN(1,R253))^2/(MAX(0,MIN(1,R253))^2+(1-MAX(0,MIN(1,R253)))^2/$B$5))))&lt;0.000000001,0,S253-$B$11/$B$9*((MAX(0,MIN(1,S253))^2/(MAX(0,MIN(1,S253))^2+(1-MAX(0,MIN(1,S253)))^2/$B$5))-(MAX(0,MIN(1,R253))^2/(MAX(0,MIN(1,R253))^2+(1-MAX(0,MIN(1,R253)))^2/$B$5))))</f>
        <v>0.930833011913673</v>
      </c>
      <c r="T254" s="16" t="n">
        <f aca="false">IF(ABS(T253-$B$11/$B$9*((MAX(0,MIN(1,T253))^2/(MAX(0,MIN(1,T253))^2+(1-MAX(0,MIN(1,T253)))^2/$B$5))-(MAX(0,MIN(1,S253))^2/(MAX(0,MIN(1,S253))^2+(1-MAX(0,MIN(1,S253)))^2/$B$5))))&lt;0.000000001,0,T253-$B$11/$B$9*((MAX(0,MIN(1,T253))^2/(MAX(0,MIN(1,T253))^2+(1-MAX(0,MIN(1,T253)))^2/$B$5))-(MAX(0,MIN(1,S253))^2/(MAX(0,MIN(1,S253))^2+(1-MAX(0,MIN(1,S253)))^2/$B$5))))</f>
        <v>0.923897796845177</v>
      </c>
      <c r="U254" s="16" t="n">
        <f aca="false">IF(ABS(U253-$B$11/$B$9*((MAX(0,MIN(1,U253))^2/(MAX(0,MIN(1,U253))^2+(1-MAX(0,MIN(1,U253)))^2/$B$5))-(MAX(0,MIN(1,T253))^2/(MAX(0,MIN(1,T253))^2+(1-MAX(0,MIN(1,T253)))^2/$B$5))))&lt;0.000000001,0,U253-$B$11/$B$9*((MAX(0,MIN(1,U253))^2/(MAX(0,MIN(1,U253))^2+(1-MAX(0,MIN(1,U253)))^2/$B$5))-(MAX(0,MIN(1,T253))^2/(MAX(0,MIN(1,T253))^2+(1-MAX(0,MIN(1,T253)))^2/$B$5))))</f>
        <v>0.917238284497441</v>
      </c>
      <c r="V254" s="16" t="n">
        <f aca="false">IF(ABS(V253-$B$11/$B$9*((MAX(0,MIN(1,V253))^2/(MAX(0,MIN(1,V253))^2+(1-MAX(0,MIN(1,V253)))^2/$B$5))-(MAX(0,MIN(1,U253))^2/(MAX(0,MIN(1,U253))^2+(1-MAX(0,MIN(1,U253)))^2/$B$5))))&lt;0.000000001,0,V253-$B$11/$B$9*((MAX(0,MIN(1,V253))^2/(MAX(0,MIN(1,V253))^2+(1-MAX(0,MIN(1,V253)))^2/$B$5))-(MAX(0,MIN(1,U253))^2/(MAX(0,MIN(1,U253))^2+(1-MAX(0,MIN(1,U253)))^2/$B$5))))</f>
        <v>0.910827069510977</v>
      </c>
      <c r="W254" s="16" t="n">
        <f aca="false">IF(ABS(W253-$B$11/$B$9*((MAX(0,MIN(1,W253))^2/(MAX(0,MIN(1,W253))^2+(1-MAX(0,MIN(1,W253)))^2/$B$5))-(MAX(0,MIN(1,V253))^2/(MAX(0,MIN(1,V253))^2+(1-MAX(0,MIN(1,V253)))^2/$B$5))))&lt;0.000000001,0,W253-$B$11/$B$9*((MAX(0,MIN(1,W253))^2/(MAX(0,MIN(1,W253))^2+(1-MAX(0,MIN(1,W253)))^2/$B$5))-(MAX(0,MIN(1,V253))^2/(MAX(0,MIN(1,V253))^2+(1-MAX(0,MIN(1,V253)))^2/$B$5))))</f>
        <v>0.904641655055495</v>
      </c>
      <c r="X254" s="16" t="n">
        <f aca="false">IF(ABS(X253-$B$11/$B$9*((MAX(0,MIN(1,X253))^2/(MAX(0,MIN(1,X253))^2+(1-MAX(0,MIN(1,X253)))^2/$B$5))-(MAX(0,MIN(1,W253))^2/(MAX(0,MIN(1,W253))^2+(1-MAX(0,MIN(1,W253)))^2/$B$5))))&lt;0.000000001,0,X253-$B$11/$B$9*((MAX(0,MIN(1,X253))^2/(MAX(0,MIN(1,X253))^2+(1-MAX(0,MIN(1,X253)))^2/$B$5))-(MAX(0,MIN(1,W253))^2/(MAX(0,MIN(1,W253))^2+(1-MAX(0,MIN(1,W253)))^2/$B$5))))</f>
        <v>0.898663121942289</v>
      </c>
      <c r="Y254" s="16" t="n">
        <f aca="false">IF(ABS(Y253-$B$11/$B$9*((MAX(0,MIN(1,Y253))^2/(MAX(0,MIN(1,Y253))^2+(1-MAX(0,MIN(1,Y253)))^2/$B$5))-(MAX(0,MIN(1,X253))^2/(MAX(0,MIN(1,X253))^2+(1-MAX(0,MIN(1,X253)))^2/$B$5))))&lt;0.000000001,0,Y253-$B$11/$B$9*((MAX(0,MIN(1,Y253))^2/(MAX(0,MIN(1,Y253))^2+(1-MAX(0,MIN(1,Y253)))^2/$B$5))-(MAX(0,MIN(1,X253))^2/(MAX(0,MIN(1,X253))^2+(1-MAX(0,MIN(1,X253)))^2/$B$5))))</f>
        <v>0.892875265920305</v>
      </c>
      <c r="Z254" s="16" t="n">
        <f aca="false">IF(ABS(Z253-$B$11/$B$9*((MAX(0,MIN(1,Z253))^2/(MAX(0,MIN(1,Z253))^2+(1-MAX(0,MIN(1,Z253)))^2/$B$5))-(MAX(0,MIN(1,Y253))^2/(MAX(0,MIN(1,Y253))^2+(1-MAX(0,MIN(1,Y253)))^2/$B$5))))&lt;0.000000001,0,Z253-$B$11/$B$9*((MAX(0,MIN(1,Z253))^2/(MAX(0,MIN(1,Z253))^2+(1-MAX(0,MIN(1,Z253)))^2/$B$5))-(MAX(0,MIN(1,Y253))^2/(MAX(0,MIN(1,Y253))^2+(1-MAX(0,MIN(1,Y253)))^2/$B$5))))</f>
        <v>0.887264009236136</v>
      </c>
      <c r="AA254" s="16" t="n">
        <f aca="false">IF(ABS(AA253-$B$11/$B$9*((MAX(0,MIN(1,AA253))^2/(MAX(0,MIN(1,AA253))^2+(1-MAX(0,MIN(1,AA253)))^2/$B$5))-(MAX(0,MIN(1,Z253))^2/(MAX(0,MIN(1,Z253))^2+(1-MAX(0,MIN(1,Z253)))^2/$B$5))))&lt;0.000000001,0,AA253-$B$11/$B$9*((MAX(0,MIN(1,AA253))^2/(MAX(0,MIN(1,AA253))^2+(1-MAX(0,MIN(1,AA253)))^2/$B$5))-(MAX(0,MIN(1,Z253))^2/(MAX(0,MIN(1,Z253))^2+(1-MAX(0,MIN(1,Z253)))^2/$B$5))))</f>
        <v>0.881816982207097</v>
      </c>
      <c r="AB254" s="16" t="n">
        <f aca="false">IF(ABS(AB253-$B$11/$B$9*((MAX(0,MIN(1,AB253))^2/(MAX(0,MIN(1,AB253))^2+(1-MAX(0,MIN(1,AB253)))^2/$B$5))-(MAX(0,MIN(1,AA253))^2/(MAX(0,MIN(1,AA253))^2+(1-MAX(0,MIN(1,AA253)))^2/$B$5))))&lt;0.000000001,0,AB253-$B$11/$B$9*((MAX(0,MIN(1,AB253))^2/(MAX(0,MIN(1,AB253))^2+(1-MAX(0,MIN(1,AB253)))^2/$B$5))-(MAX(0,MIN(1,AA253))^2/(MAX(0,MIN(1,AA253))^2+(1-MAX(0,MIN(1,AA253)))^2/$B$5))))</f>
        <v>0.876523215280721</v>
      </c>
      <c r="AC254" s="16" t="n">
        <f aca="false">IF(ABS(AC253-$B$11/$B$9*((MAX(0,MIN(1,AC253))^2/(MAX(0,MIN(1,AC253))^2+(1-MAX(0,MIN(1,AC253)))^2/$B$5))-(MAX(0,MIN(1,AB253))^2/(MAX(0,MIN(1,AB253))^2+(1-MAX(0,MIN(1,AB253)))^2/$B$5))))&lt;0.000000001,0,AC253-$B$11/$B$9*((MAX(0,MIN(1,AC253))^2/(MAX(0,MIN(1,AC253))^2+(1-MAX(0,MIN(1,AC253)))^2/$B$5))-(MAX(0,MIN(1,AB253))^2/(MAX(0,MIN(1,AB253))^2+(1-MAX(0,MIN(1,AB253)))^2/$B$5))))</f>
        <v>0.871372905823988</v>
      </c>
      <c r="AD254" s="16" t="n">
        <f aca="false">IF(ABS(AD253-$B$11/$B$9*((MAX(0,MIN(1,AD253))^2/(MAX(0,MIN(1,AD253))^2+(1-MAX(0,MIN(1,AD253)))^2/$B$5))-(MAX(0,MIN(1,AC253))^2/(MAX(0,MIN(1,AC253))^2+(1-MAX(0,MIN(1,AC253)))^2/$B$5))))&lt;0.000000001,0,AD253-$B$11/$B$9*((MAX(0,MIN(1,AD253))^2/(MAX(0,MIN(1,AD253))^2+(1-MAX(0,MIN(1,AD253)))^2/$B$5))-(MAX(0,MIN(1,AC253))^2/(MAX(0,MIN(1,AC253))^2+(1-MAX(0,MIN(1,AC253)))^2/$B$5))))</f>
        <v>0.86635723721306</v>
      </c>
      <c r="AE254" s="16" t="n">
        <f aca="false">IF(ABS(AE253-$B$11/$B$9*((MAX(0,MIN(1,AE253))^2/(MAX(0,MIN(1,AE253))^2+(1-MAX(0,MIN(1,AE253)))^2/$B$5))-(MAX(0,MIN(1,AD253))^2/(MAX(0,MIN(1,AD253))^2+(1-MAX(0,MIN(1,AD253)))^2/$B$5))))&lt;0.000000001,0,AE253-$B$11/$B$9*((MAX(0,MIN(1,AE253))^2/(MAX(0,MIN(1,AE253))^2+(1-MAX(0,MIN(1,AE253)))^2/$B$5))-(MAX(0,MIN(1,AD253))^2/(MAX(0,MIN(1,AD253))^2+(1-MAX(0,MIN(1,AD253)))^2/$B$5))))</f>
        <v>0.861468235617239</v>
      </c>
      <c r="AF254" s="16" t="n">
        <f aca="false">IF(ABS(AF253-$B$11/$B$9*((MAX(0,MIN(1,AF253))^2/(MAX(0,MIN(1,AF253))^2+(1-MAX(0,MIN(1,AF253)))^2/$B$5))-(MAX(0,MIN(1,AE253))^2/(MAX(0,MIN(1,AE253))^2+(1-MAX(0,MIN(1,AE253)))^2/$B$5))))&lt;0.000000001,0,AF253-$B$11/$B$9*((MAX(0,MIN(1,AF253))^2/(MAX(0,MIN(1,AF253))^2+(1-MAX(0,MIN(1,AF253)))^2/$B$5))-(MAX(0,MIN(1,AE253))^2/(MAX(0,MIN(1,AE253))^2+(1-MAX(0,MIN(1,AE253)))^2/$B$5))))</f>
        <v>0.856698654649134</v>
      </c>
    </row>
    <row r="255" customFormat="false" ht="15" hidden="false" customHeight="false" outlineLevel="0" collapsed="false">
      <c r="L255" s="0" t="n">
        <v>245</v>
      </c>
      <c r="M255" s="16" t="n">
        <f aca="false">IF(ABS(M254-$B$11/$B$9*((MAX(0,MIN(1,M254))^2/(MAX(0,MIN(1,M254))^2+(1-MAX(0,MIN(1,M254)))^2/$B$5))-(MAX(0,MIN(1,1))^2/(MAX(0,MIN(1,1))^2+(1-MAX(0,MIN(1,1)))^2/$B$5))))&lt;0.000000001,0,M254-$B$11/$B$9*((MAX(0,MIN(1,M254))^2/(MAX(0,MIN(1,M254))^2+(1-MAX(0,MIN(1,M254)))^2/$B$5))-(MAX(0,MIN(1,1))^2/(MAX(0,MIN(1,1))^2+(1-MAX(0,MIN(1,1)))^2/$B$5))))</f>
        <v>0.981996690736634</v>
      </c>
      <c r="N255" s="16" t="n">
        <f aca="false">IF(ABS(N254-$B$11/$B$9*((MAX(0,MIN(1,N254))^2/(MAX(0,MIN(1,N254))^2+(1-MAX(0,MIN(1,N254)))^2/$B$5))-(MAX(0,MIN(1,M254))^2/(MAX(0,MIN(1,M254))^2+(1-MAX(0,MIN(1,M254)))^2/$B$5))))&lt;0.000000001,0,N254-$B$11/$B$9*((MAX(0,MIN(1,N254))^2/(MAX(0,MIN(1,N254))^2+(1-MAX(0,MIN(1,N254)))^2/$B$5))-(MAX(0,MIN(1,M254))^2/(MAX(0,MIN(1,M254))^2+(1-MAX(0,MIN(1,M254)))^2/$B$5))))</f>
        <v>0.971591004666101</v>
      </c>
      <c r="O255" s="16" t="n">
        <f aca="false">IF(ABS(O254-$B$11/$B$9*((MAX(0,MIN(1,O254))^2/(MAX(0,MIN(1,O254))^2+(1-MAX(0,MIN(1,O254)))^2/$B$5))-(MAX(0,MIN(1,N254))^2/(MAX(0,MIN(1,N254))^2+(1-MAX(0,MIN(1,N254)))^2/$B$5))))&lt;0.000000001,0,O254-$B$11/$B$9*((MAX(0,MIN(1,O254))^2/(MAX(0,MIN(1,O254))^2+(1-MAX(0,MIN(1,O254)))^2/$B$5))-(MAX(0,MIN(1,N254))^2/(MAX(0,MIN(1,N254))^2+(1-MAX(0,MIN(1,N254)))^2/$B$5))))</f>
        <v>0.962372212806503</v>
      </c>
      <c r="P255" s="16" t="n">
        <f aca="false">IF(ABS(P254-$B$11/$B$9*((MAX(0,MIN(1,P254))^2/(MAX(0,MIN(1,P254))^2+(1-MAX(0,MIN(1,P254)))^2/$B$5))-(MAX(0,MIN(1,O254))^2/(MAX(0,MIN(1,O254))^2+(1-MAX(0,MIN(1,O254)))^2/$B$5))))&lt;0.000000001,0,P254-$B$11/$B$9*((MAX(0,MIN(1,P254))^2/(MAX(0,MIN(1,P254))^2+(1-MAX(0,MIN(1,P254)))^2/$B$5))-(MAX(0,MIN(1,O254))^2/(MAX(0,MIN(1,O254))^2+(1-MAX(0,MIN(1,O254)))^2/$B$5))))</f>
        <v>0.95385732766691</v>
      </c>
      <c r="Q255" s="16" t="n">
        <f aca="false">IF(ABS(Q254-$B$11/$B$9*((MAX(0,MIN(1,Q254))^2/(MAX(0,MIN(1,Q254))^2+(1-MAX(0,MIN(1,Q254)))^2/$B$5))-(MAX(0,MIN(1,P254))^2/(MAX(0,MIN(1,P254))^2+(1-MAX(0,MIN(1,P254)))^2/$B$5))))&lt;0.000000001,0,Q254-$B$11/$B$9*((MAX(0,MIN(1,Q254))^2/(MAX(0,MIN(1,Q254))^2+(1-MAX(0,MIN(1,Q254)))^2/$B$5))-(MAX(0,MIN(1,P254))^2/(MAX(0,MIN(1,P254))^2+(1-MAX(0,MIN(1,P254)))^2/$B$5))))</f>
        <v>0.945860263169292</v>
      </c>
      <c r="R255" s="16" t="n">
        <f aca="false">IF(ABS(R254-$B$11/$B$9*((MAX(0,MIN(1,R254))^2/(MAX(0,MIN(1,R254))^2+(1-MAX(0,MIN(1,R254)))^2/$B$5))-(MAX(0,MIN(1,Q254))^2/(MAX(0,MIN(1,Q254))^2+(1-MAX(0,MIN(1,Q254)))^2/$B$5))))&lt;0.000000001,0,R254-$B$11/$B$9*((MAX(0,MIN(1,R254))^2/(MAX(0,MIN(1,R254))^2+(1-MAX(0,MIN(1,R254)))^2/$B$5))-(MAX(0,MIN(1,Q254))^2/(MAX(0,MIN(1,Q254))^2+(1-MAX(0,MIN(1,Q254)))^2/$B$5))))</f>
        <v>0.938281023843909</v>
      </c>
      <c r="S255" s="16" t="n">
        <f aca="false">IF(ABS(S254-$B$11/$B$9*((MAX(0,MIN(1,S254))^2/(MAX(0,MIN(1,S254))^2+(1-MAX(0,MIN(1,S254)))^2/$B$5))-(MAX(0,MIN(1,R254))^2/(MAX(0,MIN(1,R254))^2+(1-MAX(0,MIN(1,R254)))^2/$B$5))))&lt;0.000000001,0,S254-$B$11/$B$9*((MAX(0,MIN(1,S254))^2/(MAX(0,MIN(1,S254))^2+(1-MAX(0,MIN(1,S254)))^2/$B$5))-(MAX(0,MIN(1,R254))^2/(MAX(0,MIN(1,R254))^2+(1-MAX(0,MIN(1,R254)))^2/$B$5))))</f>
        <v>0.931055761835107</v>
      </c>
      <c r="T255" s="16" t="n">
        <f aca="false">IF(ABS(T254-$B$11/$B$9*((MAX(0,MIN(1,T254))^2/(MAX(0,MIN(1,T254))^2+(1-MAX(0,MIN(1,T254)))^2/$B$5))-(MAX(0,MIN(1,S254))^2/(MAX(0,MIN(1,S254))^2+(1-MAX(0,MIN(1,S254)))^2/$B$5))))&lt;0.000000001,0,T254-$B$11/$B$9*((MAX(0,MIN(1,T254))^2/(MAX(0,MIN(1,T254))^2+(1-MAX(0,MIN(1,T254)))^2/$B$5))-(MAX(0,MIN(1,S254))^2/(MAX(0,MIN(1,S254))^2+(1-MAX(0,MIN(1,S254)))^2/$B$5))))</f>
        <v>0.924139233988358</v>
      </c>
      <c r="U255" s="16" t="n">
        <f aca="false">IF(ABS(U254-$B$11/$B$9*((MAX(0,MIN(1,U254))^2/(MAX(0,MIN(1,U254))^2+(1-MAX(0,MIN(1,U254)))^2/$B$5))-(MAX(0,MIN(1,T254))^2/(MAX(0,MIN(1,T254))^2+(1-MAX(0,MIN(1,T254)))^2/$B$5))))&lt;0.000000001,0,U254-$B$11/$B$9*((MAX(0,MIN(1,U254))^2/(MAX(0,MIN(1,U254))^2+(1-MAX(0,MIN(1,U254)))^2/$B$5))-(MAX(0,MIN(1,T254))^2/(MAX(0,MIN(1,T254))^2+(1-MAX(0,MIN(1,T254)))^2/$B$5))))</f>
        <v>0.91749713195867</v>
      </c>
      <c r="V255" s="16" t="n">
        <f aca="false">IF(ABS(V254-$B$11/$B$9*((MAX(0,MIN(1,V254))^2/(MAX(0,MIN(1,V254))^2+(1-MAX(0,MIN(1,V254)))^2/$B$5))-(MAX(0,MIN(1,U254))^2/(MAX(0,MIN(1,U254))^2+(1-MAX(0,MIN(1,U254)))^2/$B$5))))&lt;0.000000001,0,V254-$B$11/$B$9*((MAX(0,MIN(1,V254))^2/(MAX(0,MIN(1,V254))^2+(1-MAX(0,MIN(1,V254)))^2/$B$5))-(MAX(0,MIN(1,U254))^2/(MAX(0,MIN(1,U254))^2+(1-MAX(0,MIN(1,U254)))^2/$B$5))))</f>
        <v>0.91110220535522</v>
      </c>
      <c r="W255" s="16" t="n">
        <f aca="false">IF(ABS(W254-$B$11/$B$9*((MAX(0,MIN(1,W254))^2/(MAX(0,MIN(1,W254))^2+(1-MAX(0,MIN(1,W254)))^2/$B$5))-(MAX(0,MIN(1,V254))^2/(MAX(0,MIN(1,V254))^2+(1-MAX(0,MIN(1,V254)))^2/$B$5))))&lt;0.000000001,0,W254-$B$11/$B$9*((MAX(0,MIN(1,W254))^2/(MAX(0,MIN(1,W254))^2+(1-MAX(0,MIN(1,W254)))^2/$B$5))-(MAX(0,MIN(1,V254))^2/(MAX(0,MIN(1,V254))^2+(1-MAX(0,MIN(1,V254)))^2/$B$5))))</f>
        <v>0.904932085027588</v>
      </c>
      <c r="X255" s="16" t="n">
        <f aca="false">IF(ABS(X254-$B$11/$B$9*((MAX(0,MIN(1,X254))^2/(MAX(0,MIN(1,X254))^2+(1-MAX(0,MIN(1,X254)))^2/$B$5))-(MAX(0,MIN(1,W254))^2/(MAX(0,MIN(1,W254))^2+(1-MAX(0,MIN(1,W254)))^2/$B$5))))&lt;0.000000001,0,X254-$B$11/$B$9*((MAX(0,MIN(1,X254))^2/(MAX(0,MIN(1,X254))^2+(1-MAX(0,MIN(1,X254)))^2/$B$5))-(MAX(0,MIN(1,W254))^2/(MAX(0,MIN(1,W254))^2+(1-MAX(0,MIN(1,W254)))^2/$B$5))))</f>
        <v>0.8989679588816</v>
      </c>
      <c r="Y255" s="16" t="n">
        <f aca="false">IF(ABS(Y254-$B$11/$B$9*((MAX(0,MIN(1,Y254))^2/(MAX(0,MIN(1,Y254))^2+(1-MAX(0,MIN(1,Y254)))^2/$B$5))-(MAX(0,MIN(1,X254))^2/(MAX(0,MIN(1,X254))^2+(1-MAX(0,MIN(1,X254)))^2/$B$5))))&lt;0.000000001,0,Y254-$B$11/$B$9*((MAX(0,MIN(1,Y254))^2/(MAX(0,MIN(1,Y254))^2+(1-MAX(0,MIN(1,Y254)))^2/$B$5))-(MAX(0,MIN(1,X254))^2/(MAX(0,MIN(1,X254))^2+(1-MAX(0,MIN(1,X254)))^2/$B$5))))</f>
        <v>0.893193713735511</v>
      </c>
      <c r="Z255" s="16" t="n">
        <f aca="false">IF(ABS(Z254-$B$11/$B$9*((MAX(0,MIN(1,Z254))^2/(MAX(0,MIN(1,Z254))^2+(1-MAX(0,MIN(1,Z254)))^2/$B$5))-(MAX(0,MIN(1,Y254))^2/(MAX(0,MIN(1,Y254))^2+(1-MAX(0,MIN(1,Y254)))^2/$B$5))))&lt;0.000000001,0,Z254-$B$11/$B$9*((MAX(0,MIN(1,Z254))^2/(MAX(0,MIN(1,Z254))^2+(1-MAX(0,MIN(1,Z254)))^2/$B$5))-(MAX(0,MIN(1,Y254))^2/(MAX(0,MIN(1,Y254))^2+(1-MAX(0,MIN(1,Y254)))^2/$B$5))))</f>
        <v>0.887595350127667</v>
      </c>
      <c r="AA255" s="16" t="n">
        <f aca="false">IF(ABS(AA254-$B$11/$B$9*((MAX(0,MIN(1,AA254))^2/(MAX(0,MIN(1,AA254))^2+(1-MAX(0,MIN(1,AA254)))^2/$B$5))-(MAX(0,MIN(1,Z254))^2/(MAX(0,MIN(1,Z254))^2+(1-MAX(0,MIN(1,Z254)))^2/$B$5))))&lt;0.000000001,0,AA254-$B$11/$B$9*((MAX(0,MIN(1,AA254))^2/(MAX(0,MIN(1,AA254))^2+(1-MAX(0,MIN(1,AA254)))^2/$B$5))-(MAX(0,MIN(1,Z254))^2/(MAX(0,MIN(1,Z254))^2+(1-MAX(0,MIN(1,Z254)))^2/$B$5))))</f>
        <v>0.882160566286829</v>
      </c>
      <c r="AB255" s="16" t="n">
        <f aca="false">IF(ABS(AB254-$B$11/$B$9*((MAX(0,MIN(1,AB254))^2/(MAX(0,MIN(1,AB254))^2+(1-MAX(0,MIN(1,AB254)))^2/$B$5))-(MAX(0,MIN(1,AA254))^2/(MAX(0,MIN(1,AA254))^2+(1-MAX(0,MIN(1,AA254)))^2/$B$5))))&lt;0.000000001,0,AB254-$B$11/$B$9*((MAX(0,MIN(1,AB254))^2/(MAX(0,MIN(1,AB254))^2+(1-MAX(0,MIN(1,AB254)))^2/$B$5))-(MAX(0,MIN(1,AA254))^2/(MAX(0,MIN(1,AA254))^2+(1-MAX(0,MIN(1,AA254)))^2/$B$5))))</f>
        <v>0.876878452012143</v>
      </c>
      <c r="AC255" s="16" t="n">
        <f aca="false">IF(ABS(AC254-$B$11/$B$9*((MAX(0,MIN(1,AC254))^2/(MAX(0,MIN(1,AC254))^2+(1-MAX(0,MIN(1,AC254)))^2/$B$5))-(MAX(0,MIN(1,AB254))^2/(MAX(0,MIN(1,AB254))^2+(1-MAX(0,MIN(1,AB254)))^2/$B$5))))&lt;0.000000001,0,AC254-$B$11/$B$9*((MAX(0,MIN(1,AC254))^2/(MAX(0,MIN(1,AC254))^2+(1-MAX(0,MIN(1,AC254)))^2/$B$5))-(MAX(0,MIN(1,AB254))^2/(MAX(0,MIN(1,AB254))^2+(1-MAX(0,MIN(1,AB254)))^2/$B$5))))</f>
        <v>0.871739256876728</v>
      </c>
      <c r="AD255" s="16" t="n">
        <f aca="false">IF(ABS(AD254-$B$11/$B$9*((MAX(0,MIN(1,AD254))^2/(MAX(0,MIN(1,AD254))^2+(1-MAX(0,MIN(1,AD254)))^2/$B$5))-(MAX(0,MIN(1,AC254))^2/(MAX(0,MIN(1,AC254))^2+(1-MAX(0,MIN(1,AC254)))^2/$B$5))))&lt;0.000000001,0,AD254-$B$11/$B$9*((MAX(0,MIN(1,AD254))^2/(MAX(0,MIN(1,AD254))^2+(1-MAX(0,MIN(1,AD254)))^2/$B$5))-(MAX(0,MIN(1,AC254))^2/(MAX(0,MIN(1,AC254))^2+(1-MAX(0,MIN(1,AC254)))^2/$B$5))))</f>
        <v>0.866734210436955</v>
      </c>
      <c r="AE255" s="16" t="n">
        <f aca="false">IF(ABS(AE254-$B$11/$B$9*((MAX(0,MIN(1,AE254))^2/(MAX(0,MIN(1,AE254))^2+(1-MAX(0,MIN(1,AE254)))^2/$B$5))-(MAX(0,MIN(1,AD254))^2/(MAX(0,MIN(1,AD254))^2+(1-MAX(0,MIN(1,AD254)))^2/$B$5))))&lt;0.000000001,0,AE254-$B$11/$B$9*((MAX(0,MIN(1,AE254))^2/(MAX(0,MIN(1,AE254))^2+(1-MAX(0,MIN(1,AE254)))^2/$B$5))-(MAX(0,MIN(1,AD254))^2/(MAX(0,MIN(1,AD254))^2+(1-MAX(0,MIN(1,AD254)))^2/$B$5))))</f>
        <v>0.861855379916354</v>
      </c>
      <c r="AF255" s="16" t="n">
        <f aca="false">IF(ABS(AF254-$B$11/$B$9*((MAX(0,MIN(1,AF254))^2/(MAX(0,MIN(1,AF254))^2+(1-MAX(0,MIN(1,AF254)))^2/$B$5))-(MAX(0,MIN(1,AE254))^2/(MAX(0,MIN(1,AE254))^2+(1-MAX(0,MIN(1,AE254)))^2/$B$5))))&lt;0.000000001,0,AF254-$B$11/$B$9*((MAX(0,MIN(1,AF254))^2/(MAX(0,MIN(1,AF254))^2+(1-MAX(0,MIN(1,AF254)))^2/$B$5))-(MAX(0,MIN(1,AE254))^2/(MAX(0,MIN(1,AE254))^2+(1-MAX(0,MIN(1,AE254)))^2/$B$5))))</f>
        <v>0.857095555588684</v>
      </c>
    </row>
    <row r="256" customFormat="false" ht="15" hidden="false" customHeight="false" outlineLevel="0" collapsed="false">
      <c r="L256" s="0" t="n">
        <v>246</v>
      </c>
      <c r="M256" s="16" t="n">
        <f aca="false">IF(ABS(M255-$B$11/$B$9*((MAX(0,MIN(1,M255))^2/(MAX(0,MIN(1,M255))^2+(1-MAX(0,MIN(1,M255)))^2/$B$5))-(MAX(0,MIN(1,1))^2/(MAX(0,MIN(1,1))^2+(1-MAX(0,MIN(1,1)))^2/$B$5))))&lt;0.000000001,0,M255-$B$11/$B$9*((MAX(0,MIN(1,M255))^2/(MAX(0,MIN(1,M255))^2+(1-MAX(0,MIN(1,M255)))^2/$B$5))-(MAX(0,MIN(1,1))^2/(MAX(0,MIN(1,1))^2+(1-MAX(0,MIN(1,1)))^2/$B$5))))</f>
        <v>0.982061302776486</v>
      </c>
      <c r="N256" s="16" t="n">
        <f aca="false">IF(ABS(N255-$B$11/$B$9*((MAX(0,MIN(1,N255))^2/(MAX(0,MIN(1,N255))^2+(1-MAX(0,MIN(1,N255)))^2/$B$5))-(MAX(0,MIN(1,M255))^2/(MAX(0,MIN(1,M255))^2+(1-MAX(0,MIN(1,M255)))^2/$B$5))))&lt;0.000000001,0,N255-$B$11/$B$9*((MAX(0,MIN(1,N255))^2/(MAX(0,MIN(1,N255))^2+(1-MAX(0,MIN(1,N255)))^2/$B$5))-(MAX(0,MIN(1,M255))^2/(MAX(0,MIN(1,M255))^2+(1-MAX(0,MIN(1,M255)))^2/$B$5))))</f>
        <v>0.971690701479596</v>
      </c>
      <c r="O256" s="16" t="n">
        <f aca="false">IF(ABS(O255-$B$11/$B$9*((MAX(0,MIN(1,O255))^2/(MAX(0,MIN(1,O255))^2+(1-MAX(0,MIN(1,O255)))^2/$B$5))-(MAX(0,MIN(1,N255))^2/(MAX(0,MIN(1,N255))^2+(1-MAX(0,MIN(1,N255)))^2/$B$5))))&lt;0.000000001,0,O255-$B$11/$B$9*((MAX(0,MIN(1,O255))^2/(MAX(0,MIN(1,O255))^2+(1-MAX(0,MIN(1,O255)))^2/$B$5))-(MAX(0,MIN(1,N255))^2/(MAX(0,MIN(1,N255))^2+(1-MAX(0,MIN(1,N255)))^2/$B$5))))</f>
        <v>0.962501602077055</v>
      </c>
      <c r="P256" s="16" t="n">
        <f aca="false">IF(ABS(P255-$B$11/$B$9*((MAX(0,MIN(1,P255))^2/(MAX(0,MIN(1,P255))^2+(1-MAX(0,MIN(1,P255)))^2/$B$5))-(MAX(0,MIN(1,O255))^2/(MAX(0,MIN(1,O255))^2+(1-MAX(0,MIN(1,O255)))^2/$B$5))))&lt;0.000000001,0,P255-$B$11/$B$9*((MAX(0,MIN(1,P255))^2/(MAX(0,MIN(1,P255))^2+(1-MAX(0,MIN(1,P255)))^2/$B$5))-(MAX(0,MIN(1,O255))^2/(MAX(0,MIN(1,O255))^2+(1-MAX(0,MIN(1,O255)))^2/$B$5))))</f>
        <v>0.954013029045799</v>
      </c>
      <c r="Q256" s="16" t="n">
        <f aca="false">IF(ABS(Q255-$B$11/$B$9*((MAX(0,MIN(1,Q255))^2/(MAX(0,MIN(1,Q255))^2+(1-MAX(0,MIN(1,Q255)))^2/$B$5))-(MAX(0,MIN(1,P255))^2/(MAX(0,MIN(1,P255))^2+(1-MAX(0,MIN(1,P255)))^2/$B$5))))&lt;0.000000001,0,Q255-$B$11/$B$9*((MAX(0,MIN(1,Q255))^2/(MAX(0,MIN(1,Q255))^2+(1-MAX(0,MIN(1,Q255)))^2/$B$5))-(MAX(0,MIN(1,P255))^2/(MAX(0,MIN(1,P255))^2+(1-MAX(0,MIN(1,P255)))^2/$B$5))))</f>
        <v>0.94603974581588</v>
      </c>
      <c r="R256" s="16" t="n">
        <f aca="false">IF(ABS(R255-$B$11/$B$9*((MAX(0,MIN(1,R255))^2/(MAX(0,MIN(1,R255))^2+(1-MAX(0,MIN(1,R255)))^2/$B$5))-(MAX(0,MIN(1,Q255))^2/(MAX(0,MIN(1,Q255))^2+(1-MAX(0,MIN(1,Q255)))^2/$B$5))))&lt;0.000000001,0,R255-$B$11/$B$9*((MAX(0,MIN(1,R255))^2/(MAX(0,MIN(1,R255))^2+(1-MAX(0,MIN(1,R255)))^2/$B$5))-(MAX(0,MIN(1,Q255))^2/(MAX(0,MIN(1,Q255))^2+(1-MAX(0,MIN(1,Q255)))^2/$B$5))))</f>
        <v>0.938482250094414</v>
      </c>
      <c r="S256" s="16" t="n">
        <f aca="false">IF(ABS(S255-$B$11/$B$9*((MAX(0,MIN(1,S255))^2/(MAX(0,MIN(1,S255))^2+(1-MAX(0,MIN(1,S255)))^2/$B$5))-(MAX(0,MIN(1,R255))^2/(MAX(0,MIN(1,R255))^2+(1-MAX(0,MIN(1,R255)))^2/$B$5))))&lt;0.000000001,0,S255-$B$11/$B$9*((MAX(0,MIN(1,S255))^2/(MAX(0,MIN(1,S255))^2+(1-MAX(0,MIN(1,S255)))^2/$B$5))-(MAX(0,MIN(1,R255))^2/(MAX(0,MIN(1,R255))^2+(1-MAX(0,MIN(1,R255)))^2/$B$5))))</f>
        <v>0.931277027610439</v>
      </c>
      <c r="T256" s="16" t="n">
        <f aca="false">IF(ABS(T255-$B$11/$B$9*((MAX(0,MIN(1,T255))^2/(MAX(0,MIN(1,T255))^2+(1-MAX(0,MIN(1,T255)))^2/$B$5))-(MAX(0,MIN(1,S255))^2/(MAX(0,MIN(1,S255))^2+(1-MAX(0,MIN(1,S255)))^2/$B$5))))&lt;0.000000001,0,T255-$B$11/$B$9*((MAX(0,MIN(1,T255))^2/(MAX(0,MIN(1,T255))^2+(1-MAX(0,MIN(1,T255)))^2/$B$5))-(MAX(0,MIN(1,S255))^2/(MAX(0,MIN(1,S255))^2+(1-MAX(0,MIN(1,S255)))^2/$B$5))))</f>
        <v>0.924379081025659</v>
      </c>
      <c r="U256" s="16" t="n">
        <f aca="false">IF(ABS(U255-$B$11/$B$9*((MAX(0,MIN(1,U255))^2/(MAX(0,MIN(1,U255))^2+(1-MAX(0,MIN(1,U255)))^2/$B$5))-(MAX(0,MIN(1,T255))^2/(MAX(0,MIN(1,T255))^2+(1-MAX(0,MIN(1,T255)))^2/$B$5))))&lt;0.000000001,0,U255-$B$11/$B$9*((MAX(0,MIN(1,U255))^2/(MAX(0,MIN(1,U255))^2+(1-MAX(0,MIN(1,U255)))^2/$B$5))-(MAX(0,MIN(1,T255))^2/(MAX(0,MIN(1,T255))^2+(1-MAX(0,MIN(1,T255)))^2/$B$5))))</f>
        <v>0.917754292931845</v>
      </c>
      <c r="V256" s="16" t="n">
        <f aca="false">IF(ABS(V255-$B$11/$B$9*((MAX(0,MIN(1,V255))^2/(MAX(0,MIN(1,V255))^2+(1-MAX(0,MIN(1,V255)))^2/$B$5))-(MAX(0,MIN(1,U255))^2/(MAX(0,MIN(1,U255))^2+(1-MAX(0,MIN(1,U255)))^2/$B$5))))&lt;0.000000001,0,V255-$B$11/$B$9*((MAX(0,MIN(1,V255))^2/(MAX(0,MIN(1,V255))^2+(1-MAX(0,MIN(1,V255)))^2/$B$5))-(MAX(0,MIN(1,U255))^2/(MAX(0,MIN(1,U255))^2+(1-MAX(0,MIN(1,U255)))^2/$B$5))))</f>
        <v>0.911375566494246</v>
      </c>
      <c r="W256" s="16" t="n">
        <f aca="false">IF(ABS(W255-$B$11/$B$9*((MAX(0,MIN(1,W255))^2/(MAX(0,MIN(1,W255))^2+(1-MAX(0,MIN(1,W255)))^2/$B$5))-(MAX(0,MIN(1,V255))^2/(MAX(0,MIN(1,V255))^2+(1-MAX(0,MIN(1,V255)))^2/$B$5))))&lt;0.000000001,0,W255-$B$11/$B$9*((MAX(0,MIN(1,W255))^2/(MAX(0,MIN(1,W255))^2+(1-MAX(0,MIN(1,W255)))^2/$B$5))-(MAX(0,MIN(1,V255))^2/(MAX(0,MIN(1,V255))^2+(1-MAX(0,MIN(1,V255)))^2/$B$5))))</f>
        <v>0.905220659097975</v>
      </c>
      <c r="X256" s="16" t="n">
        <f aca="false">IF(ABS(X255-$B$11/$B$9*((MAX(0,MIN(1,X255))^2/(MAX(0,MIN(1,X255))^2+(1-MAX(0,MIN(1,X255)))^2/$B$5))-(MAX(0,MIN(1,W255))^2/(MAX(0,MIN(1,W255))^2+(1-MAX(0,MIN(1,W255)))^2/$B$5))))&lt;0.000000001,0,X255-$B$11/$B$9*((MAX(0,MIN(1,X255))^2/(MAX(0,MIN(1,X255))^2+(1-MAX(0,MIN(1,X255)))^2/$B$5))-(MAX(0,MIN(1,W255))^2/(MAX(0,MIN(1,W255))^2+(1-MAX(0,MIN(1,W255)))^2/$B$5))))</f>
        <v>0.899270864801591</v>
      </c>
      <c r="Y256" s="16" t="n">
        <f aca="false">IF(ABS(Y255-$B$11/$B$9*((MAX(0,MIN(1,Y255))^2/(MAX(0,MIN(1,Y255))^2+(1-MAX(0,MIN(1,Y255)))^2/$B$5))-(MAX(0,MIN(1,X255))^2/(MAX(0,MIN(1,X255))^2+(1-MAX(0,MIN(1,X255)))^2/$B$5))))&lt;0.000000001,0,Y255-$B$11/$B$9*((MAX(0,MIN(1,Y255))^2/(MAX(0,MIN(1,Y255))^2+(1-MAX(0,MIN(1,Y255)))^2/$B$5))-(MAX(0,MIN(1,X255))^2/(MAX(0,MIN(1,X255))^2+(1-MAX(0,MIN(1,X255)))^2/$B$5))))</f>
        <v>0.893510160707785</v>
      </c>
      <c r="Z256" s="16" t="n">
        <f aca="false">IF(ABS(Z255-$B$11/$B$9*((MAX(0,MIN(1,Z255))^2/(MAX(0,MIN(1,Z255))^2+(1-MAX(0,MIN(1,Z255)))^2/$B$5))-(MAX(0,MIN(1,Y255))^2/(MAX(0,MIN(1,Y255))^2+(1-MAX(0,MIN(1,Y255)))^2/$B$5))))&lt;0.000000001,0,Z255-$B$11/$B$9*((MAX(0,MIN(1,Z255))^2/(MAX(0,MIN(1,Z255))^2+(1-MAX(0,MIN(1,Z255)))^2/$B$5))-(MAX(0,MIN(1,Y255))^2/(MAX(0,MIN(1,Y255))^2+(1-MAX(0,MIN(1,Y255)))^2/$B$5))))</f>
        <v>0.887924624985797</v>
      </c>
      <c r="AA256" s="16" t="n">
        <f aca="false">IF(ABS(AA255-$B$11/$B$9*((MAX(0,MIN(1,AA255))^2/(MAX(0,MIN(1,AA255))^2+(1-MAX(0,MIN(1,AA255)))^2/$B$5))-(MAX(0,MIN(1,Z255))^2/(MAX(0,MIN(1,Z255))^2+(1-MAX(0,MIN(1,Z255)))^2/$B$5))))&lt;0.000000001,0,AA255-$B$11/$B$9*((MAX(0,MIN(1,AA255))^2/(MAX(0,MIN(1,AA255))^2+(1-MAX(0,MIN(1,AA255)))^2/$B$5))-(MAX(0,MIN(1,Z255))^2/(MAX(0,MIN(1,Z255))^2+(1-MAX(0,MIN(1,Z255)))^2/$B$5))))</f>
        <v>0.882502023214541</v>
      </c>
      <c r="AB256" s="16" t="n">
        <f aca="false">IF(ABS(AB255-$B$11/$B$9*((MAX(0,MIN(1,AB255))^2/(MAX(0,MIN(1,AB255))^2+(1-MAX(0,MIN(1,AB255)))^2/$B$5))-(MAX(0,MIN(1,AA255))^2/(MAX(0,MIN(1,AA255))^2+(1-MAX(0,MIN(1,AA255)))^2/$B$5))))&lt;0.000000001,0,AB255-$B$11/$B$9*((MAX(0,MIN(1,AB255))^2/(MAX(0,MIN(1,AB255))^2+(1-MAX(0,MIN(1,AB255)))^2/$B$5))-(MAX(0,MIN(1,AA255))^2/(MAX(0,MIN(1,AA255))^2+(1-MAX(0,MIN(1,AA255)))^2/$B$5))))</f>
        <v>0.877231504064427</v>
      </c>
      <c r="AC256" s="16" t="n">
        <f aca="false">IF(ABS(AC255-$B$11/$B$9*((MAX(0,MIN(1,AC255))^2/(MAX(0,MIN(1,AC255))^2+(1-MAX(0,MIN(1,AC255)))^2/$B$5))-(MAX(0,MIN(1,AB255))^2/(MAX(0,MIN(1,AB255))^2+(1-MAX(0,MIN(1,AB255)))^2/$B$5))))&lt;0.000000001,0,AC255-$B$11/$B$9*((MAX(0,MIN(1,AC255))^2/(MAX(0,MIN(1,AC255))^2+(1-MAX(0,MIN(1,AC255)))^2/$B$5))-(MAX(0,MIN(1,AB255))^2/(MAX(0,MIN(1,AB255))^2+(1-MAX(0,MIN(1,AB255)))^2/$B$5))))</f>
        <v>0.872103368900897</v>
      </c>
      <c r="AD256" s="16" t="n">
        <f aca="false">IF(ABS(AD255-$B$11/$B$9*((MAX(0,MIN(1,AD255))^2/(MAX(0,MIN(1,AD255))^2+(1-MAX(0,MIN(1,AD255)))^2/$B$5))-(MAX(0,MIN(1,AC255))^2/(MAX(0,MIN(1,AC255))^2+(1-MAX(0,MIN(1,AC255)))^2/$B$5))))&lt;0.000000001,0,AD255-$B$11/$B$9*((MAX(0,MIN(1,AD255))^2/(MAX(0,MIN(1,AD255))^2+(1-MAX(0,MIN(1,AD255)))^2/$B$5))-(MAX(0,MIN(1,AC255))^2/(MAX(0,MIN(1,AC255))^2+(1-MAX(0,MIN(1,AC255)))^2/$B$5))))</f>
        <v>0.867108893101874</v>
      </c>
      <c r="AE256" s="16" t="n">
        <f aca="false">IF(ABS(AE255-$B$11/$B$9*((MAX(0,MIN(1,AE255))^2/(MAX(0,MIN(1,AE255))^2+(1-MAX(0,MIN(1,AE255)))^2/$B$5))-(MAX(0,MIN(1,AD255))^2/(MAX(0,MIN(1,AD255))^2+(1-MAX(0,MIN(1,AD255)))^2/$B$5))))&lt;0.000000001,0,AE255-$B$11/$B$9*((MAX(0,MIN(1,AE255))^2/(MAX(0,MIN(1,AE255))^2+(1-MAX(0,MIN(1,AE255)))^2/$B$5))-(MAX(0,MIN(1,AD255))^2/(MAX(0,MIN(1,AD255))^2+(1-MAX(0,MIN(1,AD255)))^2/$B$5))))</f>
        <v>0.862240184632569</v>
      </c>
      <c r="AF256" s="16" t="n">
        <f aca="false">IF(ABS(AF255-$B$11/$B$9*((MAX(0,MIN(1,AF255))^2/(MAX(0,MIN(1,AF255))^2+(1-MAX(0,MIN(1,AF255)))^2/$B$5))-(MAX(0,MIN(1,AE255))^2/(MAX(0,MIN(1,AE255))^2+(1-MAX(0,MIN(1,AE255)))^2/$B$5))))&lt;0.000000001,0,AF255-$B$11/$B$9*((MAX(0,MIN(1,AF255))^2/(MAX(0,MIN(1,AF255))^2+(1-MAX(0,MIN(1,AF255)))^2/$B$5))-(MAX(0,MIN(1,AE255))^2/(MAX(0,MIN(1,AE255))^2+(1-MAX(0,MIN(1,AE255)))^2/$B$5))))</f>
        <v>0.857490070154152</v>
      </c>
    </row>
    <row r="257" customFormat="false" ht="15" hidden="false" customHeight="false" outlineLevel="0" collapsed="false">
      <c r="L257" s="0" t="n">
        <v>247</v>
      </c>
      <c r="M257" s="16" t="n">
        <f aca="false">IF(ABS(M256-$B$11/$B$9*((MAX(0,MIN(1,M256))^2/(MAX(0,MIN(1,M256))^2+(1-MAX(0,MIN(1,M256)))^2/$B$5))-(MAX(0,MIN(1,1))^2/(MAX(0,MIN(1,1))^2+(1-MAX(0,MIN(1,1)))^2/$B$5))))&lt;0.000000001,0,M256-$B$11/$B$9*((MAX(0,MIN(1,M256))^2/(MAX(0,MIN(1,M256))^2+(1-MAX(0,MIN(1,M256)))^2/$B$5))-(MAX(0,MIN(1,1))^2/(MAX(0,MIN(1,1))^2+(1-MAX(0,MIN(1,1)))^2/$B$5))))</f>
        <v>0.982125443514392</v>
      </c>
      <c r="N257" s="16" t="n">
        <f aca="false">IF(ABS(N256-$B$11/$B$9*((MAX(0,MIN(1,N256))^2/(MAX(0,MIN(1,N256))^2+(1-MAX(0,MIN(1,N256)))^2/$B$5))-(MAX(0,MIN(1,M256))^2/(MAX(0,MIN(1,M256))^2+(1-MAX(0,MIN(1,M256)))^2/$B$5))))&lt;0.000000001,0,N256-$B$11/$B$9*((MAX(0,MIN(1,N256))^2/(MAX(0,MIN(1,N256))^2+(1-MAX(0,MIN(1,N256)))^2/$B$5))-(MAX(0,MIN(1,M256))^2/(MAX(0,MIN(1,M256))^2+(1-MAX(0,MIN(1,M256)))^2/$B$5))))</f>
        <v>0.97178968541131</v>
      </c>
      <c r="O257" s="16" t="n">
        <f aca="false">IF(ABS(O256-$B$11/$B$9*((MAX(0,MIN(1,O256))^2/(MAX(0,MIN(1,O256))^2+(1-MAX(0,MIN(1,O256)))^2/$B$5))-(MAX(0,MIN(1,N256))^2/(MAX(0,MIN(1,N256))^2+(1-MAX(0,MIN(1,N256)))^2/$B$5))))&lt;0.000000001,0,O256-$B$11/$B$9*((MAX(0,MIN(1,O256))^2/(MAX(0,MIN(1,O256))^2+(1-MAX(0,MIN(1,O256)))^2/$B$5))-(MAX(0,MIN(1,N256))^2/(MAX(0,MIN(1,N256))^2+(1-MAX(0,MIN(1,N256)))^2/$B$5))))</f>
        <v>0.962630082318712</v>
      </c>
      <c r="P257" s="16" t="n">
        <f aca="false">IF(ABS(P256-$B$11/$B$9*((MAX(0,MIN(1,P256))^2/(MAX(0,MIN(1,P256))^2+(1-MAX(0,MIN(1,P256)))^2/$B$5))-(MAX(0,MIN(1,O256))^2/(MAX(0,MIN(1,O256))^2+(1-MAX(0,MIN(1,O256)))^2/$B$5))))&lt;0.000000001,0,P256-$B$11/$B$9*((MAX(0,MIN(1,P256))^2/(MAX(0,MIN(1,P256))^2+(1-MAX(0,MIN(1,P256)))^2/$B$5))-(MAX(0,MIN(1,O256))^2/(MAX(0,MIN(1,O256))^2+(1-MAX(0,MIN(1,O256)))^2/$B$5))))</f>
        <v>0.954167653887437</v>
      </c>
      <c r="Q257" s="16" t="n">
        <f aca="false">IF(ABS(Q256-$B$11/$B$9*((MAX(0,MIN(1,Q256))^2/(MAX(0,MIN(1,Q256))^2+(1-MAX(0,MIN(1,Q256)))^2/$B$5))-(MAX(0,MIN(1,P256))^2/(MAX(0,MIN(1,P256))^2+(1-MAX(0,MIN(1,P256)))^2/$B$5))))&lt;0.000000001,0,Q256-$B$11/$B$9*((MAX(0,MIN(1,Q256))^2/(MAX(0,MIN(1,Q256))^2+(1-MAX(0,MIN(1,Q256)))^2/$B$5))-(MAX(0,MIN(1,P256))^2/(MAX(0,MIN(1,P256))^2+(1-MAX(0,MIN(1,P256)))^2/$B$5))))</f>
        <v>0.946218005540937</v>
      </c>
      <c r="R257" s="16" t="n">
        <f aca="false">IF(ABS(R256-$B$11/$B$9*((MAX(0,MIN(1,R256))^2/(MAX(0,MIN(1,R256))^2+(1-MAX(0,MIN(1,R256)))^2/$B$5))-(MAX(0,MIN(1,Q256))^2/(MAX(0,MIN(1,Q256))^2+(1-MAX(0,MIN(1,Q256)))^2/$B$5))))&lt;0.000000001,0,R256-$B$11/$B$9*((MAX(0,MIN(1,R256))^2/(MAX(0,MIN(1,R256))^2+(1-MAX(0,MIN(1,R256)))^2/$B$5))-(MAX(0,MIN(1,Q256))^2/(MAX(0,MIN(1,Q256))^2+(1-MAX(0,MIN(1,Q256)))^2/$B$5))))</f>
        <v>0.938682123651976</v>
      </c>
      <c r="S257" s="16" t="n">
        <f aca="false">IF(ABS(S256-$B$11/$B$9*((MAX(0,MIN(1,S256))^2/(MAX(0,MIN(1,S256))^2+(1-MAX(0,MIN(1,S256)))^2/$B$5))-(MAX(0,MIN(1,R256))^2/(MAX(0,MIN(1,R256))^2+(1-MAX(0,MIN(1,R256)))^2/$B$5))))&lt;0.000000001,0,S256-$B$11/$B$9*((MAX(0,MIN(1,S256))^2/(MAX(0,MIN(1,S256))^2+(1-MAX(0,MIN(1,S256)))^2/$B$5))-(MAX(0,MIN(1,R256))^2/(MAX(0,MIN(1,R256))^2+(1-MAX(0,MIN(1,R256)))^2/$B$5))))</f>
        <v>0.931496824439889</v>
      </c>
      <c r="T257" s="16" t="n">
        <f aca="false">IF(ABS(T256-$B$11/$B$9*((MAX(0,MIN(1,T256))^2/(MAX(0,MIN(1,T256))^2+(1-MAX(0,MIN(1,T256)))^2/$B$5))-(MAX(0,MIN(1,S256))^2/(MAX(0,MIN(1,S256))^2+(1-MAX(0,MIN(1,S256)))^2/$B$5))))&lt;0.000000001,0,T256-$B$11/$B$9*((MAX(0,MIN(1,T256))^2/(MAX(0,MIN(1,T256))^2+(1-MAX(0,MIN(1,T256)))^2/$B$5))-(MAX(0,MIN(1,S256))^2/(MAX(0,MIN(1,S256))^2+(1-MAX(0,MIN(1,S256)))^2/$B$5))))</f>
        <v>0.924617354100823</v>
      </c>
      <c r="U257" s="16" t="n">
        <f aca="false">IF(ABS(U256-$B$11/$B$9*((MAX(0,MIN(1,U256))^2/(MAX(0,MIN(1,U256))^2+(1-MAX(0,MIN(1,U256)))^2/$B$5))-(MAX(0,MIN(1,T256))^2/(MAX(0,MIN(1,T256))^2+(1-MAX(0,MIN(1,T256)))^2/$B$5))))&lt;0.000000001,0,U256-$B$11/$B$9*((MAX(0,MIN(1,U256))^2/(MAX(0,MIN(1,U256))^2+(1-MAX(0,MIN(1,U256)))^2/$B$5))-(MAX(0,MIN(1,T256))^2/(MAX(0,MIN(1,T256))^2+(1-MAX(0,MIN(1,T256)))^2/$B$5))))</f>
        <v>0.918009784404933</v>
      </c>
      <c r="V257" s="16" t="n">
        <f aca="false">IF(ABS(V256-$B$11/$B$9*((MAX(0,MIN(1,V256))^2/(MAX(0,MIN(1,V256))^2+(1-MAX(0,MIN(1,V256)))^2/$B$5))-(MAX(0,MIN(1,U256))^2/(MAX(0,MIN(1,U256))^2+(1-MAX(0,MIN(1,U256)))^2/$B$5))))&lt;0.000000001,0,V256-$B$11/$B$9*((MAX(0,MIN(1,V256))^2/(MAX(0,MIN(1,V256))^2+(1-MAX(0,MIN(1,V256)))^2/$B$5))-(MAX(0,MIN(1,U256))^2/(MAX(0,MIN(1,U256))^2+(1-MAX(0,MIN(1,U256)))^2/$B$5))))</f>
        <v>0.911647170678224</v>
      </c>
      <c r="W257" s="16" t="n">
        <f aca="false">IF(ABS(W256-$B$11/$B$9*((MAX(0,MIN(1,W256))^2/(MAX(0,MIN(1,W256))^2+(1-MAX(0,MIN(1,W256)))^2/$B$5))-(MAX(0,MIN(1,V256))^2/(MAX(0,MIN(1,V256))^2+(1-MAX(0,MIN(1,V256)))^2/$B$5))))&lt;0.000000001,0,W256-$B$11/$B$9*((MAX(0,MIN(1,W256))^2/(MAX(0,MIN(1,W256))^2+(1-MAX(0,MIN(1,W256)))^2/$B$5))-(MAX(0,MIN(1,V256))^2/(MAX(0,MIN(1,V256))^2+(1-MAX(0,MIN(1,V256)))^2/$B$5))))</f>
        <v>0.90550739571069</v>
      </c>
      <c r="X257" s="16" t="n">
        <f aca="false">IF(ABS(X256-$B$11/$B$9*((MAX(0,MIN(1,X256))^2/(MAX(0,MIN(1,X256))^2+(1-MAX(0,MIN(1,X256)))^2/$B$5))-(MAX(0,MIN(1,W256))^2/(MAX(0,MIN(1,W256))^2+(1-MAX(0,MIN(1,W256)))^2/$B$5))))&lt;0.000000001,0,X256-$B$11/$B$9*((MAX(0,MIN(1,X256))^2/(MAX(0,MIN(1,X256))^2+(1-MAX(0,MIN(1,X256)))^2/$B$5))-(MAX(0,MIN(1,W256))^2/(MAX(0,MIN(1,W256))^2+(1-MAX(0,MIN(1,W256)))^2/$B$5))))</f>
        <v>0.899571858782844</v>
      </c>
      <c r="Y257" s="16" t="n">
        <f aca="false">IF(ABS(Y256-$B$11/$B$9*((MAX(0,MIN(1,Y256))^2/(MAX(0,MIN(1,Y256))^2+(1-MAX(0,MIN(1,Y256)))^2/$B$5))-(MAX(0,MIN(1,X256))^2/(MAX(0,MIN(1,X256))^2+(1-MAX(0,MIN(1,X256)))^2/$B$5))))&lt;0.000000001,0,Y256-$B$11/$B$9*((MAX(0,MIN(1,Y256))^2/(MAX(0,MIN(1,Y256))^2+(1-MAX(0,MIN(1,Y256)))^2/$B$5))-(MAX(0,MIN(1,X256))^2/(MAX(0,MIN(1,X256))^2+(1-MAX(0,MIN(1,X256)))^2/$B$5))))</f>
        <v>0.893824626505924</v>
      </c>
      <c r="Z257" s="16" t="n">
        <f aca="false">IF(ABS(Z256-$B$11/$B$9*((MAX(0,MIN(1,Z256))^2/(MAX(0,MIN(1,Z256))^2+(1-MAX(0,MIN(1,Z256)))^2/$B$5))-(MAX(0,MIN(1,Y256))^2/(MAX(0,MIN(1,Y256))^2+(1-MAX(0,MIN(1,Y256)))^2/$B$5))))&lt;0.000000001,0,Z256-$B$11/$B$9*((MAX(0,MIN(1,Z256))^2/(MAX(0,MIN(1,Z256))^2+(1-MAX(0,MIN(1,Z256)))^2/$B$5))-(MAX(0,MIN(1,Y256))^2/(MAX(0,MIN(1,Y256))^2+(1-MAX(0,MIN(1,Y256)))^2/$B$5))))</f>
        <v>0.888251854026608</v>
      </c>
      <c r="AA257" s="16" t="n">
        <f aca="false">IF(ABS(AA256-$B$11/$B$9*((MAX(0,MIN(1,AA256))^2/(MAX(0,MIN(1,AA256))^2+(1-MAX(0,MIN(1,AA256)))^2/$B$5))-(MAX(0,MIN(1,Z256))^2/(MAX(0,MIN(1,Z256))^2+(1-MAX(0,MIN(1,Z256)))^2/$B$5))))&lt;0.000000001,0,AA256-$B$11/$B$9*((MAX(0,MIN(1,AA256))^2/(MAX(0,MIN(1,AA256))^2+(1-MAX(0,MIN(1,AA256)))^2/$B$5))-(MAX(0,MIN(1,Z256))^2/(MAX(0,MIN(1,Z256))^2+(1-MAX(0,MIN(1,Z256)))^2/$B$5))))</f>
        <v>0.882841373718821</v>
      </c>
      <c r="AB257" s="16" t="n">
        <f aca="false">IF(ABS(AB256-$B$11/$B$9*((MAX(0,MIN(1,AB256))^2/(MAX(0,MIN(1,AB256))^2+(1-MAX(0,MIN(1,AB256)))^2/$B$5))-(MAX(0,MIN(1,AA256))^2/(MAX(0,MIN(1,AA256))^2+(1-MAX(0,MIN(1,AA256)))^2/$B$5))))&lt;0.000000001,0,AB256-$B$11/$B$9*((MAX(0,MIN(1,AB256))^2/(MAX(0,MIN(1,AB256))^2+(1-MAX(0,MIN(1,AB256)))^2/$B$5))-(MAX(0,MIN(1,AA256))^2/(MAX(0,MIN(1,AA256))^2+(1-MAX(0,MIN(1,AA256)))^2/$B$5))))</f>
        <v>0.877582392649056</v>
      </c>
      <c r="AC257" s="16" t="n">
        <f aca="false">IF(ABS(AC256-$B$11/$B$9*((MAX(0,MIN(1,AC256))^2/(MAX(0,MIN(1,AC256))^2+(1-MAX(0,MIN(1,AC256)))^2/$B$5))-(MAX(0,MIN(1,AB256))^2/(MAX(0,MIN(1,AB256))^2+(1-MAX(0,MIN(1,AB256)))^2/$B$5))))&lt;0.000000001,0,AC256-$B$11/$B$9*((MAX(0,MIN(1,AC256))^2/(MAX(0,MIN(1,AC256))^2+(1-MAX(0,MIN(1,AC256)))^2/$B$5))-(MAX(0,MIN(1,AB256))^2/(MAX(0,MIN(1,AB256))^2+(1-MAX(0,MIN(1,AB256)))^2/$B$5))))</f>
        <v>0.872465263565619</v>
      </c>
      <c r="AD257" s="16" t="n">
        <f aca="false">IF(ABS(AD256-$B$11/$B$9*((MAX(0,MIN(1,AD256))^2/(MAX(0,MIN(1,AD256))^2+(1-MAX(0,MIN(1,AD256)))^2/$B$5))-(MAX(0,MIN(1,AC256))^2/(MAX(0,MIN(1,AC256))^2+(1-MAX(0,MIN(1,AC256)))^2/$B$5))))&lt;0.000000001,0,AD256-$B$11/$B$9*((MAX(0,MIN(1,AD256))^2/(MAX(0,MIN(1,AD256))^2+(1-MAX(0,MIN(1,AD256)))^2/$B$5))-(MAX(0,MIN(1,AC256))^2/(MAX(0,MIN(1,AC256))^2+(1-MAX(0,MIN(1,AC256)))^2/$B$5))))</f>
        <v>0.867481307313045</v>
      </c>
      <c r="AE257" s="16" t="n">
        <f aca="false">IF(ABS(AE256-$B$11/$B$9*((MAX(0,MIN(1,AE256))^2/(MAX(0,MIN(1,AE256))^2+(1-MAX(0,MIN(1,AE256)))^2/$B$5))-(MAX(0,MIN(1,AD256))^2/(MAX(0,MIN(1,AD256))^2+(1-MAX(0,MIN(1,AD256)))^2/$B$5))))&lt;0.000000001,0,AE256-$B$11/$B$9*((MAX(0,MIN(1,AE256))^2/(MAX(0,MIN(1,AE256))^2+(1-MAX(0,MIN(1,AE256)))^2/$B$5))-(MAX(0,MIN(1,AD256))^2/(MAX(0,MIN(1,AD256))^2+(1-MAX(0,MIN(1,AD256)))^2/$B$5))))</f>
        <v>0.862622672288862</v>
      </c>
      <c r="AF257" s="16" t="n">
        <f aca="false">IF(ABS(AF256-$B$11/$B$9*((MAX(0,MIN(1,AF256))^2/(MAX(0,MIN(1,AF256))^2+(1-MAX(0,MIN(1,AF256)))^2/$B$5))-(MAX(0,MIN(1,AE256))^2/(MAX(0,MIN(1,AE256))^2+(1-MAX(0,MIN(1,AE256)))^2/$B$5))))&lt;0.000000001,0,AF256-$B$11/$B$9*((MAX(0,MIN(1,AF256))^2/(MAX(0,MIN(1,AF256))^2+(1-MAX(0,MIN(1,AF256)))^2/$B$5))-(MAX(0,MIN(1,AE256))^2/(MAX(0,MIN(1,AE256))^2+(1-MAX(0,MIN(1,AE256)))^2/$B$5))))</f>
        <v>0.857882221270642</v>
      </c>
    </row>
    <row r="258" customFormat="false" ht="15" hidden="false" customHeight="false" outlineLevel="0" collapsed="false">
      <c r="L258" s="0" t="n">
        <v>248</v>
      </c>
      <c r="M258" s="16" t="n">
        <f aca="false">IF(ABS(M257-$B$11/$B$9*((MAX(0,MIN(1,M257))^2/(MAX(0,MIN(1,M257))^2+(1-MAX(0,MIN(1,M257)))^2/$B$5))-(MAX(0,MIN(1,1))^2/(MAX(0,MIN(1,1))^2+(1-MAX(0,MIN(1,1)))^2/$B$5))))&lt;0.000000001,0,M257-$B$11/$B$9*((MAX(0,MIN(1,M257))^2/(MAX(0,MIN(1,M257))^2+(1-MAX(0,MIN(1,M257)))^2/$B$5))-(MAX(0,MIN(1,1))^2/(MAX(0,MIN(1,1))^2+(1-MAX(0,MIN(1,1)))^2/$B$5))))</f>
        <v>0.982189118154722</v>
      </c>
      <c r="N258" s="16" t="n">
        <f aca="false">IF(ABS(N257-$B$11/$B$9*((MAX(0,MIN(1,N257))^2/(MAX(0,MIN(1,N257))^2+(1-MAX(0,MIN(1,N257)))^2/$B$5))-(MAX(0,MIN(1,M257))^2/(MAX(0,MIN(1,M257))^2+(1-MAX(0,MIN(1,M257)))^2/$B$5))))&lt;0.000000001,0,N257-$B$11/$B$9*((MAX(0,MIN(1,N257))^2/(MAX(0,MIN(1,N257))^2+(1-MAX(0,MIN(1,N257)))^2/$B$5))-(MAX(0,MIN(1,M257))^2/(MAX(0,MIN(1,M257))^2+(1-MAX(0,MIN(1,M257)))^2/$B$5))))</f>
        <v>0.971887964194943</v>
      </c>
      <c r="O258" s="16" t="n">
        <f aca="false">IF(ABS(O257-$B$11/$B$9*((MAX(0,MIN(1,O257))^2/(MAX(0,MIN(1,O257))^2+(1-MAX(0,MIN(1,O257)))^2/$B$5))-(MAX(0,MIN(1,N257))^2/(MAX(0,MIN(1,N257))^2+(1-MAX(0,MIN(1,N257)))^2/$B$5))))&lt;0.000000001,0,O257-$B$11/$B$9*((MAX(0,MIN(1,O257))^2/(MAX(0,MIN(1,O257))^2+(1-MAX(0,MIN(1,O257)))^2/$B$5))-(MAX(0,MIN(1,N257))^2/(MAX(0,MIN(1,N257))^2+(1-MAX(0,MIN(1,N257)))^2/$B$5))))</f>
        <v>0.962757663243617</v>
      </c>
      <c r="P258" s="16" t="n">
        <f aca="false">IF(ABS(P257-$B$11/$B$9*((MAX(0,MIN(1,P257))^2/(MAX(0,MIN(1,P257))^2+(1-MAX(0,MIN(1,P257)))^2/$B$5))-(MAX(0,MIN(1,O257))^2/(MAX(0,MIN(1,O257))^2+(1-MAX(0,MIN(1,O257)))^2/$B$5))))&lt;0.000000001,0,P257-$B$11/$B$9*((MAX(0,MIN(1,P257))^2/(MAX(0,MIN(1,P257))^2+(1-MAX(0,MIN(1,P257)))^2/$B$5))-(MAX(0,MIN(1,O257))^2/(MAX(0,MIN(1,O257))^2+(1-MAX(0,MIN(1,O257)))^2/$B$5))))</f>
        <v>0.954321213539576</v>
      </c>
      <c r="Q258" s="16" t="n">
        <f aca="false">IF(ABS(Q257-$B$11/$B$9*((MAX(0,MIN(1,Q257))^2/(MAX(0,MIN(1,Q257))^2+(1-MAX(0,MIN(1,Q257)))^2/$B$5))-(MAX(0,MIN(1,P257))^2/(MAX(0,MIN(1,P257))^2+(1-MAX(0,MIN(1,P257)))^2/$B$5))))&lt;0.000000001,0,Q257-$B$11/$B$9*((MAX(0,MIN(1,Q257))^2/(MAX(0,MIN(1,Q257))^2+(1-MAX(0,MIN(1,Q257)))^2/$B$5))-(MAX(0,MIN(1,P257))^2/(MAX(0,MIN(1,P257))^2+(1-MAX(0,MIN(1,P257)))^2/$B$5))))</f>
        <v>0.946395055081112</v>
      </c>
      <c r="R258" s="16" t="n">
        <f aca="false">IF(ABS(R257-$B$11/$B$9*((MAX(0,MIN(1,R257))^2/(MAX(0,MIN(1,R257))^2+(1-MAX(0,MIN(1,R257)))^2/$B$5))-(MAX(0,MIN(1,Q257))^2/(MAX(0,MIN(1,Q257))^2+(1-MAX(0,MIN(1,Q257)))^2/$B$5))))&lt;0.000000001,0,R257-$B$11/$B$9*((MAX(0,MIN(1,R257))^2/(MAX(0,MIN(1,R257))^2+(1-MAX(0,MIN(1,R257)))^2/$B$5))-(MAX(0,MIN(1,Q257))^2/(MAX(0,MIN(1,Q257))^2+(1-MAX(0,MIN(1,Q257)))^2/$B$5))))</f>
        <v>0.938880658453668</v>
      </c>
      <c r="S258" s="16" t="n">
        <f aca="false">IF(ABS(S257-$B$11/$B$9*((MAX(0,MIN(1,S257))^2/(MAX(0,MIN(1,S257))^2+(1-MAX(0,MIN(1,S257)))^2/$B$5))-(MAX(0,MIN(1,R257))^2/(MAX(0,MIN(1,R257))^2+(1-MAX(0,MIN(1,R257)))^2/$B$5))))&lt;0.000000001,0,S257-$B$11/$B$9*((MAX(0,MIN(1,S257))^2/(MAX(0,MIN(1,S257))^2+(1-MAX(0,MIN(1,S257)))^2/$B$5))-(MAX(0,MIN(1,R257))^2/(MAX(0,MIN(1,R257))^2+(1-MAX(0,MIN(1,R257)))^2/$B$5))))</f>
        <v>0.931715167312206</v>
      </c>
      <c r="T258" s="16" t="n">
        <f aca="false">IF(ABS(T257-$B$11/$B$9*((MAX(0,MIN(1,T257))^2/(MAX(0,MIN(1,T257))^2+(1-MAX(0,MIN(1,T257)))^2/$B$5))-(MAX(0,MIN(1,S257))^2/(MAX(0,MIN(1,S257))^2+(1-MAX(0,MIN(1,S257)))^2/$B$5))))&lt;0.000000001,0,T257-$B$11/$B$9*((MAX(0,MIN(1,T257))^2/(MAX(0,MIN(1,T257))^2+(1-MAX(0,MIN(1,T257)))^2/$B$5))-(MAX(0,MIN(1,S257))^2/(MAX(0,MIN(1,S257))^2+(1-MAX(0,MIN(1,S257)))^2/$B$5))))</f>
        <v>0.924854069134419</v>
      </c>
      <c r="U258" s="16" t="n">
        <f aca="false">IF(ABS(U257-$B$11/$B$9*((MAX(0,MIN(1,U257))^2/(MAX(0,MIN(1,U257))^2+(1-MAX(0,MIN(1,U257)))^2/$B$5))-(MAX(0,MIN(1,T257))^2/(MAX(0,MIN(1,T257))^2+(1-MAX(0,MIN(1,T257)))^2/$B$5))))&lt;0.000000001,0,U257-$B$11/$B$9*((MAX(0,MIN(1,U257))^2/(MAX(0,MIN(1,U257))^2+(1-MAX(0,MIN(1,U257)))^2/$B$5))-(MAX(0,MIN(1,T257))^2/(MAX(0,MIN(1,T257))^2+(1-MAX(0,MIN(1,T257)))^2/$B$5))))</f>
        <v>0.918263623132354</v>
      </c>
      <c r="V258" s="16" t="n">
        <f aca="false">IF(ABS(V257-$B$11/$B$9*((MAX(0,MIN(1,V257))^2/(MAX(0,MIN(1,V257))^2+(1-MAX(0,MIN(1,V257)))^2/$B$5))-(MAX(0,MIN(1,U257))^2/(MAX(0,MIN(1,U257))^2+(1-MAX(0,MIN(1,U257)))^2/$B$5))))&lt;0.000000001,0,V257-$B$11/$B$9*((MAX(0,MIN(1,V257))^2/(MAX(0,MIN(1,V257))^2+(1-MAX(0,MIN(1,V257)))^2/$B$5))-(MAX(0,MIN(1,U257))^2/(MAX(0,MIN(1,U257))^2+(1-MAX(0,MIN(1,U257)))^2/$B$5))))</f>
        <v>0.911917035414446</v>
      </c>
      <c r="W258" s="16" t="n">
        <f aca="false">IF(ABS(W257-$B$11/$B$9*((MAX(0,MIN(1,W257))^2/(MAX(0,MIN(1,W257))^2+(1-MAX(0,MIN(1,W257)))^2/$B$5))-(MAX(0,MIN(1,V257))^2/(MAX(0,MIN(1,V257))^2+(1-MAX(0,MIN(1,V257)))^2/$B$5))))&lt;0.000000001,0,W257-$B$11/$B$9*((MAX(0,MIN(1,W257))^2/(MAX(0,MIN(1,W257))^2+(1-MAX(0,MIN(1,W257)))^2/$B$5))-(MAX(0,MIN(1,V257))^2/(MAX(0,MIN(1,V257))^2+(1-MAX(0,MIN(1,V257)))^2/$B$5))))</f>
        <v>0.905792313058413</v>
      </c>
      <c r="X258" s="16" t="n">
        <f aca="false">IF(ABS(X257-$B$11/$B$9*((MAX(0,MIN(1,X257))^2/(MAX(0,MIN(1,X257))^2+(1-MAX(0,MIN(1,X257)))^2/$B$5))-(MAX(0,MIN(1,W257))^2/(MAX(0,MIN(1,W257))^2+(1-MAX(0,MIN(1,W257)))^2/$B$5))))&lt;0.000000001,0,X257-$B$11/$B$9*((MAX(0,MIN(1,X257))^2/(MAX(0,MIN(1,X257))^2+(1-MAX(0,MIN(1,X257)))^2/$B$5))-(MAX(0,MIN(1,W257))^2/(MAX(0,MIN(1,W257))^2+(1-MAX(0,MIN(1,W257)))^2/$B$5))))</f>
        <v>0.899870959646797</v>
      </c>
      <c r="Y258" s="16" t="n">
        <f aca="false">IF(ABS(Y257-$B$11/$B$9*((MAX(0,MIN(1,Y257))^2/(MAX(0,MIN(1,Y257))^2+(1-MAX(0,MIN(1,Y257)))^2/$B$5))-(MAX(0,MIN(1,X257))^2/(MAX(0,MIN(1,X257))^2+(1-MAX(0,MIN(1,X257)))^2/$B$5))))&lt;0.000000001,0,Y257-$B$11/$B$9*((MAX(0,MIN(1,Y257))^2/(MAX(0,MIN(1,Y257))^2+(1-MAX(0,MIN(1,Y257)))^2/$B$5))-(MAX(0,MIN(1,X257))^2/(MAX(0,MIN(1,X257))^2+(1-MAX(0,MIN(1,X257)))^2/$B$5))))</f>
        <v>0.894137130532347</v>
      </c>
      <c r="Z258" s="16" t="n">
        <f aca="false">IF(ABS(Z257-$B$11/$B$9*((MAX(0,MIN(1,Z257))^2/(MAX(0,MIN(1,Z257))^2+(1-MAX(0,MIN(1,Z257)))^2/$B$5))-(MAX(0,MIN(1,Y257))^2/(MAX(0,MIN(1,Y257))^2+(1-MAX(0,MIN(1,Y257)))^2/$B$5))))&lt;0.000000001,0,Z257-$B$11/$B$9*((MAX(0,MIN(1,Z257))^2/(MAX(0,MIN(1,Z257))^2+(1-MAX(0,MIN(1,Z257)))^2/$B$5))-(MAX(0,MIN(1,Y257))^2/(MAX(0,MIN(1,Y257))^2+(1-MAX(0,MIN(1,Y257)))^2/$B$5))))</f>
        <v>0.888577057193021</v>
      </c>
      <c r="AA258" s="16" t="n">
        <f aca="false">IF(ABS(AA257-$B$11/$B$9*((MAX(0,MIN(1,AA257))^2/(MAX(0,MIN(1,AA257))^2+(1-MAX(0,MIN(1,AA257)))^2/$B$5))-(MAX(0,MIN(1,Z257))^2/(MAX(0,MIN(1,Z257))^2+(1-MAX(0,MIN(1,Z257)))^2/$B$5))))&lt;0.000000001,0,AA257-$B$11/$B$9*((MAX(0,MIN(1,AA257))^2/(MAX(0,MIN(1,AA257))^2+(1-MAX(0,MIN(1,AA257)))^2/$B$5))-(MAX(0,MIN(1,Z257))^2/(MAX(0,MIN(1,Z257))^2+(1-MAX(0,MIN(1,Z257)))^2/$B$5))))</f>
        <v>0.883178638248687</v>
      </c>
      <c r="AB258" s="16" t="n">
        <f aca="false">IF(ABS(AB257-$B$11/$B$9*((MAX(0,MIN(1,AB257))^2/(MAX(0,MIN(1,AB257))^2+(1-MAX(0,MIN(1,AB257)))^2/$B$5))-(MAX(0,MIN(1,AA257))^2/(MAX(0,MIN(1,AA257))^2+(1-MAX(0,MIN(1,AA257)))^2/$B$5))))&lt;0.000000001,0,AB257-$B$11/$B$9*((MAX(0,MIN(1,AB257))^2/(MAX(0,MIN(1,AB257))^2+(1-MAX(0,MIN(1,AB257)))^2/$B$5))-(MAX(0,MIN(1,AA257))^2/(MAX(0,MIN(1,AA257))^2+(1-MAX(0,MIN(1,AA257)))^2/$B$5))))</f>
        <v>0.877931138691831</v>
      </c>
      <c r="AC258" s="16" t="n">
        <f aca="false">IF(ABS(AC257-$B$11/$B$9*((MAX(0,MIN(1,AC257))^2/(MAX(0,MIN(1,AC257))^2+(1-MAX(0,MIN(1,AC257)))^2/$B$5))-(MAX(0,MIN(1,AB257))^2/(MAX(0,MIN(1,AB257))^2+(1-MAX(0,MIN(1,AB257)))^2/$B$5))))&lt;0.000000001,0,AC257-$B$11/$B$9*((MAX(0,MIN(1,AC257))^2/(MAX(0,MIN(1,AC257))^2+(1-MAX(0,MIN(1,AC257)))^2/$B$5))-(MAX(0,MIN(1,AB257))^2/(MAX(0,MIN(1,AB257))^2+(1-MAX(0,MIN(1,AB257)))^2/$B$5))))</f>
        <v>0.872824962248466</v>
      </c>
      <c r="AD258" s="16" t="n">
        <f aca="false">IF(ABS(AD257-$B$11/$B$9*((MAX(0,MIN(1,AD257))^2/(MAX(0,MIN(1,AD257))^2+(1-MAX(0,MIN(1,AD257)))^2/$B$5))-(MAX(0,MIN(1,AC257))^2/(MAX(0,MIN(1,AC257))^2+(1-MAX(0,MIN(1,AC257)))^2/$B$5))))&lt;0.000000001,0,AD257-$B$11/$B$9*((MAX(0,MIN(1,AD257))^2/(MAX(0,MIN(1,AD257))^2+(1-MAX(0,MIN(1,AD257)))^2/$B$5))-(MAX(0,MIN(1,AC257))^2/(MAX(0,MIN(1,AC257))^2+(1-MAX(0,MIN(1,AC257)))^2/$B$5))))</f>
        <v>0.867851474878463</v>
      </c>
      <c r="AE258" s="16" t="n">
        <f aca="false">IF(ABS(AE257-$B$11/$B$9*((MAX(0,MIN(1,AE257))^2/(MAX(0,MIN(1,AE257))^2+(1-MAX(0,MIN(1,AE257)))^2/$B$5))-(MAX(0,MIN(1,AD257))^2/(MAX(0,MIN(1,AD257))^2+(1-MAX(0,MIN(1,AD257)))^2/$B$5))))&lt;0.000000001,0,AE257-$B$11/$B$9*((MAX(0,MIN(1,AE257))^2/(MAX(0,MIN(1,AE257))^2+(1-MAX(0,MIN(1,AE257)))^2/$B$5))-(MAX(0,MIN(1,AD257))^2/(MAX(0,MIN(1,AD257))^2+(1-MAX(0,MIN(1,AD257)))^2/$B$5))))</f>
        <v>0.863002865105437</v>
      </c>
      <c r="AF258" s="16" t="n">
        <f aca="false">IF(ABS(AF257-$B$11/$B$9*((MAX(0,MIN(1,AF257))^2/(MAX(0,MIN(1,AF257))^2+(1-MAX(0,MIN(1,AF257)))^2/$B$5))-(MAX(0,MIN(1,AE257))^2/(MAX(0,MIN(1,AE257))^2+(1-MAX(0,MIN(1,AE257)))^2/$B$5))))&lt;0.000000001,0,AF257-$B$11/$B$9*((MAX(0,MIN(1,AF257))^2/(MAX(0,MIN(1,AF257))^2+(1-MAX(0,MIN(1,AF257)))^2/$B$5))-(MAX(0,MIN(1,AE257))^2/(MAX(0,MIN(1,AE257))^2+(1-MAX(0,MIN(1,AE257)))^2/$B$5))))</f>
        <v>0.858272031555071</v>
      </c>
    </row>
    <row r="259" customFormat="false" ht="15" hidden="false" customHeight="false" outlineLevel="0" collapsed="false">
      <c r="L259" s="0" t="n">
        <v>249</v>
      </c>
      <c r="M259" s="16" t="n">
        <f aca="false">IF(ABS(M258-$B$11/$B$9*((MAX(0,MIN(1,M258))^2/(MAX(0,MIN(1,M258))^2+(1-MAX(0,MIN(1,M258)))^2/$B$5))-(MAX(0,MIN(1,1))^2/(MAX(0,MIN(1,1))^2+(1-MAX(0,MIN(1,1)))^2/$B$5))))&lt;0.000000001,0,M258-$B$11/$B$9*((MAX(0,MIN(1,M258))^2/(MAX(0,MIN(1,M258))^2+(1-MAX(0,MIN(1,M258)))^2/$B$5))-(MAX(0,MIN(1,1))^2/(MAX(0,MIN(1,1))^2+(1-MAX(0,MIN(1,1)))^2/$B$5))))</f>
        <v>0.982252331824783</v>
      </c>
      <c r="N259" s="16" t="n">
        <f aca="false">IF(ABS(N258-$B$11/$B$9*((MAX(0,MIN(1,N258))^2/(MAX(0,MIN(1,N258))^2+(1-MAX(0,MIN(1,N258)))^2/$B$5))-(MAX(0,MIN(1,M258))^2/(MAX(0,MIN(1,M258))^2+(1-MAX(0,MIN(1,M258)))^2/$B$5))))&lt;0.000000001,0,N258-$B$11/$B$9*((MAX(0,MIN(1,N258))^2/(MAX(0,MIN(1,N258))^2+(1-MAX(0,MIN(1,N258)))^2/$B$5))-(MAX(0,MIN(1,M258))^2/(MAX(0,MIN(1,M258))^2+(1-MAX(0,MIN(1,M258)))^2/$B$5))))</f>
        <v>0.971985545451475</v>
      </c>
      <c r="O259" s="16" t="n">
        <f aca="false">IF(ABS(O258-$B$11/$B$9*((MAX(0,MIN(1,O258))^2/(MAX(0,MIN(1,O258))^2+(1-MAX(0,MIN(1,O258)))^2/$B$5))-(MAX(0,MIN(1,N258))^2/(MAX(0,MIN(1,N258))^2+(1-MAX(0,MIN(1,N258)))^2/$B$5))))&lt;0.000000001,0,O258-$B$11/$B$9*((MAX(0,MIN(1,O258))^2/(MAX(0,MIN(1,O258))^2+(1-MAX(0,MIN(1,O258)))^2/$B$5))-(MAX(0,MIN(1,N258))^2/(MAX(0,MIN(1,N258))^2+(1-MAX(0,MIN(1,N258)))^2/$B$5))))</f>
        <v>0.962884354424226</v>
      </c>
      <c r="P259" s="16" t="n">
        <f aca="false">IF(ABS(P258-$B$11/$B$9*((MAX(0,MIN(1,P258))^2/(MAX(0,MIN(1,P258))^2+(1-MAX(0,MIN(1,P258)))^2/$B$5))-(MAX(0,MIN(1,O258))^2/(MAX(0,MIN(1,O258))^2+(1-MAX(0,MIN(1,O258)))^2/$B$5))))&lt;0.000000001,0,P258-$B$11/$B$9*((MAX(0,MIN(1,P258))^2/(MAX(0,MIN(1,P258))^2+(1-MAX(0,MIN(1,P258)))^2/$B$5))-(MAX(0,MIN(1,O258))^2/(MAX(0,MIN(1,O258))^2+(1-MAX(0,MIN(1,O258)))^2/$B$5))))</f>
        <v>0.954473719188592</v>
      </c>
      <c r="Q259" s="16" t="n">
        <f aca="false">IF(ABS(Q258-$B$11/$B$9*((MAX(0,MIN(1,Q258))^2/(MAX(0,MIN(1,Q258))^2+(1-MAX(0,MIN(1,Q258)))^2/$B$5))-(MAX(0,MIN(1,P258))^2/(MAX(0,MIN(1,P258))^2+(1-MAX(0,MIN(1,P258)))^2/$B$5))))&lt;0.000000001,0,Q258-$B$11/$B$9*((MAX(0,MIN(1,Q258))^2/(MAX(0,MIN(1,Q258))^2+(1-MAX(0,MIN(1,Q258)))^2/$B$5))-(MAX(0,MIN(1,P258))^2/(MAX(0,MIN(1,P258))^2+(1-MAX(0,MIN(1,P258)))^2/$B$5))))</f>
        <v>0.9465709069937</v>
      </c>
      <c r="R259" s="16" t="n">
        <f aca="false">IF(ABS(R258-$B$11/$B$9*((MAX(0,MIN(1,R258))^2/(MAX(0,MIN(1,R258))^2+(1-MAX(0,MIN(1,R258)))^2/$B$5))-(MAX(0,MIN(1,Q258))^2/(MAX(0,MIN(1,Q258))^2+(1-MAX(0,MIN(1,Q258)))^2/$B$5))))&lt;0.000000001,0,R258-$B$11/$B$9*((MAX(0,MIN(1,R258))^2/(MAX(0,MIN(1,R258))^2+(1-MAX(0,MIN(1,R258)))^2/$B$5))-(MAX(0,MIN(1,Q258))^2/(MAX(0,MIN(1,Q258))^2+(1-MAX(0,MIN(1,Q258)))^2/$B$5))))</f>
        <v>0.939077868241967</v>
      </c>
      <c r="S259" s="16" t="n">
        <f aca="false">IF(ABS(S258-$B$11/$B$9*((MAX(0,MIN(1,S258))^2/(MAX(0,MIN(1,S258))^2+(1-MAX(0,MIN(1,S258)))^2/$B$5))-(MAX(0,MIN(1,R258))^2/(MAX(0,MIN(1,R258))^2+(1-MAX(0,MIN(1,R258)))^2/$B$5))))&lt;0.000000001,0,S258-$B$11/$B$9*((MAX(0,MIN(1,S258))^2/(MAX(0,MIN(1,S258))^2+(1-MAX(0,MIN(1,S258)))^2/$B$5))-(MAX(0,MIN(1,R258))^2/(MAX(0,MIN(1,R258))^2+(1-MAX(0,MIN(1,R258)))^2/$B$5))))</f>
        <v>0.931932071008393</v>
      </c>
      <c r="T259" s="16" t="n">
        <f aca="false">IF(ABS(T258-$B$11/$B$9*((MAX(0,MIN(1,T258))^2/(MAX(0,MIN(1,T258))^2+(1-MAX(0,MIN(1,T258)))^2/$B$5))-(MAX(0,MIN(1,S258))^2/(MAX(0,MIN(1,S258))^2+(1-MAX(0,MIN(1,S258)))^2/$B$5))))&lt;0.000000001,0,T258-$B$11/$B$9*((MAX(0,MIN(1,T258))^2/(MAX(0,MIN(1,T258))^2+(1-MAX(0,MIN(1,T258)))^2/$B$5))-(MAX(0,MIN(1,S258))^2/(MAX(0,MIN(1,S258))^2+(1-MAX(0,MIN(1,S258)))^2/$B$5))))</f>
        <v>0.92508924182777</v>
      </c>
      <c r="U259" s="16" t="n">
        <f aca="false">IF(ABS(U258-$B$11/$B$9*((MAX(0,MIN(1,U258))^2/(MAX(0,MIN(1,U258))^2+(1-MAX(0,MIN(1,U258)))^2/$B$5))-(MAX(0,MIN(1,T258))^2/(MAX(0,MIN(1,T258))^2+(1-MAX(0,MIN(1,T258)))^2/$B$5))))&lt;0.000000001,0,U258-$B$11/$B$9*((MAX(0,MIN(1,U258))^2/(MAX(0,MIN(1,U258))^2+(1-MAX(0,MIN(1,U258)))^2/$B$5))-(MAX(0,MIN(1,T258))^2/(MAX(0,MIN(1,T258))^2+(1-MAX(0,MIN(1,T258)))^2/$B$5))))</f>
        <v>0.918515825639064</v>
      </c>
      <c r="V259" s="16" t="n">
        <f aca="false">IF(ABS(V258-$B$11/$B$9*((MAX(0,MIN(1,V258))^2/(MAX(0,MIN(1,V258))^2+(1-MAX(0,MIN(1,V258)))^2/$B$5))-(MAX(0,MIN(1,U258))^2/(MAX(0,MIN(1,U258))^2+(1-MAX(0,MIN(1,U258)))^2/$B$5))))&lt;0.000000001,0,V258-$B$11/$B$9*((MAX(0,MIN(1,V258))^2/(MAX(0,MIN(1,V258))^2+(1-MAX(0,MIN(1,V258)))^2/$B$5))-(MAX(0,MIN(1,U258))^2/(MAX(0,MIN(1,U258))^2+(1-MAX(0,MIN(1,U258)))^2/$B$5))))</f>
        <v>0.912185177971569</v>
      </c>
      <c r="W259" s="16" t="n">
        <f aca="false">IF(ABS(W258-$B$11/$B$9*((MAX(0,MIN(1,W258))^2/(MAX(0,MIN(1,W258))^2+(1-MAX(0,MIN(1,W258)))^2/$B$5))-(MAX(0,MIN(1,V258))^2/(MAX(0,MIN(1,V258))^2+(1-MAX(0,MIN(1,V258)))^2/$B$5))))&lt;0.000000001,0,W258-$B$11/$B$9*((MAX(0,MIN(1,W258))^2/(MAX(0,MIN(1,W258))^2+(1-MAX(0,MIN(1,W258)))^2/$B$5))-(MAX(0,MIN(1,V258))^2/(MAX(0,MIN(1,V258))^2+(1-MAX(0,MIN(1,V258)))^2/$B$5))))</f>
        <v>0.906075429086848</v>
      </c>
      <c r="X259" s="16" t="n">
        <f aca="false">IF(ABS(X258-$B$11/$B$9*((MAX(0,MIN(1,X258))^2/(MAX(0,MIN(1,X258))^2+(1-MAX(0,MIN(1,X258)))^2/$B$5))-(MAX(0,MIN(1,W258))^2/(MAX(0,MIN(1,W258))^2+(1-MAX(0,MIN(1,W258)))^2/$B$5))))&lt;0.000000001,0,X258-$B$11/$B$9*((MAX(0,MIN(1,X258))^2/(MAX(0,MIN(1,X258))^2+(1-MAX(0,MIN(1,X258)))^2/$B$5))-(MAX(0,MIN(1,W258))^2/(MAX(0,MIN(1,W258))^2+(1-MAX(0,MIN(1,W258)))^2/$B$5))))</f>
        <v>0.900168185960249</v>
      </c>
      <c r="Y259" s="16" t="n">
        <f aca="false">IF(ABS(Y258-$B$11/$B$9*((MAX(0,MIN(1,Y258))^2/(MAX(0,MIN(1,Y258))^2+(1-MAX(0,MIN(1,Y258)))^2/$B$5))-(MAX(0,MIN(1,X258))^2/(MAX(0,MIN(1,X258))^2+(1-MAX(0,MIN(1,X258)))^2/$B$5))))&lt;0.000000001,0,Y258-$B$11/$B$9*((MAX(0,MIN(1,Y258))^2/(MAX(0,MIN(1,Y258))^2+(1-MAX(0,MIN(1,Y258)))^2/$B$5))-(MAX(0,MIN(1,X258))^2/(MAX(0,MIN(1,X258))^2+(1-MAX(0,MIN(1,X258)))^2/$B$5))))</f>
        <v>0.89444769192772</v>
      </c>
      <c r="Z259" s="16" t="n">
        <f aca="false">IF(ABS(Z258-$B$11/$B$9*((MAX(0,MIN(1,Z258))^2/(MAX(0,MIN(1,Z258))^2+(1-MAX(0,MIN(1,Z258)))^2/$B$5))-(MAX(0,MIN(1,Y258))^2/(MAX(0,MIN(1,Y258))^2+(1-MAX(0,MIN(1,Y258)))^2/$B$5))))&lt;0.000000001,0,Z258-$B$11/$B$9*((MAX(0,MIN(1,Z258))^2/(MAX(0,MIN(1,Z258))^2+(1-MAX(0,MIN(1,Z258)))^2/$B$5))-(MAX(0,MIN(1,Y258))^2/(MAX(0,MIN(1,Y258))^2+(1-MAX(0,MIN(1,Y258)))^2/$B$5))))</f>
        <v>0.888900254159542</v>
      </c>
      <c r="AA259" s="16" t="n">
        <f aca="false">IF(ABS(AA258-$B$11/$B$9*((MAX(0,MIN(1,AA258))^2/(MAX(0,MIN(1,AA258))^2+(1-MAX(0,MIN(1,AA258)))^2/$B$5))-(MAX(0,MIN(1,Z258))^2/(MAX(0,MIN(1,Z258))^2+(1-MAX(0,MIN(1,Z258)))^2/$B$5))))&lt;0.000000001,0,AA258-$B$11/$B$9*((MAX(0,MIN(1,AA258))^2/(MAX(0,MIN(1,AA258))^2+(1-MAX(0,MIN(1,AA258)))^2/$B$5))-(MAX(0,MIN(1,Z258))^2/(MAX(0,MIN(1,Z258))^2+(1-MAX(0,MIN(1,Z258)))^2/$B$5))))</f>
        <v>0.883513836978441</v>
      </c>
      <c r="AB259" s="16" t="n">
        <f aca="false">IF(ABS(AB258-$B$11/$B$9*((MAX(0,MIN(1,AB258))^2/(MAX(0,MIN(1,AB258))^2+(1-MAX(0,MIN(1,AB258)))^2/$B$5))-(MAX(0,MIN(1,AA258))^2/(MAX(0,MIN(1,AA258))^2+(1-MAX(0,MIN(1,AA258)))^2/$B$5))))&lt;0.000000001,0,AB258-$B$11/$B$9*((MAX(0,MIN(1,AB258))^2/(MAX(0,MIN(1,AB258))^2+(1-MAX(0,MIN(1,AB258)))^2/$B$5))-(MAX(0,MIN(1,AA258))^2/(MAX(0,MIN(1,AA258))^2+(1-MAX(0,MIN(1,AA258)))^2/$B$5))))</f>
        <v>0.878277762837827</v>
      </c>
      <c r="AC259" s="16" t="n">
        <f aca="false">IF(ABS(AC258-$B$11/$B$9*((MAX(0,MIN(1,AC258))^2/(MAX(0,MIN(1,AC258))^2+(1-MAX(0,MIN(1,AC258)))^2/$B$5))-(MAX(0,MIN(1,AB258))^2/(MAX(0,MIN(1,AB258))^2+(1-MAX(0,MIN(1,AB258)))^2/$B$5))))&lt;0.000000001,0,AC258-$B$11/$B$9*((MAX(0,MIN(1,AC258))^2/(MAX(0,MIN(1,AC258))^2+(1-MAX(0,MIN(1,AC258)))^2/$B$5))-(MAX(0,MIN(1,AB258))^2/(MAX(0,MIN(1,AB258))^2+(1-MAX(0,MIN(1,AB258)))^2/$B$5))))</f>
        <v>0.873182486040517</v>
      </c>
      <c r="AD259" s="16" t="n">
        <f aca="false">IF(ABS(AD258-$B$11/$B$9*((MAX(0,MIN(1,AD258))^2/(MAX(0,MIN(1,AD258))^2+(1-MAX(0,MIN(1,AD258)))^2/$B$5))-(MAX(0,MIN(1,AC258))^2/(MAX(0,MIN(1,AC258))^2+(1-MAX(0,MIN(1,AC258)))^2/$B$5))))&lt;0.000000001,0,AD258-$B$11/$B$9*((MAX(0,MIN(1,AD258))^2/(MAX(0,MIN(1,AD258))^2+(1-MAX(0,MIN(1,AD258)))^2/$B$5))-(MAX(0,MIN(1,AC258))^2/(MAX(0,MIN(1,AC258))^2+(1-MAX(0,MIN(1,AC258)))^2/$B$5))))</f>
        <v>0.868219417314049</v>
      </c>
      <c r="AE259" s="16" t="n">
        <f aca="false">IF(ABS(AE258-$B$11/$B$9*((MAX(0,MIN(1,AE258))^2/(MAX(0,MIN(1,AE258))^2+(1-MAX(0,MIN(1,AE258)))^2/$B$5))-(MAX(0,MIN(1,AD258))^2/(MAX(0,MIN(1,AD258))^2+(1-MAX(0,MIN(1,AD258)))^2/$B$5))))&lt;0.000000001,0,AE258-$B$11/$B$9*((MAX(0,MIN(1,AE258))^2/(MAX(0,MIN(1,AE258))^2+(1-MAX(0,MIN(1,AE258)))^2/$B$5))-(MAX(0,MIN(1,AD258))^2/(MAX(0,MIN(1,AD258))^2+(1-MAX(0,MIN(1,AD258)))^2/$B$5))))</f>
        <v>0.863380785005002</v>
      </c>
      <c r="AF259" s="16" t="n">
        <f aca="false">IF(ABS(AF258-$B$11/$B$9*((MAX(0,MIN(1,AF258))^2/(MAX(0,MIN(1,AF258))^2+(1-MAX(0,MIN(1,AF258)))^2/$B$5))-(MAX(0,MIN(1,AE258))^2/(MAX(0,MIN(1,AE258))^2+(1-MAX(0,MIN(1,AE258)))^2/$B$5))))&lt;0.000000001,0,AF258-$B$11/$B$9*((MAX(0,MIN(1,AF258))^2/(MAX(0,MIN(1,AF258))^2+(1-MAX(0,MIN(1,AF258)))^2/$B$5))-(MAX(0,MIN(1,AE258))^2/(MAX(0,MIN(1,AE258))^2+(1-MAX(0,MIN(1,AE258)))^2/$B$5))))</f>
        <v>0.85865952332154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2026-10-31T14:18:10Z</dcterms:created>
  <dc:creator>openpyxl</dc:creator>
  <dc:description/>
  <dc:language>en-US</dc:language>
  <cp:lastModifiedBy/>
  <dcterms:modified xsi:type="dcterms:W3CDTF">2026-10-31T14:18:10Z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