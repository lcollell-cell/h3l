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igilancia" sheetId="1" state="visible" r:id="rId3"/>
    <sheet name="Buckley-Leveret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<sst xmlns="http://schemas.openxmlformats.org/spreadsheetml/2006/main" count="41" uniqueCount="40">
  <si>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 xml:space="preserve">Vigilancia de inyección: VRR, Hall plot y WOR</t>
  </si>
  <si>
    <t xml:space="preserve">Datos de ejemplo (sintéticos) con fines didácticos. Celdas azules sobre fondo crema = entradas editables; el resto son fórmulas.</t>
  </si>
  <si>
    <t xml:space="preserve">Bw</t>
  </si>
  <si>
    <t xml:space="preserve">Bo</t>
  </si>
  <si>
    <t xml:space="preserve">Mes</t>
  </si>
  <si>
    <t xml:space="preserve">Inyección agua (bbl/d)</t>
  </si>
  <si>
    <t xml:space="preserve">Petróleo (bbl/d)</t>
  </si>
  <si>
    <t xml:space="preserve">Agua prod. (bbl/d)</t>
  </si>
  <si>
    <t xml:space="preserve">P iny. fondo (psi)</t>
  </si>
  <si>
    <t xml:space="preserve">P media reservorio (psi)</t>
  </si>
  <si>
    <t xml:space="preserve">Días</t>
  </si>
  <si>
    <t xml:space="preserve">VRR</t>
  </si>
  <si>
    <t xml:space="preserve">Hall acum. (psi·d)</t>
  </si>
  <si>
    <t xml:space="preserve">Iny. acum. (bbl)</t>
  </si>
  <si>
    <t xml:space="preserve">Pendiente Hall (psi·d/bbl)</t>
  </si>
  <si>
    <t xml:space="preserve">WOR</t>
  </si>
  <si>
    <t xml:space="preserve">dWOR/mes</t>
  </si>
  <si>
    <t xml:space="preserve">VRR objetivo ≈ 1,0. Hall: el cambio de pendiente indica cambio de inyectividad (daño/fractura/canalización). WOR creciente rápido indica canalización.</t>
  </si>
  <si>
    <t xml:space="preserve">Flujo fraccional de Corey y tangente de Welge</t>
  </si>
  <si>
    <t xml:space="preserve">Swc (agua connata)</t>
  </si>
  <si>
    <t xml:space="preserve">Sor (petróleo residual)</t>
  </si>
  <si>
    <t xml:space="preserve">krw0</t>
  </si>
  <si>
    <t xml:space="preserve">kro0</t>
  </si>
  <si>
    <t xml:space="preserve">nw</t>
  </si>
  <si>
    <t xml:space="preserve">no</t>
  </si>
  <si>
    <t xml:space="preserve">Viscosidad agua (cP)</t>
  </si>
  <si>
    <t xml:space="preserve">Viscosidad petróleo (cP)</t>
  </si>
  <si>
    <t xml:space="preserve">Sw</t>
  </si>
  <si>
    <t xml:space="preserve">krw</t>
  </si>
  <si>
    <t xml:space="preserve">kro</t>
  </si>
  <si>
    <t xml:space="preserve">fw</t>
  </si>
  <si>
    <t xml:space="preserve">fw/(Sw−Swc)</t>
  </si>
  <si>
    <t xml:space="preserve">dfw/dSw</t>
  </si>
  <si>
    <t xml:space="preserve">Resultados (Welge)</t>
  </si>
  <si>
    <t xml:space="preserve">Sw en el frente</t>
  </si>
  <si>
    <t xml:space="preserve">fw en el frente</t>
  </si>
  <si>
    <t xml:space="preserve">Sw media a la irrupción</t>
  </si>
  <si>
    <t xml:space="preserve">Recuperación a la irrupción (fracción del OOIP)</t>
  </si>
  <si>
    <t xml:space="preserve">Razón de movilidad (extremo)</t>
  </si>
  <si>
    <t xml:space="preserve">Welge: la tangente desde (Swc, 0) a la curva fw define el frente. Cambiá la viscosidad del petróleo y observá la recuperación a la irrupción.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</si>
</sst>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#,##0"/>
    <numFmt numFmtId="167" formatCode="0.0"/>
    <numFmt numFmtId="168" formatCode="0.000"/>
    <numFmt numFmtId="169" formatCode="0.0000"/>
    <numFmt numFmtId="170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3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8DC"/>
        <bgColor rgb="FFFFFFFF"/>
      </patternFill>
    </fill>
    <fill>
      <patternFill patternType="solid">
        <fgColor rgb="FF0B1A30"/>
        <bgColor rgb="FF000000"/>
      </patternFill>
    </fill>
    <fill>
      <patternFill patternType="solid">
        <fgColor rgb="FFE3F7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3F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8" min="7" style="0" width="8"/>
    <col collapsed="false" customWidth="true" hidden="false" outlineLevel="0" max="10" min="9" style="0" width="16"/>
    <col collapsed="false" customWidth="true" hidden="false" outlineLevel="0" max="11" min="11" style="0" width="18"/>
    <col collapsed="false" customWidth="true" hidden="false" outlineLevel="0" max="12" min="12" style="0" width="8"/>
    <col collapsed="false" customWidth="true" hidden="false" outlineLevel="0" max="13" min="13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  <c r="B3" s="3" t="n">
        <v>1</v>
      </c>
      <c r="C3" s="4" t="s">
        <v>3</v>
      </c>
      <c r="D3" s="3" t="n">
        <v>1.25</v>
      </c>
    </row>
    <row r="5" customFormat="false" ht="45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</row>
    <row r="6" customFormat="false" ht="15" hidden="false" customHeight="false" outlineLevel="0" collapsed="false">
      <c r="A6" s="0" t="n">
        <v>1</v>
      </c>
      <c r="B6" s="6" t="n">
        <v>2400</v>
      </c>
      <c r="C6" s="6" t="n">
        <v>614.8</v>
      </c>
      <c r="D6" s="6" t="n">
        <v>60.7</v>
      </c>
      <c r="E6" s="6" t="n">
        <v>3900</v>
      </c>
      <c r="F6" s="6" t="n">
        <v>3300</v>
      </c>
      <c r="G6" s="7" t="n">
        <v>30.4</v>
      </c>
      <c r="H6" s="8" t="n">
        <f aca="false">B6*$B$3/(C6*$D$3+D6*$B$3)</f>
        <v>2.89435600578871</v>
      </c>
      <c r="I6" s="9" t="n">
        <f aca="false">SUMPRODUCT((E$6:E6-F$6:F6)*G$6:G6)</f>
        <v>18240</v>
      </c>
      <c r="J6" s="9" t="n">
        <f aca="false">SUMPRODUCT(B$6:B6,G$6:G6)</f>
        <v>72960</v>
      </c>
      <c r="K6" s="8" t="n">
        <f aca="false">I6/J6</f>
        <v>0.25</v>
      </c>
      <c r="L6" s="8" t="n">
        <f aca="false">D6/C6</f>
        <v>0.0987312947299935</v>
      </c>
      <c r="M6" s="10" t="n">
        <f aca="false">0</f>
        <v>0</v>
      </c>
    </row>
    <row r="7" customFormat="false" ht="15" hidden="false" customHeight="false" outlineLevel="0" collapsed="false">
      <c r="A7" s="0" t="n">
        <v>2</v>
      </c>
      <c r="B7" s="6" t="n">
        <v>2420</v>
      </c>
      <c r="C7" s="6" t="n">
        <v>608.4</v>
      </c>
      <c r="D7" s="6" t="n">
        <v>63</v>
      </c>
      <c r="E7" s="6" t="n">
        <v>3914</v>
      </c>
      <c r="F7" s="6" t="n">
        <v>3312</v>
      </c>
      <c r="G7" s="7" t="n">
        <v>30.4</v>
      </c>
      <c r="H7" s="8" t="n">
        <f aca="false">B7*$B$3/(C7*$D$3+D7*$B$3)</f>
        <v>2.93867638129933</v>
      </c>
      <c r="I7" s="9" t="n">
        <f aca="false">SUMPRODUCT((E$6:E7-F$6:F7)*G$6:G7)</f>
        <v>36540.8</v>
      </c>
      <c r="J7" s="9" t="n">
        <f aca="false">SUMPRODUCT(B$6:B7,G$6:G7)</f>
        <v>146528</v>
      </c>
      <c r="K7" s="8" t="n">
        <f aca="false">(I7-I6)/(J7-J6)</f>
        <v>0.248760330578512</v>
      </c>
      <c r="L7" s="8" t="n">
        <f aca="false">D7/C7</f>
        <v>0.103550295857988</v>
      </c>
      <c r="M7" s="10" t="n">
        <f aca="false">L7-L6</f>
        <v>0.00481900112799466</v>
      </c>
    </row>
    <row r="8" customFormat="false" ht="15" hidden="false" customHeight="false" outlineLevel="0" collapsed="false">
      <c r="A8" s="0" t="n">
        <v>3</v>
      </c>
      <c r="B8" s="6" t="n">
        <v>2440</v>
      </c>
      <c r="C8" s="6" t="n">
        <v>604.5</v>
      </c>
      <c r="D8" s="6" t="n">
        <v>58.2</v>
      </c>
      <c r="E8" s="6" t="n">
        <v>3928</v>
      </c>
      <c r="F8" s="6" t="n">
        <v>3324</v>
      </c>
      <c r="G8" s="7" t="n">
        <v>30.4</v>
      </c>
      <c r="H8" s="8" t="n">
        <f aca="false">B8*$B$3/(C8*$D$3+D8*$B$3)</f>
        <v>2.998187571038</v>
      </c>
      <c r="I8" s="9" t="n">
        <f aca="false">SUMPRODUCT((E$6:E8-F$6:F8)*G$6:G8)</f>
        <v>54902.4</v>
      </c>
      <c r="J8" s="9" t="n">
        <f aca="false">SUMPRODUCT(B$6:B8,G$6:G8)</f>
        <v>220704</v>
      </c>
      <c r="K8" s="8" t="n">
        <f aca="false">(I8-I7)/(J8-J7)</f>
        <v>0.247540983606557</v>
      </c>
      <c r="L8" s="8" t="n">
        <f aca="false">D8/C8</f>
        <v>0.0962779156327543</v>
      </c>
      <c r="M8" s="10" t="n">
        <f aca="false">L8-L7</f>
        <v>-0.00727238022523383</v>
      </c>
    </row>
    <row r="9" customFormat="false" ht="15" hidden="false" customHeight="false" outlineLevel="0" collapsed="false">
      <c r="A9" s="0" t="n">
        <v>4</v>
      </c>
      <c r="B9" s="6" t="n">
        <v>2460</v>
      </c>
      <c r="C9" s="6" t="n">
        <v>583.3</v>
      </c>
      <c r="D9" s="6" t="n">
        <v>77.1</v>
      </c>
      <c r="E9" s="6" t="n">
        <v>3942</v>
      </c>
      <c r="F9" s="6" t="n">
        <v>3336</v>
      </c>
      <c r="G9" s="7" t="n">
        <v>30.4</v>
      </c>
      <c r="H9" s="8" t="n">
        <f aca="false">B9*$B$3/(C9*$D$3+D9*$B$3)</f>
        <v>3.05125740333034</v>
      </c>
      <c r="I9" s="9" t="n">
        <f aca="false">SUMPRODUCT((E$6:E9-F$6:F9)*G$6:G9)</f>
        <v>73324.8</v>
      </c>
      <c r="J9" s="9" t="n">
        <f aca="false">SUMPRODUCT(B$6:B9,G$6:G9)</f>
        <v>295488</v>
      </c>
      <c r="K9" s="8" t="n">
        <f aca="false">(I9-I8)/(J9-J8)</f>
        <v>0.246341463414634</v>
      </c>
      <c r="L9" s="8" t="n">
        <f aca="false">D9/C9</f>
        <v>0.132178981656095</v>
      </c>
      <c r="M9" s="10" t="n">
        <f aca="false">L9-L8</f>
        <v>0.0359010660233403</v>
      </c>
    </row>
    <row r="10" customFormat="false" ht="15" hidden="false" customHeight="false" outlineLevel="0" collapsed="false">
      <c r="A10" s="0" t="n">
        <v>5</v>
      </c>
      <c r="B10" s="6" t="n">
        <v>2480</v>
      </c>
      <c r="C10" s="6" t="n">
        <v>579.2</v>
      </c>
      <c r="D10" s="6" t="n">
        <v>76.5</v>
      </c>
      <c r="E10" s="6" t="n">
        <v>3956</v>
      </c>
      <c r="F10" s="6" t="n">
        <v>3348</v>
      </c>
      <c r="G10" s="7" t="n">
        <v>30.4</v>
      </c>
      <c r="H10" s="8" t="n">
        <f aca="false">B10*$B$3/(C10*$D$3+D10*$B$3)</f>
        <v>3.09806371018114</v>
      </c>
      <c r="I10" s="9" t="n">
        <f aca="false">SUMPRODUCT((E$6:E10-F$6:F10)*G$6:G10)</f>
        <v>91808</v>
      </c>
      <c r="J10" s="9" t="n">
        <f aca="false">SUMPRODUCT(B$6:B10,G$6:G10)</f>
        <v>370880</v>
      </c>
      <c r="K10" s="8" t="n">
        <f aca="false">(I10-I9)/(J10-J9)</f>
        <v>0.245161290322581</v>
      </c>
      <c r="L10" s="8" t="n">
        <f aca="false">D10/C10</f>
        <v>0.132078729281768</v>
      </c>
      <c r="M10" s="10" t="n">
        <f aca="false">L10-L9</f>
        <v>-0.000100252374326676</v>
      </c>
    </row>
    <row r="11" customFormat="false" ht="15" hidden="false" customHeight="false" outlineLevel="0" collapsed="false">
      <c r="A11" s="0" t="n">
        <v>6</v>
      </c>
      <c r="B11" s="6" t="n">
        <v>2500</v>
      </c>
      <c r="C11" s="6" t="n">
        <v>584.9</v>
      </c>
      <c r="D11" s="6" t="n">
        <v>92</v>
      </c>
      <c r="E11" s="6" t="n">
        <v>3970</v>
      </c>
      <c r="F11" s="6" t="n">
        <v>3360</v>
      </c>
      <c r="G11" s="7" t="n">
        <v>30.4</v>
      </c>
      <c r="H11" s="8" t="n">
        <f aca="false">B11*$B$3/(C11*$D$3+D11*$B$3)</f>
        <v>3.03720577069096</v>
      </c>
      <c r="I11" s="9" t="n">
        <f aca="false">SUMPRODUCT((E$6:E11-F$6:F11)*G$6:G11)</f>
        <v>110352</v>
      </c>
      <c r="J11" s="9" t="n">
        <f aca="false">SUMPRODUCT(B$6:B11,G$6:G11)</f>
        <v>446880</v>
      </c>
      <c r="K11" s="8" t="n">
        <f aca="false">(I11-I10)/(J11-J10)</f>
        <v>0.244</v>
      </c>
      <c r="L11" s="8" t="n">
        <f aca="false">D11/C11</f>
        <v>0.157291844759788</v>
      </c>
      <c r="M11" s="10" t="n">
        <f aca="false">L11-L10</f>
        <v>0.0252131154780201</v>
      </c>
    </row>
    <row r="12" customFormat="false" ht="15" hidden="false" customHeight="false" outlineLevel="0" collapsed="false">
      <c r="A12" s="0" t="n">
        <v>7</v>
      </c>
      <c r="B12" s="6" t="n">
        <v>2520</v>
      </c>
      <c r="C12" s="6" t="n">
        <v>572.7</v>
      </c>
      <c r="D12" s="6" t="n">
        <v>106.4</v>
      </c>
      <c r="E12" s="6" t="n">
        <v>3984</v>
      </c>
      <c r="F12" s="6" t="n">
        <v>3372</v>
      </c>
      <c r="G12" s="7" t="n">
        <v>30.4</v>
      </c>
      <c r="H12" s="8" t="n">
        <f aca="false">B12*$B$3/(C12*$D$3+D12*$B$3)</f>
        <v>3.06466814630142</v>
      </c>
      <c r="I12" s="9" t="n">
        <f aca="false">SUMPRODUCT((E$6:E12-F$6:F12)*G$6:G12)</f>
        <v>128956.8</v>
      </c>
      <c r="J12" s="9" t="n">
        <f aca="false">SUMPRODUCT(B$6:B12,G$6:G12)</f>
        <v>523488</v>
      </c>
      <c r="K12" s="8" t="n">
        <f aca="false">(I12-I11)/(J12-J11)</f>
        <v>0.242857142857143</v>
      </c>
      <c r="L12" s="8" t="n">
        <f aca="false">D12/C12</f>
        <v>0.185786624759909</v>
      </c>
      <c r="M12" s="10" t="n">
        <f aca="false">L12-L11</f>
        <v>0.0284947800001212</v>
      </c>
    </row>
    <row r="13" customFormat="false" ht="15" hidden="false" customHeight="false" outlineLevel="0" collapsed="false">
      <c r="A13" s="0" t="n">
        <v>8</v>
      </c>
      <c r="B13" s="6" t="n">
        <v>2540</v>
      </c>
      <c r="C13" s="6" t="n">
        <v>559.8</v>
      </c>
      <c r="D13" s="6" t="n">
        <v>118.1</v>
      </c>
      <c r="E13" s="6" t="n">
        <v>3998</v>
      </c>
      <c r="F13" s="6" t="n">
        <v>3384</v>
      </c>
      <c r="G13" s="7" t="n">
        <v>30.4</v>
      </c>
      <c r="H13" s="8" t="n">
        <f aca="false">B13*$B$3/(C13*$D$3+D13*$B$3)</f>
        <v>3.10570397994742</v>
      </c>
      <c r="I13" s="9" t="n">
        <f aca="false">SUMPRODUCT((E$6:E13-F$6:F13)*G$6:G13)</f>
        <v>147622.4</v>
      </c>
      <c r="J13" s="9" t="n">
        <f aca="false">SUMPRODUCT(B$6:B13,G$6:G13)</f>
        <v>600704</v>
      </c>
      <c r="K13" s="8" t="n">
        <f aca="false">(I13-I12)/(J13-J12)</f>
        <v>0.241732283464567</v>
      </c>
      <c r="L13" s="8" t="n">
        <f aca="false">D13/C13</f>
        <v>0.210968202929618</v>
      </c>
      <c r="M13" s="10" t="n">
        <f aca="false">L13-L12</f>
        <v>0.0251815781697085</v>
      </c>
    </row>
    <row r="14" customFormat="false" ht="15" hidden="false" customHeight="false" outlineLevel="0" collapsed="false">
      <c r="A14" s="0" t="n">
        <v>9</v>
      </c>
      <c r="B14" s="6" t="n">
        <v>2560</v>
      </c>
      <c r="C14" s="6" t="n">
        <v>550.7</v>
      </c>
      <c r="D14" s="6" t="n">
        <v>149.1</v>
      </c>
      <c r="E14" s="6" t="n">
        <v>4012</v>
      </c>
      <c r="F14" s="6" t="n">
        <v>3396</v>
      </c>
      <c r="G14" s="7" t="n">
        <v>30.4</v>
      </c>
      <c r="H14" s="8" t="n">
        <f aca="false">B14*$B$3/(C14*$D$3+D14*$B$3)</f>
        <v>3.05680766590047</v>
      </c>
      <c r="I14" s="9" t="n">
        <f aca="false">SUMPRODUCT((E$6:E14-F$6:F14)*G$6:G14)</f>
        <v>166348.8</v>
      </c>
      <c r="J14" s="9" t="n">
        <f aca="false">SUMPRODUCT(B$6:B14,G$6:G14)</f>
        <v>678528</v>
      </c>
      <c r="K14" s="8" t="n">
        <f aca="false">(I14-I13)/(J14-J13)</f>
        <v>0.240625</v>
      </c>
      <c r="L14" s="8" t="n">
        <f aca="false">D14/C14</f>
        <v>0.270746322861812</v>
      </c>
      <c r="M14" s="10" t="n">
        <f aca="false">L14-L13</f>
        <v>0.0597781199321945</v>
      </c>
    </row>
    <row r="15" customFormat="false" ht="15" hidden="false" customHeight="false" outlineLevel="0" collapsed="false">
      <c r="A15" s="0" t="n">
        <v>10</v>
      </c>
      <c r="B15" s="6" t="n">
        <v>2580</v>
      </c>
      <c r="C15" s="6" t="n">
        <v>539.5</v>
      </c>
      <c r="D15" s="6" t="n">
        <v>169.2</v>
      </c>
      <c r="E15" s="6" t="n">
        <v>4026</v>
      </c>
      <c r="F15" s="6" t="n">
        <v>3408</v>
      </c>
      <c r="G15" s="7" t="n">
        <v>30.4</v>
      </c>
      <c r="H15" s="8" t="n">
        <f aca="false">B15*$B$3/(C15*$D$3+D15*$B$3)</f>
        <v>3.05841211510536</v>
      </c>
      <c r="I15" s="9" t="n">
        <f aca="false">SUMPRODUCT((E$6:E15-F$6:F15)*G$6:G15)</f>
        <v>185136</v>
      </c>
      <c r="J15" s="9" t="n">
        <f aca="false">SUMPRODUCT(B$6:B15,G$6:G15)</f>
        <v>756960</v>
      </c>
      <c r="K15" s="8" t="n">
        <f aca="false">(I15-I14)/(J15-J14)</f>
        <v>0.23953488372093</v>
      </c>
      <c r="L15" s="8" t="n">
        <f aca="false">D15/C15</f>
        <v>0.313623725671918</v>
      </c>
      <c r="M15" s="10" t="n">
        <f aca="false">L15-L14</f>
        <v>0.0428774028101062</v>
      </c>
    </row>
    <row r="16" customFormat="false" ht="15" hidden="false" customHeight="false" outlineLevel="0" collapsed="false">
      <c r="A16" s="0" t="n">
        <v>11</v>
      </c>
      <c r="B16" s="6" t="n">
        <v>2600</v>
      </c>
      <c r="C16" s="6" t="n">
        <v>533.4</v>
      </c>
      <c r="D16" s="6" t="n">
        <v>183</v>
      </c>
      <c r="E16" s="6" t="n">
        <v>4040</v>
      </c>
      <c r="F16" s="6" t="n">
        <v>3420</v>
      </c>
      <c r="G16" s="7" t="n">
        <v>30.4</v>
      </c>
      <c r="H16" s="8" t="n">
        <f aca="false">B16*$B$3/(C16*$D$3+D16*$B$3)</f>
        <v>3.05972344807296</v>
      </c>
      <c r="I16" s="9" t="n">
        <f aca="false">SUMPRODUCT((E$6:E16-F$6:F16)*G$6:G16)</f>
        <v>203984</v>
      </c>
      <c r="J16" s="9" t="n">
        <f aca="false">SUMPRODUCT(B$6:B16,G$6:G16)</f>
        <v>836000</v>
      </c>
      <c r="K16" s="8" t="n">
        <f aca="false">(I16-I15)/(J16-J15)</f>
        <v>0.238461538461538</v>
      </c>
      <c r="L16" s="8" t="n">
        <f aca="false">D16/C16</f>
        <v>0.343082114735658</v>
      </c>
      <c r="M16" s="10" t="n">
        <f aca="false">L16-L15</f>
        <v>0.0294583890637397</v>
      </c>
    </row>
    <row r="17" customFormat="false" ht="15" hidden="false" customHeight="false" outlineLevel="0" collapsed="false">
      <c r="A17" s="0" t="n">
        <v>12</v>
      </c>
      <c r="B17" s="6" t="n">
        <v>2620</v>
      </c>
      <c r="C17" s="6" t="n">
        <v>526.2</v>
      </c>
      <c r="D17" s="6" t="n">
        <v>218.8</v>
      </c>
      <c r="E17" s="6" t="n">
        <v>4054</v>
      </c>
      <c r="F17" s="6" t="n">
        <v>3432</v>
      </c>
      <c r="G17" s="7" t="n">
        <v>30.4</v>
      </c>
      <c r="H17" s="8" t="n">
        <f aca="false">B17*$B$3/(C17*$D$3+D17*$B$3)</f>
        <v>2.98899093035195</v>
      </c>
      <c r="I17" s="9" t="n">
        <f aca="false">SUMPRODUCT((E$6:E17-F$6:F17)*G$6:G17)</f>
        <v>222892.8</v>
      </c>
      <c r="J17" s="9" t="n">
        <f aca="false">SUMPRODUCT(B$6:B17,G$6:G17)</f>
        <v>915648</v>
      </c>
      <c r="K17" s="8" t="n">
        <f aca="false">(I17-I16)/(J17-J16)</f>
        <v>0.237404580152672</v>
      </c>
      <c r="L17" s="8" t="n">
        <f aca="false">D17/C17</f>
        <v>0.415811478525276</v>
      </c>
      <c r="M17" s="10" t="n">
        <f aca="false">L17-L16</f>
        <v>0.0727293637896175</v>
      </c>
    </row>
    <row r="18" customFormat="false" ht="15" hidden="false" customHeight="false" outlineLevel="0" collapsed="false">
      <c r="A18" s="0" t="n">
        <v>13</v>
      </c>
      <c r="B18" s="6" t="n">
        <v>2580</v>
      </c>
      <c r="C18" s="6" t="n">
        <v>508</v>
      </c>
      <c r="D18" s="6" t="n">
        <v>239.7</v>
      </c>
      <c r="E18" s="6" t="n">
        <v>4099</v>
      </c>
      <c r="F18" s="6" t="n">
        <v>3444</v>
      </c>
      <c r="G18" s="7" t="n">
        <v>30.4</v>
      </c>
      <c r="H18" s="8" t="n">
        <f aca="false">B18*$B$3/(C18*$D$3+D18*$B$3)</f>
        <v>2.9495827140734</v>
      </c>
      <c r="I18" s="9" t="n">
        <f aca="false">SUMPRODUCT((E$6:E18-F$6:F18)*G$6:G18)</f>
        <v>242804.8</v>
      </c>
      <c r="J18" s="9" t="n">
        <f aca="false">SUMPRODUCT(B$6:B18,G$6:G18)</f>
        <v>994080</v>
      </c>
      <c r="K18" s="8" t="n">
        <f aca="false">(I18-I17)/(J18-J17)</f>
        <v>0.253875968992248</v>
      </c>
      <c r="L18" s="8" t="n">
        <f aca="false">D18/C18</f>
        <v>0.471850393700787</v>
      </c>
      <c r="M18" s="10" t="n">
        <f aca="false">L18-L17</f>
        <v>0.0560389151755118</v>
      </c>
    </row>
    <row r="19" customFormat="false" ht="15" hidden="false" customHeight="false" outlineLevel="0" collapsed="false">
      <c r="A19" s="0" t="n">
        <v>14</v>
      </c>
      <c r="B19" s="6" t="n">
        <v>2540</v>
      </c>
      <c r="C19" s="6" t="n">
        <v>510.3</v>
      </c>
      <c r="D19" s="6" t="n">
        <v>279.3</v>
      </c>
      <c r="E19" s="6" t="n">
        <v>4144</v>
      </c>
      <c r="F19" s="6" t="n">
        <v>3456</v>
      </c>
      <c r="G19" s="7" t="n">
        <v>30.4</v>
      </c>
      <c r="H19" s="8" t="n">
        <f aca="false">B19*$B$3/(C19*$D$3+D19*$B$3)</f>
        <v>2.76937334750729</v>
      </c>
      <c r="I19" s="9" t="n">
        <f aca="false">SUMPRODUCT((E$6:E19-F$6:F19)*G$6:G19)</f>
        <v>263720</v>
      </c>
      <c r="J19" s="9" t="n">
        <f aca="false">SUMPRODUCT(B$6:B19,G$6:G19)</f>
        <v>1071296</v>
      </c>
      <c r="K19" s="8" t="n">
        <f aca="false">(I19-I18)/(J19-J18)</f>
        <v>0.270866141732284</v>
      </c>
      <c r="L19" s="8" t="n">
        <f aca="false">D19/C19</f>
        <v>0.547325102880659</v>
      </c>
      <c r="M19" s="10" t="n">
        <f aca="false">L19-L18</f>
        <v>0.0754747091798712</v>
      </c>
    </row>
    <row r="20" customFormat="false" ht="15" hidden="false" customHeight="false" outlineLevel="0" collapsed="false">
      <c r="A20" s="0" t="n">
        <v>15</v>
      </c>
      <c r="B20" s="6" t="n">
        <v>2500</v>
      </c>
      <c r="C20" s="6" t="n">
        <v>498.4</v>
      </c>
      <c r="D20" s="6" t="n">
        <v>320.9</v>
      </c>
      <c r="E20" s="6" t="n">
        <v>4189</v>
      </c>
      <c r="F20" s="6" t="n">
        <v>3468</v>
      </c>
      <c r="G20" s="7" t="n">
        <v>30.4</v>
      </c>
      <c r="H20" s="8" t="n">
        <f aca="false">B20*$B$3/(C20*$D$3+D20*$B$3)</f>
        <v>2.64858565526009</v>
      </c>
      <c r="I20" s="9" t="n">
        <f aca="false">SUMPRODUCT((E$6:E20-F$6:F20)*G$6:G20)</f>
        <v>285638.4</v>
      </c>
      <c r="J20" s="9" t="n">
        <f aca="false">SUMPRODUCT(B$6:B20,G$6:G20)</f>
        <v>1147296</v>
      </c>
      <c r="K20" s="8" t="n">
        <f aca="false">(I20-I19)/(J20-J19)</f>
        <v>0.2884</v>
      </c>
      <c r="L20" s="8" t="n">
        <f aca="false">D20/C20</f>
        <v>0.643860353130016</v>
      </c>
      <c r="M20" s="10" t="n">
        <f aca="false">L20-L19</f>
        <v>0.0965352502493575</v>
      </c>
    </row>
    <row r="21" customFormat="false" ht="15" hidden="false" customHeight="false" outlineLevel="0" collapsed="false">
      <c r="A21" s="0" t="n">
        <v>16</v>
      </c>
      <c r="B21" s="6" t="n">
        <v>2460</v>
      </c>
      <c r="C21" s="6" t="n">
        <v>489.3</v>
      </c>
      <c r="D21" s="6" t="n">
        <v>359.2</v>
      </c>
      <c r="E21" s="6" t="n">
        <v>4234</v>
      </c>
      <c r="F21" s="6" t="n">
        <v>3480</v>
      </c>
      <c r="G21" s="7" t="n">
        <v>30.4</v>
      </c>
      <c r="H21" s="8" t="n">
        <f aca="false">B21*$B$3/(C21*$D$3+D21*$B$3)</f>
        <v>2.53392732984833</v>
      </c>
      <c r="I21" s="9" t="n">
        <f aca="false">SUMPRODUCT((E$6:E21-F$6:F21)*G$6:G21)</f>
        <v>308560</v>
      </c>
      <c r="J21" s="9" t="n">
        <f aca="false">SUMPRODUCT(B$6:B21,G$6:G21)</f>
        <v>1222080</v>
      </c>
      <c r="K21" s="8" t="n">
        <f aca="false">(I21-I20)/(J21-J20)</f>
        <v>0.306504065040651</v>
      </c>
      <c r="L21" s="8" t="n">
        <f aca="false">D21/C21</f>
        <v>0.734109952994073</v>
      </c>
      <c r="M21" s="10" t="n">
        <f aca="false">L21-L20</f>
        <v>0.0902495998640571</v>
      </c>
    </row>
    <row r="22" customFormat="false" ht="15" hidden="false" customHeight="false" outlineLevel="0" collapsed="false">
      <c r="A22" s="0" t="n">
        <v>17</v>
      </c>
      <c r="B22" s="6" t="n">
        <v>2420</v>
      </c>
      <c r="C22" s="6" t="n">
        <v>473.9</v>
      </c>
      <c r="D22" s="6" t="n">
        <v>397.6</v>
      </c>
      <c r="E22" s="6" t="n">
        <v>4279</v>
      </c>
      <c r="F22" s="6" t="n">
        <v>3492</v>
      </c>
      <c r="G22" s="7" t="n">
        <v>30.4</v>
      </c>
      <c r="H22" s="8" t="n">
        <f aca="false">B22*$B$3/(C22*$D$3+D22*$B$3)</f>
        <v>2.44450617439834</v>
      </c>
      <c r="I22" s="9" t="n">
        <f aca="false">SUMPRODUCT((E$6:E22-F$6:F22)*G$6:G22)</f>
        <v>332484.8</v>
      </c>
      <c r="J22" s="9" t="n">
        <f aca="false">SUMPRODUCT(B$6:B22,G$6:G22)</f>
        <v>1295648</v>
      </c>
      <c r="K22" s="8" t="n">
        <f aca="false">(I22-I21)/(J22-J21)</f>
        <v>0.325206611570248</v>
      </c>
      <c r="L22" s="8" t="n">
        <f aca="false">D22/C22</f>
        <v>0.838995568685377</v>
      </c>
      <c r="M22" s="10" t="n">
        <f aca="false">L22-L21</f>
        <v>0.104885615691304</v>
      </c>
    </row>
    <row r="23" customFormat="false" ht="15" hidden="false" customHeight="false" outlineLevel="0" collapsed="false">
      <c r="A23" s="0" t="n">
        <v>18</v>
      </c>
      <c r="B23" s="6" t="n">
        <v>2380</v>
      </c>
      <c r="C23" s="6" t="n">
        <v>465.9</v>
      </c>
      <c r="D23" s="6" t="n">
        <v>442.7</v>
      </c>
      <c r="E23" s="6" t="n">
        <v>4324</v>
      </c>
      <c r="F23" s="6" t="n">
        <v>3504</v>
      </c>
      <c r="G23" s="7" t="n">
        <v>30.4</v>
      </c>
      <c r="H23" s="8" t="n">
        <f aca="false">B23*$B$3/(C23*$D$3+D23*$B$3)</f>
        <v>2.32178133307319</v>
      </c>
      <c r="I23" s="9" t="n">
        <f aca="false">SUMPRODUCT((E$6:E23-F$6:F23)*G$6:G23)</f>
        <v>357412.8</v>
      </c>
      <c r="J23" s="9" t="n">
        <f aca="false">SUMPRODUCT(B$6:B23,G$6:G23)</f>
        <v>1368000</v>
      </c>
      <c r="K23" s="8" t="n">
        <f aca="false">(I23-I22)/(J23-J22)</f>
        <v>0.34453781512605</v>
      </c>
      <c r="L23" s="8" t="n">
        <f aca="false">D23/C23</f>
        <v>0.950203906417686</v>
      </c>
      <c r="M23" s="10" t="n">
        <f aca="false">L23-L22</f>
        <v>0.11120833773231</v>
      </c>
    </row>
    <row r="24" customFormat="false" ht="15" hidden="false" customHeight="false" outlineLevel="0" collapsed="false">
      <c r="A24" s="0" t="n">
        <v>19</v>
      </c>
      <c r="B24" s="6" t="n">
        <v>2340</v>
      </c>
      <c r="C24" s="6" t="n">
        <v>465.6</v>
      </c>
      <c r="D24" s="6" t="n">
        <v>474.8</v>
      </c>
      <c r="E24" s="6" t="n">
        <v>4369</v>
      </c>
      <c r="F24" s="6" t="n">
        <v>3516</v>
      </c>
      <c r="G24" s="7" t="n">
        <v>30.4</v>
      </c>
      <c r="H24" s="8" t="n">
        <f aca="false">B24*$B$3/(C24*$D$3+D24*$B$3)</f>
        <v>2.21423164269493</v>
      </c>
      <c r="I24" s="9" t="n">
        <f aca="false">SUMPRODUCT((E$6:E24-F$6:F24)*G$6:G24)</f>
        <v>383344</v>
      </c>
      <c r="J24" s="9" t="n">
        <f aca="false">SUMPRODUCT(B$6:B24,G$6:G24)</f>
        <v>1439136</v>
      </c>
      <c r="K24" s="8" t="n">
        <f aca="false">(I24-I23)/(J24-J23)</f>
        <v>0.364529914529915</v>
      </c>
      <c r="L24" s="8" t="n">
        <f aca="false">D24/C24</f>
        <v>1.01975945017182</v>
      </c>
      <c r="M24" s="10" t="n">
        <f aca="false">L24-L23</f>
        <v>0.069555543754135</v>
      </c>
    </row>
    <row r="25" customFormat="false" ht="15" hidden="false" customHeight="false" outlineLevel="0" collapsed="false">
      <c r="A25" s="0" t="n">
        <v>20</v>
      </c>
      <c r="B25" s="6" t="n">
        <v>2300</v>
      </c>
      <c r="C25" s="6" t="n">
        <v>441.7</v>
      </c>
      <c r="D25" s="6" t="n">
        <v>524.8</v>
      </c>
      <c r="E25" s="6" t="n">
        <v>4414</v>
      </c>
      <c r="F25" s="6" t="n">
        <v>3528</v>
      </c>
      <c r="G25" s="7" t="n">
        <v>30.4</v>
      </c>
      <c r="H25" s="8" t="n">
        <f aca="false">B25*$B$3/(C25*$D$3+D25*$B$3)</f>
        <v>2.13571047194559</v>
      </c>
      <c r="I25" s="9" t="n">
        <f aca="false">SUMPRODUCT((E$6:E25-F$6:F25)*G$6:G25)</f>
        <v>410278.4</v>
      </c>
      <c r="J25" s="9" t="n">
        <f aca="false">SUMPRODUCT(B$6:B25,G$6:G25)</f>
        <v>1509056</v>
      </c>
      <c r="K25" s="8" t="n">
        <f aca="false">(I25-I24)/(J25-J24)</f>
        <v>0.385217391304347</v>
      </c>
      <c r="L25" s="8" t="n">
        <f aca="false">D25/C25</f>
        <v>1.18813674439665</v>
      </c>
      <c r="M25" s="10" t="n">
        <f aca="false">L25-L24</f>
        <v>0.168377294224828</v>
      </c>
    </row>
    <row r="26" customFormat="false" ht="15" hidden="false" customHeight="false" outlineLevel="0" collapsed="false">
      <c r="A26" s="0" t="n">
        <v>21</v>
      </c>
      <c r="B26" s="6" t="n">
        <v>2260</v>
      </c>
      <c r="C26" s="6" t="n">
        <v>449.3</v>
      </c>
      <c r="D26" s="6" t="n">
        <v>579</v>
      </c>
      <c r="E26" s="6" t="n">
        <v>4459</v>
      </c>
      <c r="F26" s="6" t="n">
        <v>3540</v>
      </c>
      <c r="G26" s="7" t="n">
        <v>30.4</v>
      </c>
      <c r="H26" s="8" t="n">
        <f aca="false">B26*$B$3/(C26*$D$3+D26*$B$3)</f>
        <v>1.9813698630137</v>
      </c>
      <c r="I26" s="9" t="n">
        <f aca="false">SUMPRODUCT((E$6:E26-F$6:F26)*G$6:G26)</f>
        <v>438216</v>
      </c>
      <c r="J26" s="9" t="n">
        <f aca="false">SUMPRODUCT(B$6:B26,G$6:G26)</f>
        <v>1577760</v>
      </c>
      <c r="K26" s="8" t="n">
        <f aca="false">(I26-I25)/(J26-J25)</f>
        <v>0.406637168141593</v>
      </c>
      <c r="L26" s="8" t="n">
        <f aca="false">D26/C26</f>
        <v>1.28867126641442</v>
      </c>
      <c r="M26" s="10" t="n">
        <f aca="false">L26-L25</f>
        <v>0.100534522017773</v>
      </c>
    </row>
    <row r="27" customFormat="false" ht="15" hidden="false" customHeight="false" outlineLevel="0" collapsed="false">
      <c r="A27" s="0" t="n">
        <v>22</v>
      </c>
      <c r="B27" s="6" t="n">
        <v>2220</v>
      </c>
      <c r="C27" s="6" t="n">
        <v>433.5</v>
      </c>
      <c r="D27" s="6" t="n">
        <v>630.1</v>
      </c>
      <c r="E27" s="6" t="n">
        <v>4504</v>
      </c>
      <c r="F27" s="6" t="n">
        <v>3552</v>
      </c>
      <c r="G27" s="7" t="n">
        <v>30.4</v>
      </c>
      <c r="H27" s="8" t="n">
        <f aca="false">B27*$B$3/(C27*$D$3+D27*$B$3)</f>
        <v>1.89423835832676</v>
      </c>
      <c r="I27" s="9" t="n">
        <f aca="false">SUMPRODUCT((E$6:E27-F$6:F27)*G$6:G27)</f>
        <v>467156.8</v>
      </c>
      <c r="J27" s="9" t="n">
        <f aca="false">SUMPRODUCT(B$6:B27,G$6:G27)</f>
        <v>1645248</v>
      </c>
      <c r="K27" s="8" t="n">
        <f aca="false">(I27-I26)/(J27-J26)</f>
        <v>0.428828828828829</v>
      </c>
      <c r="L27" s="8" t="n">
        <f aca="false">D27/C27</f>
        <v>1.45351787773933</v>
      </c>
      <c r="M27" s="10" t="n">
        <f aca="false">L27-L26</f>
        <v>0.164846611324909</v>
      </c>
    </row>
    <row r="28" customFormat="false" ht="15" hidden="false" customHeight="false" outlineLevel="0" collapsed="false">
      <c r="A28" s="0" t="n">
        <v>23</v>
      </c>
      <c r="B28" s="6" t="n">
        <v>2180</v>
      </c>
      <c r="C28" s="6" t="n">
        <v>422.1</v>
      </c>
      <c r="D28" s="6" t="n">
        <v>687.4</v>
      </c>
      <c r="E28" s="6" t="n">
        <v>4549</v>
      </c>
      <c r="F28" s="6" t="n">
        <v>3564</v>
      </c>
      <c r="G28" s="7" t="n">
        <v>30.4</v>
      </c>
      <c r="H28" s="8" t="n">
        <f aca="false">B28*$B$3/(C28*$D$3+D28*$B$3)</f>
        <v>1.79420176539577</v>
      </c>
      <c r="I28" s="9" t="n">
        <f aca="false">SUMPRODUCT((E$6:E28-F$6:F28)*G$6:G28)</f>
        <v>497100.8</v>
      </c>
      <c r="J28" s="9" t="n">
        <f aca="false">SUMPRODUCT(B$6:B28,G$6:G28)</f>
        <v>1711520</v>
      </c>
      <c r="K28" s="8" t="n">
        <f aca="false">(I28-I27)/(J28-J27)</f>
        <v>0.451834862385321</v>
      </c>
      <c r="L28" s="8" t="n">
        <f aca="false">D28/C28</f>
        <v>1.62852404643449</v>
      </c>
      <c r="M28" s="10" t="n">
        <f aca="false">L28-L27</f>
        <v>0.175006168695163</v>
      </c>
    </row>
    <row r="29" customFormat="false" ht="15" hidden="false" customHeight="false" outlineLevel="0" collapsed="false">
      <c r="A29" s="0" t="n">
        <v>24</v>
      </c>
      <c r="B29" s="6" t="n">
        <v>2140</v>
      </c>
      <c r="C29" s="6" t="n">
        <v>410</v>
      </c>
      <c r="D29" s="6" t="n">
        <v>749.1</v>
      </c>
      <c r="E29" s="6" t="n">
        <v>4594</v>
      </c>
      <c r="F29" s="6" t="n">
        <v>3576</v>
      </c>
      <c r="G29" s="7" t="n">
        <v>30.4</v>
      </c>
      <c r="H29" s="8" t="n">
        <f aca="false">B29*$B$3/(C29*$D$3+D29*$B$3)</f>
        <v>1.69625871908687</v>
      </c>
      <c r="I29" s="9" t="n">
        <f aca="false">SUMPRODUCT((E$6:E29-F$6:F29)*G$6:G29)</f>
        <v>528048</v>
      </c>
      <c r="J29" s="9" t="n">
        <f aca="false">SUMPRODUCT(B$6:B29,G$6:G29)</f>
        <v>1776576</v>
      </c>
      <c r="K29" s="8" t="n">
        <f aca="false">(I29-I28)/(J29-J28)</f>
        <v>0.475700934579439</v>
      </c>
      <c r="L29" s="8" t="n">
        <f aca="false">D29/C29</f>
        <v>1.82707317073171</v>
      </c>
      <c r="M29" s="10" t="n">
        <f aca="false">L29-L28</f>
        <v>0.198549124297213</v>
      </c>
    </row>
    <row r="31" customFormat="false" ht="15" hidden="false" customHeight="false" outlineLevel="0" collapsed="false">
      <c r="A3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46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0" t="s">
        <v>19</v>
      </c>
      <c r="B4" s="3" t="n">
        <v>0.2</v>
      </c>
    </row>
    <row r="5" customFormat="false" ht="15" hidden="false" customHeight="false" outlineLevel="0" collapsed="false">
      <c r="A5" s="0" t="s">
        <v>20</v>
      </c>
      <c r="B5" s="3" t="n">
        <v>0.25</v>
      </c>
    </row>
    <row r="6" customFormat="false" ht="15" hidden="false" customHeight="false" outlineLevel="0" collapsed="false">
      <c r="A6" s="0" t="s">
        <v>21</v>
      </c>
      <c r="B6" s="3" t="n">
        <v>0.3</v>
      </c>
    </row>
    <row r="7" customFormat="false" ht="15" hidden="false" customHeight="false" outlineLevel="0" collapsed="false">
      <c r="A7" s="0" t="s">
        <v>22</v>
      </c>
      <c r="B7" s="3" t="n">
        <v>0.8</v>
      </c>
    </row>
    <row r="8" customFormat="false" ht="15" hidden="false" customHeight="false" outlineLevel="0" collapsed="false">
      <c r="A8" s="0" t="s">
        <v>23</v>
      </c>
      <c r="B8" s="7" t="n">
        <v>2</v>
      </c>
    </row>
    <row r="9" customFormat="false" ht="15" hidden="false" customHeight="false" outlineLevel="0" collapsed="false">
      <c r="A9" s="0" t="s">
        <v>24</v>
      </c>
      <c r="B9" s="7" t="n">
        <v>2</v>
      </c>
    </row>
    <row r="10" customFormat="false" ht="15" hidden="false" customHeight="false" outlineLevel="0" collapsed="false">
      <c r="A10" s="0" t="s">
        <v>25</v>
      </c>
      <c r="B10" s="3" t="n">
        <v>0.5</v>
      </c>
    </row>
    <row r="11" customFormat="false" ht="15" hidden="false" customHeight="false" outlineLevel="0" collapsed="false">
      <c r="A11" s="0" t="s">
        <v>26</v>
      </c>
      <c r="B11" s="3" t="n">
        <v>5</v>
      </c>
    </row>
    <row r="13" customFormat="false" ht="15" hidden="false" customHeight="false" outlineLevel="0" collapsed="false">
      <c r="A13" s="5" t="s">
        <v>27</v>
      </c>
      <c r="B13" s="5" t="s">
        <v>28</v>
      </c>
      <c r="C13" s="5" t="s">
        <v>29</v>
      </c>
      <c r="D13" s="5" t="s">
        <v>30</v>
      </c>
      <c r="E13" s="5" t="s">
        <v>31</v>
      </c>
      <c r="F13" s="5" t="s">
        <v>32</v>
      </c>
      <c r="H13" s="11" t="s">
        <v>33</v>
      </c>
    </row>
    <row r="14" customFormat="false" ht="15" hidden="false" customHeight="false" outlineLevel="0" collapsed="false">
      <c r="A14" s="10" t="n">
        <f aca="false">$B$4+1*(1-$B$4-$B$5)/30</f>
        <v>0.218333333333333</v>
      </c>
      <c r="B14" s="12" t="n">
        <f aca="false">$B$6*MAX(0,(A14-$B$4)/(1-$B$4-$B$5))^$B$8</f>
        <v>0.000333333333333334</v>
      </c>
      <c r="C14" s="12" t="n">
        <f aca="false">$B$7*MAX(0,(1-$B$5-A14)/(1-$B$4-$B$5))^$B$9</f>
        <v>0.747555555555555</v>
      </c>
      <c r="D14" s="12" t="n">
        <f aca="false">IF(B14=0,0,1/(1+(C14/$B$11)/(B14/$B$10)))</f>
        <v>0.00443918319029299</v>
      </c>
      <c r="E14" s="12" t="n">
        <f aca="false">D14/(A14-$B$4)</f>
        <v>0.242137264925072</v>
      </c>
      <c r="F14" s="10" t="n">
        <f aca="false">(D15-D14)/(A15-A14)</f>
        <v>0.781870016904488</v>
      </c>
      <c r="H14" s="4" t="s">
        <v>34</v>
      </c>
      <c r="I14" s="13" t="n">
        <f aca="false">INDEX(A14:A43,MATCH(MAX(E14:E43),E14:E43,0))</f>
        <v>0.456666666666667</v>
      </c>
    </row>
    <row r="15" customFormat="false" ht="15" hidden="false" customHeight="false" outlineLevel="0" collapsed="false">
      <c r="A15" s="10" t="n">
        <f aca="false">$B$4+2*(1-$B$4-$B$5)/30</f>
        <v>0.236666666666667</v>
      </c>
      <c r="B15" s="12" t="n">
        <f aca="false">$B$6*MAX(0,(A15-$B$4)/(1-$B$4-$B$5))^$B$8</f>
        <v>0.00133333333333333</v>
      </c>
      <c r="C15" s="12" t="n">
        <f aca="false">$B$7*MAX(0,(1-$B$5-A15)/(1-$B$4-$B$5))^$B$9</f>
        <v>0.696888888888889</v>
      </c>
      <c r="D15" s="12" t="n">
        <f aca="false">IF(B15=0,0,1/(1+(C15/$B$11)/(B15/$B$10)))</f>
        <v>0.0187734668335419</v>
      </c>
      <c r="E15" s="12" t="n">
        <f aca="false">D15/(A15-$B$4)</f>
        <v>0.51200364091478</v>
      </c>
      <c r="F15" s="10" t="n">
        <f aca="false">(D16-D14)/(A16-A14)</f>
        <v>1.08568921146345</v>
      </c>
      <c r="H15" s="4" t="s">
        <v>35</v>
      </c>
      <c r="I15" s="13" t="n">
        <f aca="false">INDEX(D14:D43,MATCH(MAX(E14:E43),E14:E43,0))</f>
        <v>0.74167507568113</v>
      </c>
    </row>
    <row r="16" customFormat="false" ht="15" hidden="false" customHeight="false" outlineLevel="0" collapsed="false">
      <c r="A16" s="10" t="n">
        <f aca="false">$B$4+3*(1-$B$4-$B$5)/30</f>
        <v>0.255</v>
      </c>
      <c r="B16" s="12" t="n">
        <f aca="false">$B$6*MAX(0,(A16-$B$4)/(1-$B$4-$B$5))^$B$8</f>
        <v>0.003</v>
      </c>
      <c r="C16" s="12" t="n">
        <f aca="false">$B$7*MAX(0,(1-$B$5-A16)/(1-$B$4-$B$5))^$B$9</f>
        <v>0.648</v>
      </c>
      <c r="D16" s="12" t="n">
        <f aca="false">IF(B16=0,0,1/(1+(C16/$B$11)/(B16/$B$10)))</f>
        <v>0.0442477876106195</v>
      </c>
      <c r="E16" s="12" t="n">
        <f aca="false">D16/(A16-$B$4)</f>
        <v>0.80450522928399</v>
      </c>
      <c r="F16" s="10" t="n">
        <f aca="false">(D17-D15)/(A17-A15)</f>
        <v>1.71131651718799</v>
      </c>
      <c r="H16" s="4" t="s">
        <v>36</v>
      </c>
      <c r="I16" s="13" t="n">
        <f aca="false">B4+(I14-B4)/I15</f>
        <v>0.546063492063492</v>
      </c>
    </row>
    <row r="17" customFormat="false" ht="15" hidden="false" customHeight="false" outlineLevel="0" collapsed="false">
      <c r="A17" s="10" t="n">
        <f aca="false">$B$4+4*(1-$B$4-$B$5)/30</f>
        <v>0.273333333333333</v>
      </c>
      <c r="B17" s="12" t="n">
        <f aca="false">$B$6*MAX(0,(A17-$B$4)/(1-$B$4-$B$5))^$B$8</f>
        <v>0.00533333333333333</v>
      </c>
      <c r="C17" s="12" t="n">
        <f aca="false">$B$7*MAX(0,(1-$B$5-A17)/(1-$B$4-$B$5))^$B$9</f>
        <v>0.600888888888889</v>
      </c>
      <c r="D17" s="12" t="n">
        <f aca="false">IF(B17=0,0,1/(1+(C17/$B$11)/(B17/$B$10)))</f>
        <v>0.0815217391304347</v>
      </c>
      <c r="E17" s="12" t="n">
        <f aca="false">D17/(A17-$B$4)</f>
        <v>1.11166007905138</v>
      </c>
      <c r="F17" s="10" t="n">
        <f aca="false">(D18-D16)/(A18-A16)</f>
        <v>2.35055440903844</v>
      </c>
      <c r="H17" s="4" t="s">
        <v>37</v>
      </c>
      <c r="I17" s="14" t="n">
        <f aca="false">(I16-B4)/(1-B4)</f>
        <v>0.432579365079365</v>
      </c>
    </row>
    <row r="18" customFormat="false" ht="15" hidden="false" customHeight="false" outlineLevel="0" collapsed="false">
      <c r="A18" s="10" t="n">
        <f aca="false">$B$4+5*(1-$B$4-$B$5)/30</f>
        <v>0.291666666666667</v>
      </c>
      <c r="B18" s="12" t="n">
        <f aca="false">$B$6*MAX(0,(A18-$B$4)/(1-$B$4-$B$5))^$B$8</f>
        <v>0.00833333333333333</v>
      </c>
      <c r="C18" s="12" t="n">
        <f aca="false">$B$7*MAX(0,(1-$B$5-A18)/(1-$B$4-$B$5))^$B$9</f>
        <v>0.555555555555556</v>
      </c>
      <c r="D18" s="12" t="n">
        <f aca="false">IF(B18=0,0,1/(1+(C18/$B$11)/(B18/$B$10)))</f>
        <v>0.130434782608696</v>
      </c>
      <c r="E18" s="12" t="n">
        <f aca="false">D18/(A18-$B$4)</f>
        <v>1.42292490118577</v>
      </c>
      <c r="F18" s="10" t="n">
        <f aca="false">(D19-D17)/(A19-A17)</f>
        <v>2.95504577975684</v>
      </c>
      <c r="H18" s="4" t="s">
        <v>38</v>
      </c>
      <c r="I18" s="15" t="n">
        <f aca="false">(B6/B10)/(B7/B11)</f>
        <v>3.75</v>
      </c>
    </row>
    <row r="19" customFormat="false" ht="15" hidden="false" customHeight="false" outlineLevel="0" collapsed="false">
      <c r="A19" s="10" t="n">
        <f aca="false">$B$4+6*(1-$B$4-$B$5)/30</f>
        <v>0.31</v>
      </c>
      <c r="B19" s="12" t="n">
        <f aca="false">$B$6*MAX(0,(A19-$B$4)/(1-$B$4-$B$5))^$B$8</f>
        <v>0.012</v>
      </c>
      <c r="C19" s="12" t="n">
        <f aca="false">$B$7*MAX(0,(1-$B$5-A19)/(1-$B$4-$B$5))^$B$9</f>
        <v>0.512</v>
      </c>
      <c r="D19" s="12" t="n">
        <f aca="false">IF(B19=0,0,1/(1+(C19/$B$11)/(B19/$B$10)))</f>
        <v>0.189873417721519</v>
      </c>
      <c r="E19" s="12" t="n">
        <f aca="false">D19/(A19-$B$4)</f>
        <v>1.72612197928654</v>
      </c>
      <c r="F19" s="10" t="n">
        <f aca="false">(D20-D18)/(A20-A18)</f>
        <v>3.47371354340686</v>
      </c>
    </row>
    <row r="20" customFormat="false" ht="15" hidden="false" customHeight="false" outlineLevel="0" collapsed="false">
      <c r="A20" s="10" t="n">
        <f aca="false">$B$4+7*(1-$B$4-$B$5)/30</f>
        <v>0.328333333333333</v>
      </c>
      <c r="B20" s="12" t="n">
        <f aca="false">$B$6*MAX(0,(A20-$B$4)/(1-$B$4-$B$5))^$B$8</f>
        <v>0.0163333333333333</v>
      </c>
      <c r="C20" s="12" t="n">
        <f aca="false">$B$7*MAX(0,(1-$B$5-A20)/(1-$B$4-$B$5))^$B$9</f>
        <v>0.470222222222222</v>
      </c>
      <c r="D20" s="12" t="n">
        <f aca="false">IF(B20=0,0,1/(1+(C20/$B$11)/(B20/$B$10)))</f>
        <v>0.257804279200281</v>
      </c>
      <c r="E20" s="12" t="n">
        <f aca="false">D20/(A20-$B$4)</f>
        <v>2.00886451324894</v>
      </c>
      <c r="F20" s="10" t="n">
        <f aca="false">(D21-D19)/(A21-A19)</f>
        <v>3.86231713597264</v>
      </c>
      <c r="H20" s="2" t="s">
        <v>39</v>
      </c>
    </row>
    <row r="21" customFormat="false" ht="15" hidden="false" customHeight="false" outlineLevel="0" collapsed="false">
      <c r="A21" s="10" t="n">
        <f aca="false">$B$4+8*(1-$B$4-$B$5)/30</f>
        <v>0.346666666666667</v>
      </c>
      <c r="B21" s="12" t="n">
        <f aca="false">$B$6*MAX(0,(A21-$B$4)/(1-$B$4-$B$5))^$B$8</f>
        <v>0.0213333333333333</v>
      </c>
      <c r="C21" s="12" t="n">
        <f aca="false">$B$7*MAX(0,(1-$B$5-A21)/(1-$B$4-$B$5))^$B$9</f>
        <v>0.430222222222222</v>
      </c>
      <c r="D21" s="12" t="n">
        <f aca="false">IF(B21=0,0,1/(1+(C21/$B$11)/(B21/$B$10)))</f>
        <v>0.331491712707182</v>
      </c>
      <c r="E21" s="12" t="n">
        <f aca="false">D21/(A21-$B$4)</f>
        <v>2.26017076845806</v>
      </c>
      <c r="F21" s="10" t="n">
        <f aca="false">(D22-D20)/(A22-A20)</f>
        <v>4.09229197347216</v>
      </c>
    </row>
    <row r="22" customFormat="false" ht="15" hidden="false" customHeight="false" outlineLevel="0" collapsed="false">
      <c r="A22" s="10" t="n">
        <f aca="false">$B$4+9*(1-$B$4-$B$5)/30</f>
        <v>0.365</v>
      </c>
      <c r="B22" s="12" t="n">
        <f aca="false">$B$6*MAX(0,(A22-$B$4)/(1-$B$4-$B$5))^$B$8</f>
        <v>0.027</v>
      </c>
      <c r="C22" s="12" t="n">
        <f aca="false">$B$7*MAX(0,(1-$B$5-A22)/(1-$B$4-$B$5))^$B$9</f>
        <v>0.392</v>
      </c>
      <c r="D22" s="12" t="n">
        <f aca="false">IF(B22=0,0,1/(1+(C22/$B$11)/(B22/$B$10)))</f>
        <v>0.40785498489426</v>
      </c>
      <c r="E22" s="12" t="n">
        <f aca="false">D22/(A22-$B$4)</f>
        <v>2.47184839329854</v>
      </c>
      <c r="F22" s="10" t="n">
        <f aca="false">(D23-D21)/(A23-A21)</f>
        <v>4.15579786458418</v>
      </c>
    </row>
    <row r="23" customFormat="false" ht="15" hidden="false" customHeight="false" outlineLevel="0" collapsed="false">
      <c r="A23" s="10" t="n">
        <f aca="false">$B$4+10*(1-$B$4-$B$5)/30</f>
        <v>0.383333333333333</v>
      </c>
      <c r="B23" s="12" t="n">
        <f aca="false">$B$6*MAX(0,(A23-$B$4)/(1-$B$4-$B$5))^$B$8</f>
        <v>0.0333333333333333</v>
      </c>
      <c r="C23" s="12" t="n">
        <f aca="false">$B$7*MAX(0,(1-$B$5-A23)/(1-$B$4-$B$5))^$B$9</f>
        <v>0.355555555555556</v>
      </c>
      <c r="D23" s="12" t="n">
        <f aca="false">IF(B23=0,0,1/(1+(C23/$B$11)/(B23/$B$10)))</f>
        <v>0.483870967741935</v>
      </c>
      <c r="E23" s="12" t="n">
        <f aca="false">D23/(A23-$B$4)</f>
        <v>2.63929618768328</v>
      </c>
      <c r="F23" s="10" t="n">
        <f aca="false">(D24-D22)/(A24-A22)</f>
        <v>4.0653904228537</v>
      </c>
    </row>
    <row r="24" customFormat="false" ht="15" hidden="false" customHeight="false" outlineLevel="0" collapsed="false">
      <c r="A24" s="10" t="n">
        <f aca="false">$B$4+11*(1-$B$4-$B$5)/30</f>
        <v>0.401666666666667</v>
      </c>
      <c r="B24" s="12" t="n">
        <f aca="false">$B$6*MAX(0,(A24-$B$4)/(1-$B$4-$B$5))^$B$8</f>
        <v>0.0403333333333334</v>
      </c>
      <c r="C24" s="12" t="n">
        <f aca="false">$B$7*MAX(0,(1-$B$5-A24)/(1-$B$4-$B$5))^$B$9</f>
        <v>0.320888888888889</v>
      </c>
      <c r="D24" s="12" t="n">
        <f aca="false">IF(B24=0,0,1/(1+(C24/$B$11)/(B24/$B$10)))</f>
        <v>0.556919300398896</v>
      </c>
      <c r="E24" s="12" t="n">
        <f aca="false">D24/(A24-$B$4)</f>
        <v>2.76158330776312</v>
      </c>
      <c r="F24" s="10" t="n">
        <f aca="false">(D25-D23)/(A25-A23)</f>
        <v>3.84897360703812</v>
      </c>
    </row>
    <row r="25" customFormat="false" ht="15" hidden="false" customHeight="false" outlineLevel="0" collapsed="false">
      <c r="A25" s="10" t="n">
        <f aca="false">$B$4+12*(1-$B$4-$B$5)/30</f>
        <v>0.42</v>
      </c>
      <c r="B25" s="12" t="n">
        <f aca="false">$B$6*MAX(0,(A25-$B$4)/(1-$B$4-$B$5))^$B$8</f>
        <v>0.048</v>
      </c>
      <c r="C25" s="12" t="n">
        <f aca="false">$B$7*MAX(0,(1-$B$5-A25)/(1-$B$4-$B$5))^$B$9</f>
        <v>0.288</v>
      </c>
      <c r="D25" s="12" t="n">
        <f aca="false">IF(B25=0,0,1/(1+(C25/$B$11)/(B25/$B$10)))</f>
        <v>0.625</v>
      </c>
      <c r="E25" s="12" t="n">
        <f aca="false">D25/(A25-$B$4)</f>
        <v>2.84090909090909</v>
      </c>
      <c r="F25" s="10" t="n">
        <f aca="false">(D26-D24)/(A26-A24)</f>
        <v>3.54235754459996</v>
      </c>
    </row>
    <row r="26" customFormat="false" ht="15" hidden="false" customHeight="false" outlineLevel="0" collapsed="false">
      <c r="A26" s="10" t="n">
        <f aca="false">$B$4+13*(1-$B$4-$B$5)/30</f>
        <v>0.438333333333333</v>
      </c>
      <c r="B26" s="12" t="n">
        <f aca="false">$B$6*MAX(0,(A26-$B$4)/(1-$B$4-$B$5))^$B$8</f>
        <v>0.0563333333333333</v>
      </c>
      <c r="C26" s="12" t="n">
        <f aca="false">$B$7*MAX(0,(1-$B$5-A26)/(1-$B$4-$B$5))^$B$9</f>
        <v>0.256888888888889</v>
      </c>
      <c r="D26" s="12" t="n">
        <f aca="false">IF(B26=0,0,1/(1+(C26/$B$11)/(B26/$B$10)))</f>
        <v>0.686805743700894</v>
      </c>
      <c r="E26" s="12" t="n">
        <f aca="false">D26/(A26-$B$4)</f>
        <v>2.88170242112263</v>
      </c>
      <c r="F26" s="10" t="n">
        <f aca="false">(D27-D25)/(A27-A25)</f>
        <v>3.18204751857627</v>
      </c>
    </row>
    <row r="27" customFormat="false" ht="15" hidden="false" customHeight="false" outlineLevel="0" collapsed="false">
      <c r="A27" s="10" t="n">
        <f aca="false">$B$4+14*(1-$B$4-$B$5)/30</f>
        <v>0.456666666666667</v>
      </c>
      <c r="B27" s="12" t="n">
        <f aca="false">$B$6*MAX(0,(A27-$B$4)/(1-$B$4-$B$5))^$B$8</f>
        <v>0.0653333333333334</v>
      </c>
      <c r="C27" s="12" t="n">
        <f aca="false">$B$7*MAX(0,(1-$B$5-A27)/(1-$B$4-$B$5))^$B$9</f>
        <v>0.227555555555555</v>
      </c>
      <c r="D27" s="12" t="n">
        <f aca="false">IF(B27=0,0,1/(1+(C27/$B$11)/(B27/$B$10)))</f>
        <v>0.74167507568113</v>
      </c>
      <c r="E27" s="12" t="n">
        <f aca="false">D27/(A27-$B$4)</f>
        <v>2.8896431520044</v>
      </c>
      <c r="F27" s="10" t="n">
        <f aca="false">(D28-D26)/(A28-A26)</f>
        <v>2.80003474117179</v>
      </c>
    </row>
    <row r="28" customFormat="false" ht="15" hidden="false" customHeight="false" outlineLevel="0" collapsed="false">
      <c r="A28" s="10" t="n">
        <f aca="false">$B$4+15*(1-$B$4-$B$5)/30</f>
        <v>0.475</v>
      </c>
      <c r="B28" s="12" t="n">
        <f aca="false">$B$6*MAX(0,(A28-$B$4)/(1-$B$4-$B$5))^$B$8</f>
        <v>0.075</v>
      </c>
      <c r="C28" s="12" t="n">
        <f aca="false">$B$7*MAX(0,(1-$B$5-A28)/(1-$B$4-$B$5))^$B$9</f>
        <v>0.2</v>
      </c>
      <c r="D28" s="12" t="n">
        <f aca="false">IF(B28=0,0,1/(1+(C28/$B$11)/(B28/$B$10)))</f>
        <v>0.789473684210526</v>
      </c>
      <c r="E28" s="12" t="n">
        <f aca="false">D28/(A28-$B$4)</f>
        <v>2.87081339712919</v>
      </c>
      <c r="F28" s="10" t="n">
        <f aca="false">(D29-D27)/(A29-A27)</f>
        <v>2.42112958114062</v>
      </c>
    </row>
    <row r="29" customFormat="false" ht="15" hidden="false" customHeight="false" outlineLevel="0" collapsed="false">
      <c r="A29" s="10" t="n">
        <f aca="false">$B$4+16*(1-$B$4-$B$5)/30</f>
        <v>0.493333333333333</v>
      </c>
      <c r="B29" s="12" t="n">
        <f aca="false">$B$6*MAX(0,(A29-$B$4)/(1-$B$4-$B$5))^$B$8</f>
        <v>0.0853333333333333</v>
      </c>
      <c r="C29" s="12" t="n">
        <f aca="false">$B$7*MAX(0,(1-$B$5-A29)/(1-$B$4-$B$5))^$B$9</f>
        <v>0.174222222222222</v>
      </c>
      <c r="D29" s="12" t="n">
        <f aca="false">IF(B29=0,0,1/(1+(C29/$B$11)/(B29/$B$10)))</f>
        <v>0.830449826989619</v>
      </c>
      <c r="E29" s="12" t="n">
        <f aca="false">D29/(A29-$B$4)</f>
        <v>2.83107895564643</v>
      </c>
      <c r="F29" s="10" t="n">
        <f aca="false">(D30-D28)/(A30-A28)</f>
        <v>2.06244825976154</v>
      </c>
    </row>
    <row r="30" customFormat="false" ht="15" hidden="false" customHeight="false" outlineLevel="0" collapsed="false">
      <c r="A30" s="10" t="n">
        <f aca="false">$B$4+17*(1-$B$4-$B$5)/30</f>
        <v>0.511666666666667</v>
      </c>
      <c r="B30" s="12" t="n">
        <f aca="false">$B$6*MAX(0,(A30-$B$4)/(1-$B$4-$B$5))^$B$8</f>
        <v>0.0963333333333333</v>
      </c>
      <c r="C30" s="12" t="n">
        <f aca="false">$B$7*MAX(0,(1-$B$5-A30)/(1-$B$4-$B$5))^$B$9</f>
        <v>0.150222222222222</v>
      </c>
      <c r="D30" s="12" t="n">
        <f aca="false">IF(B30=0,0,1/(1+(C30/$B$11)/(B30/$B$10)))</f>
        <v>0.865096787068449</v>
      </c>
      <c r="E30" s="12" t="n">
        <f aca="false">D30/(A30-$B$4)</f>
        <v>2.7757116162624</v>
      </c>
      <c r="F30" s="10" t="n">
        <f aca="false">(D31-D29)/(A31-A29)</f>
        <v>1.73427022117414</v>
      </c>
    </row>
    <row r="31" customFormat="false" ht="15" hidden="false" customHeight="false" outlineLevel="0" collapsed="false">
      <c r="A31" s="10" t="n">
        <f aca="false">$B$4+18*(1-$B$4-$B$5)/30</f>
        <v>0.53</v>
      </c>
      <c r="B31" s="12" t="n">
        <f aca="false">$B$6*MAX(0,(A31-$B$4)/(1-$B$4-$B$5))^$B$8</f>
        <v>0.108</v>
      </c>
      <c r="C31" s="12" t="n">
        <f aca="false">$B$7*MAX(0,(1-$B$5-A31)/(1-$B$4-$B$5))^$B$9</f>
        <v>0.128</v>
      </c>
      <c r="D31" s="12" t="n">
        <f aca="false">IF(B31=0,0,1/(1+(C31/$B$11)/(B31/$B$10)))</f>
        <v>0.894039735099338</v>
      </c>
      <c r="E31" s="12" t="n">
        <f aca="false">D31/(A31-$B$4)</f>
        <v>2.70921131848284</v>
      </c>
      <c r="F31" s="10" t="n">
        <f aca="false">(D32-D30)/(A32-A30)</f>
        <v>1.44151113324238</v>
      </c>
    </row>
    <row r="32" customFormat="false" ht="15" hidden="false" customHeight="false" outlineLevel="0" collapsed="false">
      <c r="A32" s="10" t="n">
        <f aca="false">$B$4+19*(1-$B$4-$B$5)/30</f>
        <v>0.548333333333333</v>
      </c>
      <c r="B32" s="12" t="n">
        <f aca="false">$B$6*MAX(0,(A32-$B$4)/(1-$B$4-$B$5))^$B$8</f>
        <v>0.120333333333333</v>
      </c>
      <c r="C32" s="12" t="n">
        <f aca="false">$B$7*MAX(0,(1-$B$5-A32)/(1-$B$4-$B$5))^$B$9</f>
        <v>0.107555555555556</v>
      </c>
      <c r="D32" s="12" t="n">
        <f aca="false">IF(B32=0,0,1/(1+(C32/$B$11)/(B32/$B$10)))</f>
        <v>0.917952195287337</v>
      </c>
      <c r="E32" s="12" t="n">
        <f aca="false">D32/(A32-$B$4)</f>
        <v>2.63526946015503</v>
      </c>
      <c r="F32" s="10" t="n">
        <f aca="false">(D33-D31)/(A33-A31)</f>
        <v>1.18527995183624</v>
      </c>
    </row>
    <row r="33" customFormat="false" ht="15" hidden="false" customHeight="false" outlineLevel="0" collapsed="false">
      <c r="A33" s="10" t="n">
        <f aca="false">$B$4+20*(1-$B$4-$B$5)/30</f>
        <v>0.566666666666667</v>
      </c>
      <c r="B33" s="12" t="n">
        <f aca="false">$B$6*MAX(0,(A33-$B$4)/(1-$B$4-$B$5))^$B$8</f>
        <v>0.133333333333333</v>
      </c>
      <c r="C33" s="12" t="n">
        <f aca="false">$B$7*MAX(0,(1-$B$5-A33)/(1-$B$4-$B$5))^$B$9</f>
        <v>0.0888888888888889</v>
      </c>
      <c r="D33" s="12" t="n">
        <f aca="false">IF(B33=0,0,1/(1+(C33/$B$11)/(B33/$B$10)))</f>
        <v>0.9375</v>
      </c>
      <c r="E33" s="12" t="n">
        <f aca="false">D33/(A33-$B$4)</f>
        <v>2.55681818181818</v>
      </c>
      <c r="F33" s="10" t="n">
        <f aca="false">(D34-D32)/(A34-A32)</f>
        <v>0.964232664784693</v>
      </c>
    </row>
    <row r="34" customFormat="false" ht="15" hidden="false" customHeight="false" outlineLevel="0" collapsed="false">
      <c r="A34" s="10" t="n">
        <f aca="false">$B$4+21*(1-$B$4-$B$5)/30</f>
        <v>0.585</v>
      </c>
      <c r="B34" s="12" t="n">
        <f aca="false">$B$6*MAX(0,(A34-$B$4)/(1-$B$4-$B$5))^$B$8</f>
        <v>0.147</v>
      </c>
      <c r="C34" s="12" t="n">
        <f aca="false">$B$7*MAX(0,(1-$B$5-A34)/(1-$B$4-$B$5))^$B$9</f>
        <v>0.072</v>
      </c>
      <c r="D34" s="12" t="n">
        <f aca="false">IF(B34=0,0,1/(1+(C34/$B$11)/(B34/$B$10)))</f>
        <v>0.953307392996109</v>
      </c>
      <c r="E34" s="12" t="n">
        <f aca="false">D34/(A34-$B$4)</f>
        <v>2.47612309869119</v>
      </c>
      <c r="F34" s="10" t="n">
        <f aca="false">(D35-D33)/(A35-A33)</f>
        <v>0.775618075378585</v>
      </c>
    </row>
    <row r="35" customFormat="false" ht="15" hidden="false" customHeight="false" outlineLevel="0" collapsed="false">
      <c r="A35" s="10" t="n">
        <f aca="false">$B$4+22*(1-$B$4-$B$5)/30</f>
        <v>0.603333333333333</v>
      </c>
      <c r="B35" s="12" t="n">
        <f aca="false">$B$6*MAX(0,(A35-$B$4)/(1-$B$4-$B$5))^$B$8</f>
        <v>0.161333333333333</v>
      </c>
      <c r="C35" s="12" t="n">
        <f aca="false">$B$7*MAX(0,(1-$B$5-A35)/(1-$B$4-$B$5))^$B$9</f>
        <v>0.0568888888888889</v>
      </c>
      <c r="D35" s="12" t="n">
        <f aca="false">IF(B35=0,0,1/(1+(C35/$B$11)/(B35/$B$10)))</f>
        <v>0.965939329430548</v>
      </c>
      <c r="E35" s="12" t="n">
        <f aca="false">D35/(A35-$B$4)</f>
        <v>2.39489089941458</v>
      </c>
      <c r="F35" s="10" t="n">
        <f aca="false">(D36-D34)/(A36-A34)</f>
        <v>0.616018115457024</v>
      </c>
    </row>
    <row r="36" customFormat="false" ht="15" hidden="false" customHeight="false" outlineLevel="0" collapsed="false">
      <c r="A36" s="10" t="n">
        <f aca="false">$B$4+23*(1-$B$4-$B$5)/30</f>
        <v>0.621666666666667</v>
      </c>
      <c r="B36" s="12" t="n">
        <f aca="false">$B$6*MAX(0,(A36-$B$4)/(1-$B$4-$B$5))^$B$8</f>
        <v>0.176333333333333</v>
      </c>
      <c r="C36" s="12" t="n">
        <f aca="false">$B$7*MAX(0,(1-$B$5-A36)/(1-$B$4-$B$5))^$B$9</f>
        <v>0.0435555555555555</v>
      </c>
      <c r="D36" s="12" t="n">
        <f aca="false">IF(B36=0,0,1/(1+(C36/$B$11)/(B36/$B$10)))</f>
        <v>0.9758947238962</v>
      </c>
      <c r="E36" s="12" t="n">
        <f aca="false">D36/(A36-$B$4)</f>
        <v>2.31437483927953</v>
      </c>
      <c r="F36" s="10" t="n">
        <f aca="false">(D37-D35)/(A37-A35)</f>
        <v>0.481833489450029</v>
      </c>
    </row>
    <row r="37" customFormat="false" ht="15" hidden="false" customHeight="false" outlineLevel="0" collapsed="false">
      <c r="A37" s="10" t="n">
        <f aca="false">$B$4+24*(1-$B$4-$B$5)/30</f>
        <v>0.64</v>
      </c>
      <c r="B37" s="12" t="n">
        <f aca="false">$B$6*MAX(0,(A37-$B$4)/(1-$B$4-$B$5))^$B$8</f>
        <v>0.192</v>
      </c>
      <c r="C37" s="12" t="n">
        <f aca="false">$B$7*MAX(0,(1-$B$5-A37)/(1-$B$4-$B$5))^$B$9</f>
        <v>0.0319999999999999</v>
      </c>
      <c r="D37" s="12" t="n">
        <f aca="false">IF(B37=0,0,1/(1+(C37/$B$11)/(B37/$B$10)))</f>
        <v>0.983606557377049</v>
      </c>
      <c r="E37" s="12" t="n">
        <f aca="false">D37/(A37-$B$4)</f>
        <v>2.2354694485842</v>
      </c>
      <c r="F37" s="10" t="n">
        <f aca="false">(D38-D36)/(A38-A36)</f>
        <v>0.369577810746486</v>
      </c>
    </row>
    <row r="38" customFormat="false" ht="15" hidden="false" customHeight="false" outlineLevel="0" collapsed="false">
      <c r="A38" s="10" t="n">
        <f aca="false">$B$4+25*(1-$B$4-$B$5)/30</f>
        <v>0.658333333333333</v>
      </c>
      <c r="B38" s="12" t="n">
        <f aca="false">$B$6*MAX(0,(A38-$B$4)/(1-$B$4-$B$5))^$B$8</f>
        <v>0.208333333333333</v>
      </c>
      <c r="C38" s="12" t="n">
        <f aca="false">$B$7*MAX(0,(1-$B$5-A38)/(1-$B$4-$B$5))^$B$9</f>
        <v>0.0222222222222222</v>
      </c>
      <c r="D38" s="12" t="n">
        <f aca="false">IF(B38=0,0,1/(1+(C38/$B$11)/(B38/$B$10)))</f>
        <v>0.989445910290238</v>
      </c>
      <c r="E38" s="12" t="n">
        <f aca="false">D38/(A38-$B$4)</f>
        <v>2.15879107699688</v>
      </c>
      <c r="F38" s="10" t="n">
        <f aca="false">(D39-D37)/(A39-A37)</f>
        <v>0.276037975814984</v>
      </c>
    </row>
    <row r="39" customFormat="false" ht="15" hidden="false" customHeight="false" outlineLevel="0" collapsed="false">
      <c r="A39" s="10" t="n">
        <f aca="false">$B$4+26*(1-$B$4-$B$5)/30</f>
        <v>0.676666666666667</v>
      </c>
      <c r="B39" s="12" t="n">
        <f aca="false">$B$6*MAX(0,(A39-$B$4)/(1-$B$4-$B$5))^$B$8</f>
        <v>0.225333333333333</v>
      </c>
      <c r="C39" s="12" t="n">
        <f aca="false">$B$7*MAX(0,(1-$B$5-A39)/(1-$B$4-$B$5))^$B$9</f>
        <v>0.0142222222222222</v>
      </c>
      <c r="D39" s="12" t="n">
        <f aca="false">IF(B39=0,0,1/(1+(C39/$B$11)/(B39/$B$10)))</f>
        <v>0.993727949823599</v>
      </c>
      <c r="E39" s="12" t="n">
        <f aca="false">D39/(A39-$B$4)</f>
        <v>2.08474395067888</v>
      </c>
      <c r="F39" s="10" t="n">
        <f aca="false">(D40-D38)/(A40-A38)</f>
        <v>0.198346678116201</v>
      </c>
    </row>
    <row r="40" customFormat="false" ht="15" hidden="false" customHeight="false" outlineLevel="0" collapsed="false">
      <c r="A40" s="10" t="n">
        <f aca="false">$B$4+27*(1-$B$4-$B$5)/30</f>
        <v>0.695</v>
      </c>
      <c r="B40" s="12" t="n">
        <f aca="false">$B$6*MAX(0,(A40-$B$4)/(1-$B$4-$B$5))^$B$8</f>
        <v>0.243</v>
      </c>
      <c r="C40" s="12" t="n">
        <f aca="false">$B$7*MAX(0,(1-$B$5-A40)/(1-$B$4-$B$5))^$B$9</f>
        <v>0.00799999999999998</v>
      </c>
      <c r="D40" s="12" t="n">
        <f aca="false">IF(B40=0,0,1/(1+(C40/$B$11)/(B40/$B$10)))</f>
        <v>0.996718621821165</v>
      </c>
      <c r="E40" s="12" t="n">
        <f aca="false">D40/(A40-$B$4)</f>
        <v>2.01357297337609</v>
      </c>
      <c r="F40" s="10" t="n">
        <f aca="false">(D41-D39)/(A41-A39)</f>
        <v>0.134000577933471</v>
      </c>
    </row>
    <row r="41" customFormat="false" ht="15" hidden="false" customHeight="false" outlineLevel="0" collapsed="false">
      <c r="A41" s="10" t="n">
        <f aca="false">$B$4+28*(1-$B$4-$B$5)/30</f>
        <v>0.713333333333333</v>
      </c>
      <c r="B41" s="12" t="n">
        <f aca="false">$B$6*MAX(0,(A41-$B$4)/(1-$B$4-$B$5))^$B$8</f>
        <v>0.261333333333333</v>
      </c>
      <c r="C41" s="12" t="n">
        <f aca="false">$B$7*MAX(0,(1-$B$5-A41)/(1-$B$4-$B$5))^$B$9</f>
        <v>0.00355555555555555</v>
      </c>
      <c r="D41" s="12" t="n">
        <f aca="false">IF(B41=0,0,1/(1+(C41/$B$11)/(B41/$B$10)))</f>
        <v>0.998641304347826</v>
      </c>
      <c r="E41" s="12" t="n">
        <f aca="false">D41/(A41-$B$4)</f>
        <v>1.94540513833992</v>
      </c>
      <c r="F41" s="10" t="n">
        <f aca="false">(D42-D40)/(A42-A40)</f>
        <v>0.0808471595618164</v>
      </c>
    </row>
    <row r="42" customFormat="false" ht="15" hidden="false" customHeight="false" outlineLevel="0" collapsed="false">
      <c r="A42" s="10" t="n">
        <f aca="false">$B$4+29*(1-$B$4-$B$5)/30</f>
        <v>0.731666666666667</v>
      </c>
      <c r="B42" s="12" t="n">
        <f aca="false">$B$6*MAX(0,(A42-$B$4)/(1-$B$4-$B$5))^$B$8</f>
        <v>0.280333333333333</v>
      </c>
      <c r="C42" s="12" t="n">
        <f aca="false">$B$7*MAX(0,(1-$B$5-A42)/(1-$B$4-$B$5))^$B$9</f>
        <v>0.000888888888888887</v>
      </c>
      <c r="D42" s="12" t="n">
        <f aca="false">IF(B42=0,0,1/(1+(C42/$B$11)/(B42/$B$10)))</f>
        <v>0.999683017671765</v>
      </c>
      <c r="E42" s="12" t="n">
        <f aca="false">D42/(A42-$B$4)</f>
        <v>1.88028153794062</v>
      </c>
      <c r="F42" s="10" t="n">
        <f aca="false">(D43-D41)/(A43-A41)</f>
        <v>0.0370553359683834</v>
      </c>
    </row>
    <row r="43" customFormat="false" ht="15" hidden="false" customHeight="false" outlineLevel="0" collapsed="false">
      <c r="A43" s="10" t="n">
        <f aca="false">$B$4+30*(1-$B$4-$B$5)/30</f>
        <v>0.75</v>
      </c>
      <c r="B43" s="12" t="n">
        <f aca="false">$B$6*MAX(0,(A43-$B$4)/(1-$B$4-$B$5))^$B$8</f>
        <v>0.3</v>
      </c>
      <c r="C43" s="12" t="n">
        <f aca="false">$B$7*MAX(0,(1-$B$5-A43)/(1-$B$4-$B$5))^$B$9</f>
        <v>0</v>
      </c>
      <c r="D43" s="12" t="n">
        <f aca="false">IF(B43=0,0,1/(1+(C43/$B$11)/(B43/$B$10)))</f>
        <v>1</v>
      </c>
      <c r="E43" s="12" t="n">
        <f aca="false">D43/(A43-$B$4)</f>
        <v>1.81818181818182</v>
      </c>
      <c r="F43" s="10" t="n">
        <f aca="false">(D43-D42)/(A43-A42)</f>
        <v>0.0172899451764645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2026-10-31T04:45:51Z</dcterms:created>
  <dc:creator>openpyxl</dc:creator>
  <dc:description/>
  <dc:language>en-US</dc:language>
  <cp:lastModifiedBy/>
  <dcterms:modified xsi:type="dcterms:W3CDTF">2026-10-31T04:45:51Z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