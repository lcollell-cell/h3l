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arametros" sheetId="1" state="visible" r:id="rId3"/>
    <sheet name="Pronostico" sheetId="2" state="visible" r:id="rId4"/>
    <sheet name="Resultados" sheetId="3" state="visible" r:id="rId5"/>
    <sheet name="Etapas" sheetId="4" state="visible" r:id="rId6"/>
    <sheet name="Nolte-Smith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<sst xmlns="http://schemas.openxmlformats.org/spreadsheetml/2006/main" count="84" uniqueCount="72">
  <si>
    <t xml:space="preserve">Pozo no convencional: declinación hiperbólica modificada y economía simple</t>
  </si>
  <si>
    <t xml:space="preserve">Datos de ejemplo (sintéticos) con fines didácticos. Celdas azules sobre fondo crema = entradas editables; el resto son fórmulas.</t>
  </si>
  <si>
    <t xml:space="preserve">Parámetro</t>
  </si>
  <si>
    <t xml:space="preserve">Valor</t>
  </si>
  <si>
    <t xml:space="preserve">Unidad</t>
  </si>
  <si>
    <t xml:space="preserve">Caudal inicial qi</t>
  </si>
  <si>
    <t xml:space="preserve">bbl/d</t>
  </si>
  <si>
    <t xml:space="preserve">Declinación inicial Di</t>
  </si>
  <si>
    <t xml:space="preserve">1/año</t>
  </si>
  <si>
    <t xml:space="preserve">Exponente b</t>
  </si>
  <si>
    <t xml:space="preserve">Declinación terminal Dmin</t>
  </si>
  <si>
    <t xml:space="preserve">Precio del crudo</t>
  </si>
  <si>
    <t xml:space="preserve">USD/bbl</t>
  </si>
  <si>
    <t xml:space="preserve">Regalías</t>
  </si>
  <si>
    <t xml:space="preserve">fracción</t>
  </si>
  <si>
    <t xml:space="preserve">Opex variable</t>
  </si>
  <si>
    <t xml:space="preserve">Opex fijo</t>
  </si>
  <si>
    <t xml:space="preserve">USD/mes</t>
  </si>
  <si>
    <t xml:space="preserve">CAPEX del pozo</t>
  </si>
  <si>
    <t xml:space="preserve">USD</t>
  </si>
  <si>
    <t xml:space="preserve">Tasa de descuento</t>
  </si>
  <si>
    <t xml:space="preserve">anual</t>
  </si>
  <si>
    <t xml:space="preserve">Horizonte</t>
  </si>
  <si>
    <t xml:space="preserve">años</t>
  </si>
  <si>
    <t xml:space="preserve">Tiempo de cambio a declinación terminal ts</t>
  </si>
  <si>
    <t xml:space="preserve">Pozo de ejemplo con datos sintéticos. La hipótesis de b y de Dmin es la que más se discute en una auditoría de reservas.</t>
  </si>
  <si>
    <t xml:space="preserve">Pronóstico mensual (360 meses)</t>
  </si>
  <si>
    <t xml:space="preserve">Mes</t>
  </si>
  <si>
    <t xml:space="preserve">Tiempo (años)</t>
  </si>
  <si>
    <t xml:space="preserve">q hiperbólica pura (bbl/d)</t>
  </si>
  <si>
    <t xml:space="preserve">q modificada (bbl/d)</t>
  </si>
  <si>
    <t xml:space="preserve">Volumen modificado (bbl)</t>
  </si>
  <si>
    <t xml:space="preserve">Volumen hiperbólico (bbl)</t>
  </si>
  <si>
    <t xml:space="preserve">Flujo de caja (USD)</t>
  </si>
  <si>
    <t xml:space="preserve">EUR y valor del pozo</t>
  </si>
  <si>
    <t xml:space="preserve">Indicador</t>
  </si>
  <si>
    <t xml:space="preserve">EUR con declinación terminal</t>
  </si>
  <si>
    <t xml:space="preserve">Mbbl</t>
  </si>
  <si>
    <t xml:space="preserve">EUR con hiperbólica pura</t>
  </si>
  <si>
    <t xml:space="preserve">Sobreestimación de la hiperbólica pura</t>
  </si>
  <si>
    <t xml:space="preserve">VPN (antes de impuestos)</t>
  </si>
  <si>
    <t xml:space="preserve">MUSD</t>
  </si>
  <si>
    <t xml:space="preserve">Costo de desarrollo (CAPEX / EUR)</t>
  </si>
  <si>
    <t xml:space="preserve">El VPN se calcula sobre el horizonte elegido, con el mismo método que el laboratorio del curso. Cambiá b y Dmin y mirá el efecto.</t>
  </si>
  <si>
    <t xml:space="preserve">Etapas de completación: costo por pie y por etapa (ejemplo)</t>
  </si>
  <si>
    <t xml:space="preserve">Costo fijo de bombeo por etapa (USD)</t>
  </si>
  <si>
    <t xml:space="preserve">Costo del apuntalante (USD/t)</t>
  </si>
  <si>
    <t xml:space="preserve">Costo del fluido (USD/m³)</t>
  </si>
  <si>
    <t xml:space="preserve">Costo de cañoneo por clúster (USD)</t>
  </si>
  <si>
    <t xml:space="preserve">Costo del tapón por etapa (USD)</t>
  </si>
  <si>
    <t xml:space="preserve">Etapa</t>
  </si>
  <si>
    <t xml:space="preserve">Longitud (m)</t>
  </si>
  <si>
    <t xml:space="preserve">Clústeres</t>
  </si>
  <si>
    <t xml:space="preserve">Espaciamiento (m)</t>
  </si>
  <si>
    <t xml:space="preserve">Apuntalante (t)</t>
  </si>
  <si>
    <t xml:space="preserve">Fluido (m³)</t>
  </si>
  <si>
    <t xml:space="preserve">Costo de la etapa (USD)</t>
  </si>
  <si>
    <t xml:space="preserve">Apuntalante por metro (t/m)</t>
  </si>
  <si>
    <t xml:space="preserve">Totales del lateral</t>
  </si>
  <si>
    <t xml:space="preserve">Longitud lateral (m)</t>
  </si>
  <si>
    <t xml:space="preserve">Etapas</t>
  </si>
  <si>
    <t xml:space="preserve">Costo total de completación (USD)</t>
  </si>
  <si>
    <t xml:space="preserve">Costo por metro lateral (USD/m)</t>
  </si>
  <si>
    <t xml:space="preserve">Apuntalante total (t)</t>
  </si>
  <si>
    <t xml:space="preserve">Espaciamiento medio entre clústeres (m)</t>
  </si>
  <si>
    <t xml:space="preserve">Presión neta de tratamiento y modos de Nolte y Smith (datos sintéticos)</t>
  </si>
  <si>
    <t xml:space="preserve">Tiempo (min)</t>
  </si>
  <si>
    <t xml:space="preserve">Presión neta (psi)</t>
  </si>
  <si>
    <t xml:space="preserve">Pendiente log-log</t>
  </si>
  <si>
    <t xml:space="preserve">Modo</t>
  </si>
  <si>
    <t xml:space="preserve">Modos de Nolte y Smith (clasificación aproximada)</t>
  </si>
  <si>
    <t xml:space="preserve">I: pendiente positiva baja · II: cercana a cero · III: positiva y unitaria · IV: negativa. Los umbrales de la columna D son una guía y se ajustan al ruido de los datos.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</si>
</sst>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0.00"/>
    <numFmt numFmtId="167" formatCode="0.0"/>
    <numFmt numFmtId="168" formatCode="#,##0"/>
    <numFmt numFmtId="169" formatCode="0.000"/>
    <numFmt numFmtId="170" formatCode="0.0%"/>
    <numFmt numFmtId="171" formatCode="#,##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A30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1A30"/>
        <bgColor rgb="FF000000"/>
      </patternFill>
    </fill>
    <fill>
      <patternFill patternType="solid">
        <fgColor rgb="FFFFF8DC"/>
        <bgColor rgb="FFFFFFFF"/>
      </patternFill>
    </fill>
    <fill>
      <patternFill patternType="solid">
        <fgColor rgb="FFE3F7F0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DC"/>
      <rgbColor rgb="FFE3F7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B1A3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0" t="s">
        <v>5</v>
      </c>
      <c r="B5" s="4" t="n">
        <v>900</v>
      </c>
      <c r="C5" s="2" t="s">
        <v>6</v>
      </c>
    </row>
    <row r="6" customFormat="false" ht="15" hidden="false" customHeight="false" outlineLevel="0" collapsed="false">
      <c r="A6" s="0" t="s">
        <v>7</v>
      </c>
      <c r="B6" s="5" t="n">
        <v>0.75</v>
      </c>
      <c r="C6" s="2" t="s">
        <v>8</v>
      </c>
    </row>
    <row r="7" customFormat="false" ht="15" hidden="false" customHeight="false" outlineLevel="0" collapsed="false">
      <c r="A7" s="0" t="s">
        <v>9</v>
      </c>
      <c r="B7" s="5" t="n">
        <v>1.5</v>
      </c>
      <c r="C7" s="2"/>
    </row>
    <row r="8" customFormat="false" ht="15" hidden="false" customHeight="false" outlineLevel="0" collapsed="false">
      <c r="A8" s="0" t="s">
        <v>10</v>
      </c>
      <c r="B8" s="5" t="n">
        <v>0.06</v>
      </c>
      <c r="C8" s="2" t="s">
        <v>8</v>
      </c>
    </row>
    <row r="9" customFormat="false" ht="15" hidden="false" customHeight="false" outlineLevel="0" collapsed="false">
      <c r="A9" s="0" t="s">
        <v>11</v>
      </c>
      <c r="B9" s="6" t="n">
        <v>60</v>
      </c>
      <c r="C9" s="2" t="s">
        <v>12</v>
      </c>
    </row>
    <row r="10" customFormat="false" ht="15" hidden="false" customHeight="false" outlineLevel="0" collapsed="false">
      <c r="A10" s="0" t="s">
        <v>13</v>
      </c>
      <c r="B10" s="5" t="n">
        <v>0.12</v>
      </c>
      <c r="C10" s="2" t="s">
        <v>14</v>
      </c>
    </row>
    <row r="11" customFormat="false" ht="15" hidden="false" customHeight="false" outlineLevel="0" collapsed="false">
      <c r="A11" s="0" t="s">
        <v>15</v>
      </c>
      <c r="B11" s="6" t="n">
        <v>8</v>
      </c>
      <c r="C11" s="2" t="s">
        <v>12</v>
      </c>
    </row>
    <row r="12" customFormat="false" ht="15" hidden="false" customHeight="false" outlineLevel="0" collapsed="false">
      <c r="A12" s="0" t="s">
        <v>16</v>
      </c>
      <c r="B12" s="7" t="n">
        <v>9000</v>
      </c>
      <c r="C12" s="2" t="s">
        <v>17</v>
      </c>
    </row>
    <row r="13" customFormat="false" ht="15" hidden="false" customHeight="false" outlineLevel="0" collapsed="false">
      <c r="A13" s="0" t="s">
        <v>18</v>
      </c>
      <c r="B13" s="7" t="n">
        <v>13000000</v>
      </c>
      <c r="C13" s="2" t="s">
        <v>19</v>
      </c>
    </row>
    <row r="14" customFormat="false" ht="15" hidden="false" customHeight="false" outlineLevel="0" collapsed="false">
      <c r="A14" s="0" t="s">
        <v>20</v>
      </c>
      <c r="B14" s="5" t="n">
        <v>0.1</v>
      </c>
      <c r="C14" s="2" t="s">
        <v>21</v>
      </c>
    </row>
    <row r="15" customFormat="false" ht="15" hidden="false" customHeight="false" outlineLevel="0" collapsed="false">
      <c r="A15" s="0" t="s">
        <v>22</v>
      </c>
      <c r="B15" s="4" t="n">
        <v>30</v>
      </c>
      <c r="C15" s="2" t="s">
        <v>23</v>
      </c>
    </row>
    <row r="17" customFormat="false" ht="15" hidden="false" customHeight="false" outlineLevel="0" collapsed="false">
      <c r="A17" s="0" t="s">
        <v>24</v>
      </c>
      <c r="B17" s="8" t="n">
        <f aca="false">MAX(0,(B6/B8-1)/(B7*B6))</f>
        <v>10.2222222222222</v>
      </c>
      <c r="C17" s="9" t="s">
        <v>23</v>
      </c>
    </row>
    <row r="19" customFormat="false" ht="15" hidden="false" customHeight="false" outlineLevel="0" collapsed="false">
      <c r="A19" s="2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6" min="4" style="0" width="22"/>
    <col collapsed="false" customWidth="true" hidden="false" outlineLevel="0" max="7" min="7" style="0" width="18"/>
  </cols>
  <sheetData>
    <row r="1" customFormat="false" ht="17.35" hidden="false" customHeight="false" outlineLevel="0" collapsed="false">
      <c r="A1" s="1" t="s">
        <v>26</v>
      </c>
    </row>
    <row r="2" customFormat="false" ht="15" hidden="false" customHeight="false" outlineLevel="0" collapsed="false">
      <c r="A2" s="2" t="s">
        <v>1</v>
      </c>
    </row>
    <row r="4" customFormat="false" ht="28.35" hidden="false" customHeight="false" outlineLevel="0" collapsed="false">
      <c r="A4" s="3" t="s">
        <v>27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33</v>
      </c>
    </row>
    <row r="5" customFormat="false" ht="15" hidden="false" customHeight="false" outlineLevel="0" collapsed="false">
      <c r="A5" s="0" t="n">
        <v>1</v>
      </c>
      <c r="B5" s="10" t="n">
        <f aca="false">(A5-1)/12</f>
        <v>0</v>
      </c>
      <c r="C5" s="11" t="n">
        <f aca="false">Parametros!$B$5/(1+Parametros!$B$7*Parametros!$B$6*B5)^(1/Parametros!$B$7)</f>
        <v>900</v>
      </c>
      <c r="D5" s="11" t="n">
        <f aca="false">IF(B5&lt;=Parametros!$B$17,C5,Parametros!$B$5/(1+Parametros!$B$7*Parametros!$B$6*Parametros!$B$17)^(1/Parametros!$B$7)*EXP(-Parametros!$B$8*(B5-Parametros!$B$17)))</f>
        <v>900</v>
      </c>
      <c r="E5" s="12" t="n">
        <f aca="false">D5*30.4*IF(B5&lt;Parametros!$B$15,1,0)</f>
        <v>27360</v>
      </c>
      <c r="F5" s="12" t="n">
        <f aca="false">C5*30.4*IF(B5&lt;Parametros!$B$15,1,0)</f>
        <v>27360</v>
      </c>
      <c r="G5" s="12" t="n">
        <f aca="false">(E5*(Parametros!$B$9*(1-Parametros!$B$10)-Parametros!$B$11)-Parametros!$B$12*IF(B5&lt;Parametros!$B$15,1,0))/(1+Parametros!$B$14)^B5</f>
        <v>1216728</v>
      </c>
    </row>
    <row r="6" customFormat="false" ht="15" hidden="false" customHeight="false" outlineLevel="0" collapsed="false">
      <c r="A6" s="0" t="n">
        <v>2</v>
      </c>
      <c r="B6" s="10" t="n">
        <f aca="false">(A6-1)/12</f>
        <v>0.0833333333333333</v>
      </c>
      <c r="C6" s="11" t="n">
        <f aca="false">Parametros!$B$5/(1+Parametros!$B$7*Parametros!$B$6*B6)^(1/Parametros!$B$7)</f>
        <v>847.807261674903</v>
      </c>
      <c r="D6" s="11" t="n">
        <f aca="false">IF(B6&lt;=Parametros!$B$17,C6,Parametros!$B$5/(1+Parametros!$B$7*Parametros!$B$6*Parametros!$B$17)^(1/Parametros!$B$7)*EXP(-Parametros!$B$8*(B6-Parametros!$B$17)))</f>
        <v>847.807261674903</v>
      </c>
      <c r="E6" s="12" t="n">
        <f aca="false">D6*30.4*IF(B6&lt;Parametros!$B$15,1,0)</f>
        <v>25773.3407549171</v>
      </c>
      <c r="F6" s="12" t="n">
        <f aca="false">C6*30.4*IF(B6&lt;Parametros!$B$15,1,0)</f>
        <v>25773.3407549171</v>
      </c>
      <c r="G6" s="12" t="n">
        <f aca="false">(E6*(Parametros!$B$9*(1-Parametros!$B$10)-Parametros!$B$11)-Parametros!$B$12*IF(B6&lt;Parametros!$B$15,1,0))/(1+Parametros!$B$14)^B6</f>
        <v>1136582.39816827</v>
      </c>
    </row>
    <row r="7" customFormat="false" ht="15" hidden="false" customHeight="false" outlineLevel="0" collapsed="false">
      <c r="A7" s="0" t="n">
        <v>3</v>
      </c>
      <c r="B7" s="10" t="n">
        <f aca="false">(A7-1)/12</f>
        <v>0.166666666666667</v>
      </c>
      <c r="C7" s="11" t="n">
        <f aca="false">Parametros!$B$5/(1+Parametros!$B$7*Parametros!$B$6*B7)^(1/Parametros!$B$7)</f>
        <v>802.577100174611</v>
      </c>
      <c r="D7" s="11" t="n">
        <f aca="false">IF(B7&lt;=Parametros!$B$17,C7,Parametros!$B$5/(1+Parametros!$B$7*Parametros!$B$6*Parametros!$B$17)^(1/Parametros!$B$7)*EXP(-Parametros!$B$8*(B7-Parametros!$B$17)))</f>
        <v>802.577100174611</v>
      </c>
      <c r="E7" s="12" t="n">
        <f aca="false">D7*30.4*IF(B7&lt;Parametros!$B$15,1,0)</f>
        <v>24398.3438453082</v>
      </c>
      <c r="F7" s="12" t="n">
        <f aca="false">C7*30.4*IF(B7&lt;Parametros!$B$15,1,0)</f>
        <v>24398.3438453082</v>
      </c>
      <c r="G7" s="12" t="n">
        <f aca="false">(E7*(Parametros!$B$9*(1-Parametros!$B$10)-Parametros!$B$11)-Parametros!$B$12*IF(B7&lt;Parametros!$B$15,1,0))/(1+Parametros!$B$14)^B7</f>
        <v>1066961.75374951</v>
      </c>
    </row>
    <row r="8" customFormat="false" ht="15" hidden="false" customHeight="false" outlineLevel="0" collapsed="false">
      <c r="A8" s="0" t="n">
        <v>4</v>
      </c>
      <c r="B8" s="10" t="n">
        <f aca="false">(A8-1)/12</f>
        <v>0.25</v>
      </c>
      <c r="C8" s="11" t="n">
        <f aca="false">Parametros!$B$5/(1+Parametros!$B$7*Parametros!$B$6*B8)^(1/Parametros!$B$7)</f>
        <v>762.933334086195</v>
      </c>
      <c r="D8" s="11" t="n">
        <f aca="false">IF(B8&lt;=Parametros!$B$17,C8,Parametros!$B$5/(1+Parametros!$B$7*Parametros!$B$6*Parametros!$B$17)^(1/Parametros!$B$7)*EXP(-Parametros!$B$8*(B8-Parametros!$B$17)))</f>
        <v>762.933334086195</v>
      </c>
      <c r="E8" s="12" t="n">
        <f aca="false">D8*30.4*IF(B8&lt;Parametros!$B$15,1,0)</f>
        <v>23193.1733562203</v>
      </c>
      <c r="F8" s="12" t="n">
        <f aca="false">C8*30.4*IF(B8&lt;Parametros!$B$15,1,0)</f>
        <v>23193.1733562203</v>
      </c>
      <c r="G8" s="12" t="n">
        <f aca="false">(E8*(Parametros!$B$9*(1-Parametros!$B$10)-Parametros!$B$11)-Parametros!$B$12*IF(B8&lt;Parametros!$B$15,1,0))/(1+Parametros!$B$14)^B8</f>
        <v>1005800.60332905</v>
      </c>
    </row>
    <row r="9" customFormat="false" ht="15" hidden="false" customHeight="false" outlineLevel="0" collapsed="false">
      <c r="A9" s="0" t="n">
        <v>5</v>
      </c>
      <c r="B9" s="10" t="n">
        <f aca="false">(A9-1)/12</f>
        <v>0.333333333333333</v>
      </c>
      <c r="C9" s="11" t="n">
        <f aca="false">Parametros!$B$5/(1+Parametros!$B$7*Parametros!$B$6*B9)^(1/Parametros!$B$7)</f>
        <v>727.848029640867</v>
      </c>
      <c r="D9" s="11" t="n">
        <f aca="false">IF(B9&lt;=Parametros!$B$17,C9,Parametros!$B$5/(1+Parametros!$B$7*Parametros!$B$6*Parametros!$B$17)^(1/Parametros!$B$7)*EXP(-Parametros!$B$8*(B9-Parametros!$B$17)))</f>
        <v>727.848029640867</v>
      </c>
      <c r="E9" s="12" t="n">
        <f aca="false">D9*30.4*IF(B9&lt;Parametros!$B$15,1,0)</f>
        <v>22126.5801010824</v>
      </c>
      <c r="F9" s="12" t="n">
        <f aca="false">C9*30.4*IF(B9&lt;Parametros!$B$15,1,0)</f>
        <v>22126.5801010824</v>
      </c>
      <c r="G9" s="12" t="n">
        <f aca="false">(E9*(Parametros!$B$9*(1-Parametros!$B$10)-Parametros!$B$11)-Parametros!$B$12*IF(B9&lt;Parametros!$B$15,1,0))/(1+Parametros!$B$14)^B9</f>
        <v>951554.499424055</v>
      </c>
    </row>
    <row r="10" customFormat="false" ht="15" hidden="false" customHeight="false" outlineLevel="0" collapsed="false">
      <c r="A10" s="0" t="n">
        <v>6</v>
      </c>
      <c r="B10" s="10" t="n">
        <f aca="false">(A10-1)/12</f>
        <v>0.416666666666667</v>
      </c>
      <c r="C10" s="11" t="n">
        <f aca="false">Parametros!$B$5/(1+Parametros!$B$7*Parametros!$B$6*B10)^(1/Parametros!$B$7)</f>
        <v>696.536570110419</v>
      </c>
      <c r="D10" s="11" t="n">
        <f aca="false">IF(B10&lt;=Parametros!$B$17,C10,Parametros!$B$5/(1+Parametros!$B$7*Parametros!$B$6*Parametros!$B$17)^(1/Parametros!$B$7)*EXP(-Parametros!$B$8*(B10-Parametros!$B$17)))</f>
        <v>696.536570110419</v>
      </c>
      <c r="E10" s="12" t="n">
        <f aca="false">D10*30.4*IF(B10&lt;Parametros!$B$15,1,0)</f>
        <v>21174.7117313567</v>
      </c>
      <c r="F10" s="12" t="n">
        <f aca="false">C10*30.4*IF(B10&lt;Parametros!$B$15,1,0)</f>
        <v>21174.7117313567</v>
      </c>
      <c r="G10" s="12" t="n">
        <f aca="false">(E10*(Parametros!$B$9*(1-Parametros!$B$10)-Parametros!$B$11)-Parametros!$B$12*IF(B10&lt;Parametros!$B$15,1,0))/(1+Parametros!$B$14)^B10</f>
        <v>903043.30054834</v>
      </c>
    </row>
    <row r="11" customFormat="false" ht="15" hidden="false" customHeight="false" outlineLevel="0" collapsed="false">
      <c r="A11" s="0" t="n">
        <v>7</v>
      </c>
      <c r="B11" s="10" t="n">
        <f aca="false">(A11-1)/12</f>
        <v>0.5</v>
      </c>
      <c r="C11" s="11" t="n">
        <f aca="false">Parametros!$B$5/(1+Parametros!$B$7*Parametros!$B$6*B11)^(1/Parametros!$B$7)</f>
        <v>668.38879204024</v>
      </c>
      <c r="D11" s="11" t="n">
        <f aca="false">IF(B11&lt;=Parametros!$B$17,C11,Parametros!$B$5/(1+Parametros!$B$7*Parametros!$B$6*Parametros!$B$17)^(1/Parametros!$B$7)*EXP(-Parametros!$B$8*(B11-Parametros!$B$17)))</f>
        <v>668.38879204024</v>
      </c>
      <c r="E11" s="12" t="n">
        <f aca="false">D11*30.4*IF(B11&lt;Parametros!$B$15,1,0)</f>
        <v>20319.0192780233</v>
      </c>
      <c r="F11" s="12" t="n">
        <f aca="false">C11*30.4*IF(B11&lt;Parametros!$B$15,1,0)</f>
        <v>20319.0192780233</v>
      </c>
      <c r="G11" s="12" t="n">
        <f aca="false">(E11*(Parametros!$B$9*(1-Parametros!$B$10)-Parametros!$B$11)-Parametros!$B$12*IF(B11&lt;Parametros!$B$15,1,0))/(1+Parametros!$B$14)^B11</f>
        <v>859348.264679423</v>
      </c>
    </row>
    <row r="12" customFormat="false" ht="15" hidden="false" customHeight="false" outlineLevel="0" collapsed="false">
      <c r="A12" s="0" t="n">
        <v>8</v>
      </c>
      <c r="B12" s="10" t="n">
        <f aca="false">(A12-1)/12</f>
        <v>0.583333333333333</v>
      </c>
      <c r="C12" s="11" t="n">
        <f aca="false">Parametros!$B$5/(1+Parametros!$B$7*Parametros!$B$6*B12)^(1/Parametros!$B$7)</f>
        <v>642.922436535401</v>
      </c>
      <c r="D12" s="11" t="n">
        <f aca="false">IF(B12&lt;=Parametros!$B$17,C12,Parametros!$B$5/(1+Parametros!$B$7*Parametros!$B$6*Parametros!$B$17)^(1/Parametros!$B$7)*EXP(-Parametros!$B$8*(B12-Parametros!$B$17)))</f>
        <v>642.922436535401</v>
      </c>
      <c r="E12" s="12" t="n">
        <f aca="false">D12*30.4*IF(B12&lt;Parametros!$B$15,1,0)</f>
        <v>19544.8420706762</v>
      </c>
      <c r="F12" s="12" t="n">
        <f aca="false">C12*30.4*IF(B12&lt;Parametros!$B$15,1,0)</f>
        <v>19544.8420706762</v>
      </c>
      <c r="G12" s="12" t="n">
        <f aca="false">(E12*(Parametros!$B$9*(1-Parametros!$B$10)-Parametros!$B$11)-Parametros!$B$12*IF(B12&lt;Parametros!$B$15,1,0))/(1+Parametros!$B$14)^B12</f>
        <v>819742.447876111</v>
      </c>
    </row>
    <row r="13" customFormat="false" ht="15" hidden="false" customHeight="false" outlineLevel="0" collapsed="false">
      <c r="A13" s="0" t="n">
        <v>9</v>
      </c>
      <c r="B13" s="10" t="n">
        <f aca="false">(A13-1)/12</f>
        <v>0.666666666666667</v>
      </c>
      <c r="C13" s="11" t="n">
        <f aca="false">Parametros!$B$5/(1+Parametros!$B$7*Parametros!$B$6*B13)^(1/Parametros!$B$7)</f>
        <v>619.750867930773</v>
      </c>
      <c r="D13" s="11" t="n">
        <f aca="false">IF(B13&lt;=Parametros!$B$17,C13,Parametros!$B$5/(1+Parametros!$B$7*Parametros!$B$6*Parametros!$B$17)^(1/Parametros!$B$7)*EXP(-Parametros!$B$8*(B13-Parametros!$B$17)))</f>
        <v>619.750867930773</v>
      </c>
      <c r="E13" s="12" t="n">
        <f aca="false">D13*30.4*IF(B13&lt;Parametros!$B$15,1,0)</f>
        <v>18840.4263850955</v>
      </c>
      <c r="F13" s="12" t="n">
        <f aca="false">C13*30.4*IF(B13&lt;Parametros!$B$15,1,0)</f>
        <v>18840.4263850955</v>
      </c>
      <c r="G13" s="12" t="n">
        <f aca="false">(E13*(Parametros!$B$9*(1-Parametros!$B$10)-Parametros!$B$11)-Parametros!$B$12*IF(B13&lt;Parametros!$B$15,1,0))/(1+Parametros!$B$14)^B13</f>
        <v>783642.407307721</v>
      </c>
    </row>
    <row r="14" customFormat="false" ht="15" hidden="false" customHeight="false" outlineLevel="0" collapsed="false">
      <c r="A14" s="0" t="n">
        <v>10</v>
      </c>
      <c r="B14" s="10" t="n">
        <f aca="false">(A14-1)/12</f>
        <v>0.75</v>
      </c>
      <c r="C14" s="11" t="n">
        <f aca="false">Parametros!$B$5/(1+Parametros!$B$7*Parametros!$B$6*B14)^(1/Parametros!$B$7)</f>
        <v>598.560178762253</v>
      </c>
      <c r="D14" s="11" t="n">
        <f aca="false">IF(B14&lt;=Parametros!$B$17,C14,Parametros!$B$5/(1+Parametros!$B$7*Parametros!$B$6*Parametros!$B$17)^(1/Parametros!$B$7)*EXP(-Parametros!$B$8*(B14-Parametros!$B$17)))</f>
        <v>598.560178762253</v>
      </c>
      <c r="E14" s="12" t="n">
        <f aca="false">D14*30.4*IF(B14&lt;Parametros!$B$15,1,0)</f>
        <v>18196.2294343725</v>
      </c>
      <c r="F14" s="12" t="n">
        <f aca="false">C14*30.4*IF(B14&lt;Parametros!$B$15,1,0)</f>
        <v>18196.2294343725</v>
      </c>
      <c r="G14" s="12" t="n">
        <f aca="false">(E14*(Parametros!$B$9*(1-Parametros!$B$10)-Parametros!$B$11)-Parametros!$B$12*IF(B14&lt;Parametros!$B$15,1,0))/(1+Parametros!$B$14)^B14</f>
        <v>750573.926975768</v>
      </c>
    </row>
    <row r="15" customFormat="false" ht="15" hidden="false" customHeight="false" outlineLevel="0" collapsed="false">
      <c r="A15" s="0" t="n">
        <v>11</v>
      </c>
      <c r="B15" s="10" t="n">
        <f aca="false">(A15-1)/12</f>
        <v>0.833333333333333</v>
      </c>
      <c r="C15" s="11" t="n">
        <f aca="false">Parametros!$B$5/(1+Parametros!$B$7*Parametros!$B$6*B15)^(1/Parametros!$B$7)</f>
        <v>579.092626711585</v>
      </c>
      <c r="D15" s="11" t="n">
        <f aca="false">IF(B15&lt;=Parametros!$B$17,C15,Parametros!$B$5/(1+Parametros!$B$7*Parametros!$B$6*Parametros!$B$17)^(1/Parametros!$B$7)*EXP(-Parametros!$B$8*(B15-Parametros!$B$17)))</f>
        <v>579.092626711585</v>
      </c>
      <c r="E15" s="12" t="n">
        <f aca="false">D15*30.4*IF(B15&lt;Parametros!$B$15,1,0)</f>
        <v>17604.4158520322</v>
      </c>
      <c r="F15" s="12" t="n">
        <f aca="false">C15*30.4*IF(B15&lt;Parametros!$B$15,1,0)</f>
        <v>17604.4158520322</v>
      </c>
      <c r="G15" s="12" t="n">
        <f aca="false">(E15*(Parametros!$B$9*(1-Parametros!$B$10)-Parametros!$B$11)-Parametros!$B$12*IF(B15&lt;Parametros!$B$15,1,0))/(1+Parametros!$B$14)^B15</f>
        <v>720147.207721438</v>
      </c>
    </row>
    <row r="16" customFormat="false" ht="15" hidden="false" customHeight="false" outlineLevel="0" collapsed="false">
      <c r="A16" s="0" t="n">
        <v>12</v>
      </c>
      <c r="B16" s="10" t="n">
        <f aca="false">(A16-1)/12</f>
        <v>0.916666666666667</v>
      </c>
      <c r="C16" s="11" t="n">
        <f aca="false">Parametros!$B$5/(1+Parametros!$B$7*Parametros!$B$6*B16)^(1/Parametros!$B$7)</f>
        <v>561.134439038867</v>
      </c>
      <c r="D16" s="11" t="n">
        <f aca="false">IF(B16&lt;=Parametros!$B$17,C16,Parametros!$B$5/(1+Parametros!$B$7*Parametros!$B$6*Parametros!$B$17)^(1/Parametros!$B$7)*EXP(-Parametros!$B$8*(B16-Parametros!$B$17)))</f>
        <v>561.134439038867</v>
      </c>
      <c r="E16" s="12" t="n">
        <f aca="false">D16*30.4*IF(B16&lt;Parametros!$B$15,1,0)</f>
        <v>17058.4869467816</v>
      </c>
      <c r="F16" s="12" t="n">
        <f aca="false">C16*30.4*IF(B16&lt;Parametros!$B$15,1,0)</f>
        <v>17058.4869467816</v>
      </c>
      <c r="G16" s="12" t="n">
        <f aca="false">(E16*(Parametros!$B$9*(1-Parametros!$B$10)-Parametros!$B$11)-Parametros!$B$12*IF(B16&lt;Parametros!$B$15,1,0))/(1+Parametros!$B$14)^B16</f>
        <v>692038.588424266</v>
      </c>
    </row>
    <row r="17" customFormat="false" ht="15" hidden="false" customHeight="false" outlineLevel="0" collapsed="false">
      <c r="A17" s="0" t="n">
        <v>13</v>
      </c>
      <c r="B17" s="10" t="n">
        <f aca="false">(A17-1)/12</f>
        <v>1</v>
      </c>
      <c r="C17" s="11" t="n">
        <f aca="false">Parametros!$B$5/(1+Parametros!$B$7*Parametros!$B$6*B17)^(1/Parametros!$B$7)</f>
        <v>544.50668978645</v>
      </c>
      <c r="D17" s="11" t="n">
        <f aca="false">IF(B17&lt;=Parametros!$B$17,C17,Parametros!$B$5/(1+Parametros!$B$7*Parametros!$B$6*Parametros!$B$17)^(1/Parametros!$B$7)*EXP(-Parametros!$B$8*(B17-Parametros!$B$17)))</f>
        <v>544.50668978645</v>
      </c>
      <c r="E17" s="12" t="n">
        <f aca="false">D17*30.4*IF(B17&lt;Parametros!$B$15,1,0)</f>
        <v>16553.0033695081</v>
      </c>
      <c r="F17" s="12" t="n">
        <f aca="false">C17*30.4*IF(B17&lt;Parametros!$B$15,1,0)</f>
        <v>16553.0033695081</v>
      </c>
      <c r="G17" s="12" t="n">
        <f aca="false">(E17*(Parametros!$B$9*(1-Parametros!$B$10)-Parametros!$B$11)-Parametros!$B$12*IF(B17&lt;Parametros!$B$15,1,0))/(1+Parametros!$B$14)^B17</f>
        <v>665976.864503601</v>
      </c>
    </row>
    <row r="18" customFormat="false" ht="15" hidden="false" customHeight="false" outlineLevel="0" collapsed="false">
      <c r="A18" s="0" t="n">
        <v>14</v>
      </c>
      <c r="B18" s="10" t="n">
        <f aca="false">(A18-1)/12</f>
        <v>1.08333333333333</v>
      </c>
      <c r="C18" s="11" t="n">
        <f aca="false">Parametros!$B$5/(1+Parametros!$B$7*Parametros!$B$6*B18)^(1/Parametros!$B$7)</f>
        <v>529.058377650541</v>
      </c>
      <c r="D18" s="11" t="n">
        <f aca="false">IF(B18&lt;=Parametros!$B$17,C18,Parametros!$B$5/(1+Parametros!$B$7*Parametros!$B$6*Parametros!$B$17)^(1/Parametros!$B$7)*EXP(-Parametros!$B$8*(B18-Parametros!$B$17)))</f>
        <v>529.058377650541</v>
      </c>
      <c r="E18" s="12" t="n">
        <f aca="false">D18*30.4*IF(B18&lt;Parametros!$B$15,1,0)</f>
        <v>16083.3746805764</v>
      </c>
      <c r="F18" s="12" t="n">
        <f aca="false">C18*30.4*IF(B18&lt;Parametros!$B$15,1,0)</f>
        <v>16083.3746805764</v>
      </c>
      <c r="G18" s="12" t="n">
        <f aca="false">(E18*(Parametros!$B$9*(1-Parametros!$B$10)-Parametros!$B$11)-Parametros!$B$12*IF(B18&lt;Parametros!$B$15,1,0))/(1+Parametros!$B$14)^B18</f>
        <v>641732.90054216</v>
      </c>
    </row>
    <row r="19" customFormat="false" ht="15" hidden="false" customHeight="false" outlineLevel="0" collapsed="false">
      <c r="A19" s="0" t="n">
        <v>15</v>
      </c>
      <c r="B19" s="10" t="n">
        <f aca="false">(A19-1)/12</f>
        <v>1.16666666666667</v>
      </c>
      <c r="C19" s="11" t="n">
        <f aca="false">Parametros!$B$5/(1+Parametros!$B$7*Parametros!$B$6*B19)^(1/Parametros!$B$7)</f>
        <v>514.661105451328</v>
      </c>
      <c r="D19" s="11" t="n">
        <f aca="false">IF(B19&lt;=Parametros!$B$17,C19,Parametros!$B$5/(1+Parametros!$B$7*Parametros!$B$6*Parametros!$B$17)^(1/Parametros!$B$7)*EXP(-Parametros!$B$8*(B19-Parametros!$B$17)))</f>
        <v>514.661105451328</v>
      </c>
      <c r="E19" s="12" t="n">
        <f aca="false">D19*30.4*IF(B19&lt;Parametros!$B$15,1,0)</f>
        <v>15645.6976057204</v>
      </c>
      <c r="F19" s="12" t="n">
        <f aca="false">C19*30.4*IF(B19&lt;Parametros!$B$15,1,0)</f>
        <v>15645.6976057204</v>
      </c>
      <c r="G19" s="12" t="n">
        <f aca="false">(E19*(Parametros!$B$9*(1-Parametros!$B$10)-Parametros!$B$11)-Parametros!$B$12*IF(B19&lt;Parametros!$B$15,1,0))/(1+Parametros!$B$14)^B19</f>
        <v>619111.641474539</v>
      </c>
    </row>
    <row r="20" customFormat="false" ht="15" hidden="false" customHeight="false" outlineLevel="0" collapsed="false">
      <c r="A20" s="0" t="n">
        <v>16</v>
      </c>
      <c r="B20" s="10" t="n">
        <f aca="false">(A20-1)/12</f>
        <v>1.25</v>
      </c>
      <c r="C20" s="11" t="n">
        <f aca="false">Parametros!$B$5/(1+Parametros!$B$7*Parametros!$B$6*B20)^(1/Parametros!$B$7)</f>
        <v>501.204942324034</v>
      </c>
      <c r="D20" s="11" t="n">
        <f aca="false">IF(B20&lt;=Parametros!$B$17,C20,Parametros!$B$5/(1+Parametros!$B$7*Parametros!$B$6*Parametros!$B$17)^(1/Parametros!$B$7)*EXP(-Parametros!$B$8*(B20-Parametros!$B$17)))</f>
        <v>501.204942324034</v>
      </c>
      <c r="E20" s="12" t="n">
        <f aca="false">D20*30.4*IF(B20&lt;Parametros!$B$15,1,0)</f>
        <v>15236.6302466506</v>
      </c>
      <c r="F20" s="12" t="n">
        <f aca="false">C20*30.4*IF(B20&lt;Parametros!$B$15,1,0)</f>
        <v>15236.6302466506</v>
      </c>
      <c r="G20" s="12" t="n">
        <f aca="false">(E20*(Parametros!$B$9*(1-Parametros!$B$10)-Parametros!$B$11)-Parametros!$B$12*IF(B20&lt;Parametros!$B$15,1,0))/(1+Parametros!$B$14)^B20</f>
        <v>597945.895895198</v>
      </c>
    </row>
    <row r="21" customFormat="false" ht="15" hidden="false" customHeight="false" outlineLevel="0" collapsed="false">
      <c r="A21" s="0" t="n">
        <v>17</v>
      </c>
      <c r="B21" s="10" t="n">
        <f aca="false">(A21-1)/12</f>
        <v>1.33333333333333</v>
      </c>
      <c r="C21" s="11" t="n">
        <f aca="false">Parametros!$B$5/(1+Parametros!$B$7*Parametros!$B$6*B21)^(1/Parametros!$B$7)</f>
        <v>488.595170987083</v>
      </c>
      <c r="D21" s="11" t="n">
        <f aca="false">IF(B21&lt;=Parametros!$B$17,C21,Parametros!$B$5/(1+Parametros!$B$7*Parametros!$B$6*Parametros!$B$17)^(1/Parametros!$B$7)*EXP(-Parametros!$B$8*(B21-Parametros!$B$17)))</f>
        <v>488.595170987083</v>
      </c>
      <c r="E21" s="12" t="n">
        <f aca="false">D21*30.4*IF(B21&lt;Parametros!$B$15,1,0)</f>
        <v>14853.2931980073</v>
      </c>
      <c r="F21" s="12" t="n">
        <f aca="false">C21*30.4*IF(B21&lt;Parametros!$B$15,1,0)</f>
        <v>14853.2931980073</v>
      </c>
      <c r="G21" s="12" t="n">
        <f aca="false">(E21*(Parametros!$B$9*(1-Parametros!$B$10)-Parametros!$B$11)-Parametros!$B$12*IF(B21&lt;Parametros!$B$15,1,0))/(1+Parametros!$B$14)^B21</f>
        <v>578091.446165026</v>
      </c>
    </row>
    <row r="22" customFormat="false" ht="15" hidden="false" customHeight="false" outlineLevel="0" collapsed="false">
      <c r="A22" s="0" t="n">
        <v>18</v>
      </c>
      <c r="B22" s="10" t="n">
        <f aca="false">(A22-1)/12</f>
        <v>1.41666666666667</v>
      </c>
      <c r="C22" s="11" t="n">
        <f aca="false">Parametros!$B$5/(1+Parametros!$B$7*Parametros!$B$6*B22)^(1/Parametros!$B$7)</f>
        <v>476.749705454025</v>
      </c>
      <c r="D22" s="11" t="n">
        <f aca="false">IF(B22&lt;=Parametros!$B$17,C22,Parametros!$B$5/(1+Parametros!$B$7*Parametros!$B$6*Parametros!$B$17)^(1/Parametros!$B$7)*EXP(-Parametros!$B$8*(B22-Parametros!$B$17)))</f>
        <v>476.749705454025</v>
      </c>
      <c r="E22" s="12" t="n">
        <f aca="false">D22*30.4*IF(B22&lt;Parametros!$B$15,1,0)</f>
        <v>14493.1910458024</v>
      </c>
      <c r="F22" s="12" t="n">
        <f aca="false">C22*30.4*IF(B22&lt;Parametros!$B$15,1,0)</f>
        <v>14493.1910458024</v>
      </c>
      <c r="G22" s="12" t="n">
        <f aca="false">(E22*(Parametros!$B$9*(1-Parametros!$B$10)-Parametros!$B$11)-Parametros!$B$12*IF(B22&lt;Parametros!$B$15,1,0))/(1+Parametros!$B$14)^B22</f>
        <v>559423.164058729</v>
      </c>
    </row>
    <row r="23" customFormat="false" ht="15" hidden="false" customHeight="false" outlineLevel="0" collapsed="false">
      <c r="A23" s="0" t="n">
        <v>19</v>
      </c>
      <c r="B23" s="10" t="n">
        <f aca="false">(A23-1)/12</f>
        <v>1.5</v>
      </c>
      <c r="C23" s="11" t="n">
        <f aca="false">Parametros!$B$5/(1+Parametros!$B$7*Parametros!$B$6*B23)^(1/Parametros!$B$7)</f>
        <v>465.597022313406</v>
      </c>
      <c r="D23" s="11" t="n">
        <f aca="false">IF(B23&lt;=Parametros!$B$17,C23,Parametros!$B$5/(1+Parametros!$B$7*Parametros!$B$6*Parametros!$B$17)^(1/Parametros!$B$7)*EXP(-Parametros!$B$8*(B23-Parametros!$B$17)))</f>
        <v>465.597022313406</v>
      </c>
      <c r="E23" s="12" t="n">
        <f aca="false">D23*30.4*IF(B23&lt;Parametros!$B$15,1,0)</f>
        <v>14154.1494783275</v>
      </c>
      <c r="F23" s="12" t="n">
        <f aca="false">C23*30.4*IF(B23&lt;Parametros!$B$15,1,0)</f>
        <v>14154.1494783275</v>
      </c>
      <c r="G23" s="12" t="n">
        <f aca="false">(E23*(Parametros!$B$9*(1-Parametros!$B$10)-Parametros!$B$11)-Parametros!$B$12*IF(B23&lt;Parametros!$B$15,1,0))/(1+Parametros!$B$14)^B23</f>
        <v>541831.897047858</v>
      </c>
    </row>
    <row r="24" customFormat="false" ht="15" hidden="false" customHeight="false" outlineLevel="0" collapsed="false">
      <c r="A24" s="0" t="n">
        <v>20</v>
      </c>
      <c r="B24" s="10" t="n">
        <f aca="false">(A24-1)/12</f>
        <v>1.58333333333333</v>
      </c>
      <c r="C24" s="11" t="n">
        <f aca="false">Parametros!$B$5/(1+Parametros!$B$7*Parametros!$B$6*B24)^(1/Parametros!$B$7)</f>
        <v>455.074489483836</v>
      </c>
      <c r="D24" s="11" t="n">
        <f aca="false">IF(B24&lt;=Parametros!$B$17,C24,Parametros!$B$5/(1+Parametros!$B$7*Parametros!$B$6*Parametros!$B$17)^(1/Parametros!$B$7)*EXP(-Parametros!$B$8*(B24-Parametros!$B$17)))</f>
        <v>455.074489483836</v>
      </c>
      <c r="E24" s="12" t="n">
        <f aca="false">D24*30.4*IF(B24&lt;Parametros!$B$15,1,0)</f>
        <v>13834.2644803086</v>
      </c>
      <c r="F24" s="12" t="n">
        <f aca="false">C24*30.4*IF(B24&lt;Parametros!$B$15,1,0)</f>
        <v>13834.2644803086</v>
      </c>
      <c r="G24" s="12" t="n">
        <f aca="false">(E24*(Parametros!$B$9*(1-Parametros!$B$10)-Parametros!$B$11)-Parametros!$B$12*IF(B24&lt;Parametros!$B$15,1,0))/(1+Parametros!$B$14)^B24</f>
        <v>525221.951310363</v>
      </c>
    </row>
    <row r="25" customFormat="false" ht="15" hidden="false" customHeight="false" outlineLevel="0" collapsed="false">
      <c r="A25" s="0" t="n">
        <v>21</v>
      </c>
      <c r="B25" s="10" t="n">
        <f aca="false">(A25-1)/12</f>
        <v>1.66666666666667</v>
      </c>
      <c r="C25" s="11" t="n">
        <f aca="false">Parametros!$B$5/(1+Parametros!$B$7*Parametros!$B$6*B25)^(1/Parametros!$B$7)</f>
        <v>445.127005541984</v>
      </c>
      <c r="D25" s="11" t="n">
        <f aca="false">IF(B25&lt;=Parametros!$B$17,C25,Parametros!$B$5/(1+Parametros!$B$7*Parametros!$B$6*Parametros!$B$17)^(1/Parametros!$B$7)*EXP(-Parametros!$B$8*(B25-Parametros!$B$17)))</f>
        <v>445.127005541984</v>
      </c>
      <c r="E25" s="12" t="n">
        <f aca="false">D25*30.4*IF(B25&lt;Parametros!$B$15,1,0)</f>
        <v>13531.8609684763</v>
      </c>
      <c r="F25" s="12" t="n">
        <f aca="false">C25*30.4*IF(B25&lt;Parametros!$B$15,1,0)</f>
        <v>13531.8609684763</v>
      </c>
      <c r="G25" s="12" t="n">
        <f aca="false">(E25*(Parametros!$B$9*(1-Parametros!$B$10)-Parametros!$B$11)-Parametros!$B$12*IF(B25&lt;Parametros!$B$15,1,0))/(1+Parametros!$B$14)^B25</f>
        <v>509509.041231271</v>
      </c>
    </row>
    <row r="26" customFormat="false" ht="15" hidden="false" customHeight="false" outlineLevel="0" collapsed="false">
      <c r="A26" s="0" t="n">
        <v>22</v>
      </c>
      <c r="B26" s="10" t="n">
        <f aca="false">(A26-1)/12</f>
        <v>1.75</v>
      </c>
      <c r="C26" s="11" t="n">
        <f aca="false">Parametros!$B$5/(1+Parametros!$B$7*Parametros!$B$6*B26)^(1/Parametros!$B$7)</f>
        <v>435.705883877924</v>
      </c>
      <c r="D26" s="11" t="n">
        <f aca="false">IF(B26&lt;=Parametros!$B$17,C26,Parametros!$B$5/(1+Parametros!$B$7*Parametros!$B$6*Parametros!$B$17)^(1/Parametros!$B$7)*EXP(-Parametros!$B$8*(B26-Parametros!$B$17)))</f>
        <v>435.705883877924</v>
      </c>
      <c r="E26" s="12" t="n">
        <f aca="false">D26*30.4*IF(B26&lt;Parametros!$B$15,1,0)</f>
        <v>13245.4588698889</v>
      </c>
      <c r="F26" s="12" t="n">
        <f aca="false">C26*30.4*IF(B26&lt;Parametros!$B$15,1,0)</f>
        <v>13245.4588698889</v>
      </c>
      <c r="G26" s="12" t="n">
        <f aca="false">(E26*(Parametros!$B$9*(1-Parametros!$B$10)-Parametros!$B$11)-Parametros!$B$12*IF(B26&lt;Parametros!$B$15,1,0))/(1+Parametros!$B$14)^B26</f>
        <v>494618.606824369</v>
      </c>
    </row>
    <row r="27" customFormat="false" ht="15" hidden="false" customHeight="false" outlineLevel="0" collapsed="false">
      <c r="A27" s="0" t="n">
        <v>23</v>
      </c>
      <c r="B27" s="10" t="n">
        <f aca="false">(A27-1)/12</f>
        <v>1.83333333333333</v>
      </c>
      <c r="C27" s="11" t="n">
        <f aca="false">Parametros!$B$5/(1+Parametros!$B$7*Parametros!$B$6*B27)^(1/Parametros!$B$7)</f>
        <v>426.767931445497</v>
      </c>
      <c r="D27" s="11" t="n">
        <f aca="false">IF(B27&lt;=Parametros!$B$17,C27,Parametros!$B$5/(1+Parametros!$B$7*Parametros!$B$6*Parametros!$B$17)^(1/Parametros!$B$7)*EXP(-Parametros!$B$8*(B27-Parametros!$B$17)))</f>
        <v>426.767931445497</v>
      </c>
      <c r="E27" s="12" t="n">
        <f aca="false">D27*30.4*IF(B27&lt;Parametros!$B$15,1,0)</f>
        <v>12973.7451159431</v>
      </c>
      <c r="F27" s="12" t="n">
        <f aca="false">C27*30.4*IF(B27&lt;Parametros!$B$15,1,0)</f>
        <v>12973.7451159431</v>
      </c>
      <c r="G27" s="12" t="n">
        <f aca="false">(E27*(Parametros!$B$9*(1-Parametros!$B$10)-Parametros!$B$11)-Parametros!$B$12*IF(B27&lt;Parametros!$B$15,1,0))/(1+Parametros!$B$14)^B27</f>
        <v>480484.423731835</v>
      </c>
    </row>
    <row r="28" customFormat="false" ht="15" hidden="false" customHeight="false" outlineLevel="0" collapsed="false">
      <c r="A28" s="0" t="n">
        <v>24</v>
      </c>
      <c r="B28" s="10" t="n">
        <f aca="false">(A28-1)/12</f>
        <v>1.91666666666667</v>
      </c>
      <c r="C28" s="11" t="n">
        <f aca="false">Parametros!$B$5/(1+Parametros!$B$7*Parametros!$B$6*B28)^(1/Parametros!$B$7)</f>
        <v>418.274683374127</v>
      </c>
      <c r="D28" s="11" t="n">
        <f aca="false">IF(B28&lt;=Parametros!$B$17,C28,Parametros!$B$5/(1+Parametros!$B$7*Parametros!$B$6*Parametros!$B$17)^(1/Parametros!$B$7)*EXP(-Parametros!$B$8*(B28-Parametros!$B$17)))</f>
        <v>418.274683374127</v>
      </c>
      <c r="E28" s="12" t="n">
        <f aca="false">D28*30.4*IF(B28&lt;Parametros!$B$15,1,0)</f>
        <v>12715.5503745735</v>
      </c>
      <c r="F28" s="12" t="n">
        <f aca="false">C28*30.4*IF(B28&lt;Parametros!$B$15,1,0)</f>
        <v>12715.5503745735</v>
      </c>
      <c r="G28" s="12" t="n">
        <f aca="false">(E28*(Parametros!$B$9*(1-Parametros!$B$10)-Parametros!$B$11)-Parametros!$B$12*IF(B28&lt;Parametros!$B$15,1,0))/(1+Parametros!$B$14)^B28</f>
        <v>467047.447681373</v>
      </c>
    </row>
    <row r="29" customFormat="false" ht="15" hidden="false" customHeight="false" outlineLevel="0" collapsed="false">
      <c r="A29" s="0" t="n">
        <v>25</v>
      </c>
      <c r="B29" s="10" t="n">
        <f aca="false">(A29-1)/12</f>
        <v>2</v>
      </c>
      <c r="C29" s="11" t="n">
        <f aca="false">Parametros!$B$5/(1+Parametros!$B$7*Parametros!$B$6*B29)^(1/Parametros!$B$7)</f>
        <v>410.191763317944</v>
      </c>
      <c r="D29" s="11" t="n">
        <f aca="false">IF(B29&lt;=Parametros!$B$17,C29,Parametros!$B$5/(1+Parametros!$B$7*Parametros!$B$6*Parametros!$B$17)^(1/Parametros!$B$7)*EXP(-Parametros!$B$8*(B29-Parametros!$B$17)))</f>
        <v>410.191763317944</v>
      </c>
      <c r="E29" s="12" t="n">
        <f aca="false">D29*30.4*IF(B29&lt;Parametros!$B$15,1,0)</f>
        <v>12469.8296048655</v>
      </c>
      <c r="F29" s="12" t="n">
        <f aca="false">C29*30.4*IF(B29&lt;Parametros!$B$15,1,0)</f>
        <v>12469.8296048655</v>
      </c>
      <c r="G29" s="12" t="n">
        <f aca="false">(E29*(Parametros!$B$9*(1-Parametros!$B$10)-Parametros!$B$11)-Parametros!$B$12*IF(B29&lt;Parametros!$B$15,1,0))/(1+Parametros!$B$14)^B29</f>
        <v>454254.848180143</v>
      </c>
    </row>
    <row r="30" customFormat="false" ht="15" hidden="false" customHeight="false" outlineLevel="0" collapsed="false">
      <c r="A30" s="0" t="n">
        <v>26</v>
      </c>
      <c r="B30" s="10" t="n">
        <f aca="false">(A30-1)/12</f>
        <v>2.08333333333333</v>
      </c>
      <c r="C30" s="11" t="n">
        <f aca="false">Parametros!$B$5/(1+Parametros!$B$7*Parametros!$B$6*B30)^(1/Parametros!$B$7)</f>
        <v>402.488345925144</v>
      </c>
      <c r="D30" s="11" t="n">
        <f aca="false">IF(B30&lt;=Parametros!$B$17,C30,Parametros!$B$5/(1+Parametros!$B$7*Parametros!$B$6*Parametros!$B$17)^(1/Parametros!$B$7)*EXP(-Parametros!$B$8*(B30-Parametros!$B$17)))</f>
        <v>402.488345925144</v>
      </c>
      <c r="E30" s="12" t="n">
        <f aca="false">D30*30.4*IF(B30&lt;Parametros!$B$15,1,0)</f>
        <v>12235.6457161244</v>
      </c>
      <c r="F30" s="12" t="n">
        <f aca="false">C30*30.4*IF(B30&lt;Parametros!$B$15,1,0)</f>
        <v>12235.6457161244</v>
      </c>
      <c r="G30" s="12" t="n">
        <f aca="false">(E30*(Parametros!$B$9*(1-Parametros!$B$10)-Parametros!$B$11)-Parametros!$B$12*IF(B30&lt;Parametros!$B$15,1,0))/(1+Parametros!$B$14)^B30</f>
        <v>442059.195977988</v>
      </c>
    </row>
    <row r="31" customFormat="false" ht="15" hidden="false" customHeight="false" outlineLevel="0" collapsed="false">
      <c r="A31" s="0" t="n">
        <v>27</v>
      </c>
      <c r="B31" s="10" t="n">
        <f aca="false">(A31-1)/12</f>
        <v>2.16666666666667</v>
      </c>
      <c r="C31" s="11" t="n">
        <f aca="false">Parametros!$B$5/(1+Parametros!$B$7*Parametros!$B$6*B31)^(1/Parametros!$B$7)</f>
        <v>395.136702772212</v>
      </c>
      <c r="D31" s="11" t="n">
        <f aca="false">IF(B31&lt;=Parametros!$B$17,C31,Parametros!$B$5/(1+Parametros!$B$7*Parametros!$B$6*Parametros!$B$17)^(1/Parametros!$B$7)*EXP(-Parametros!$B$8*(B31-Parametros!$B$17)))</f>
        <v>395.136702772212</v>
      </c>
      <c r="E31" s="12" t="n">
        <f aca="false">D31*30.4*IF(B31&lt;Parametros!$B$15,1,0)</f>
        <v>12012.1557642752</v>
      </c>
      <c r="F31" s="12" t="n">
        <f aca="false">C31*30.4*IF(B31&lt;Parametros!$B$15,1,0)</f>
        <v>12012.1557642752</v>
      </c>
      <c r="G31" s="12" t="n">
        <f aca="false">(E31*(Parametros!$B$9*(1-Parametros!$B$10)-Parametros!$B$11)-Parametros!$B$12*IF(B31&lt;Parametros!$B$15,1,0))/(1+Parametros!$B$14)^B31</f>
        <v>430417.776272018</v>
      </c>
    </row>
    <row r="32" customFormat="false" ht="15" hidden="false" customHeight="false" outlineLevel="0" collapsed="false">
      <c r="A32" s="0" t="n">
        <v>28</v>
      </c>
      <c r="B32" s="10" t="n">
        <f aca="false">(A32-1)/12</f>
        <v>2.25</v>
      </c>
      <c r="C32" s="11" t="n">
        <f aca="false">Parametros!$B$5/(1+Parametros!$B$7*Parametros!$B$6*B32)^(1/Parametros!$B$7)</f>
        <v>388.111816922323</v>
      </c>
      <c r="D32" s="11" t="n">
        <f aca="false">IF(B32&lt;=Parametros!$B$17,C32,Parametros!$B$5/(1+Parametros!$B$7*Parametros!$B$6*Parametros!$B$17)^(1/Parametros!$B$7)*EXP(-Parametros!$B$8*(B32-Parametros!$B$17)))</f>
        <v>388.111816922323</v>
      </c>
      <c r="E32" s="12" t="n">
        <f aca="false">D32*30.4*IF(B32&lt;Parametros!$B$15,1,0)</f>
        <v>11798.5992344386</v>
      </c>
      <c r="F32" s="12" t="n">
        <f aca="false">C32*30.4*IF(B32&lt;Parametros!$B$15,1,0)</f>
        <v>11798.5992344386</v>
      </c>
      <c r="G32" s="12" t="n">
        <f aca="false">(E32*(Parametros!$B$9*(1-Parametros!$B$10)-Parametros!$B$11)-Parametros!$B$12*IF(B32&lt;Parametros!$B$15,1,0))/(1+Parametros!$B$14)^B32</f>
        <v>419292.005346529</v>
      </c>
    </row>
    <row r="33" customFormat="false" ht="15" hidden="false" customHeight="false" outlineLevel="0" collapsed="false">
      <c r="A33" s="0" t="n">
        <v>29</v>
      </c>
      <c r="B33" s="10" t="n">
        <f aca="false">(A33-1)/12</f>
        <v>2.33333333333333</v>
      </c>
      <c r="C33" s="11" t="n">
        <f aca="false">Parametros!$B$5/(1+Parametros!$B$7*Parametros!$B$6*B33)^(1/Parametros!$B$7)</f>
        <v>381.391054223071</v>
      </c>
      <c r="D33" s="11" t="n">
        <f aca="false">IF(B33&lt;=Parametros!$B$17,C33,Parametros!$B$5/(1+Parametros!$B$7*Parametros!$B$6*Parametros!$B$17)^(1/Parametros!$B$7)*EXP(-Parametros!$B$8*(B33-Parametros!$B$17)))</f>
        <v>381.391054223071</v>
      </c>
      <c r="E33" s="12" t="n">
        <f aca="false">D33*30.4*IF(B33&lt;Parametros!$B$15,1,0)</f>
        <v>11594.2880483813</v>
      </c>
      <c r="F33" s="12" t="n">
        <f aca="false">C33*30.4*IF(B33&lt;Parametros!$B$15,1,0)</f>
        <v>11594.2880483813</v>
      </c>
      <c r="G33" s="12" t="n">
        <f aca="false">(E33*(Parametros!$B$9*(1-Parametros!$B$10)-Parametros!$B$11)-Parametros!$B$12*IF(B33&lt;Parametros!$B$15,1,0))/(1+Parametros!$B$14)^B33</f>
        <v>408646.93277739</v>
      </c>
    </row>
    <row r="34" customFormat="false" ht="15" hidden="false" customHeight="false" outlineLevel="0" collapsed="false">
      <c r="A34" s="0" t="n">
        <v>30</v>
      </c>
      <c r="B34" s="10" t="n">
        <f aca="false">(A34-1)/12</f>
        <v>2.41666666666667</v>
      </c>
      <c r="C34" s="11" t="n">
        <f aca="false">Parametros!$B$5/(1+Parametros!$B$7*Parametros!$B$6*B34)^(1/Parametros!$B$7)</f>
        <v>374.95388176585</v>
      </c>
      <c r="D34" s="11" t="n">
        <f aca="false">IF(B34&lt;=Parametros!$B$17,C34,Parametros!$B$5/(1+Parametros!$B$7*Parametros!$B$6*Parametros!$B$17)^(1/Parametros!$B$7)*EXP(-Parametros!$B$8*(B34-Parametros!$B$17)))</f>
        <v>374.95388176585</v>
      </c>
      <c r="E34" s="12" t="n">
        <f aca="false">D34*30.4*IF(B34&lt;Parametros!$B$15,1,0)</f>
        <v>11398.5980056818</v>
      </c>
      <c r="F34" s="12" t="n">
        <f aca="false">C34*30.4*IF(B34&lt;Parametros!$B$15,1,0)</f>
        <v>11398.5980056818</v>
      </c>
      <c r="G34" s="12" t="n">
        <f aca="false">(E34*(Parametros!$B$9*(1-Parametros!$B$10)-Parametros!$B$11)-Parametros!$B$12*IF(B34&lt;Parametros!$B$15,1,0))/(1+Parametros!$B$14)^B34</f>
        <v>398450.814793184</v>
      </c>
    </row>
    <row r="35" customFormat="false" ht="15" hidden="false" customHeight="false" outlineLevel="0" collapsed="false">
      <c r="A35" s="0" t="n">
        <v>31</v>
      </c>
      <c r="B35" s="10" t="n">
        <f aca="false">(A35-1)/12</f>
        <v>2.5</v>
      </c>
      <c r="C35" s="11" t="n">
        <f aca="false">Parametros!$B$5/(1+Parametros!$B$7*Parametros!$B$6*B35)^(1/Parametros!$B$7)</f>
        <v>368.781625742532</v>
      </c>
      <c r="D35" s="11" t="n">
        <f aca="false">IF(B35&lt;=Parametros!$B$17,C35,Parametros!$B$5/(1+Parametros!$B$7*Parametros!$B$6*Parametros!$B$17)^(1/Parametros!$B$7)*EXP(-Parametros!$B$8*(B35-Parametros!$B$17)))</f>
        <v>368.781625742532</v>
      </c>
      <c r="E35" s="12" t="n">
        <f aca="false">D35*30.4*IF(B35&lt;Parametros!$B$15,1,0)</f>
        <v>11210.961422573</v>
      </c>
      <c r="F35" s="12" t="n">
        <f aca="false">C35*30.4*IF(B35&lt;Parametros!$B$15,1,0)</f>
        <v>11210.961422573</v>
      </c>
      <c r="G35" s="12" t="n">
        <f aca="false">(E35*(Parametros!$B$9*(1-Parametros!$B$10)-Parametros!$B$11)-Parametros!$B$12*IF(B35&lt;Parametros!$B$15,1,0))/(1+Parametros!$B$14)^B35</f>
        <v>388674.747108314</v>
      </c>
    </row>
    <row r="36" customFormat="false" ht="15" hidden="false" customHeight="false" outlineLevel="0" collapsed="false">
      <c r="A36" s="0" t="n">
        <v>32</v>
      </c>
      <c r="B36" s="10" t="n">
        <f aca="false">(A36-1)/12</f>
        <v>2.58333333333333</v>
      </c>
      <c r="C36" s="11" t="n">
        <f aca="false">Parametros!$B$5/(1+Parametros!$B$7*Parametros!$B$6*B36)^(1/Parametros!$B$7)</f>
        <v>362.857262369724</v>
      </c>
      <c r="D36" s="11" t="n">
        <f aca="false">IF(B36&lt;=Parametros!$B$17,C36,Parametros!$B$5/(1+Parametros!$B$7*Parametros!$B$6*Parametros!$B$17)^(1/Parametros!$B$7)*EXP(-Parametros!$B$8*(B36-Parametros!$B$17)))</f>
        <v>362.857262369724</v>
      </c>
      <c r="E36" s="12" t="n">
        <f aca="false">D36*30.4*IF(B36&lt;Parametros!$B$15,1,0)</f>
        <v>11030.8607760396</v>
      </c>
      <c r="F36" s="12" t="n">
        <f aca="false">C36*30.4*IF(B36&lt;Parametros!$B$15,1,0)</f>
        <v>11030.8607760396</v>
      </c>
      <c r="G36" s="12" t="n">
        <f aca="false">(E36*(Parametros!$B$9*(1-Parametros!$B$10)-Parametros!$B$11)-Parametros!$B$12*IF(B36&lt;Parametros!$B$15,1,0))/(1+Parametros!$B$14)^B36</f>
        <v>379292.347698184</v>
      </c>
    </row>
    <row r="37" customFormat="false" ht="15" hidden="false" customHeight="false" outlineLevel="0" collapsed="false">
      <c r="A37" s="0" t="n">
        <v>33</v>
      </c>
      <c r="B37" s="10" t="n">
        <f aca="false">(A37-1)/12</f>
        <v>2.66666666666667</v>
      </c>
      <c r="C37" s="11" t="n">
        <f aca="false">Parametros!$B$5/(1+Parametros!$B$7*Parametros!$B$6*B37)^(1/Parametros!$B$7)</f>
        <v>357.165236692845</v>
      </c>
      <c r="D37" s="11" t="n">
        <f aca="false">IF(B37&lt;=Parametros!$B$17,C37,Parametros!$B$5/(1+Parametros!$B$7*Parametros!$B$6*Parametros!$B$17)^(1/Parametros!$B$7)*EXP(-Parametros!$B$8*(B37-Parametros!$B$17)))</f>
        <v>357.165236692845</v>
      </c>
      <c r="E37" s="12" t="n">
        <f aca="false">D37*30.4*IF(B37&lt;Parametros!$B$15,1,0)</f>
        <v>10857.8231954625</v>
      </c>
      <c r="F37" s="12" t="n">
        <f aca="false">C37*30.4*IF(B37&lt;Parametros!$B$15,1,0)</f>
        <v>10857.8231954625</v>
      </c>
      <c r="G37" s="12" t="n">
        <f aca="false">(E37*(Parametros!$B$9*(1-Parametros!$B$10)-Parametros!$B$11)-Parametros!$B$12*IF(B37&lt;Parametros!$B$15,1,0))/(1+Parametros!$B$14)^B37</f>
        <v>370279.481702695</v>
      </c>
    </row>
    <row r="38" customFormat="false" ht="15" hidden="false" customHeight="false" outlineLevel="0" collapsed="false">
      <c r="A38" s="0" t="n">
        <v>34</v>
      </c>
      <c r="B38" s="10" t="n">
        <f aca="false">(A38-1)/12</f>
        <v>2.75</v>
      </c>
      <c r="C38" s="11" t="n">
        <f aca="false">Parametros!$B$5/(1+Parametros!$B$7*Parametros!$B$6*B38)^(1/Parametros!$B$7)</f>
        <v>351.691304996763</v>
      </c>
      <c r="D38" s="11" t="n">
        <f aca="false">IF(B38&lt;=Parametros!$B$17,C38,Parametros!$B$5/(1+Parametros!$B$7*Parametros!$B$6*Parametros!$B$17)^(1/Parametros!$B$7)*EXP(-Parametros!$B$8*(B38-Parametros!$B$17)))</f>
        <v>351.691304996763</v>
      </c>
      <c r="E38" s="12" t="n">
        <f aca="false">D38*30.4*IF(B38&lt;Parametros!$B$15,1,0)</f>
        <v>10691.4156719016</v>
      </c>
      <c r="F38" s="12" t="n">
        <f aca="false">C38*30.4*IF(B38&lt;Parametros!$B$15,1,0)</f>
        <v>10691.4156719016</v>
      </c>
      <c r="G38" s="12" t="n">
        <f aca="false">(E38*(Parametros!$B$9*(1-Parametros!$B$10)-Parametros!$B$11)-Parametros!$B$12*IF(B38&lt;Parametros!$B$15,1,0))/(1+Parametros!$B$14)^B38</f>
        <v>361614.022018836</v>
      </c>
    </row>
    <row r="39" customFormat="false" ht="15" hidden="false" customHeight="false" outlineLevel="0" collapsed="false">
      <c r="A39" s="0" t="n">
        <v>35</v>
      </c>
      <c r="B39" s="10" t="n">
        <f aca="false">(A39-1)/12</f>
        <v>2.83333333333333</v>
      </c>
      <c r="C39" s="11" t="n">
        <f aca="false">Parametros!$B$5/(1+Parametros!$B$7*Parametros!$B$6*B39)^(1/Parametros!$B$7)</f>
        <v>346.422397285983</v>
      </c>
      <c r="D39" s="11" t="n">
        <f aca="false">IF(B39&lt;=Parametros!$B$17,C39,Parametros!$B$5/(1+Parametros!$B$7*Parametros!$B$6*Parametros!$B$17)^(1/Parametros!$B$7)*EXP(-Parametros!$B$8*(B39-Parametros!$B$17)))</f>
        <v>346.422397285983</v>
      </c>
      <c r="E39" s="12" t="n">
        <f aca="false">D39*30.4*IF(B39&lt;Parametros!$B$15,1,0)</f>
        <v>10531.2408774939</v>
      </c>
      <c r="F39" s="12" t="n">
        <f aca="false">C39*30.4*IF(B39&lt;Parametros!$B$15,1,0)</f>
        <v>10531.2408774939</v>
      </c>
      <c r="G39" s="12" t="n">
        <f aca="false">(E39*(Parametros!$B$9*(1-Parametros!$B$10)-Parametros!$B$11)-Parametros!$B$12*IF(B39&lt;Parametros!$B$15,1,0))/(1+Parametros!$B$14)^B39</f>
        <v>353275.640250479</v>
      </c>
    </row>
    <row r="40" customFormat="false" ht="15" hidden="false" customHeight="false" outlineLevel="0" collapsed="false">
      <c r="A40" s="0" t="n">
        <v>36</v>
      </c>
      <c r="B40" s="10" t="n">
        <f aca="false">(A40-1)/12</f>
        <v>2.91666666666667</v>
      </c>
      <c r="C40" s="11" t="n">
        <f aca="false">Parametros!$B$5/(1+Parametros!$B$7*Parametros!$B$6*B40)^(1/Parametros!$B$7)</f>
        <v>341.346496893491</v>
      </c>
      <c r="D40" s="11" t="n">
        <f aca="false">IF(B40&lt;=Parametros!$B$17,C40,Parametros!$B$5/(1+Parametros!$B$7*Parametros!$B$6*Parametros!$B$17)^(1/Parametros!$B$7)*EXP(-Parametros!$B$8*(B40-Parametros!$B$17)))</f>
        <v>341.346496893491</v>
      </c>
      <c r="E40" s="12" t="n">
        <f aca="false">D40*30.4*IF(B40&lt;Parametros!$B$15,1,0)</f>
        <v>10376.9335055621</v>
      </c>
      <c r="F40" s="12" t="n">
        <f aca="false">C40*30.4*IF(B40&lt;Parametros!$B$15,1,0)</f>
        <v>10376.9335055621</v>
      </c>
      <c r="G40" s="12" t="n">
        <f aca="false">(E40*(Parametros!$B$9*(1-Parametros!$B$10)-Parametros!$B$11)-Parametros!$B$12*IF(B40&lt;Parametros!$B$15,1,0))/(1+Parametros!$B$14)^B40</f>
        <v>345245.623580081</v>
      </c>
    </row>
    <row r="41" customFormat="false" ht="15" hidden="false" customHeight="false" outlineLevel="0" collapsed="false">
      <c r="A41" s="0" t="n">
        <v>37</v>
      </c>
      <c r="B41" s="10" t="n">
        <f aca="false">(A41-1)/12</f>
        <v>3</v>
      </c>
      <c r="C41" s="11" t="n">
        <f aca="false">Parametros!$B$5/(1+Parametros!$B$7*Parametros!$B$6*B41)^(1/Parametros!$B$7)</f>
        <v>336.452534762255</v>
      </c>
      <c r="D41" s="11" t="n">
        <f aca="false">IF(B41&lt;=Parametros!$B$17,C41,Parametros!$B$5/(1+Parametros!$B$7*Parametros!$B$6*Parametros!$B$17)^(1/Parametros!$B$7)*EXP(-Parametros!$B$8*(B41-Parametros!$B$17)))</f>
        <v>336.452534762255</v>
      </c>
      <c r="E41" s="12" t="n">
        <f aca="false">D41*30.4*IF(B41&lt;Parametros!$B$15,1,0)</f>
        <v>10228.1570567725</v>
      </c>
      <c r="F41" s="12" t="n">
        <f aca="false">C41*30.4*IF(B41&lt;Parametros!$B$15,1,0)</f>
        <v>10228.1570567725</v>
      </c>
      <c r="G41" s="12" t="n">
        <f aca="false">(E41*(Parametros!$B$9*(1-Parametros!$B$10)-Parametros!$B$11)-Parametros!$B$12*IF(B41&lt;Parametros!$B$15,1,0))/(1+Parametros!$B$14)^B41</f>
        <v>337506.713856807</v>
      </c>
    </row>
    <row r="42" customFormat="false" ht="15" hidden="false" customHeight="false" outlineLevel="0" collapsed="false">
      <c r="A42" s="0" t="n">
        <v>38</v>
      </c>
      <c r="B42" s="10" t="n">
        <f aca="false">(A42-1)/12</f>
        <v>3.08333333333333</v>
      </c>
      <c r="C42" s="11" t="n">
        <f aca="false">Parametros!$B$5/(1+Parametros!$B$7*Parametros!$B$6*B42)^(1/Parametros!$B$7)</f>
        <v>331.730296339865</v>
      </c>
      <c r="D42" s="11" t="n">
        <f aca="false">IF(B42&lt;=Parametros!$B$17,C42,Parametros!$B$5/(1+Parametros!$B$7*Parametros!$B$6*Parametros!$B$17)^(1/Parametros!$B$7)*EXP(-Parametros!$B$8*(B42-Parametros!$B$17)))</f>
        <v>331.730296339865</v>
      </c>
      <c r="E42" s="12" t="n">
        <f aca="false">D42*30.4*IF(B42&lt;Parametros!$B$15,1,0)</f>
        <v>10084.6010087319</v>
      </c>
      <c r="F42" s="12" t="n">
        <f aca="false">C42*30.4*IF(B42&lt;Parametros!$B$15,1,0)</f>
        <v>10084.6010087319</v>
      </c>
      <c r="G42" s="12" t="n">
        <f aca="false">(E42*(Parametros!$B$9*(1-Parametros!$B$10)-Parametros!$B$11)-Parametros!$B$12*IF(B42&lt;Parametros!$B$15,1,0))/(1+Parametros!$B$14)^B42</f>
        <v>330042.965792402</v>
      </c>
    </row>
    <row r="43" customFormat="false" ht="15" hidden="false" customHeight="false" outlineLevel="0" collapsed="false">
      <c r="A43" s="0" t="n">
        <v>39</v>
      </c>
      <c r="B43" s="10" t="n">
        <f aca="false">(A43-1)/12</f>
        <v>3.16666666666667</v>
      </c>
      <c r="C43" s="11" t="n">
        <f aca="false">Parametros!$B$5/(1+Parametros!$B$7*Parametros!$B$6*B43)^(1/Parametros!$B$7)</f>
        <v>327.17033935237</v>
      </c>
      <c r="D43" s="11" t="n">
        <f aca="false">IF(B43&lt;=Parametros!$B$17,C43,Parametros!$B$5/(1+Parametros!$B$7*Parametros!$B$6*Parametros!$B$17)^(1/Parametros!$B$7)*EXP(-Parametros!$B$8*(B43-Parametros!$B$17)))</f>
        <v>327.17033935237</v>
      </c>
      <c r="E43" s="12" t="n">
        <f aca="false">D43*30.4*IF(B43&lt;Parametros!$B$15,1,0)</f>
        <v>9945.97831631204</v>
      </c>
      <c r="F43" s="12" t="n">
        <f aca="false">C43*30.4*IF(B43&lt;Parametros!$B$15,1,0)</f>
        <v>9945.97831631204</v>
      </c>
      <c r="G43" s="12" t="n">
        <f aca="false">(E43*(Parametros!$B$9*(1-Parametros!$B$10)-Parametros!$B$11)-Parametros!$B$12*IF(B43&lt;Parametros!$B$15,1,0))/(1+Parametros!$B$14)^B43</f>
        <v>322839.621646486</v>
      </c>
    </row>
    <row r="44" customFormat="false" ht="15" hidden="false" customHeight="false" outlineLevel="0" collapsed="false">
      <c r="A44" s="0" t="n">
        <v>40</v>
      </c>
      <c r="B44" s="10" t="n">
        <f aca="false">(A44-1)/12</f>
        <v>3.25</v>
      </c>
      <c r="C44" s="11" t="n">
        <f aca="false">Parametros!$B$5/(1+Parametros!$B$7*Parametros!$B$6*B44)^(1/Parametros!$B$7)</f>
        <v>322.76392099197</v>
      </c>
      <c r="D44" s="11" t="n">
        <f aca="false">IF(B44&lt;=Parametros!$B$17,C44,Parametros!$B$5/(1+Parametros!$B$7*Parametros!$B$6*Parametros!$B$17)^(1/Parametros!$B$7)*EXP(-Parametros!$B$8*(B44-Parametros!$B$17)))</f>
        <v>322.76392099197</v>
      </c>
      <c r="E44" s="12" t="n">
        <f aca="false">D44*30.4*IF(B44&lt;Parametros!$B$15,1,0)</f>
        <v>9812.02319815588</v>
      </c>
      <c r="F44" s="12" t="n">
        <f aca="false">C44*30.4*IF(B44&lt;Parametros!$B$15,1,0)</f>
        <v>9812.02319815588</v>
      </c>
      <c r="G44" s="12" t="n">
        <f aca="false">(E44*(Parametros!$B$9*(1-Parametros!$B$10)-Parametros!$B$11)-Parametros!$B$12*IF(B44&lt;Parametros!$B$15,1,0))/(1+Parametros!$B$14)^B44</f>
        <v>315883.000187575</v>
      </c>
    </row>
    <row r="45" customFormat="false" ht="15" hidden="false" customHeight="false" outlineLevel="0" collapsed="false">
      <c r="A45" s="0" t="n">
        <v>41</v>
      </c>
      <c r="B45" s="10" t="n">
        <f aca="false">(A45-1)/12</f>
        <v>3.33333333333333</v>
      </c>
      <c r="C45" s="11" t="n">
        <f aca="false">Parametros!$B$5/(1+Parametros!$B$7*Parametros!$B$6*B45)^(1/Parametros!$B$7)</f>
        <v>318.502933275691</v>
      </c>
      <c r="D45" s="11" t="n">
        <f aca="false">IF(B45&lt;=Parametros!$B$17,C45,Parametros!$B$5/(1+Parametros!$B$7*Parametros!$B$6*Parametros!$B$17)^(1/Parametros!$B$7)*EXP(-Parametros!$B$8*(B45-Parametros!$B$17)))</f>
        <v>318.502933275691</v>
      </c>
      <c r="E45" s="12" t="n">
        <f aca="false">D45*30.4*IF(B45&lt;Parametros!$B$15,1,0)</f>
        <v>9682.48917158102</v>
      </c>
      <c r="F45" s="12" t="n">
        <f aca="false">C45*30.4*IF(B45&lt;Parametros!$B$15,1,0)</f>
        <v>9682.48917158102</v>
      </c>
      <c r="G45" s="12" t="n">
        <f aca="false">(E45*(Parametros!$B$9*(1-Parametros!$B$10)-Parametros!$B$11)-Parametros!$B$12*IF(B45&lt;Parametros!$B$15,1,0))/(1+Parametros!$B$14)^B45</f>
        <v>309160.398051427</v>
      </c>
    </row>
    <row r="46" customFormat="false" ht="15" hidden="false" customHeight="false" outlineLevel="0" collapsed="false">
      <c r="A46" s="0" t="n">
        <v>42</v>
      </c>
      <c r="B46" s="10" t="n">
        <f aca="false">(A46-1)/12</f>
        <v>3.41666666666667</v>
      </c>
      <c r="C46" s="11" t="n">
        <f aca="false">Parametros!$B$5/(1+Parametros!$B$7*Parametros!$B$6*B46)^(1/Parametros!$B$7)</f>
        <v>314.379845517229</v>
      </c>
      <c r="D46" s="11" t="n">
        <f aca="false">IF(B46&lt;=Parametros!$B$17,C46,Parametros!$B$5/(1+Parametros!$B$7*Parametros!$B$6*Parametros!$B$17)^(1/Parametros!$B$7)*EXP(-Parametros!$B$8*(B46-Parametros!$B$17)))</f>
        <v>314.379845517229</v>
      </c>
      <c r="E46" s="12" t="n">
        <f aca="false">D46*30.4*IF(B46&lt;Parametros!$B$15,1,0)</f>
        <v>9557.14730372375</v>
      </c>
      <c r="F46" s="12" t="n">
        <f aca="false">C46*30.4*IF(B46&lt;Parametros!$B$15,1,0)</f>
        <v>9557.14730372375</v>
      </c>
      <c r="G46" s="12" t="n">
        <f aca="false">(E46*(Parametros!$B$9*(1-Parametros!$B$10)-Parametros!$B$11)-Parametros!$B$12*IF(B46&lt;Parametros!$B$15,1,0))/(1+Parametros!$B$14)^B46</f>
        <v>302660.001897306</v>
      </c>
    </row>
    <row r="47" customFormat="false" ht="15" hidden="false" customHeight="false" outlineLevel="0" collapsed="false">
      <c r="A47" s="0" t="n">
        <v>43</v>
      </c>
      <c r="B47" s="10" t="n">
        <f aca="false">(A47-1)/12</f>
        <v>3.5</v>
      </c>
      <c r="C47" s="11" t="n">
        <f aca="false">Parametros!$B$5/(1+Parametros!$B$7*Parametros!$B$6*B47)^(1/Parametros!$B$7)</f>
        <v>310.387653008616</v>
      </c>
      <c r="D47" s="11" t="n">
        <f aca="false">IF(B47&lt;=Parametros!$B$17,C47,Parametros!$B$5/(1+Parametros!$B$7*Parametros!$B$6*Parametros!$B$17)^(1/Parametros!$B$7)*EXP(-Parametros!$B$8*(B47-Parametros!$B$17)))</f>
        <v>310.387653008616</v>
      </c>
      <c r="E47" s="12" t="n">
        <f aca="false">D47*30.4*IF(B47&lt;Parametros!$B$15,1,0)</f>
        <v>9435.78465146194</v>
      </c>
      <c r="F47" s="12" t="n">
        <f aca="false">C47*30.4*IF(B47&lt;Parametros!$B$15,1,0)</f>
        <v>9435.78465146194</v>
      </c>
      <c r="G47" s="12" t="n">
        <f aca="false">(E47*(Parametros!$B$9*(1-Parametros!$B$10)-Parametros!$B$11)-Parametros!$B$12*IF(B47&lt;Parametros!$B$15,1,0))/(1+Parametros!$B$14)^B47</f>
        <v>296370.809995734</v>
      </c>
    </row>
    <row r="48" customFormat="false" ht="15" hidden="false" customHeight="false" outlineLevel="0" collapsed="false">
      <c r="A48" s="0" t="n">
        <v>44</v>
      </c>
      <c r="B48" s="10" t="n">
        <f aca="false">(A48-1)/12</f>
        <v>3.58333333333333</v>
      </c>
      <c r="C48" s="11" t="n">
        <f aca="false">Parametros!$B$5/(1+Parametros!$B$7*Parametros!$B$6*B48)^(1/Parametros!$B$7)</f>
        <v>306.519831137857</v>
      </c>
      <c r="D48" s="11" t="n">
        <f aca="false">IF(B48&lt;=Parametros!$B$17,C48,Parametros!$B$5/(1+Parametros!$B$7*Parametros!$B$6*Parametros!$B$17)^(1/Parametros!$B$7)*EXP(-Parametros!$B$8*(B48-Parametros!$B$17)))</f>
        <v>306.519831137857</v>
      </c>
      <c r="E48" s="12" t="n">
        <f aca="false">D48*30.4*IF(B48&lt;Parametros!$B$15,1,0)</f>
        <v>9318.20286659084</v>
      </c>
      <c r="F48" s="12" t="n">
        <f aca="false">C48*30.4*IF(B48&lt;Parametros!$B$15,1,0)</f>
        <v>9318.20286659084</v>
      </c>
      <c r="G48" s="12" t="n">
        <f aca="false">(E48*(Parametros!$B$9*(1-Parametros!$B$10)-Parametros!$B$11)-Parametros!$B$12*IF(B48&lt;Parametros!$B$15,1,0))/(1+Parametros!$B$14)^B48</f>
        <v>290282.56207664</v>
      </c>
    </row>
    <row r="49" customFormat="false" ht="15" hidden="false" customHeight="false" outlineLevel="0" collapsed="false">
      <c r="A49" s="0" t="n">
        <v>45</v>
      </c>
      <c r="B49" s="10" t="n">
        <f aca="false">(A49-1)/12</f>
        <v>3.66666666666667</v>
      </c>
      <c r="C49" s="11" t="n">
        <f aca="false">Parametros!$B$5/(1+Parametros!$B$7*Parametros!$B$6*B49)^(1/Parametros!$B$7)</f>
        <v>302.770294277508</v>
      </c>
      <c r="D49" s="11" t="n">
        <f aca="false">IF(B49&lt;=Parametros!$B$17,C49,Parametros!$B$5/(1+Parametros!$B$7*Parametros!$B$6*Parametros!$B$17)^(1/Parametros!$B$7)*EXP(-Parametros!$B$8*(B49-Parametros!$B$17)))</f>
        <v>302.770294277508</v>
      </c>
      <c r="E49" s="12" t="n">
        <f aca="false">D49*30.4*IF(B49&lt;Parametros!$B$15,1,0)</f>
        <v>9204.21694603625</v>
      </c>
      <c r="F49" s="12" t="n">
        <f aca="false">C49*30.4*IF(B49&lt;Parametros!$B$15,1,0)</f>
        <v>9204.21694603625</v>
      </c>
      <c r="G49" s="12" t="n">
        <f aca="false">(E49*(Parametros!$B$9*(1-Parametros!$B$10)-Parametros!$B$11)-Parametros!$B$12*IF(B49&lt;Parametros!$B$15,1,0))/(1+Parametros!$B$14)^B49</f>
        <v>284385.676431141</v>
      </c>
    </row>
    <row r="50" customFormat="false" ht="15" hidden="false" customHeight="false" outlineLevel="0" collapsed="false">
      <c r="A50" s="0" t="n">
        <v>46</v>
      </c>
      <c r="B50" s="10" t="n">
        <f aca="false">(A50-1)/12</f>
        <v>3.75</v>
      </c>
      <c r="C50" s="11" t="n">
        <f aca="false">Parametros!$B$5/(1+Parametros!$B$7*Parametros!$B$6*B50)^(1/Parametros!$B$7)</f>
        <v>299.1333588711</v>
      </c>
      <c r="D50" s="11" t="n">
        <f aca="false">IF(B50&lt;=Parametros!$B$17,C50,Parametros!$B$5/(1+Parametros!$B$7*Parametros!$B$6*Parametros!$B$17)^(1/Parametros!$B$7)*EXP(-Parametros!$B$8*(B50-Parametros!$B$17)))</f>
        <v>299.1333588711</v>
      </c>
      <c r="E50" s="12" t="n">
        <f aca="false">D50*30.4*IF(B50&lt;Parametros!$B$15,1,0)</f>
        <v>9093.65410968145</v>
      </c>
      <c r="F50" s="12" t="n">
        <f aca="false">C50*30.4*IF(B50&lt;Parametros!$B$15,1,0)</f>
        <v>9093.65410968145</v>
      </c>
      <c r="G50" s="12" t="n">
        <f aca="false">(E50*(Parametros!$B$9*(1-Parametros!$B$10)-Parametros!$B$11)-Parametros!$B$12*IF(B50&lt;Parametros!$B$15,1,0))/(1+Parametros!$B$14)^B50</f>
        <v>278671.193398884</v>
      </c>
    </row>
    <row r="51" customFormat="false" ht="15" hidden="false" customHeight="false" outlineLevel="0" collapsed="false">
      <c r="A51" s="0" t="n">
        <v>47</v>
      </c>
      <c r="B51" s="10" t="n">
        <f aca="false">(A51-1)/12</f>
        <v>3.83333333333333</v>
      </c>
      <c r="C51" s="11" t="n">
        <f aca="false">Parametros!$B$5/(1+Parametros!$B$7*Parametros!$B$6*B51)^(1/Parametros!$B$7)</f>
        <v>295.603710222024</v>
      </c>
      <c r="D51" s="11" t="n">
        <f aca="false">IF(B51&lt;=Parametros!$B$17,C51,Parametros!$B$5/(1+Parametros!$B$7*Parametros!$B$6*Parametros!$B$17)^(1/Parametros!$B$7)*EXP(-Parametros!$B$8*(B51-Parametros!$B$17)))</f>
        <v>295.603710222024</v>
      </c>
      <c r="E51" s="12" t="n">
        <f aca="false">D51*30.4*IF(B51&lt;Parametros!$B$15,1,0)</f>
        <v>8986.35279074951</v>
      </c>
      <c r="F51" s="12" t="n">
        <f aca="false">C51*30.4*IF(B51&lt;Parametros!$B$15,1,0)</f>
        <v>8986.35279074951</v>
      </c>
      <c r="G51" s="12" t="n">
        <f aca="false">(E51*(Parametros!$B$9*(1-Parametros!$B$10)-Parametros!$B$11)-Parametros!$B$12*IF(B51&lt;Parametros!$B$15,1,0))/(1+Parametros!$B$14)^B51</f>
        <v>273130.724490376</v>
      </c>
    </row>
    <row r="52" customFormat="false" ht="15" hidden="false" customHeight="false" outlineLevel="0" collapsed="false">
      <c r="A52" s="0" t="n">
        <v>48</v>
      </c>
      <c r="B52" s="10" t="n">
        <f aca="false">(A52-1)/12</f>
        <v>3.91666666666667</v>
      </c>
      <c r="C52" s="11" t="n">
        <f aca="false">Parametros!$B$5/(1+Parametros!$B$7*Parametros!$B$6*B52)^(1/Parametros!$B$7)</f>
        <v>292.176372555588</v>
      </c>
      <c r="D52" s="11" t="n">
        <f aca="false">IF(B52&lt;=Parametros!$B$17,C52,Parametros!$B$5/(1+Parametros!$B$7*Parametros!$B$6*Parametros!$B$17)^(1/Parametros!$B$7)*EXP(-Parametros!$B$8*(B52-Parametros!$B$17)))</f>
        <v>292.176372555588</v>
      </c>
      <c r="E52" s="12" t="n">
        <f aca="false">D52*30.4*IF(B52&lt;Parametros!$B$15,1,0)</f>
        <v>8882.16172568988</v>
      </c>
      <c r="F52" s="12" t="n">
        <f aca="false">C52*30.4*IF(B52&lt;Parametros!$B$15,1,0)</f>
        <v>8882.16172568988</v>
      </c>
      <c r="G52" s="12" t="n">
        <f aca="false">(E52*(Parametros!$B$9*(1-Parametros!$B$10)-Parametros!$B$11)-Parametros!$B$12*IF(B52&lt;Parametros!$B$15,1,0))/(1+Parametros!$B$14)^B52</f>
        <v>267756.406493507</v>
      </c>
    </row>
    <row r="53" customFormat="false" ht="15" hidden="false" customHeight="false" outlineLevel="0" collapsed="false">
      <c r="A53" s="0" t="n">
        <v>49</v>
      </c>
      <c r="B53" s="10" t="n">
        <f aca="false">(A53-1)/12</f>
        <v>4</v>
      </c>
      <c r="C53" s="11" t="n">
        <f aca="false">Parametros!$B$5/(1+Parametros!$B$7*Parametros!$B$6*B53)^(1/Parametros!$B$7)</f>
        <v>288.846681981223</v>
      </c>
      <c r="D53" s="11" t="n">
        <f aca="false">IF(B53&lt;=Parametros!$B$17,C53,Parametros!$B$5/(1+Parametros!$B$7*Parametros!$B$6*Parametros!$B$17)^(1/Parametros!$B$7)*EXP(-Parametros!$B$8*(B53-Parametros!$B$17)))</f>
        <v>288.846681981223</v>
      </c>
      <c r="E53" s="12" t="n">
        <f aca="false">D53*30.4*IF(B53&lt;Parametros!$B$15,1,0)</f>
        <v>8780.93913222919</v>
      </c>
      <c r="F53" s="12" t="n">
        <f aca="false">C53*30.4*IF(B53&lt;Parametros!$B$15,1,0)</f>
        <v>8780.93913222919</v>
      </c>
      <c r="G53" s="12" t="n">
        <f aca="false">(E53*(Parametros!$B$9*(1-Parametros!$B$10)-Parametros!$B$11)-Parametros!$B$12*IF(B53&lt;Parametros!$B$15,1,0))/(1+Parametros!$B$14)^B53</f>
        <v>262540.859998544</v>
      </c>
    </row>
    <row r="54" customFormat="false" ht="15" hidden="false" customHeight="false" outlineLevel="0" collapsed="false">
      <c r="A54" s="0" t="n">
        <v>50</v>
      </c>
      <c r="B54" s="10" t="n">
        <f aca="false">(A54-1)/12</f>
        <v>4.08333333333333</v>
      </c>
      <c r="C54" s="11" t="n">
        <f aca="false">Parametros!$B$5/(1+Parametros!$B$7*Parametros!$B$6*B54)^(1/Parametros!$B$7)</f>
        <v>285.610262029845</v>
      </c>
      <c r="D54" s="11" t="n">
        <f aca="false">IF(B54&lt;=Parametros!$B$17,C54,Parametros!$B$5/(1+Parametros!$B$7*Parametros!$B$6*Parametros!$B$17)^(1/Parametros!$B$7)*EXP(-Parametros!$B$8*(B54-Parametros!$B$17)))</f>
        <v>285.610262029845</v>
      </c>
      <c r="E54" s="12" t="n">
        <f aca="false">D54*30.4*IF(B54&lt;Parametros!$B$15,1,0)</f>
        <v>8682.5519657073</v>
      </c>
      <c r="F54" s="12" t="n">
        <f aca="false">C54*30.4*IF(B54&lt;Parametros!$B$15,1,0)</f>
        <v>8682.5519657073</v>
      </c>
      <c r="G54" s="12" t="n">
        <f aca="false">(E54*(Parametros!$B$9*(1-Parametros!$B$10)-Parametros!$B$11)-Parametros!$B$12*IF(B54&lt;Parametros!$B$15,1,0))/(1+Parametros!$B$14)^B54</f>
        <v>257477.151848547</v>
      </c>
    </row>
    <row r="55" customFormat="false" ht="15" hidden="false" customHeight="false" outlineLevel="0" collapsed="false">
      <c r="A55" s="0" t="n">
        <v>51</v>
      </c>
      <c r="B55" s="10" t="n">
        <f aca="false">(A55-1)/12</f>
        <v>4.16666666666667</v>
      </c>
      <c r="C55" s="11" t="n">
        <f aca="false">Parametros!$B$5/(1+Parametros!$B$7*Parametros!$B$6*B55)^(1/Parametros!$B$7)</f>
        <v>282.463001482611</v>
      </c>
      <c r="D55" s="11" t="n">
        <f aca="false">IF(B55&lt;=Parametros!$B$17,C55,Parametros!$B$5/(1+Parametros!$B$7*Parametros!$B$6*Parametros!$B$17)^(1/Parametros!$B$7)*EXP(-Parametros!$B$8*(B55-Parametros!$B$17)))</f>
        <v>282.463001482611</v>
      </c>
      <c r="E55" s="12" t="n">
        <f aca="false">D55*30.4*IF(B55&lt;Parametros!$B$15,1,0)</f>
        <v>8586.87524507138</v>
      </c>
      <c r="F55" s="12" t="n">
        <f aca="false">C55*30.4*IF(B55&lt;Parametros!$B$15,1,0)</f>
        <v>8586.87524507138</v>
      </c>
      <c r="G55" s="12" t="n">
        <f aca="false">(E55*(Parametros!$B$9*(1-Parametros!$B$10)-Parametros!$B$11)-Parametros!$B$12*IF(B55&lt;Parametros!$B$15,1,0))/(1+Parametros!$B$14)^B55</f>
        <v>252558.761084459</v>
      </c>
    </row>
    <row r="56" customFormat="false" ht="15" hidden="false" customHeight="false" outlineLevel="0" collapsed="false">
      <c r="A56" s="0" t="n">
        <v>52</v>
      </c>
      <c r="B56" s="10" t="n">
        <f aca="false">(A56-1)/12</f>
        <v>4.25</v>
      </c>
      <c r="C56" s="11" t="n">
        <f aca="false">Parametros!$B$5/(1+Parametros!$B$7*Parametros!$B$6*B56)^(1/Parametros!$B$7)</f>
        <v>279.401034242659</v>
      </c>
      <c r="D56" s="11" t="n">
        <f aca="false">IF(B56&lt;=Parametros!$B$17,C56,Parametros!$B$5/(1+Parametros!$B$7*Parametros!$B$6*Parametros!$B$17)^(1/Parametros!$B$7)*EXP(-Parametros!$B$8*(B56-Parametros!$B$17)))</f>
        <v>279.401034242659</v>
      </c>
      <c r="E56" s="12" t="n">
        <f aca="false">D56*30.4*IF(B56&lt;Parametros!$B$15,1,0)</f>
        <v>8493.79144097683</v>
      </c>
      <c r="F56" s="12" t="n">
        <f aca="false">C56*30.4*IF(B56&lt;Parametros!$B$15,1,0)</f>
        <v>8493.79144097683</v>
      </c>
      <c r="G56" s="12" t="n">
        <f aca="false">(E56*(Parametros!$B$9*(1-Parametros!$B$10)-Parametros!$B$11)-Parametros!$B$12*IF(B56&lt;Parametros!$B$15,1,0))/(1+Parametros!$B$14)^B56</f>
        <v>247779.548007656</v>
      </c>
    </row>
    <row r="57" customFormat="false" ht="15" hidden="false" customHeight="false" outlineLevel="0" collapsed="false">
      <c r="A57" s="0" t="n">
        <v>53</v>
      </c>
      <c r="B57" s="10" t="n">
        <f aca="false">(A57-1)/12</f>
        <v>4.33333333333333</v>
      </c>
      <c r="C57" s="11" t="n">
        <f aca="false">Parametros!$B$5/(1+Parametros!$B$7*Parametros!$B$6*B57)^(1/Parametros!$B$7)</f>
        <v>276.4207210319</v>
      </c>
      <c r="D57" s="11" t="n">
        <f aca="false">IF(B57&lt;=Parametros!$B$17,C57,Parametros!$B$5/(1+Parametros!$B$7*Parametros!$B$6*Parametros!$B$17)^(1/Parametros!$B$7)*EXP(-Parametros!$B$8*(B57-Parametros!$B$17)))</f>
        <v>276.4207210319</v>
      </c>
      <c r="E57" s="12" t="n">
        <f aca="false">D57*30.4*IF(B57&lt;Parametros!$B$15,1,0)</f>
        <v>8403.18991936976</v>
      </c>
      <c r="F57" s="12" t="n">
        <f aca="false">C57*30.4*IF(B57&lt;Parametros!$B$15,1,0)</f>
        <v>8403.18991936976</v>
      </c>
      <c r="G57" s="12" t="n">
        <f aca="false">(E57*(Parametros!$B$9*(1-Parametros!$B$10)-Parametros!$B$11)-Parametros!$B$12*IF(B57&lt;Parametros!$B$15,1,0))/(1+Parametros!$B$14)^B57</f>
        <v>243133.726028877</v>
      </c>
    </row>
    <row r="58" customFormat="false" ht="15" hidden="false" customHeight="false" outlineLevel="0" collapsed="false">
      <c r="A58" s="0" t="n">
        <v>54</v>
      </c>
      <c r="B58" s="10" t="n">
        <f aca="false">(A58-1)/12</f>
        <v>4.41666666666667</v>
      </c>
      <c r="C58" s="11" t="n">
        <f aca="false">Parametros!$B$5/(1+Parametros!$B$7*Parametros!$B$6*B58)^(1/Parametros!$B$7)</f>
        <v>273.518632721247</v>
      </c>
      <c r="D58" s="11" t="n">
        <f aca="false">IF(B58&lt;=Parametros!$B$17,C58,Parametros!$B$5/(1+Parametros!$B$7*Parametros!$B$6*Parametros!$B$17)^(1/Parametros!$B$7)*EXP(-Parametros!$B$8*(B58-Parametros!$B$17)))</f>
        <v>273.518632721247</v>
      </c>
      <c r="E58" s="12" t="n">
        <f aca="false">D58*30.4*IF(B58&lt;Parametros!$B$15,1,0)</f>
        <v>8314.9664347259</v>
      </c>
      <c r="F58" s="12" t="n">
        <f aca="false">C58*30.4*IF(B58&lt;Parametros!$B$15,1,0)</f>
        <v>8314.9664347259</v>
      </c>
      <c r="G58" s="12" t="n">
        <f aca="false">(E58*(Parametros!$B$9*(1-Parametros!$B$10)-Parametros!$B$11)-Parametros!$B$12*IF(B58&lt;Parametros!$B$15,1,0))/(1+Parametros!$B$14)^B58</f>
        <v>238615.8360123</v>
      </c>
    </row>
    <row r="59" customFormat="false" ht="15" hidden="false" customHeight="false" outlineLevel="0" collapsed="false">
      <c r="A59" s="0" t="n">
        <v>55</v>
      </c>
      <c r="B59" s="10" t="n">
        <f aca="false">(A59-1)/12</f>
        <v>4.5</v>
      </c>
      <c r="C59" s="11" t="n">
        <f aca="false">Parametros!$B$5/(1+Parametros!$B$7*Parametros!$B$6*B59)^(1/Parametros!$B$7)</f>
        <v>270.691535125436</v>
      </c>
      <c r="D59" s="11" t="n">
        <f aca="false">IF(B59&lt;=Parametros!$B$17,C59,Parametros!$B$5/(1+Parametros!$B$7*Parametros!$B$6*Parametros!$B$17)^(1/Parametros!$B$7)*EXP(-Parametros!$B$8*(B59-Parametros!$B$17)))</f>
        <v>270.691535125436</v>
      </c>
      <c r="E59" s="12" t="n">
        <f aca="false">D59*30.4*IF(B59&lt;Parametros!$B$15,1,0)</f>
        <v>8229.02266781324</v>
      </c>
      <c r="F59" s="12" t="n">
        <f aca="false">C59*30.4*IF(B59&lt;Parametros!$B$15,1,0)</f>
        <v>8229.02266781324</v>
      </c>
      <c r="G59" s="12" t="n">
        <f aca="false">(E59*(Parametros!$B$9*(1-Parametros!$B$10)-Parametros!$B$11)-Parametros!$B$12*IF(B59&lt;Parametros!$B$15,1,0))/(1+Parametros!$B$14)^B59</f>
        <v>234220.722858037</v>
      </c>
    </row>
    <row r="60" customFormat="false" ht="15" hidden="false" customHeight="false" outlineLevel="0" collapsed="false">
      <c r="A60" s="0" t="n">
        <v>56</v>
      </c>
      <c r="B60" s="10" t="n">
        <f aca="false">(A60-1)/12</f>
        <v>4.58333333333333</v>
      </c>
      <c r="C60" s="11" t="n">
        <f aca="false">Parametros!$B$5/(1+Parametros!$B$7*Parametros!$B$6*B60)^(1/Parametros!$B$7)</f>
        <v>267.936375113373</v>
      </c>
      <c r="D60" s="11" t="n">
        <f aca="false">IF(B60&lt;=Parametros!$B$17,C60,Parametros!$B$5/(1+Parametros!$B$7*Parametros!$B$6*Parametros!$B$17)^(1/Parametros!$B$7)*EXP(-Parametros!$B$8*(B60-Parametros!$B$17)))</f>
        <v>267.936375113373</v>
      </c>
      <c r="E60" s="12" t="n">
        <f aca="false">D60*30.4*IF(B60&lt;Parametros!$B$15,1,0)</f>
        <v>8145.26580344653</v>
      </c>
      <c r="F60" s="12" t="n">
        <f aca="false">C60*30.4*IF(B60&lt;Parametros!$B$15,1,0)</f>
        <v>8145.26580344653</v>
      </c>
      <c r="G60" s="12" t="n">
        <f aca="false">(E60*(Parametros!$B$9*(1-Parametros!$B$10)-Parametros!$B$11)-Parametros!$B$12*IF(B60&lt;Parametros!$B$15,1,0))/(1+Parametros!$B$14)^B60</f>
        <v>229943.514096276</v>
      </c>
    </row>
    <row r="61" customFormat="false" ht="15" hidden="false" customHeight="false" outlineLevel="0" collapsed="false">
      <c r="A61" s="0" t="n">
        <v>57</v>
      </c>
      <c r="B61" s="10" t="n">
        <f aca="false">(A61-1)/12</f>
        <v>4.66666666666667</v>
      </c>
      <c r="C61" s="11" t="n">
        <f aca="false">Parametros!$B$5/(1+Parametros!$B$7*Parametros!$B$6*B61)^(1/Parametros!$B$7)</f>
        <v>265.250267902108</v>
      </c>
      <c r="D61" s="11" t="n">
        <f aca="false">IF(B61&lt;=Parametros!$B$17,C61,Parametros!$B$5/(1+Parametros!$B$7*Parametros!$B$6*Parametros!$B$17)^(1/Parametros!$B$7)*EXP(-Parametros!$B$8*(B61-Parametros!$B$17)))</f>
        <v>265.250267902108</v>
      </c>
      <c r="E61" s="12" t="n">
        <f aca="false">D61*30.4*IF(B61&lt;Parametros!$B$15,1,0)</f>
        <v>8063.60814422408</v>
      </c>
      <c r="F61" s="12" t="n">
        <f aca="false">C61*30.4*IF(B61&lt;Parametros!$B$15,1,0)</f>
        <v>8063.60814422408</v>
      </c>
      <c r="G61" s="12" t="n">
        <f aca="false">(E61*(Parametros!$B$9*(1-Parametros!$B$10)-Parametros!$B$11)-Parametros!$B$12*IF(B61&lt;Parametros!$B$15,1,0))/(1+Parametros!$B$14)^B61</f>
        <v>225779.600292344</v>
      </c>
    </row>
    <row r="62" customFormat="false" ht="15" hidden="false" customHeight="false" outlineLevel="0" collapsed="false">
      <c r="A62" s="0" t="n">
        <v>58</v>
      </c>
      <c r="B62" s="10" t="n">
        <f aca="false">(A62-1)/12</f>
        <v>4.75</v>
      </c>
      <c r="C62" s="11" t="n">
        <f aca="false">Parametros!$B$5/(1+Parametros!$B$7*Parametros!$B$6*B62)^(1/Parametros!$B$7)</f>
        <v>262.630485417534</v>
      </c>
      <c r="D62" s="11" t="n">
        <f aca="false">IF(B62&lt;=Parametros!$B$17,C62,Parametros!$B$5/(1+Parametros!$B$7*Parametros!$B$6*Parametros!$B$17)^(1/Parametros!$B$7)*EXP(-Parametros!$B$8*(B62-Parametros!$B$17)))</f>
        <v>262.630485417534</v>
      </c>
      <c r="E62" s="12" t="n">
        <f aca="false">D62*30.4*IF(B62&lt;Parametros!$B$15,1,0)</f>
        <v>7983.96675669304</v>
      </c>
      <c r="F62" s="12" t="n">
        <f aca="false">C62*30.4*IF(B62&lt;Parametros!$B$15,1,0)</f>
        <v>7983.96675669304</v>
      </c>
      <c r="G62" s="12" t="n">
        <f aca="false">(E62*(Parametros!$B$9*(1-Parametros!$B$10)-Parametros!$B$11)-Parametros!$B$12*IF(B62&lt;Parametros!$B$15,1,0))/(1+Parametros!$B$14)^B62</f>
        <v>221724.61708471</v>
      </c>
    </row>
    <row r="63" customFormat="false" ht="15" hidden="false" customHeight="false" outlineLevel="0" collapsed="false">
      <c r="A63" s="0" t="n">
        <v>59</v>
      </c>
      <c r="B63" s="10" t="n">
        <f aca="false">(A63-1)/12</f>
        <v>4.83333333333333</v>
      </c>
      <c r="C63" s="11" t="n">
        <f aca="false">Parametros!$B$5/(1+Parametros!$B$7*Parametros!$B$6*B63)^(1/Parametros!$B$7)</f>
        <v>260.074445617989</v>
      </c>
      <c r="D63" s="11" t="n">
        <f aca="false">IF(B63&lt;=Parametros!$B$17,C63,Parametros!$B$5/(1+Parametros!$B$7*Parametros!$B$6*Parametros!$B$17)^(1/Parametros!$B$7)*EXP(-Parametros!$B$8*(B63-Parametros!$B$17)))</f>
        <v>260.074445617989</v>
      </c>
      <c r="E63" s="12" t="n">
        <f aca="false">D63*30.4*IF(B63&lt;Parametros!$B$15,1,0)</f>
        <v>7906.26314678687</v>
      </c>
      <c r="F63" s="12" t="n">
        <f aca="false">C63*30.4*IF(B63&lt;Parametros!$B$15,1,0)</f>
        <v>7906.26314678687</v>
      </c>
      <c r="G63" s="12" t="n">
        <f aca="false">(E63*(Parametros!$B$9*(1-Parametros!$B$10)-Parametros!$B$11)-Parametros!$B$12*IF(B63&lt;Parametros!$B$15,1,0))/(1+Parametros!$B$14)^B63</f>
        <v>217774.428697761</v>
      </c>
    </row>
    <row r="64" customFormat="false" ht="15" hidden="false" customHeight="false" outlineLevel="0" collapsed="false">
      <c r="A64" s="0" t="n">
        <v>60</v>
      </c>
      <c r="B64" s="10" t="n">
        <f aca="false">(A64-1)/12</f>
        <v>4.91666666666667</v>
      </c>
      <c r="C64" s="11" t="n">
        <f aca="false">Parametros!$B$5/(1+Parametros!$B$7*Parametros!$B$6*B64)^(1/Parametros!$B$7)</f>
        <v>257.579702688387</v>
      </c>
      <c r="D64" s="11" t="n">
        <f aca="false">IF(B64&lt;=Parametros!$B$17,C64,Parametros!$B$5/(1+Parametros!$B$7*Parametros!$B$6*Parametros!$B$17)^(1/Parametros!$B$7)*EXP(-Parametros!$B$8*(B64-Parametros!$B$17)))</f>
        <v>257.579702688387</v>
      </c>
      <c r="E64" s="12" t="n">
        <f aca="false">D64*30.4*IF(B64&lt;Parametros!$B$15,1,0)</f>
        <v>7830.42296172697</v>
      </c>
      <c r="F64" s="12" t="n">
        <f aca="false">C64*30.4*IF(B64&lt;Parametros!$B$15,1,0)</f>
        <v>7830.42296172697</v>
      </c>
      <c r="G64" s="12" t="n">
        <f aca="false">(E64*(Parametros!$B$9*(1-Parametros!$B$10)-Parametros!$B$11)-Parametros!$B$12*IF(B64&lt;Parametros!$B$15,1,0))/(1+Parametros!$B$14)^B64</f>
        <v>213925.112788619</v>
      </c>
    </row>
    <row r="65" customFormat="false" ht="15" hidden="false" customHeight="false" outlineLevel="0" collapsed="false">
      <c r="A65" s="0" t="n">
        <v>61</v>
      </c>
      <c r="B65" s="10" t="n">
        <f aca="false">(A65-1)/12</f>
        <v>5</v>
      </c>
      <c r="C65" s="11" t="n">
        <f aca="false">Parametros!$B$5/(1+Parametros!$B$7*Parametros!$B$6*B65)^(1/Parametros!$B$7)</f>
        <v>255.143938022563</v>
      </c>
      <c r="D65" s="11" t="n">
        <f aca="false">IF(B65&lt;=Parametros!$B$17,C65,Parametros!$B$5/(1+Parametros!$B$7*Parametros!$B$6*Parametros!$B$17)^(1/Parametros!$B$7)*EXP(-Parametros!$B$8*(B65-Parametros!$B$17)))</f>
        <v>255.143938022563</v>
      </c>
      <c r="E65" s="12" t="n">
        <f aca="false">D65*30.4*IF(B65&lt;Parametros!$B$15,1,0)</f>
        <v>7756.37571588593</v>
      </c>
      <c r="F65" s="12" t="n">
        <f aca="false">C65*30.4*IF(B65&lt;Parametros!$B$15,1,0)</f>
        <v>7756.37571588593</v>
      </c>
      <c r="G65" s="12" t="n">
        <f aca="false">(E65*(Parametros!$B$9*(1-Parametros!$B$10)-Parametros!$B$11)-Parametros!$B$12*IF(B65&lt;Parametros!$B$15,1,0))/(1+Parametros!$B$14)^B65</f>
        <v>210172.946502468</v>
      </c>
    </row>
    <row r="66" customFormat="false" ht="15" hidden="false" customHeight="false" outlineLevel="0" collapsed="false">
      <c r="A66" s="0" t="n">
        <v>62</v>
      </c>
      <c r="B66" s="10" t="n">
        <f aca="false">(A66-1)/12</f>
        <v>5.08333333333333</v>
      </c>
      <c r="C66" s="11" t="n">
        <f aca="false">Parametros!$B$5/(1+Parametros!$B$7*Parametros!$B$6*B66)^(1/Parametros!$B$7)</f>
        <v>252.764951920328</v>
      </c>
      <c r="D66" s="11" t="n">
        <f aca="false">IF(B66&lt;=Parametros!$B$17,C66,Parametros!$B$5/(1+Parametros!$B$7*Parametros!$B$6*Parametros!$B$17)^(1/Parametros!$B$7)*EXP(-Parametros!$B$8*(B66-Parametros!$B$17)))</f>
        <v>252.764951920328</v>
      </c>
      <c r="E66" s="12" t="n">
        <f aca="false">D66*30.4*IF(B66&lt;Parametros!$B$15,1,0)</f>
        <v>7684.05453837797</v>
      </c>
      <c r="F66" s="12" t="n">
        <f aca="false">C66*30.4*IF(B66&lt;Parametros!$B$15,1,0)</f>
        <v>7684.05453837797</v>
      </c>
      <c r="G66" s="12" t="n">
        <f aca="false">(E66*(Parametros!$B$9*(1-Parametros!$B$10)-Parametros!$B$11)-Parametros!$B$12*IF(B66&lt;Parametros!$B$15,1,0))/(1+Parametros!$B$14)^B66</f>
        <v>206514.393624308</v>
      </c>
    </row>
    <row r="67" customFormat="false" ht="15" hidden="false" customHeight="false" outlineLevel="0" collapsed="false">
      <c r="A67" s="0" t="n">
        <v>63</v>
      </c>
      <c r="B67" s="10" t="n">
        <f aca="false">(A67-1)/12</f>
        <v>5.16666666666667</v>
      </c>
      <c r="C67" s="11" t="n">
        <f aca="false">Parametros!$B$5/(1+Parametros!$B$7*Parametros!$B$6*B67)^(1/Parametros!$B$7)</f>
        <v>250.440655933512</v>
      </c>
      <c r="D67" s="11" t="n">
        <f aca="false">IF(B67&lt;=Parametros!$B$17,C67,Parametros!$B$5/(1+Parametros!$B$7*Parametros!$B$6*Parametros!$B$17)^(1/Parametros!$B$7)*EXP(-Parametros!$B$8*(B67-Parametros!$B$17)))</f>
        <v>250.440655933512</v>
      </c>
      <c r="E67" s="12" t="n">
        <f aca="false">D67*30.4*IF(B67&lt;Parametros!$B$15,1,0)</f>
        <v>7613.39594037877</v>
      </c>
      <c r="F67" s="12" t="n">
        <f aca="false">C67*30.4*IF(B67&lt;Parametros!$B$15,1,0)</f>
        <v>7613.39594037877</v>
      </c>
      <c r="G67" s="12" t="n">
        <f aca="false">(E67*(Parametros!$B$9*(1-Parametros!$B$10)-Parametros!$B$11)-Parametros!$B$12*IF(B67&lt;Parametros!$B$15,1,0))/(1+Parametros!$B$14)^B67</f>
        <v>202946.092726838</v>
      </c>
    </row>
    <row r="68" customFormat="false" ht="15" hidden="false" customHeight="false" outlineLevel="0" collapsed="false">
      <c r="A68" s="0" t="n">
        <v>64</v>
      </c>
      <c r="B68" s="10" t="n">
        <f aca="false">(A68-1)/12</f>
        <v>5.25</v>
      </c>
      <c r="C68" s="11" t="n">
        <f aca="false">Parametros!$B$5/(1+Parametros!$B$7*Parametros!$B$6*B68)^(1/Parametros!$B$7)</f>
        <v>248.169065802134</v>
      </c>
      <c r="D68" s="11" t="n">
        <f aca="false">IF(B68&lt;=Parametros!$B$17,C68,Parametros!$B$5/(1+Parametros!$B$7*Parametros!$B$6*Parametros!$B$17)^(1/Parametros!$B$7)*EXP(-Parametros!$B$8*(B68-Parametros!$B$17)))</f>
        <v>248.169065802134</v>
      </c>
      <c r="E68" s="12" t="n">
        <f aca="false">D68*30.4*IF(B68&lt;Parametros!$B$15,1,0)</f>
        <v>7544.33960038487</v>
      </c>
      <c r="F68" s="12" t="n">
        <f aca="false">C68*30.4*IF(B68&lt;Parametros!$B$15,1,0)</f>
        <v>7544.33960038487</v>
      </c>
      <c r="G68" s="12" t="n">
        <f aca="false">(E68*(Parametros!$B$9*(1-Parametros!$B$10)-Parametros!$B$11)-Parametros!$B$12*IF(B68&lt;Parametros!$B$15,1,0))/(1+Parametros!$B$14)^B68</f>
        <v>199464.84622461</v>
      </c>
    </row>
    <row r="69" customFormat="false" ht="15" hidden="false" customHeight="false" outlineLevel="0" collapsed="false">
      <c r="A69" s="0" t="n">
        <v>65</v>
      </c>
      <c r="B69" s="10" t="n">
        <f aca="false">(A69-1)/12</f>
        <v>5.33333333333333</v>
      </c>
      <c r="C69" s="11" t="n">
        <f aca="false">Parametros!$B$5/(1+Parametros!$B$7*Parametros!$B$6*B69)^(1/Parametros!$B$7)</f>
        <v>245.948294927879</v>
      </c>
      <c r="D69" s="11" t="n">
        <f aca="false">IF(B69&lt;=Parametros!$B$17,C69,Parametros!$B$5/(1+Parametros!$B$7*Parametros!$B$6*Parametros!$B$17)^(1/Parametros!$B$7)*EXP(-Parametros!$B$8*(B69-Parametros!$B$17)))</f>
        <v>245.948294927879</v>
      </c>
      <c r="E69" s="12" t="n">
        <f aca="false">D69*30.4*IF(B69&lt;Parametros!$B$15,1,0)</f>
        <v>7476.82816580751</v>
      </c>
      <c r="F69" s="12" t="n">
        <f aca="false">C69*30.4*IF(B69&lt;Parametros!$B$15,1,0)</f>
        <v>7476.82816580751</v>
      </c>
      <c r="G69" s="12" t="n">
        <f aca="false">(E69*(Parametros!$B$9*(1-Parametros!$B$10)-Parametros!$B$11)-Parametros!$B$12*IF(B69&lt;Parametros!$B$15,1,0))/(1+Parametros!$B$14)^B69</f>
        <v>196067.610253784</v>
      </c>
    </row>
    <row r="70" customFormat="false" ht="15" hidden="false" customHeight="false" outlineLevel="0" collapsed="false">
      <c r="A70" s="0" t="n">
        <v>66</v>
      </c>
      <c r="B70" s="10" t="n">
        <f aca="false">(A70-1)/12</f>
        <v>5.41666666666667</v>
      </c>
      <c r="C70" s="11" t="n">
        <f aca="false">Parametros!$B$5/(1+Parametros!$B$7*Parametros!$B$6*B70)^(1/Parametros!$B$7)</f>
        <v>243.776548337444</v>
      </c>
      <c r="D70" s="11" t="n">
        <f aca="false">IF(B70&lt;=Parametros!$B$17,C70,Parametros!$B$5/(1+Parametros!$B$7*Parametros!$B$6*Parametros!$B$17)^(1/Parametros!$B$7)*EXP(-Parametros!$B$8*(B70-Parametros!$B$17)))</f>
        <v>243.776548337444</v>
      </c>
      <c r="E70" s="12" t="n">
        <f aca="false">D70*30.4*IF(B70&lt;Parametros!$B$15,1,0)</f>
        <v>7410.80706945831</v>
      </c>
      <c r="F70" s="12" t="n">
        <f aca="false">C70*30.4*IF(B70&lt;Parametros!$B$15,1,0)</f>
        <v>7410.80706945831</v>
      </c>
      <c r="G70" s="12" t="n">
        <f aca="false">(E70*(Parametros!$B$9*(1-Parametros!$B$10)-Parametros!$B$11)-Parametros!$B$12*IF(B70&lt;Parametros!$B$15,1,0))/(1+Parametros!$B$14)^B70</f>
        <v>192751.485305012</v>
      </c>
    </row>
    <row r="71" customFormat="false" ht="15" hidden="false" customHeight="false" outlineLevel="0" collapsed="false">
      <c r="A71" s="0" t="n">
        <v>67</v>
      </c>
      <c r="B71" s="10" t="n">
        <f aca="false">(A71-1)/12</f>
        <v>5.5</v>
      </c>
      <c r="C71" s="11" t="n">
        <f aca="false">Parametros!$B$5/(1+Parametros!$B$7*Parametros!$B$6*B71)^(1/Parametros!$B$7)</f>
        <v>241.65211709306</v>
      </c>
      <c r="D71" s="11" t="n">
        <f aca="false">IF(B71&lt;=Parametros!$B$17,C71,Parametros!$B$5/(1+Parametros!$B$7*Parametros!$B$6*Parametros!$B$17)^(1/Parametros!$B$7)*EXP(-Parametros!$B$8*(B71-Parametros!$B$17)))</f>
        <v>241.65211709306</v>
      </c>
      <c r="E71" s="12" t="n">
        <f aca="false">D71*30.4*IF(B71&lt;Parametros!$B$15,1,0)</f>
        <v>7346.22435962903</v>
      </c>
      <c r="F71" s="12" t="n">
        <f aca="false">C71*30.4*IF(B71&lt;Parametros!$B$15,1,0)</f>
        <v>7346.22435962903</v>
      </c>
      <c r="G71" s="12" t="n">
        <f aca="false">(E71*(Parametros!$B$9*(1-Parametros!$B$10)-Parametros!$B$11)-Parametros!$B$12*IF(B71&lt;Parametros!$B$15,1,0))/(1+Parametros!$B$14)^B71</f>
        <v>189513.707544169</v>
      </c>
    </row>
    <row r="72" customFormat="false" ht="15" hidden="false" customHeight="false" outlineLevel="0" collapsed="false">
      <c r="A72" s="0" t="n">
        <v>68</v>
      </c>
      <c r="B72" s="10" t="n">
        <f aca="false">(A72-1)/12</f>
        <v>5.58333333333333</v>
      </c>
      <c r="C72" s="11" t="n">
        <f aca="false">Parametros!$B$5/(1+Parametros!$B$7*Parametros!$B$6*B72)^(1/Parametros!$B$7)</f>
        <v>239.573373111713</v>
      </c>
      <c r="D72" s="11" t="n">
        <f aca="false">IF(B72&lt;=Parametros!$B$17,C72,Parametros!$B$5/(1+Parametros!$B$7*Parametros!$B$6*Parametros!$B$17)^(1/Parametros!$B$7)*EXP(-Parametros!$B$8*(B72-Parametros!$B$17)))</f>
        <v>239.573373111713</v>
      </c>
      <c r="E72" s="12" t="n">
        <f aca="false">D72*30.4*IF(B72&lt;Parametros!$B$15,1,0)</f>
        <v>7283.03054259607</v>
      </c>
      <c r="F72" s="12" t="n">
        <f aca="false">C72*30.4*IF(B72&lt;Parametros!$B$15,1,0)</f>
        <v>7283.03054259607</v>
      </c>
      <c r="G72" s="12" t="n">
        <f aca="false">(E72*(Parametros!$B$9*(1-Parametros!$B$10)-Parametros!$B$11)-Parametros!$B$12*IF(B72&lt;Parametros!$B$15,1,0))/(1+Parametros!$B$14)^B72</f>
        <v>186351.640762109</v>
      </c>
    </row>
    <row r="73" customFormat="false" ht="15" hidden="false" customHeight="false" outlineLevel="0" collapsed="false">
      <c r="A73" s="0" t="n">
        <v>69</v>
      </c>
      <c r="B73" s="10" t="n">
        <f aca="false">(A73-1)/12</f>
        <v>5.66666666666667</v>
      </c>
      <c r="C73" s="11" t="n">
        <f aca="false">Parametros!$B$5/(1+Parametros!$B$7*Parametros!$B$6*B73)^(1/Parametros!$B$7)</f>
        <v>237.538764358368</v>
      </c>
      <c r="D73" s="11" t="n">
        <f aca="false">IF(B73&lt;=Parametros!$B$17,C73,Parametros!$B$5/(1+Parametros!$B$7*Parametros!$B$6*Parametros!$B$17)^(1/Parametros!$B$7)*EXP(-Parametros!$B$8*(B73-Parametros!$B$17)))</f>
        <v>237.538764358368</v>
      </c>
      <c r="E73" s="12" t="n">
        <f aca="false">D73*30.4*IF(B73&lt;Parametros!$B$15,1,0)</f>
        <v>7221.1784364944</v>
      </c>
      <c r="F73" s="12" t="n">
        <f aca="false">C73*30.4*IF(B73&lt;Parametros!$B$15,1,0)</f>
        <v>7221.1784364944</v>
      </c>
      <c r="G73" s="12" t="n">
        <f aca="false">(E73*(Parametros!$B$9*(1-Parametros!$B$10)-Parametros!$B$11)-Parametros!$B$12*IF(B73&lt;Parametros!$B$15,1,0))/(1+Parametros!$B$14)^B73</f>
        <v>183262.768900341</v>
      </c>
    </row>
    <row r="74" customFormat="false" ht="15" hidden="false" customHeight="false" outlineLevel="0" collapsed="false">
      <c r="A74" s="0" t="n">
        <v>70</v>
      </c>
      <c r="B74" s="10" t="n">
        <f aca="false">(A74-1)/12</f>
        <v>5.75</v>
      </c>
      <c r="C74" s="11" t="n">
        <f aca="false">Parametros!$B$5/(1+Parametros!$B$7*Parametros!$B$6*B74)^(1/Parametros!$B$7)</f>
        <v>235.546810381824</v>
      </c>
      <c r="D74" s="11" t="n">
        <f aca="false">IF(B74&lt;=Parametros!$B$17,C74,Parametros!$B$5/(1+Parametros!$B$7*Parametros!$B$6*Parametros!$B$17)^(1/Parametros!$B$7)*EXP(-Parametros!$B$8*(B74-Parametros!$B$17)))</f>
        <v>235.546810381824</v>
      </c>
      <c r="E74" s="12" t="n">
        <f aca="false">D74*30.4*IF(B74&lt;Parametros!$B$15,1,0)</f>
        <v>7160.62303560745</v>
      </c>
      <c r="F74" s="12" t="n">
        <f aca="false">C74*30.4*IF(B74&lt;Parametros!$B$15,1,0)</f>
        <v>7160.62303560745</v>
      </c>
      <c r="G74" s="12" t="n">
        <f aca="false">(E74*(Parametros!$B$9*(1-Parametros!$B$10)-Parametros!$B$11)-Parametros!$B$12*IF(B74&lt;Parametros!$B$15,1,0))/(1+Parametros!$B$14)^B74</f>
        <v>180244.689104618</v>
      </c>
    </row>
    <row r="75" customFormat="false" ht="15" hidden="false" customHeight="false" outlineLevel="0" collapsed="false">
      <c r="A75" s="0" t="n">
        <v>71</v>
      </c>
      <c r="B75" s="10" t="n">
        <f aca="false">(A75-1)/12</f>
        <v>5.83333333333333</v>
      </c>
      <c r="C75" s="11" t="n">
        <f aca="false">Parametros!$B$5/(1+Parametros!$B$7*Parametros!$B$6*B75)^(1/Parametros!$B$7)</f>
        <v>233.596098164817</v>
      </c>
      <c r="D75" s="11" t="n">
        <f aca="false">IF(B75&lt;=Parametros!$B$17,C75,Parametros!$B$5/(1+Parametros!$B$7*Parametros!$B$6*Parametros!$B$17)^(1/Parametros!$B$7)*EXP(-Parametros!$B$8*(B75-Parametros!$B$17)))</f>
        <v>233.596098164817</v>
      </c>
      <c r="E75" s="12" t="n">
        <f aca="false">D75*30.4*IF(B75&lt;Parametros!$B$15,1,0)</f>
        <v>7101.32138421044</v>
      </c>
      <c r="F75" s="12" t="n">
        <f aca="false">C75*30.4*IF(B75&lt;Parametros!$B$15,1,0)</f>
        <v>7101.32138421044</v>
      </c>
      <c r="G75" s="12" t="n">
        <f aca="false">(E75*(Parametros!$B$9*(1-Parametros!$B$10)-Parametros!$B$11)-Parametros!$B$12*IF(B75&lt;Parametros!$B$15,1,0))/(1+Parametros!$B$14)^B75</f>
        <v>177295.105262973</v>
      </c>
    </row>
    <row r="76" customFormat="false" ht="15" hidden="false" customHeight="false" outlineLevel="0" collapsed="false">
      <c r="A76" s="0" t="n">
        <v>72</v>
      </c>
      <c r="B76" s="10" t="n">
        <f aca="false">(A76-1)/12</f>
        <v>5.91666666666667</v>
      </c>
      <c r="C76" s="11" t="n">
        <f aca="false">Parametros!$B$5/(1+Parametros!$B$7*Parametros!$B$6*B76)^(1/Parametros!$B$7)</f>
        <v>231.685278262685</v>
      </c>
      <c r="D76" s="11" t="n">
        <f aca="false">IF(B76&lt;=Parametros!$B$17,C76,Parametros!$B$5/(1+Parametros!$B$7*Parametros!$B$6*Parametros!$B$17)^(1/Parametros!$B$7)*EXP(-Parametros!$B$8*(B76-Parametros!$B$17)))</f>
        <v>231.685278262685</v>
      </c>
      <c r="E76" s="12" t="n">
        <f aca="false">D76*30.4*IF(B76&lt;Parametros!$B$15,1,0)</f>
        <v>7043.23245918562</v>
      </c>
      <c r="F76" s="12" t="n">
        <f aca="false">C76*30.4*IF(B76&lt;Parametros!$B$15,1,0)</f>
        <v>7043.23245918562</v>
      </c>
      <c r="G76" s="12" t="n">
        <f aca="false">(E76*(Parametros!$B$9*(1-Parametros!$B$10)-Parametros!$B$11)-Parametros!$B$12*IF(B76&lt;Parametros!$B$15,1,0))/(1+Parametros!$B$14)^B76</f>
        <v>174411.821988827</v>
      </c>
    </row>
    <row r="77" customFormat="false" ht="15" hidden="false" customHeight="false" outlineLevel="0" collapsed="false">
      <c r="A77" s="0" t="n">
        <v>73</v>
      </c>
      <c r="B77" s="10" t="n">
        <f aca="false">(A77-1)/12</f>
        <v>6</v>
      </c>
      <c r="C77" s="11" t="n">
        <f aca="false">Parametros!$B$5/(1+Parametros!$B$7*Parametros!$B$6*B77)^(1/Parametros!$B$7)</f>
        <v>229.813061207249</v>
      </c>
      <c r="D77" s="11" t="n">
        <f aca="false">IF(B77&lt;=Parametros!$B$17,C77,Parametros!$B$5/(1+Parametros!$B$7*Parametros!$B$6*Parametros!$B$17)^(1/Parametros!$B$7)*EXP(-Parametros!$B$8*(B77-Parametros!$B$17)))</f>
        <v>229.813061207249</v>
      </c>
      <c r="E77" s="12" t="n">
        <f aca="false">D77*30.4*IF(B77&lt;Parametros!$B$15,1,0)</f>
        <v>6986.31706070038</v>
      </c>
      <c r="F77" s="12" t="n">
        <f aca="false">C77*30.4*IF(B77&lt;Parametros!$B$15,1,0)</f>
        <v>6986.31706070038</v>
      </c>
      <c r="G77" s="12" t="n">
        <f aca="false">(E77*(Parametros!$B$9*(1-Parametros!$B$10)-Parametros!$B$11)-Parametros!$B$12*IF(B77&lt;Parametros!$B$15,1,0))/(1+Parametros!$B$14)^B77</f>
        <v>171592.739013433</v>
      </c>
    </row>
    <row r="78" customFormat="false" ht="15" hidden="false" customHeight="false" outlineLevel="0" collapsed="false">
      <c r="A78" s="0" t="n">
        <v>74</v>
      </c>
      <c r="B78" s="10" t="n">
        <f aca="false">(A78-1)/12</f>
        <v>6.08333333333333</v>
      </c>
      <c r="C78" s="11" t="n">
        <f aca="false">Parametros!$B$5/(1+Parametros!$B$7*Parametros!$B$6*B78)^(1/Parametros!$B$7)</f>
        <v>227.978214154764</v>
      </c>
      <c r="D78" s="11" t="n">
        <f aca="false">IF(B78&lt;=Parametros!$B$17,C78,Parametros!$B$5/(1+Parametros!$B$7*Parametros!$B$6*Parametros!$B$17)^(1/Parametros!$B$7)*EXP(-Parametros!$B$8*(B78-Parametros!$B$17)))</f>
        <v>227.978214154764</v>
      </c>
      <c r="E78" s="12" t="n">
        <f aca="false">D78*30.4*IF(B78&lt;Parametros!$B$15,1,0)</f>
        <v>6930.53771030483</v>
      </c>
      <c r="F78" s="12" t="n">
        <f aca="false">C78*30.4*IF(B78&lt;Parametros!$B$15,1,0)</f>
        <v>6930.53771030483</v>
      </c>
      <c r="G78" s="12" t="n">
        <f aca="false">(E78*(Parametros!$B$9*(1-Parametros!$B$10)-Parametros!$B$11)-Parametros!$B$12*IF(B78&lt;Parametros!$B$15,1,0))/(1+Parametros!$B$14)^B78</f>
        <v>168835.845955168</v>
      </c>
    </row>
    <row r="79" customFormat="false" ht="15" hidden="false" customHeight="false" outlineLevel="0" collapsed="false">
      <c r="A79" s="0" t="n">
        <v>75</v>
      </c>
      <c r="B79" s="10" t="n">
        <f aca="false">(A79-1)/12</f>
        <v>6.16666666666667</v>
      </c>
      <c r="C79" s="11" t="n">
        <f aca="false">Parametros!$B$5/(1+Parametros!$B$7*Parametros!$B$6*B79)^(1/Parametros!$B$7)</f>
        <v>226.179557758653</v>
      </c>
      <c r="D79" s="11" t="n">
        <f aca="false">IF(B79&lt;=Parametros!$B$17,C79,Parametros!$B$5/(1+Parametros!$B$7*Parametros!$B$6*Parametros!$B$17)^(1/Parametros!$B$7)*EXP(-Parametros!$B$8*(B79-Parametros!$B$17)))</f>
        <v>226.179557758653</v>
      </c>
      <c r="E79" s="12" t="n">
        <f aca="false">D79*30.4*IF(B79&lt;Parametros!$B$15,1,0)</f>
        <v>6875.85855586304</v>
      </c>
      <c r="F79" s="12" t="n">
        <f aca="false">C79*30.4*IF(B79&lt;Parametros!$B$15,1,0)</f>
        <v>6875.85855586304</v>
      </c>
      <c r="G79" s="12" t="n">
        <f aca="false">(E79*(Parametros!$B$9*(1-Parametros!$B$10)-Parametros!$B$11)-Parametros!$B$12*IF(B79&lt;Parametros!$B$15,1,0))/(1+Parametros!$B$14)^B79</f>
        <v>166139.217436136</v>
      </c>
    </row>
    <row r="80" customFormat="false" ht="15" hidden="false" customHeight="false" outlineLevel="0" collapsed="false">
      <c r="A80" s="0" t="n">
        <v>76</v>
      </c>
      <c r="B80" s="10" t="n">
        <f aca="false">(A80-1)/12</f>
        <v>6.25</v>
      </c>
      <c r="C80" s="11" t="n">
        <f aca="false">Parametros!$B$5/(1+Parametros!$B$7*Parametros!$B$6*B80)^(1/Parametros!$B$7)</f>
        <v>224.415963249523</v>
      </c>
      <c r="D80" s="11" t="n">
        <f aca="false">IF(B80&lt;=Parametros!$B$17,C80,Parametros!$B$5/(1+Parametros!$B$7*Parametros!$B$6*Parametros!$B$17)^(1/Parametros!$B$7)*EXP(-Parametros!$B$8*(B80-Parametros!$B$17)))</f>
        <v>224.415963249523</v>
      </c>
      <c r="E80" s="12" t="n">
        <f aca="false">D80*30.4*IF(B80&lt;Parametros!$B$15,1,0)</f>
        <v>6822.24528278549</v>
      </c>
      <c r="F80" s="12" t="n">
        <f aca="false">C80*30.4*IF(B80&lt;Parametros!$B$15,1,0)</f>
        <v>6822.24528278549</v>
      </c>
      <c r="G80" s="12" t="n">
        <f aca="false">(E80*(Parametros!$B$9*(1-Parametros!$B$10)-Parametros!$B$11)-Parametros!$B$12*IF(B80&lt;Parametros!$B$15,1,0))/(1+Parametros!$B$14)^B80</f>
        <v>163501.008519193</v>
      </c>
    </row>
    <row r="81" customFormat="false" ht="15" hidden="false" customHeight="false" outlineLevel="0" collapsed="false">
      <c r="A81" s="0" t="n">
        <v>77</v>
      </c>
      <c r="B81" s="10" t="n">
        <f aca="false">(A81-1)/12</f>
        <v>6.33333333333333</v>
      </c>
      <c r="C81" s="11" t="n">
        <f aca="false">Parametros!$B$5/(1+Parametros!$B$7*Parametros!$B$6*B81)^(1/Parametros!$B$7)</f>
        <v>222.686349706471</v>
      </c>
      <c r="D81" s="11" t="n">
        <f aca="false">IF(B81&lt;=Parametros!$B$17,C81,Parametros!$B$5/(1+Parametros!$B$7*Parametros!$B$6*Parametros!$B$17)^(1/Parametros!$B$7)*EXP(-Parametros!$B$8*(B81-Parametros!$B$17)))</f>
        <v>222.686349706471</v>
      </c>
      <c r="E81" s="12" t="n">
        <f aca="false">D81*30.4*IF(B81&lt;Parametros!$B$15,1,0)</f>
        <v>6769.66503107672</v>
      </c>
      <c r="F81" s="12" t="n">
        <f aca="false">C81*30.4*IF(B81&lt;Parametros!$B$15,1,0)</f>
        <v>6769.66503107672</v>
      </c>
      <c r="G81" s="12" t="n">
        <f aca="false">(E81*(Parametros!$B$9*(1-Parametros!$B$10)-Parametros!$B$11)-Parametros!$B$12*IF(B81&lt;Parametros!$B$15,1,0))/(1+Parametros!$B$14)^B81</f>
        <v>160919.45044084</v>
      </c>
    </row>
    <row r="82" customFormat="false" ht="15" hidden="false" customHeight="false" outlineLevel="0" collapsed="false">
      <c r="A82" s="0" t="n">
        <v>78</v>
      </c>
      <c r="B82" s="10" t="n">
        <f aca="false">(A82-1)/12</f>
        <v>6.41666666666667</v>
      </c>
      <c r="C82" s="11" t="n">
        <f aca="false">Parametros!$B$5/(1+Parametros!$B$7*Parametros!$B$6*B82)^(1/Parametros!$B$7)</f>
        <v>220.989681505111</v>
      </c>
      <c r="D82" s="11" t="n">
        <f aca="false">IF(B82&lt;=Parametros!$B$17,C82,Parametros!$B$5/(1+Parametros!$B$7*Parametros!$B$6*Parametros!$B$17)^(1/Parametros!$B$7)*EXP(-Parametros!$B$8*(B82-Parametros!$B$17)))</f>
        <v>220.989681505111</v>
      </c>
      <c r="E82" s="12" t="n">
        <f aca="false">D82*30.4*IF(B82&lt;Parametros!$B$15,1,0)</f>
        <v>6718.08631775538</v>
      </c>
      <c r="F82" s="12" t="n">
        <f aca="false">C82*30.4*IF(B82&lt;Parametros!$B$15,1,0)</f>
        <v>6718.08631775538</v>
      </c>
      <c r="G82" s="12" t="n">
        <f aca="false">(E82*(Parametros!$B$9*(1-Parametros!$B$10)-Parametros!$B$11)-Parametros!$B$12*IF(B82&lt;Parametros!$B$15,1,0))/(1+Parametros!$B$14)^B82</f>
        <v>158392.846617613</v>
      </c>
    </row>
    <row r="83" customFormat="false" ht="15" hidden="false" customHeight="false" outlineLevel="0" collapsed="false">
      <c r="A83" s="0" t="n">
        <v>79</v>
      </c>
      <c r="B83" s="10" t="n">
        <f aca="false">(A83-1)/12</f>
        <v>6.5</v>
      </c>
      <c r="C83" s="11" t="n">
        <f aca="false">Parametros!$B$5/(1+Parametros!$B$7*Parametros!$B$6*B83)^(1/Parametros!$B$7)</f>
        <v>219.324965929008</v>
      </c>
      <c r="D83" s="11" t="n">
        <f aca="false">IF(B83&lt;=Parametros!$B$17,C83,Parametros!$B$5/(1+Parametros!$B$7*Parametros!$B$6*Parametros!$B$17)^(1/Parametros!$B$7)*EXP(-Parametros!$B$8*(B83-Parametros!$B$17)))</f>
        <v>219.324965929008</v>
      </c>
      <c r="E83" s="12" t="n">
        <f aca="false">D83*30.4*IF(B83&lt;Parametros!$B$15,1,0)</f>
        <v>6667.47896424183</v>
      </c>
      <c r="F83" s="12" t="n">
        <f aca="false">C83*30.4*IF(B83&lt;Parametros!$B$15,1,0)</f>
        <v>6667.47896424183</v>
      </c>
      <c r="G83" s="12" t="n">
        <f aca="false">(E83*(Parametros!$B$9*(1-Parametros!$B$10)-Parametros!$B$11)-Parametros!$B$12*IF(B83&lt;Parametros!$B$15,1,0))/(1+Parametros!$B$14)^B83</f>
        <v>155919.568905494</v>
      </c>
    </row>
    <row r="84" customFormat="false" ht="15" hidden="false" customHeight="false" outlineLevel="0" collapsed="false">
      <c r="A84" s="0" t="n">
        <v>80</v>
      </c>
      <c r="B84" s="10" t="n">
        <f aca="false">(A84-1)/12</f>
        <v>6.58333333333333</v>
      </c>
      <c r="C84" s="11" t="n">
        <f aca="false">Parametros!$B$5/(1+Parametros!$B$7*Parametros!$B$6*B84)^(1/Parametros!$B$7)</f>
        <v>217.691250932343</v>
      </c>
      <c r="D84" s="11" t="n">
        <f aca="false">IF(B84&lt;=Parametros!$B$17,C84,Parametros!$B$5/(1+Parametros!$B$7*Parametros!$B$6*Parametros!$B$17)^(1/Parametros!$B$7)*EXP(-Parametros!$B$8*(B84-Parametros!$B$17)))</f>
        <v>217.691250932343</v>
      </c>
      <c r="E84" s="12" t="n">
        <f aca="false">D84*30.4*IF(B84&lt;Parametros!$B$15,1,0)</f>
        <v>6617.81402834324</v>
      </c>
      <c r="F84" s="12" t="n">
        <f aca="false">C84*30.4*IF(B84&lt;Parametros!$B$15,1,0)</f>
        <v>6617.81402834324</v>
      </c>
      <c r="G84" s="12" t="n">
        <f aca="false">(E84*(Parametros!$B$9*(1-Parametros!$B$10)-Parametros!$B$11)-Parametros!$B$12*IF(B84&lt;Parametros!$B$15,1,0))/(1+Parametros!$B$14)^B84</f>
        <v>153498.054093636</v>
      </c>
    </row>
    <row r="85" customFormat="false" ht="15" hidden="false" customHeight="false" outlineLevel="0" collapsed="false">
      <c r="A85" s="0" t="n">
        <v>81</v>
      </c>
      <c r="B85" s="10" t="n">
        <f aca="false">(A85-1)/12</f>
        <v>6.66666666666667</v>
      </c>
      <c r="C85" s="11" t="n">
        <f aca="false">Parametros!$B$5/(1+Parametros!$B$7*Parametros!$B$6*B85)^(1/Parametros!$B$7)</f>
        <v>216.087623042683</v>
      </c>
      <c r="D85" s="11" t="n">
        <f aca="false">IF(B85&lt;=Parametros!$B$17,C85,Parametros!$B$5/(1+Parametros!$B$7*Parametros!$B$6*Parametros!$B$17)^(1/Parametros!$B$7)*EXP(-Parametros!$B$8*(B85-Parametros!$B$17)))</f>
        <v>216.087623042683</v>
      </c>
      <c r="E85" s="12" t="n">
        <f aca="false">D85*30.4*IF(B85&lt;Parametros!$B$15,1,0)</f>
        <v>6569.06374049757</v>
      </c>
      <c r="F85" s="12" t="n">
        <f aca="false">C85*30.4*IF(B85&lt;Parametros!$B$15,1,0)</f>
        <v>6569.06374049757</v>
      </c>
      <c r="G85" s="12" t="n">
        <f aca="false">(E85*(Parametros!$B$9*(1-Parametros!$B$10)-Parametros!$B$11)-Parametros!$B$12*IF(B85&lt;Parametros!$B$15,1,0))/(1+Parametros!$B$14)^B85</f>
        <v>151126.800615258</v>
      </c>
    </row>
    <row r="86" customFormat="false" ht="15" hidden="false" customHeight="false" outlineLevel="0" collapsed="false">
      <c r="A86" s="0" t="n">
        <v>82</v>
      </c>
      <c r="B86" s="10" t="n">
        <f aca="false">(A86-1)/12</f>
        <v>6.75</v>
      </c>
      <c r="C86" s="11" t="n">
        <f aca="false">Parametros!$B$5/(1+Parametros!$B$7*Parametros!$B$6*B86)^(1/Parametros!$B$7)</f>
        <v>214.513205393624</v>
      </c>
      <c r="D86" s="11" t="n">
        <f aca="false">IF(B86&lt;=Parametros!$B$17,C86,Parametros!$B$5/(1+Parametros!$B$7*Parametros!$B$6*Parametros!$B$17)^(1/Parametros!$B$7)*EXP(-Parametros!$B$8*(B86-Parametros!$B$17)))</f>
        <v>214.513205393624</v>
      </c>
      <c r="E86" s="12" t="n">
        <f aca="false">D86*30.4*IF(B86&lt;Parametros!$B$15,1,0)</f>
        <v>6521.20144396616</v>
      </c>
      <c r="F86" s="12" t="n">
        <f aca="false">C86*30.4*IF(B86&lt;Parametros!$B$15,1,0)</f>
        <v>6521.20144396616</v>
      </c>
      <c r="G86" s="12" t="n">
        <f aca="false">(E86*(Parametros!$B$9*(1-Parametros!$B$10)-Parametros!$B$11)-Parametros!$B$12*IF(B86&lt;Parametros!$B$15,1,0))/(1+Parametros!$B$14)^B86</f>
        <v>148804.365460007</v>
      </c>
    </row>
    <row r="87" customFormat="false" ht="15" hidden="false" customHeight="false" outlineLevel="0" collapsed="false">
      <c r="A87" s="0" t="n">
        <v>83</v>
      </c>
      <c r="B87" s="10" t="n">
        <f aca="false">(A87-1)/12</f>
        <v>6.83333333333333</v>
      </c>
      <c r="C87" s="11" t="n">
        <f aca="false">Parametros!$B$5/(1+Parametros!$B$7*Parametros!$B$6*B87)^(1/Parametros!$B$7)</f>
        <v>212.967155877967</v>
      </c>
      <c r="D87" s="11" t="n">
        <f aca="false">IF(B87&lt;=Parametros!$B$17,C87,Parametros!$B$5/(1+Parametros!$B$7*Parametros!$B$6*Parametros!$B$17)^(1/Parametros!$B$7)*EXP(-Parametros!$B$8*(B87-Parametros!$B$17)))</f>
        <v>212.967155877967</v>
      </c>
      <c r="E87" s="12" t="n">
        <f aca="false">D87*30.4*IF(B87&lt;Parametros!$B$15,1,0)</f>
        <v>6474.20153869019</v>
      </c>
      <c r="F87" s="12" t="n">
        <f aca="false">C87*30.4*IF(B87&lt;Parametros!$B$15,1,0)</f>
        <v>6474.20153869019</v>
      </c>
      <c r="G87" s="12" t="n">
        <f aca="false">(E87*(Parametros!$B$9*(1-Parametros!$B$10)-Parametros!$B$11)-Parametros!$B$12*IF(B87&lt;Parametros!$B$15,1,0))/(1+Parametros!$B$14)^B87</f>
        <v>146529.36127336</v>
      </c>
    </row>
    <row r="88" customFormat="false" ht="15" hidden="false" customHeight="false" outlineLevel="0" collapsed="false">
      <c r="A88" s="0" t="n">
        <v>84</v>
      </c>
      <c r="B88" s="10" t="n">
        <f aca="false">(A88-1)/12</f>
        <v>6.91666666666667</v>
      </c>
      <c r="C88" s="11" t="n">
        <f aca="false">Parametros!$B$5/(1+Parametros!$B$7*Parametros!$B$6*B88)^(1/Parametros!$B$7)</f>
        <v>211.448665412825</v>
      </c>
      <c r="D88" s="11" t="n">
        <f aca="false">IF(B88&lt;=Parametros!$B$17,C88,Parametros!$B$5/(1+Parametros!$B$7*Parametros!$B$6*Parametros!$B$17)^(1/Parametros!$B$7)*EXP(-Parametros!$B$8*(B88-Parametros!$B$17)))</f>
        <v>211.448665412825</v>
      </c>
      <c r="E88" s="12" t="n">
        <f aca="false">D88*30.4*IF(B88&lt;Parametros!$B$15,1,0)</f>
        <v>6428.03942854989</v>
      </c>
      <c r="F88" s="12" t="n">
        <f aca="false">C88*30.4*IF(B88&lt;Parametros!$B$15,1,0)</f>
        <v>6428.03942854989</v>
      </c>
      <c r="G88" s="12" t="n">
        <f aca="false">(E88*(Parametros!$B$9*(1-Parametros!$B$10)-Parametros!$B$11)-Parametros!$B$12*IF(B88&lt;Parametros!$B$15,1,0))/(1+Parametros!$B$14)^B88</f>
        <v>144300.453629836</v>
      </c>
    </row>
    <row r="89" customFormat="false" ht="15" hidden="false" customHeight="false" outlineLevel="0" collapsed="false">
      <c r="A89" s="0" t="n">
        <v>85</v>
      </c>
      <c r="B89" s="10" t="n">
        <f aca="false">(A89-1)/12</f>
        <v>7</v>
      </c>
      <c r="C89" s="11" t="n">
        <f aca="false">Parametros!$B$5/(1+Parametros!$B$7*Parametros!$B$6*B89)^(1/Parametros!$B$7)</f>
        <v>209.956956308764</v>
      </c>
      <c r="D89" s="11" t="n">
        <f aca="false">IF(B89&lt;=Parametros!$B$17,C89,Parametros!$B$5/(1+Parametros!$B$7*Parametros!$B$6*Parametros!$B$17)^(1/Parametros!$B$7)*EXP(-Parametros!$B$8*(B89-Parametros!$B$17)))</f>
        <v>209.956956308764</v>
      </c>
      <c r="E89" s="12" t="n">
        <f aca="false">D89*30.4*IF(B89&lt;Parametros!$B$15,1,0)</f>
        <v>6382.69147178644</v>
      </c>
      <c r="F89" s="12" t="n">
        <f aca="false">C89*30.4*IF(B89&lt;Parametros!$B$15,1,0)</f>
        <v>6382.69147178644</v>
      </c>
      <c r="G89" s="12" t="n">
        <f aca="false">(E89*(Parametros!$B$9*(1-Parametros!$B$10)-Parametros!$B$11)-Parametros!$B$12*IF(B89&lt;Parametros!$B$15,1,0))/(1+Parametros!$B$14)^B89</f>
        <v>142116.358467852</v>
      </c>
    </row>
    <row r="90" customFormat="false" ht="15" hidden="false" customHeight="false" outlineLevel="0" collapsed="false">
      <c r="A90" s="0" t="n">
        <v>86</v>
      </c>
      <c r="B90" s="10" t="n">
        <f aca="false">(A90-1)/12</f>
        <v>7.08333333333333</v>
      </c>
      <c r="C90" s="11" t="n">
        <f aca="false">Parametros!$B$5/(1+Parametros!$B$7*Parametros!$B$6*B90)^(1/Parametros!$B$7)</f>
        <v>208.491280735713</v>
      </c>
      <c r="D90" s="11" t="n">
        <f aca="false">IF(B90&lt;=Parametros!$B$17,C90,Parametros!$B$5/(1+Parametros!$B$7*Parametros!$B$6*Parametros!$B$17)^(1/Parametros!$B$7)*EXP(-Parametros!$B$8*(B90-Parametros!$B$17)))</f>
        <v>208.491280735713</v>
      </c>
      <c r="E90" s="12" t="n">
        <f aca="false">D90*30.4*IF(B90&lt;Parametros!$B$15,1,0)</f>
        <v>6338.13493436566</v>
      </c>
      <c r="F90" s="12" t="n">
        <f aca="false">C90*30.4*IF(B90&lt;Parametros!$B$15,1,0)</f>
        <v>6338.13493436566</v>
      </c>
      <c r="G90" s="12" t="n">
        <f aca="false">(E90*(Parametros!$B$9*(1-Parametros!$B$10)-Parametros!$B$11)-Parametros!$B$12*IF(B90&lt;Parametros!$B$15,1,0))/(1+Parametros!$B$14)^B90</f>
        <v>139975.839675011</v>
      </c>
    </row>
    <row r="91" customFormat="false" ht="15" hidden="false" customHeight="false" outlineLevel="0" collapsed="false">
      <c r="A91" s="0" t="n">
        <v>87</v>
      </c>
      <c r="B91" s="10" t="n">
        <f aca="false">(A91-1)/12</f>
        <v>7.16666666666667</v>
      </c>
      <c r="C91" s="11" t="n">
        <f aca="false">Parametros!$B$5/(1+Parametros!$B$7*Parametros!$B$6*B91)^(1/Parametros!$B$7)</f>
        <v>207.050919278961</v>
      </c>
      <c r="D91" s="11" t="n">
        <f aca="false">IF(B91&lt;=Parametros!$B$17,C91,Parametros!$B$5/(1+Parametros!$B$7*Parametros!$B$6*Parametros!$B$17)^(1/Parametros!$B$7)*EXP(-Parametros!$B$8*(B91-Parametros!$B$17)))</f>
        <v>207.050919278961</v>
      </c>
      <c r="E91" s="12" t="n">
        <f aca="false">D91*30.4*IF(B91&lt;Parametros!$B$15,1,0)</f>
        <v>6294.34794608042</v>
      </c>
      <c r="F91" s="12" t="n">
        <f aca="false">C91*30.4*IF(B91&lt;Parametros!$B$15,1,0)</f>
        <v>6294.34794608042</v>
      </c>
      <c r="G91" s="12" t="n">
        <f aca="false">(E91*(Parametros!$B$9*(1-Parametros!$B$10)-Parametros!$B$11)-Parametros!$B$12*IF(B91&lt;Parametros!$B$15,1,0))/(1+Parametros!$B$14)^B91</f>
        <v>137877.706813525</v>
      </c>
    </row>
    <row r="92" customFormat="false" ht="15" hidden="false" customHeight="false" outlineLevel="0" collapsed="false">
      <c r="A92" s="0" t="n">
        <v>88</v>
      </c>
      <c r="B92" s="10" t="n">
        <f aca="false">(A92-1)/12</f>
        <v>7.25</v>
      </c>
      <c r="C92" s="11" t="n">
        <f aca="false">Parametros!$B$5/(1+Parametros!$B$7*Parametros!$B$6*B92)^(1/Parametros!$B$7)</f>
        <v>205.63517957909</v>
      </c>
      <c r="D92" s="11" t="n">
        <f aca="false">IF(B92&lt;=Parametros!$B$17,C92,Parametros!$B$5/(1+Parametros!$B$7*Parametros!$B$6*Parametros!$B$17)^(1/Parametros!$B$7)*EXP(-Parametros!$B$8*(B92-Parametros!$B$17)))</f>
        <v>205.63517957909</v>
      </c>
      <c r="E92" s="12" t="n">
        <f aca="false">D92*30.4*IF(B92&lt;Parametros!$B$15,1,0)</f>
        <v>6251.30945920434</v>
      </c>
      <c r="F92" s="12" t="n">
        <f aca="false">C92*30.4*IF(B92&lt;Parametros!$B$15,1,0)</f>
        <v>6251.30945920434</v>
      </c>
      <c r="G92" s="12" t="n">
        <f aca="false">(E92*(Parametros!$B$9*(1-Parametros!$B$10)-Parametros!$B$11)-Parametros!$B$12*IF(B92&lt;Parametros!$B$15,1,0))/(1+Parametros!$B$14)^B92</f>
        <v>135820.812976245</v>
      </c>
    </row>
    <row r="93" customFormat="false" ht="15" hidden="false" customHeight="false" outlineLevel="0" collapsed="false">
      <c r="A93" s="0" t="n">
        <v>89</v>
      </c>
      <c r="B93" s="10" t="n">
        <f aca="false">(A93-1)/12</f>
        <v>7.33333333333333</v>
      </c>
      <c r="C93" s="11" t="n">
        <f aca="false">Parametros!$B$5/(1+Parametros!$B$7*Parametros!$B$6*B93)^(1/Parametros!$B$7)</f>
        <v>204.243395050139</v>
      </c>
      <c r="D93" s="11" t="n">
        <f aca="false">IF(B93&lt;=Parametros!$B$17,C93,Parametros!$B$5/(1+Parametros!$B$7*Parametros!$B$6*Parametros!$B$17)^(1/Parametros!$B$7)*EXP(-Parametros!$B$8*(B93-Parametros!$B$17)))</f>
        <v>204.243395050139</v>
      </c>
      <c r="E93" s="12" t="n">
        <f aca="false">D93*30.4*IF(B93&lt;Parametros!$B$15,1,0)</f>
        <v>6208.99920952422</v>
      </c>
      <c r="F93" s="12" t="n">
        <f aca="false">C93*30.4*IF(B93&lt;Parametros!$B$15,1,0)</f>
        <v>6208.99920952422</v>
      </c>
      <c r="G93" s="12" t="n">
        <f aca="false">(E93*(Parametros!$B$9*(1-Parametros!$B$10)-Parametros!$B$11)-Parametros!$B$12*IF(B93&lt;Parametros!$B$15,1,0))/(1+Parametros!$B$14)^B93</f>
        <v>133804.052764555</v>
      </c>
    </row>
    <row r="94" customFormat="false" ht="15" hidden="false" customHeight="false" outlineLevel="0" collapsed="false">
      <c r="A94" s="0" t="n">
        <v>90</v>
      </c>
      <c r="B94" s="10" t="n">
        <f aca="false">(A94-1)/12</f>
        <v>7.41666666666667</v>
      </c>
      <c r="C94" s="11" t="n">
        <f aca="false">Parametros!$B$5/(1+Parametros!$B$7*Parametros!$B$6*B94)^(1/Parametros!$B$7)</f>
        <v>202.874923670781</v>
      </c>
      <c r="D94" s="11" t="n">
        <f aca="false">IF(B94&lt;=Parametros!$B$17,C94,Parametros!$B$5/(1+Parametros!$B$7*Parametros!$B$6*Parametros!$B$17)^(1/Parametros!$B$7)*EXP(-Parametros!$B$8*(B94-Parametros!$B$17)))</f>
        <v>202.874923670781</v>
      </c>
      <c r="E94" s="12" t="n">
        <f aca="false">D94*30.4*IF(B94&lt;Parametros!$B$15,1,0)</f>
        <v>6167.39767959173</v>
      </c>
      <c r="F94" s="12" t="n">
        <f aca="false">C94*30.4*IF(B94&lt;Parametros!$B$15,1,0)</f>
        <v>6167.39767959173</v>
      </c>
      <c r="G94" s="12" t="n">
        <f aca="false">(E94*(Parametros!$B$9*(1-Parametros!$B$10)-Parametros!$B$11)-Parametros!$B$12*IF(B94&lt;Parametros!$B$15,1,0))/(1+Parametros!$B$14)^B94</f>
        <v>131826.360380003</v>
      </c>
    </row>
    <row r="95" customFormat="false" ht="15" hidden="false" customHeight="false" outlineLevel="0" collapsed="false">
      <c r="A95" s="0" t="n">
        <v>91</v>
      </c>
      <c r="B95" s="10" t="n">
        <f aca="false">(A95-1)/12</f>
        <v>7.5</v>
      </c>
      <c r="C95" s="11" t="n">
        <f aca="false">Parametros!$B$5/(1+Parametros!$B$7*Parametros!$B$6*B95)^(1/Parametros!$B$7)</f>
        <v>201.529146843659</v>
      </c>
      <c r="D95" s="11" t="n">
        <f aca="false">IF(B95&lt;=Parametros!$B$17,C95,Parametros!$B$5/(1+Parametros!$B$7*Parametros!$B$6*Parametros!$B$17)^(1/Parametros!$B$7)*EXP(-Parametros!$B$8*(B95-Parametros!$B$17)))</f>
        <v>201.529146843659</v>
      </c>
      <c r="E95" s="12" t="n">
        <f aca="false">D95*30.4*IF(B95&lt;Parametros!$B$15,1,0)</f>
        <v>6126.48606404725</v>
      </c>
      <c r="F95" s="12" t="n">
        <f aca="false">C95*30.4*IF(B95&lt;Parametros!$B$15,1,0)</f>
        <v>6126.48606404725</v>
      </c>
      <c r="G95" s="12" t="n">
        <f aca="false">(E95*(Parametros!$B$9*(1-Parametros!$B$10)-Parametros!$B$11)-Parametros!$B$12*IF(B95&lt;Parametros!$B$15,1,0))/(1+Parametros!$B$14)^B95</f>
        <v>129886.707822201</v>
      </c>
    </row>
    <row r="96" customFormat="false" ht="15" hidden="false" customHeight="false" outlineLevel="0" collapsed="false">
      <c r="A96" s="0" t="n">
        <v>92</v>
      </c>
      <c r="B96" s="10" t="n">
        <f aca="false">(A96-1)/12</f>
        <v>7.58333333333333</v>
      </c>
      <c r="C96" s="11" t="n">
        <f aca="false">Parametros!$B$5/(1+Parametros!$B$7*Parametros!$B$6*B96)^(1/Parametros!$B$7)</f>
        <v>200.205468318408</v>
      </c>
      <c r="D96" s="11" t="n">
        <f aca="false">IF(B96&lt;=Parametros!$B$17,C96,Parametros!$B$5/(1+Parametros!$B$7*Parametros!$B$6*Parametros!$B$17)^(1/Parametros!$B$7)*EXP(-Parametros!$B$8*(B96-Parametros!$B$17)))</f>
        <v>200.205468318408</v>
      </c>
      <c r="E96" s="12" t="n">
        <f aca="false">D96*30.4*IF(B96&lt;Parametros!$B$15,1,0)</f>
        <v>6086.2462368796</v>
      </c>
      <c r="F96" s="12" t="n">
        <f aca="false">C96*30.4*IF(B96&lt;Parametros!$B$15,1,0)</f>
        <v>6086.2462368796</v>
      </c>
      <c r="G96" s="12" t="n">
        <f aca="false">(E96*(Parametros!$B$9*(1-Parametros!$B$10)-Parametros!$B$11)-Parametros!$B$12*IF(B96&lt;Parametros!$B$15,1,0))/(1+Parametros!$B$14)^B96</f>
        <v>127984.103186074</v>
      </c>
    </row>
    <row r="97" customFormat="false" ht="15" hidden="false" customHeight="false" outlineLevel="0" collapsed="false">
      <c r="A97" s="0" t="n">
        <v>93</v>
      </c>
      <c r="B97" s="10" t="n">
        <f aca="false">(A97-1)/12</f>
        <v>7.66666666666667</v>
      </c>
      <c r="C97" s="11" t="n">
        <f aca="false">Parametros!$B$5/(1+Parametros!$B$7*Parametros!$B$6*B97)^(1/Parametros!$B$7)</f>
        <v>198.903313174208</v>
      </c>
      <c r="D97" s="11" t="n">
        <f aca="false">IF(B97&lt;=Parametros!$B$17,C97,Parametros!$B$5/(1+Parametros!$B$7*Parametros!$B$6*Parametros!$B$17)^(1/Parametros!$B$7)*EXP(-Parametros!$B$8*(B97-Parametros!$B$17)))</f>
        <v>198.903313174208</v>
      </c>
      <c r="E97" s="12" t="n">
        <f aca="false">D97*30.4*IF(B97&lt;Parametros!$B$15,1,0)</f>
        <v>6046.66072049593</v>
      </c>
      <c r="F97" s="12" t="n">
        <f aca="false">C97*30.4*IF(B97&lt;Parametros!$B$15,1,0)</f>
        <v>6046.66072049593</v>
      </c>
      <c r="G97" s="12" t="n">
        <f aca="false">(E97*(Parametros!$B$9*(1-Parametros!$B$10)-Parametros!$B$11)-Parametros!$B$12*IF(B97&lt;Parametros!$B$15,1,0))/(1+Parametros!$B$14)^B97</f>
        <v>126117.589052031</v>
      </c>
    </row>
    <row r="98" customFormat="false" ht="15" hidden="false" customHeight="false" outlineLevel="0" collapsed="false">
      <c r="A98" s="0" t="n">
        <v>94</v>
      </c>
      <c r="B98" s="10" t="n">
        <f aca="false">(A98-1)/12</f>
        <v>7.75</v>
      </c>
      <c r="C98" s="11" t="n">
        <f aca="false">Parametros!$B$5/(1+Parametros!$B$7*Parametros!$B$6*B98)^(1/Parametros!$B$7)</f>
        <v>197.622126858058</v>
      </c>
      <c r="D98" s="11" t="n">
        <f aca="false">IF(B98&lt;=Parametros!$B$17,C98,Parametros!$B$5/(1+Parametros!$B$7*Parametros!$B$6*Parametros!$B$17)^(1/Parametros!$B$7)*EXP(-Parametros!$B$8*(B98-Parametros!$B$17)))</f>
        <v>197.622126858058</v>
      </c>
      <c r="E98" s="12" t="n">
        <f aca="false">D98*30.4*IF(B98&lt;Parametros!$B$15,1,0)</f>
        <v>6007.71265648496</v>
      </c>
      <c r="F98" s="12" t="n">
        <f aca="false">C98*30.4*IF(B98&lt;Parametros!$B$15,1,0)</f>
        <v>6007.71265648496</v>
      </c>
      <c r="G98" s="12" t="n">
        <f aca="false">(E98*(Parametros!$B$9*(1-Parametros!$B$10)-Parametros!$B$11)-Parametros!$B$12*IF(B98&lt;Parametros!$B$15,1,0))/(1+Parametros!$B$14)^B98</f>
        <v>124286.240963148</v>
      </c>
    </row>
    <row r="99" customFormat="false" ht="15" hidden="false" customHeight="false" outlineLevel="0" collapsed="false">
      <c r="A99" s="0" t="n">
        <v>95</v>
      </c>
      <c r="B99" s="10" t="n">
        <f aca="false">(A99-1)/12</f>
        <v>7.83333333333333</v>
      </c>
      <c r="C99" s="11" t="n">
        <f aca="false">Parametros!$B$5/(1+Parametros!$B$7*Parametros!$B$6*B99)^(1/Parametros!$B$7)</f>
        <v>196.361374275191</v>
      </c>
      <c r="D99" s="11" t="n">
        <f aca="false">IF(B99&lt;=Parametros!$B$17,C99,Parametros!$B$5/(1+Parametros!$B$7*Parametros!$B$6*Parametros!$B$17)^(1/Parametros!$B$7)*EXP(-Parametros!$B$8*(B99-Parametros!$B$17)))</f>
        <v>196.361374275191</v>
      </c>
      <c r="E99" s="12" t="n">
        <f aca="false">D99*30.4*IF(B99&lt;Parametros!$B$15,1,0)</f>
        <v>5969.38577796581</v>
      </c>
      <c r="F99" s="12" t="n">
        <f aca="false">C99*30.4*IF(B99&lt;Parametros!$B$15,1,0)</f>
        <v>5969.38577796581</v>
      </c>
      <c r="G99" s="12" t="n">
        <f aca="false">(E99*(Parametros!$B$9*(1-Parametros!$B$10)-Parametros!$B$11)-Parametros!$B$12*IF(B99&lt;Parametros!$B$15,1,0))/(1+Parametros!$B$14)^B99</f>
        <v>122489.165983837</v>
      </c>
    </row>
    <row r="100" customFormat="false" ht="15" hidden="false" customHeight="false" outlineLevel="0" collapsed="false">
      <c r="A100" s="0" t="n">
        <v>96</v>
      </c>
      <c r="B100" s="10" t="n">
        <f aca="false">(A100-1)/12</f>
        <v>7.91666666666667</v>
      </c>
      <c r="C100" s="11" t="n">
        <f aca="false">Parametros!$B$5/(1+Parametros!$B$7*Parametros!$B$6*B100)^(1/Parametros!$B$7)</f>
        <v>195.120538928352</v>
      </c>
      <c r="D100" s="11" t="n">
        <f aca="false">IF(B100&lt;=Parametros!$B$17,C100,Parametros!$B$5/(1+Parametros!$B$7*Parametros!$B$6*Parametros!$B$17)^(1/Parametros!$B$7)*EXP(-Parametros!$B$8*(B100-Parametros!$B$17)))</f>
        <v>195.120538928352</v>
      </c>
      <c r="E100" s="12" t="n">
        <f aca="false">D100*30.4*IF(B100&lt;Parametros!$B$15,1,0)</f>
        <v>5931.6643834219</v>
      </c>
      <c r="F100" s="12" t="n">
        <f aca="false">C100*30.4*IF(B100&lt;Parametros!$B$15,1,0)</f>
        <v>5931.6643834219</v>
      </c>
      <c r="G100" s="12" t="n">
        <f aca="false">(E100*(Parametros!$B$9*(1-Parametros!$B$10)-Parametros!$B$11)-Parametros!$B$12*IF(B100&lt;Parametros!$B$15,1,0))/(1+Parametros!$B$14)^B100</f>
        <v>120725.501334914</v>
      </c>
    </row>
    <row r="101" customFormat="false" ht="15" hidden="false" customHeight="false" outlineLevel="0" collapsed="false">
      <c r="A101" s="0" t="n">
        <v>97</v>
      </c>
      <c r="B101" s="10" t="n">
        <f aca="false">(A101-1)/12</f>
        <v>8</v>
      </c>
      <c r="C101" s="11" t="n">
        <f aca="false">Parametros!$B$5/(1+Parametros!$B$7*Parametros!$B$6*B101)^(1/Parametros!$B$7)</f>
        <v>193.89912210287</v>
      </c>
      <c r="D101" s="11" t="n">
        <f aca="false">IF(B101&lt;=Parametros!$B$17,C101,Parametros!$B$5/(1+Parametros!$B$7*Parametros!$B$6*Parametros!$B$17)^(1/Parametros!$B$7)*EXP(-Parametros!$B$8*(B101-Parametros!$B$17)))</f>
        <v>193.89912210287</v>
      </c>
      <c r="E101" s="12" t="n">
        <f aca="false">D101*30.4*IF(B101&lt;Parametros!$B$15,1,0)</f>
        <v>5894.53331192723</v>
      </c>
      <c r="F101" s="12" t="n">
        <f aca="false">C101*30.4*IF(B101&lt;Parametros!$B$15,1,0)</f>
        <v>5894.53331192723</v>
      </c>
      <c r="G101" s="12" t="n">
        <f aca="false">(E101*(Parametros!$B$9*(1-Parametros!$B$10)-Parametros!$B$11)-Parametros!$B$12*IF(B101&lt;Parametros!$B$15,1,0))/(1+Parametros!$B$14)^B101</f>
        <v>118994.413100309</v>
      </c>
    </row>
    <row r="102" customFormat="false" ht="15" hidden="false" customHeight="false" outlineLevel="0" collapsed="false">
      <c r="A102" s="0" t="n">
        <v>98</v>
      </c>
      <c r="B102" s="10" t="n">
        <f aca="false">(A102-1)/12</f>
        <v>8.08333333333333</v>
      </c>
      <c r="C102" s="11" t="n">
        <f aca="false">Parametros!$B$5/(1+Parametros!$B$7*Parametros!$B$6*B102)^(1/Parametros!$B$7)</f>
        <v>192.69664209469</v>
      </c>
      <c r="D102" s="11" t="n">
        <f aca="false">IF(B102&lt;=Parametros!$B$17,C102,Parametros!$B$5/(1+Parametros!$B$7*Parametros!$B$6*Parametros!$B$17)^(1/Parametros!$B$7)*EXP(-Parametros!$B$8*(B102-Parametros!$B$17)))</f>
        <v>192.69664209469</v>
      </c>
      <c r="E102" s="12" t="n">
        <f aca="false">D102*30.4*IF(B102&lt;Parametros!$B$15,1,0)</f>
        <v>5857.97791967858</v>
      </c>
      <c r="F102" s="12" t="n">
        <f aca="false">C102*30.4*IF(B102&lt;Parametros!$B$15,1,0)</f>
        <v>5857.97791967858</v>
      </c>
      <c r="G102" s="12" t="n">
        <f aca="false">(E102*(Parametros!$B$9*(1-Parametros!$B$10)-Parametros!$B$11)-Parametros!$B$12*IF(B102&lt;Parametros!$B$15,1,0))/(1+Parametros!$B$14)^B102</f>
        <v>117295.095001033</v>
      </c>
    </row>
    <row r="103" customFormat="false" ht="15" hidden="false" customHeight="false" outlineLevel="0" collapsed="false">
      <c r="A103" s="0" t="n">
        <v>99</v>
      </c>
      <c r="B103" s="10" t="n">
        <f aca="false">(A103-1)/12</f>
        <v>8.16666666666667</v>
      </c>
      <c r="C103" s="11" t="n">
        <f aca="false">Parametros!$B$5/(1+Parametros!$B$7*Parametros!$B$6*B103)^(1/Parametros!$B$7)</f>
        <v>191.512633478728</v>
      </c>
      <c r="D103" s="11" t="n">
        <f aca="false">IF(B103&lt;=Parametros!$B$17,C103,Parametros!$B$5/(1+Parametros!$B$7*Parametros!$B$6*Parametros!$B$17)^(1/Parametros!$B$7)*EXP(-Parametros!$B$8*(B103-Parametros!$B$17)))</f>
        <v>191.512633478728</v>
      </c>
      <c r="E103" s="12" t="n">
        <f aca="false">D103*30.4*IF(B103&lt;Parametros!$B$15,1,0)</f>
        <v>5821.98405775332</v>
      </c>
      <c r="F103" s="12" t="n">
        <f aca="false">C103*30.4*IF(B103&lt;Parametros!$B$15,1,0)</f>
        <v>5821.98405775332</v>
      </c>
      <c r="G103" s="12" t="n">
        <f aca="false">(E103*(Parametros!$B$9*(1-Parametros!$B$10)-Parametros!$B$11)-Parametros!$B$12*IF(B103&lt;Parametros!$B$15,1,0))/(1+Parametros!$B$14)^B103</f>
        <v>115626.767232284</v>
      </c>
    </row>
    <row r="104" customFormat="false" ht="15" hidden="false" customHeight="false" outlineLevel="0" collapsed="false">
      <c r="A104" s="0" t="n">
        <v>100</v>
      </c>
      <c r="B104" s="10" t="n">
        <f aca="false">(A104-1)/12</f>
        <v>8.25</v>
      </c>
      <c r="C104" s="11" t="n">
        <f aca="false">Parametros!$B$5/(1+Parametros!$B$7*Parametros!$B$6*B104)^(1/Parametros!$B$7)</f>
        <v>190.346646415078</v>
      </c>
      <c r="D104" s="11" t="n">
        <f aca="false">IF(B104&lt;=Parametros!$B$17,C104,Parametros!$B$5/(1+Parametros!$B$7*Parametros!$B$6*Parametros!$B$17)^(1/Parametros!$B$7)*EXP(-Parametros!$B$8*(B104-Parametros!$B$17)))</f>
        <v>190.346646415078</v>
      </c>
      <c r="E104" s="12" t="n">
        <f aca="false">D104*30.4*IF(B104&lt;Parametros!$B$15,1,0)</f>
        <v>5786.53805101837</v>
      </c>
      <c r="F104" s="12" t="n">
        <f aca="false">C104*30.4*IF(B104&lt;Parametros!$B$15,1,0)</f>
        <v>5786.53805101837</v>
      </c>
      <c r="G104" s="12" t="n">
        <f aca="false">(E104*(Parametros!$B$9*(1-Parametros!$B$10)-Parametros!$B$11)-Parametros!$B$12*IF(B104&lt;Parametros!$B$15,1,0))/(1+Parametros!$B$14)^B104</f>
        <v>113988.675359906</v>
      </c>
    </row>
    <row r="105" customFormat="false" ht="15" hidden="false" customHeight="false" outlineLevel="0" collapsed="false">
      <c r="A105" s="0" t="n">
        <v>101</v>
      </c>
      <c r="B105" s="10" t="n">
        <f aca="false">(A105-1)/12</f>
        <v>8.33333333333333</v>
      </c>
      <c r="C105" s="11" t="n">
        <f aca="false">Parametros!$B$5/(1+Parametros!$B$7*Parametros!$B$6*B105)^(1/Parametros!$B$7)</f>
        <v>189.198245990812</v>
      </c>
      <c r="D105" s="11" t="n">
        <f aca="false">IF(B105&lt;=Parametros!$B$17,C105,Parametros!$B$5/(1+Parametros!$B$7*Parametros!$B$6*Parametros!$B$17)^(1/Parametros!$B$7)*EXP(-Parametros!$B$8*(B105-Parametros!$B$17)))</f>
        <v>189.198245990812</v>
      </c>
      <c r="E105" s="12" t="n">
        <f aca="false">D105*30.4*IF(B105&lt;Parametros!$B$15,1,0)</f>
        <v>5751.62667812069</v>
      </c>
      <c r="F105" s="12" t="n">
        <f aca="false">C105*30.4*IF(B105&lt;Parametros!$B$15,1,0)</f>
        <v>5751.62667812069</v>
      </c>
      <c r="G105" s="12" t="n">
        <f aca="false">(E105*(Parametros!$B$9*(1-Parametros!$B$10)-Parametros!$B$11)-Parametros!$B$12*IF(B105&lt;Parametros!$B$15,1,0))/(1+Parametros!$B$14)^B105</f>
        <v>112380.089272636</v>
      </c>
    </row>
    <row r="106" customFormat="false" ht="15" hidden="false" customHeight="false" outlineLevel="0" collapsed="false">
      <c r="A106" s="0" t="n">
        <v>102</v>
      </c>
      <c r="B106" s="10" t="n">
        <f aca="false">(A106-1)/12</f>
        <v>8.41666666666667</v>
      </c>
      <c r="C106" s="11" t="n">
        <f aca="false">Parametros!$B$5/(1+Parametros!$B$7*Parametros!$B$6*B106)^(1/Parametros!$B$7)</f>
        <v>188.067011595223</v>
      </c>
      <c r="D106" s="11" t="n">
        <f aca="false">IF(B106&lt;=Parametros!$B$17,C106,Parametros!$B$5/(1+Parametros!$B$7*Parametros!$B$6*Parametros!$B$17)^(1/Parametros!$B$7)*EXP(-Parametros!$B$8*(B106-Parametros!$B$17)))</f>
        <v>188.067011595223</v>
      </c>
      <c r="E106" s="12" t="n">
        <f aca="false">D106*30.4*IF(B106&lt;Parametros!$B$15,1,0)</f>
        <v>5717.23715249477</v>
      </c>
      <c r="F106" s="12" t="n">
        <f aca="false">C106*30.4*IF(B106&lt;Parametros!$B$15,1,0)</f>
        <v>5717.23715249477</v>
      </c>
      <c r="G106" s="12" t="n">
        <f aca="false">(E106*(Parametros!$B$9*(1-Parametros!$B$10)-Parametros!$B$11)-Parametros!$B$12*IF(B106&lt;Parametros!$B$15,1,0))/(1+Parametros!$B$14)^B106</f>
        <v>110800.30218684</v>
      </c>
    </row>
    <row r="107" customFormat="false" ht="15" hidden="false" customHeight="false" outlineLevel="0" collapsed="false">
      <c r="A107" s="0" t="n">
        <v>103</v>
      </c>
      <c r="B107" s="10" t="n">
        <f aca="false">(A107-1)/12</f>
        <v>8.5</v>
      </c>
      <c r="C107" s="11" t="n">
        <f aca="false">Parametros!$B$5/(1+Parametros!$B$7*Parametros!$B$6*B107)^(1/Parametros!$B$7)</f>
        <v>186.952536326538</v>
      </c>
      <c r="D107" s="11" t="n">
        <f aca="false">IF(B107&lt;=Parametros!$B$17,C107,Parametros!$B$5/(1+Parametros!$B$7*Parametros!$B$6*Parametros!$B$17)^(1/Parametros!$B$7)*EXP(-Parametros!$B$8*(B107-Parametros!$B$17)))</f>
        <v>186.952536326538</v>
      </c>
      <c r="E107" s="12" t="n">
        <f aca="false">D107*30.4*IF(B107&lt;Parametros!$B$15,1,0)</f>
        <v>5683.35710432675</v>
      </c>
      <c r="F107" s="12" t="n">
        <f aca="false">C107*30.4*IF(B107&lt;Parametros!$B$15,1,0)</f>
        <v>5683.35710432675</v>
      </c>
      <c r="G107" s="12" t="n">
        <f aca="false">(E107*(Parametros!$B$9*(1-Parametros!$B$10)-Parametros!$B$11)-Parametros!$B$12*IF(B107&lt;Parametros!$B$15,1,0))/(1+Parametros!$B$14)^B107</f>
        <v>109248.629700662</v>
      </c>
    </row>
    <row r="108" customFormat="false" ht="15" hidden="false" customHeight="false" outlineLevel="0" collapsed="false">
      <c r="A108" s="0" t="n">
        <v>104</v>
      </c>
      <c r="B108" s="10" t="n">
        <f aca="false">(A108-1)/12</f>
        <v>8.58333333333333</v>
      </c>
      <c r="C108" s="11" t="n">
        <f aca="false">Parametros!$B$5/(1+Parametros!$B$7*Parametros!$B$6*B108)^(1/Parametros!$B$7)</f>
        <v>185.854426428258</v>
      </c>
      <c r="D108" s="11" t="n">
        <f aca="false">IF(B108&lt;=Parametros!$B$17,C108,Parametros!$B$5/(1+Parametros!$B$7*Parametros!$B$6*Parametros!$B$17)^(1/Parametros!$B$7)*EXP(-Parametros!$B$8*(B108-Parametros!$B$17)))</f>
        <v>185.854426428258</v>
      </c>
      <c r="E108" s="12" t="n">
        <f aca="false">D108*30.4*IF(B108&lt;Parametros!$B$15,1,0)</f>
        <v>5649.97456341905</v>
      </c>
      <c r="F108" s="12" t="n">
        <f aca="false">C108*30.4*IF(B108&lt;Parametros!$B$15,1,0)</f>
        <v>5649.97456341905</v>
      </c>
      <c r="G108" s="12" t="n">
        <f aca="false">(E108*(Parametros!$B$9*(1-Parametros!$B$10)-Parametros!$B$11)-Parametros!$B$12*IF(B108&lt;Parametros!$B$15,1,0))/(1+Parametros!$B$14)^B108</f>
        <v>107724.408894697</v>
      </c>
    </row>
    <row r="109" customFormat="false" ht="15" hidden="false" customHeight="false" outlineLevel="0" collapsed="false">
      <c r="A109" s="0" t="n">
        <v>105</v>
      </c>
      <c r="B109" s="10" t="n">
        <f aca="false">(A109-1)/12</f>
        <v>8.66666666666667</v>
      </c>
      <c r="C109" s="11" t="n">
        <f aca="false">Parametros!$B$5/(1+Parametros!$B$7*Parametros!$B$6*B109)^(1/Parametros!$B$7)</f>
        <v>184.77230075339</v>
      </c>
      <c r="D109" s="11" t="n">
        <f aca="false">IF(B109&lt;=Parametros!$B$17,C109,Parametros!$B$5/(1+Parametros!$B$7*Parametros!$B$6*Parametros!$B$17)^(1/Parametros!$B$7)*EXP(-Parametros!$B$8*(B109-Parametros!$B$17)))</f>
        <v>184.77230075339</v>
      </c>
      <c r="E109" s="12" t="n">
        <f aca="false">D109*30.4*IF(B109&lt;Parametros!$B$15,1,0)</f>
        <v>5617.07794290307</v>
      </c>
      <c r="F109" s="12" t="n">
        <f aca="false">C109*30.4*IF(B109&lt;Parametros!$B$15,1,0)</f>
        <v>5617.07794290307</v>
      </c>
      <c r="G109" s="12" t="n">
        <f aca="false">(E109*(Parametros!$B$9*(1-Parametros!$B$10)-Parametros!$B$11)-Parametros!$B$12*IF(B109&lt;Parametros!$B$15,1,0))/(1+Parametros!$B$14)^B109</f>
        <v>106226.997476527</v>
      </c>
    </row>
    <row r="110" customFormat="false" ht="15" hidden="false" customHeight="false" outlineLevel="0" collapsed="false">
      <c r="A110" s="0" t="n">
        <v>106</v>
      </c>
      <c r="B110" s="10" t="n">
        <f aca="false">(A110-1)/12</f>
        <v>8.75</v>
      </c>
      <c r="C110" s="11" t="n">
        <f aca="false">Parametros!$B$5/(1+Parametros!$B$7*Parametros!$B$6*B110)^(1/Parametros!$B$7)</f>
        <v>183.705790254964</v>
      </c>
      <c r="D110" s="11" t="n">
        <f aca="false">IF(B110&lt;=Parametros!$B$17,C110,Parametros!$B$5/(1+Parametros!$B$7*Parametros!$B$6*Parametros!$B$17)^(1/Parametros!$B$7)*EXP(-Parametros!$B$8*(B110-Parametros!$B$17)))</f>
        <v>183.705790254964</v>
      </c>
      <c r="E110" s="12" t="n">
        <f aca="false">D110*30.4*IF(B110&lt;Parametros!$B$15,1,0)</f>
        <v>5584.65602375092</v>
      </c>
      <c r="F110" s="12" t="n">
        <f aca="false">C110*30.4*IF(B110&lt;Parametros!$B$15,1,0)</f>
        <v>5584.65602375092</v>
      </c>
      <c r="G110" s="12" t="n">
        <f aca="false">(E110*(Parametros!$B$9*(1-Parametros!$B$10)-Parametros!$B$11)-Parametros!$B$12*IF(B110&lt;Parametros!$B$15,1,0))/(1+Parametros!$B$14)^B110</f>
        <v>104755.772966591</v>
      </c>
    </row>
    <row r="111" customFormat="false" ht="15" hidden="false" customHeight="false" outlineLevel="0" collapsed="false">
      <c r="A111" s="0" t="n">
        <v>107</v>
      </c>
      <c r="B111" s="10" t="n">
        <f aca="false">(A111-1)/12</f>
        <v>8.83333333333333</v>
      </c>
      <c r="C111" s="11" t="n">
        <f aca="false">Parametros!$B$5/(1+Parametros!$B$7*Parametros!$B$6*B111)^(1/Parametros!$B$7)</f>
        <v>182.654537501335</v>
      </c>
      <c r="D111" s="11" t="n">
        <f aca="false">IF(B111&lt;=Parametros!$B$17,C111,Parametros!$B$5/(1+Parametros!$B$7*Parametros!$B$6*Parametros!$B$17)^(1/Parametros!$B$7)*EXP(-Parametros!$B$8*(B111-Parametros!$B$17)))</f>
        <v>182.654537501335</v>
      </c>
      <c r="E111" s="12" t="n">
        <f aca="false">D111*30.4*IF(B111&lt;Parametros!$B$15,1,0)</f>
        <v>5552.69794004058</v>
      </c>
      <c r="F111" s="12" t="n">
        <f aca="false">C111*30.4*IF(B111&lt;Parametros!$B$15,1,0)</f>
        <v>5552.69794004058</v>
      </c>
      <c r="G111" s="12" t="n">
        <f aca="false">(E111*(Parametros!$B$9*(1-Parametros!$B$10)-Parametros!$B$11)-Parametros!$B$12*IF(B111&lt;Parametros!$B$15,1,0))/(1+Parametros!$B$14)^B111</f>
        <v>103310.13192306</v>
      </c>
    </row>
    <row r="112" customFormat="false" ht="15" hidden="false" customHeight="false" outlineLevel="0" collapsed="false">
      <c r="A112" s="0" t="n">
        <v>108</v>
      </c>
      <c r="B112" s="10" t="n">
        <f aca="false">(A112-1)/12</f>
        <v>8.91666666666667</v>
      </c>
      <c r="C112" s="11" t="n">
        <f aca="false">Parametros!$B$5/(1+Parametros!$B$7*Parametros!$B$6*B112)^(1/Parametros!$B$7)</f>
        <v>181.618196214859</v>
      </c>
      <c r="D112" s="11" t="n">
        <f aca="false">IF(B112&lt;=Parametros!$B$17,C112,Parametros!$B$5/(1+Parametros!$B$7*Parametros!$B$6*Parametros!$B$17)^(1/Parametros!$B$7)*EXP(-Parametros!$B$8*(B112-Parametros!$B$17)))</f>
        <v>181.618196214859</v>
      </c>
      <c r="E112" s="12" t="n">
        <f aca="false">D112*30.4*IF(B112&lt;Parametros!$B$15,1,0)</f>
        <v>5521.19316493172</v>
      </c>
      <c r="F112" s="12" t="n">
        <f aca="false">C112*30.4*IF(B112&lt;Parametros!$B$15,1,0)</f>
        <v>5521.19316493172</v>
      </c>
      <c r="G112" s="12" t="n">
        <f aca="false">(E112*(Parametros!$B$9*(1-Parametros!$B$10)-Parametros!$B$11)-Parametros!$B$12*IF(B112&lt;Parametros!$B$15,1,0))/(1+Parametros!$B$14)^B112</f>
        <v>101889.489203519</v>
      </c>
    </row>
    <row r="113" customFormat="false" ht="15" hidden="false" customHeight="false" outlineLevel="0" collapsed="false">
      <c r="A113" s="0" t="n">
        <v>109</v>
      </c>
      <c r="B113" s="10" t="n">
        <f aca="false">(A113-1)/12</f>
        <v>9</v>
      </c>
      <c r="C113" s="11" t="n">
        <f aca="false">Parametros!$B$5/(1+Parametros!$B$7*Parametros!$B$6*B113)^(1/Parametros!$B$7)</f>
        <v>180.596430832633</v>
      </c>
      <c r="D113" s="11" t="n">
        <f aca="false">IF(B113&lt;=Parametros!$B$17,C113,Parametros!$B$5/(1+Parametros!$B$7*Parametros!$B$6*Parametros!$B$17)^(1/Parametros!$B$7)*EXP(-Parametros!$B$8*(B113-Parametros!$B$17)))</f>
        <v>180.596430832633</v>
      </c>
      <c r="E113" s="12" t="n">
        <f aca="false">D113*30.4*IF(B113&lt;Parametros!$B$15,1,0)</f>
        <v>5490.13149731204</v>
      </c>
      <c r="F113" s="12" t="n">
        <f aca="false">C113*30.4*IF(B113&lt;Parametros!$B$15,1,0)</f>
        <v>5490.13149731204</v>
      </c>
      <c r="G113" s="12" t="n">
        <f aca="false">(E113*(Parametros!$B$9*(1-Parametros!$B$10)-Parametros!$B$11)-Parametros!$B$12*IF(B113&lt;Parametros!$B$15,1,0))/(1+Parametros!$B$14)^B113</f>
        <v>100493.277261416</v>
      </c>
    </row>
    <row r="114" customFormat="false" ht="15" hidden="false" customHeight="false" outlineLevel="0" collapsed="false">
      <c r="A114" s="0" t="n">
        <v>110</v>
      </c>
      <c r="B114" s="10" t="n">
        <f aca="false">(A114-1)/12</f>
        <v>9.08333333333333</v>
      </c>
      <c r="C114" s="11" t="n">
        <f aca="false">Parametros!$B$5/(1+Parametros!$B$7*Parametros!$B$6*B114)^(1/Parametros!$B$7)</f>
        <v>179.588916088059</v>
      </c>
      <c r="D114" s="11" t="n">
        <f aca="false">IF(B114&lt;=Parametros!$B$17,C114,Parametros!$B$5/(1+Parametros!$B$7*Parametros!$B$6*Parametros!$B$17)^(1/Parametros!$B$7)*EXP(-Parametros!$B$8*(B114-Parametros!$B$17)))</f>
        <v>179.588916088059</v>
      </c>
      <c r="E114" s="12" t="n">
        <f aca="false">D114*30.4*IF(B114&lt;Parametros!$B$15,1,0)</f>
        <v>5459.50304907699</v>
      </c>
      <c r="F114" s="12" t="n">
        <f aca="false">C114*30.4*IF(B114&lt;Parametros!$B$15,1,0)</f>
        <v>5459.50304907699</v>
      </c>
      <c r="G114" s="12" t="n">
        <f aca="false">(E114*(Parametros!$B$9*(1-Parametros!$B$10)-Parametros!$B$11)-Parametros!$B$12*IF(B114&lt;Parametros!$B$15,1,0))/(1+Parametros!$B$14)^B114</f>
        <v>99120.9454753485</v>
      </c>
    </row>
    <row r="115" customFormat="false" ht="15" hidden="false" customHeight="false" outlineLevel="0" collapsed="false">
      <c r="A115" s="0" t="n">
        <v>111</v>
      </c>
      <c r="B115" s="10" t="n">
        <f aca="false">(A115-1)/12</f>
        <v>9.16666666666667</v>
      </c>
      <c r="C115" s="11" t="n">
        <f aca="false">Parametros!$B$5/(1+Parametros!$B$7*Parametros!$B$6*B115)^(1/Parametros!$B$7)</f>
        <v>178.595336612092</v>
      </c>
      <c r="D115" s="11" t="n">
        <f aca="false">IF(B115&lt;=Parametros!$B$17,C115,Parametros!$B$5/(1+Parametros!$B$7*Parametros!$B$6*Parametros!$B$17)^(1/Parametros!$B$7)*EXP(-Parametros!$B$8*(B115-Parametros!$B$17)))</f>
        <v>178.595336612092</v>
      </c>
      <c r="E115" s="12" t="n">
        <f aca="false">D115*30.4*IF(B115&lt;Parametros!$B$15,1,0)</f>
        <v>5429.29823300759</v>
      </c>
      <c r="F115" s="12" t="n">
        <f aca="false">C115*30.4*IF(B115&lt;Parametros!$B$15,1,0)</f>
        <v>5429.29823300759</v>
      </c>
      <c r="G115" s="12" t="n">
        <f aca="false">(E115*(Parametros!$B$9*(1-Parametros!$B$10)-Parametros!$B$11)-Parametros!$B$12*IF(B115&lt;Parametros!$B$15,1,0))/(1+Parametros!$B$14)^B115</f>
        <v>97771.9595093885</v>
      </c>
    </row>
    <row r="116" customFormat="false" ht="15" hidden="false" customHeight="false" outlineLevel="0" collapsed="false">
      <c r="A116" s="0" t="n">
        <v>112</v>
      </c>
      <c r="B116" s="10" t="n">
        <f aca="false">(A116-1)/12</f>
        <v>9.25</v>
      </c>
      <c r="C116" s="11" t="n">
        <f aca="false">Parametros!$B$5/(1+Parametros!$B$7*Parametros!$B$6*B116)^(1/Parametros!$B$7)</f>
        <v>177.615386553081</v>
      </c>
      <c r="D116" s="11" t="n">
        <f aca="false">IF(B116&lt;=Parametros!$B$17,C116,Parametros!$B$5/(1+Parametros!$B$7*Parametros!$B$6*Parametros!$B$17)^(1/Parametros!$B$7)*EXP(-Parametros!$B$8*(B116-Parametros!$B$17)))</f>
        <v>177.615386553081</v>
      </c>
      <c r="E116" s="12" t="n">
        <f aca="false">D116*30.4*IF(B116&lt;Parametros!$B$15,1,0)</f>
        <v>5399.50775121367</v>
      </c>
      <c r="F116" s="12" t="n">
        <f aca="false">C116*30.4*IF(B116&lt;Parametros!$B$15,1,0)</f>
        <v>5399.50775121367</v>
      </c>
      <c r="G116" s="12" t="n">
        <f aca="false">(E116*(Parametros!$B$9*(1-Parametros!$B$10)-Parametros!$B$11)-Parametros!$B$12*IF(B116&lt;Parametros!$B$15,1,0))/(1+Parametros!$B$14)^B116</f>
        <v>96445.8007027729</v>
      </c>
    </row>
    <row r="117" customFormat="false" ht="15" hidden="false" customHeight="false" outlineLevel="0" collapsed="false">
      <c r="A117" s="0" t="n">
        <v>113</v>
      </c>
      <c r="B117" s="10" t="n">
        <f aca="false">(A117-1)/12</f>
        <v>9.33333333333333</v>
      </c>
      <c r="C117" s="11" t="n">
        <f aca="false">Parametros!$B$5/(1+Parametros!$B$7*Parametros!$B$6*B117)^(1/Parametros!$B$7)</f>
        <v>176.6487692142</v>
      </c>
      <c r="D117" s="11" t="n">
        <f aca="false">IF(B117&lt;=Parametros!$B$17,C117,Parametros!$B$5/(1+Parametros!$B$7*Parametros!$B$6*Parametros!$B$17)^(1/Parametros!$B$7)*EXP(-Parametros!$B$8*(B117-Parametros!$B$17)))</f>
        <v>176.6487692142</v>
      </c>
      <c r="E117" s="12" t="n">
        <f aca="false">D117*30.4*IF(B117&lt;Parametros!$B$15,1,0)</f>
        <v>5370.12258411168</v>
      </c>
      <c r="F117" s="12" t="n">
        <f aca="false">C117*30.4*IF(B117&lt;Parametros!$B$15,1,0)</f>
        <v>5370.12258411168</v>
      </c>
      <c r="G117" s="12" t="n">
        <f aca="false">(E117*(Parametros!$B$9*(1-Parametros!$B$10)-Parametros!$B$11)-Parametros!$B$12*IF(B117&lt;Parametros!$B$15,1,0))/(1+Parametros!$B$14)^B117</f>
        <v>95141.9654873643</v>
      </c>
    </row>
    <row r="118" customFormat="false" ht="15" hidden="false" customHeight="false" outlineLevel="0" collapsed="false">
      <c r="A118" s="0" t="n">
        <v>114</v>
      </c>
      <c r="B118" s="10" t="n">
        <f aca="false">(A118-1)/12</f>
        <v>9.41666666666667</v>
      </c>
      <c r="C118" s="11" t="n">
        <f aca="false">Parametros!$B$5/(1+Parametros!$B$7*Parametros!$B$6*B118)^(1/Parametros!$B$7)</f>
        <v>175.69519670751</v>
      </c>
      <c r="D118" s="11" t="n">
        <f aca="false">IF(B118&lt;=Parametros!$B$17,C118,Parametros!$B$5/(1+Parametros!$B$7*Parametros!$B$6*Parametros!$B$17)^(1/Parametros!$B$7)*EXP(-Parametros!$B$8*(B118-Parametros!$B$17)))</f>
        <v>175.69519670751</v>
      </c>
      <c r="E118" s="12" t="n">
        <f aca="false">D118*30.4*IF(B118&lt;Parametros!$B$15,1,0)</f>
        <v>5341.13397990831</v>
      </c>
      <c r="F118" s="12" t="n">
        <f aca="false">C118*30.4*IF(B118&lt;Parametros!$B$15,1,0)</f>
        <v>5341.13397990831</v>
      </c>
      <c r="G118" s="12" t="n">
        <f aca="false">(E118*(Parametros!$B$9*(1-Parametros!$B$10)-Parametros!$B$11)-Parametros!$B$12*IF(B118&lt;Parametros!$B$15,1,0))/(1+Parametros!$B$14)^B118</f>
        <v>93859.9648314081</v>
      </c>
    </row>
    <row r="119" customFormat="false" ht="15" hidden="false" customHeight="false" outlineLevel="0" collapsed="false">
      <c r="A119" s="0" t="n">
        <v>115</v>
      </c>
      <c r="B119" s="10" t="n">
        <f aca="false">(A119-1)/12</f>
        <v>9.5</v>
      </c>
      <c r="C119" s="11" t="n">
        <f aca="false">Parametros!$B$5/(1+Parametros!$B$7*Parametros!$B$6*B119)^(1/Parametros!$B$7)</f>
        <v>174.754389623773</v>
      </c>
      <c r="D119" s="11" t="n">
        <f aca="false">IF(B119&lt;=Parametros!$B$17,C119,Parametros!$B$5/(1+Parametros!$B$7*Parametros!$B$6*Parametros!$B$17)^(1/Parametros!$B$7)*EXP(-Parametros!$B$8*(B119-Parametros!$B$17)))</f>
        <v>174.754389623773</v>
      </c>
      <c r="E119" s="12" t="n">
        <f aca="false">D119*30.4*IF(B119&lt;Parametros!$B$15,1,0)</f>
        <v>5312.53344456269</v>
      </c>
      <c r="F119" s="12" t="n">
        <f aca="false">C119*30.4*IF(B119&lt;Parametros!$B$15,1,0)</f>
        <v>5312.53344456269</v>
      </c>
      <c r="G119" s="12" t="n">
        <f aca="false">(E119*(Parametros!$B$9*(1-Parametros!$B$10)-Parametros!$B$11)-Parametros!$B$12*IF(B119&lt;Parametros!$B$15,1,0))/(1+Parametros!$B$14)^B119</f>
        <v>92599.3237081877</v>
      </c>
    </row>
    <row r="120" customFormat="false" ht="15" hidden="false" customHeight="false" outlineLevel="0" collapsed="false">
      <c r="A120" s="0" t="n">
        <v>116</v>
      </c>
      <c r="B120" s="10" t="n">
        <f aca="false">(A120-1)/12</f>
        <v>9.58333333333333</v>
      </c>
      <c r="C120" s="11" t="n">
        <f aca="false">Parametros!$B$5/(1+Parametros!$B$7*Parametros!$B$6*B120)^(1/Parametros!$B$7)</f>
        <v>173.826076717168</v>
      </c>
      <c r="D120" s="11" t="n">
        <f aca="false">IF(B120&lt;=Parametros!$B$17,C120,Parametros!$B$5/(1+Parametros!$B$7*Parametros!$B$6*Parametros!$B$17)^(1/Parametros!$B$7)*EXP(-Parametros!$B$8*(B120-Parametros!$B$17)))</f>
        <v>173.826076717168</v>
      </c>
      <c r="E120" s="12" t="n">
        <f aca="false">D120*30.4*IF(B120&lt;Parametros!$B$15,1,0)</f>
        <v>5284.31273220189</v>
      </c>
      <c r="F120" s="12" t="n">
        <f aca="false">C120*30.4*IF(B120&lt;Parametros!$B$15,1,0)</f>
        <v>5284.31273220189</v>
      </c>
      <c r="G120" s="12" t="n">
        <f aca="false">(E120*(Parametros!$B$9*(1-Parametros!$B$10)-Parametros!$B$11)-Parametros!$B$12*IF(B120&lt;Parametros!$B$15,1,0))/(1+Parametros!$B$14)^B120</f>
        <v>91359.5805882731</v>
      </c>
    </row>
    <row r="121" customFormat="false" ht="15" hidden="false" customHeight="false" outlineLevel="0" collapsed="false">
      <c r="A121" s="0" t="n">
        <v>117</v>
      </c>
      <c r="B121" s="10" t="n">
        <f aca="false">(A121-1)/12</f>
        <v>9.66666666666667</v>
      </c>
      <c r="C121" s="11" t="n">
        <f aca="false">Parametros!$B$5/(1+Parametros!$B$7*Parametros!$B$6*B121)^(1/Parametros!$B$7)</f>
        <v>172.909994604138</v>
      </c>
      <c r="D121" s="11" t="n">
        <f aca="false">IF(B121&lt;=Parametros!$B$17,C121,Parametros!$B$5/(1+Parametros!$B$7*Parametros!$B$6*Parametros!$B$17)^(1/Parametros!$B$7)*EXP(-Parametros!$B$8*(B121-Parametros!$B$17)))</f>
        <v>172.909994604138</v>
      </c>
      <c r="E121" s="12" t="n">
        <f aca="false">D121*30.4*IF(B121&lt;Parametros!$B$15,1,0)</f>
        <v>5256.46383596579</v>
      </c>
      <c r="F121" s="12" t="n">
        <f aca="false">C121*30.4*IF(B121&lt;Parametros!$B$15,1,0)</f>
        <v>5256.46383596579</v>
      </c>
      <c r="G121" s="12" t="n">
        <f aca="false">(E121*(Parametros!$B$9*(1-Parametros!$B$10)-Parametros!$B$11)-Parametros!$B$12*IF(B121&lt;Parametros!$B$15,1,0))/(1+Parametros!$B$14)^B121</f>
        <v>90140.2869541319</v>
      </c>
    </row>
    <row r="122" customFormat="false" ht="15" hidden="false" customHeight="false" outlineLevel="0" collapsed="false">
      <c r="A122" s="0" t="n">
        <v>118</v>
      </c>
      <c r="B122" s="10" t="n">
        <f aca="false">(A122-1)/12</f>
        <v>9.75</v>
      </c>
      <c r="C122" s="11" t="n">
        <f aca="false">Parametros!$B$5/(1+Parametros!$B$7*Parametros!$B$6*B122)^(1/Parametros!$B$7)</f>
        <v>172.005887475616</v>
      </c>
      <c r="D122" s="11" t="n">
        <f aca="false">IF(B122&lt;=Parametros!$B$17,C122,Parametros!$B$5/(1+Parametros!$B$7*Parametros!$B$6*Parametros!$B$17)^(1/Parametros!$B$7)*EXP(-Parametros!$B$8*(B122-Parametros!$B$17)))</f>
        <v>172.005887475616</v>
      </c>
      <c r="E122" s="12" t="n">
        <f aca="false">D122*30.4*IF(B122&lt;Parametros!$B$15,1,0)</f>
        <v>5228.97897925872</v>
      </c>
      <c r="F122" s="12" t="n">
        <f aca="false">C122*30.4*IF(B122&lt;Parametros!$B$15,1,0)</f>
        <v>5228.97897925872</v>
      </c>
      <c r="G122" s="12" t="n">
        <f aca="false">(E122*(Parametros!$B$9*(1-Parametros!$B$10)-Parametros!$B$11)-Parametros!$B$12*IF(B122&lt;Parametros!$B$15,1,0))/(1+Parametros!$B$14)^B122</f>
        <v>88941.0068359454</v>
      </c>
    </row>
    <row r="123" customFormat="false" ht="15" hidden="false" customHeight="false" outlineLevel="0" collapsed="false">
      <c r="A123" s="0" t="n">
        <v>119</v>
      </c>
      <c r="B123" s="10" t="n">
        <f aca="false">(A123-1)/12</f>
        <v>9.83333333333333</v>
      </c>
      <c r="C123" s="11" t="n">
        <f aca="false">Parametros!$B$5/(1+Parametros!$B$7*Parametros!$B$6*B123)^(1/Parametros!$B$7)</f>
        <v>171.113506821944</v>
      </c>
      <c r="D123" s="11" t="n">
        <f aca="false">IF(B123&lt;=Parametros!$B$17,C123,Parametros!$B$5/(1+Parametros!$B$7*Parametros!$B$6*Parametros!$B$17)^(1/Parametros!$B$7)*EXP(-Parametros!$B$8*(B123-Parametros!$B$17)))</f>
        <v>171.113506821944</v>
      </c>
      <c r="E123" s="12" t="n">
        <f aca="false">D123*30.4*IF(B123&lt;Parametros!$B$15,1,0)</f>
        <v>5201.85060738709</v>
      </c>
      <c r="F123" s="12" t="n">
        <f aca="false">C123*30.4*IF(B123&lt;Parametros!$B$15,1,0)</f>
        <v>5201.85060738709</v>
      </c>
      <c r="G123" s="12" t="n">
        <f aca="false">(E123*(Parametros!$B$9*(1-Parametros!$B$10)-Parametros!$B$11)-Parametros!$B$12*IF(B123&lt;Parametros!$B$15,1,0))/(1+Parametros!$B$14)^B123</f>
        <v>87761.3163675442</v>
      </c>
    </row>
    <row r="124" customFormat="false" ht="15" hidden="false" customHeight="false" outlineLevel="0" collapsed="false">
      <c r="A124" s="0" t="n">
        <v>120</v>
      </c>
      <c r="B124" s="10" t="n">
        <f aca="false">(A124-1)/12</f>
        <v>9.91666666666667</v>
      </c>
      <c r="C124" s="11" t="n">
        <f aca="false">Parametros!$B$5/(1+Parametros!$B$7*Parametros!$B$6*B124)^(1/Parametros!$B$7)</f>
        <v>170.232611169828</v>
      </c>
      <c r="D124" s="11" t="n">
        <f aca="false">IF(B124&lt;=Parametros!$B$17,C124,Parametros!$B$5/(1+Parametros!$B$7*Parametros!$B$6*Parametros!$B$17)^(1/Parametros!$B$7)*EXP(-Parametros!$B$8*(B124-Parametros!$B$17)))</f>
        <v>170.232611169828</v>
      </c>
      <c r="E124" s="12" t="n">
        <f aca="false">D124*30.4*IF(B124&lt;Parametros!$B$15,1,0)</f>
        <v>5175.07137956278</v>
      </c>
      <c r="F124" s="12" t="n">
        <f aca="false">C124*30.4*IF(B124&lt;Parametros!$B$15,1,0)</f>
        <v>5175.07137956278</v>
      </c>
      <c r="G124" s="12" t="n">
        <f aca="false">(E124*(Parametros!$B$9*(1-Parametros!$B$10)-Parametros!$B$11)-Parametros!$B$12*IF(B124&lt;Parametros!$B$15,1,0))/(1+Parametros!$B$14)^B124</f>
        <v>86600.8033614373</v>
      </c>
    </row>
    <row r="125" customFormat="false" ht="15" hidden="false" customHeight="false" outlineLevel="0" collapsed="false">
      <c r="A125" s="0" t="n">
        <v>121</v>
      </c>
      <c r="B125" s="10" t="n">
        <f aca="false">(A125-1)/12</f>
        <v>10</v>
      </c>
      <c r="C125" s="11" t="n">
        <f aca="false">Parametros!$B$5/(1+Parametros!$B$7*Parametros!$B$6*B125)^(1/Parametros!$B$7)</f>
        <v>169.362965830718</v>
      </c>
      <c r="D125" s="11" t="n">
        <f aca="false">IF(B125&lt;=Parametros!$B$17,C125,Parametros!$B$5/(1+Parametros!$B$7*Parametros!$B$6*Parametros!$B$17)^(1/Parametros!$B$7)*EXP(-Parametros!$B$8*(B125-Parametros!$B$17)))</f>
        <v>169.362965830718</v>
      </c>
      <c r="E125" s="12" t="n">
        <f aca="false">D125*30.4*IF(B125&lt;Parametros!$B$15,1,0)</f>
        <v>5148.63416125384</v>
      </c>
      <c r="F125" s="12" t="n">
        <f aca="false">C125*30.4*IF(B125&lt;Parametros!$B$15,1,0)</f>
        <v>5148.63416125384</v>
      </c>
      <c r="G125" s="12" t="n">
        <f aca="false">(E125*(Parametros!$B$9*(1-Parametros!$B$10)-Parametros!$B$11)-Parametros!$B$12*IF(B125&lt;Parametros!$B$15,1,0))/(1+Parametros!$B$14)^B125</f>
        <v>85459.0669019722</v>
      </c>
    </row>
    <row r="126" customFormat="false" ht="15" hidden="false" customHeight="false" outlineLevel="0" collapsed="false">
      <c r="A126" s="0" t="n">
        <v>122</v>
      </c>
      <c r="B126" s="10" t="n">
        <f aca="false">(A126-1)/12</f>
        <v>10.0833333333333</v>
      </c>
      <c r="C126" s="11" t="n">
        <f aca="false">Parametros!$B$5/(1+Parametros!$B$7*Parametros!$B$6*B126)^(1/Parametros!$B$7)</f>
        <v>168.504342660027</v>
      </c>
      <c r="D126" s="11" t="n">
        <f aca="false">IF(B126&lt;=Parametros!$B$17,C126,Parametros!$B$5/(1+Parametros!$B$7*Parametros!$B$6*Parametros!$B$17)^(1/Parametros!$B$7)*EXP(-Parametros!$B$8*(B126-Parametros!$B$17)))</f>
        <v>168.504342660027</v>
      </c>
      <c r="E126" s="12" t="n">
        <f aca="false">D126*30.4*IF(B126&lt;Parametros!$B$15,1,0)</f>
        <v>5122.53201686482</v>
      </c>
      <c r="F126" s="12" t="n">
        <f aca="false">C126*30.4*IF(B126&lt;Parametros!$B$15,1,0)</f>
        <v>5122.53201686482</v>
      </c>
      <c r="G126" s="12" t="n">
        <f aca="false">(E126*(Parametros!$B$9*(1-Parametros!$B$10)-Parametros!$B$11)-Parametros!$B$12*IF(B126&lt;Parametros!$B$15,1,0))/(1+Parametros!$B$14)^B126</f>
        <v>84335.716955716</v>
      </c>
    </row>
    <row r="127" customFormat="false" ht="15" hidden="false" customHeight="false" outlineLevel="0" collapsed="false">
      <c r="A127" s="0" t="n">
        <v>123</v>
      </c>
      <c r="B127" s="10" t="n">
        <f aca="false">(A127-1)/12</f>
        <v>10.1666666666667</v>
      </c>
      <c r="C127" s="11" t="n">
        <f aca="false">Parametros!$B$5/(1+Parametros!$B$7*Parametros!$B$6*B127)^(1/Parametros!$B$7)</f>
        <v>167.656519826649</v>
      </c>
      <c r="D127" s="11" t="n">
        <f aca="false">IF(B127&lt;=Parametros!$B$17,C127,Parametros!$B$5/(1+Parametros!$B$7*Parametros!$B$6*Parametros!$B$17)^(1/Parametros!$B$7)*EXP(-Parametros!$B$8*(B127-Parametros!$B$17)))</f>
        <v>167.656519826649</v>
      </c>
      <c r="E127" s="12" t="n">
        <f aca="false">D127*30.4*IF(B127&lt;Parametros!$B$15,1,0)</f>
        <v>5096.75820273014</v>
      </c>
      <c r="F127" s="12" t="n">
        <f aca="false">C127*30.4*IF(B127&lt;Parametros!$B$15,1,0)</f>
        <v>5096.75820273014</v>
      </c>
      <c r="G127" s="12" t="n">
        <f aca="false">(E127*(Parametros!$B$9*(1-Parametros!$B$10)-Parametros!$B$11)-Parametros!$B$12*IF(B127&lt;Parametros!$B$15,1,0))/(1+Parametros!$B$14)^B127</f>
        <v>83230.3739982025</v>
      </c>
    </row>
    <row r="128" customFormat="false" ht="15" hidden="false" customHeight="false" outlineLevel="0" collapsed="false">
      <c r="A128" s="0" t="n">
        <v>124</v>
      </c>
      <c r="B128" s="10" t="n">
        <f aca="false">(A128-1)/12</f>
        <v>10.25</v>
      </c>
      <c r="C128" s="11" t="n">
        <f aca="false">Parametros!$B$5/(1+Parametros!$B$7*Parametros!$B$6*B128)^(1/Parametros!$B$7)</f>
        <v>166.819281592265</v>
      </c>
      <c r="D128" s="11" t="n">
        <f aca="false">IF(B128&lt;=Parametros!$B$17,C128,Parametros!$B$5/(1+Parametros!$B$7*Parametros!$B$6*Parametros!$B$17)^(1/Parametros!$B$7)*EXP(-Parametros!$B$8*(B128-Parametros!$B$17)))</f>
        <v>166.818934630606</v>
      </c>
      <c r="E128" s="12" t="n">
        <f aca="false">D128*30.4*IF(B128&lt;Parametros!$B$15,1,0)</f>
        <v>5071.29561277041</v>
      </c>
      <c r="F128" s="12" t="n">
        <f aca="false">C128*30.4*IF(B128&lt;Parametros!$B$15,1,0)</f>
        <v>5071.30616040486</v>
      </c>
      <c r="G128" s="12" t="n">
        <f aca="false">(E128*(Parametros!$B$9*(1-Parametros!$B$10)-Parametros!$B$11)-Parametros!$B$12*IF(B128&lt;Parametros!$B$15,1,0))/(1+Parametros!$B$14)^B128</f>
        <v>82142.4907635638</v>
      </c>
    </row>
    <row r="129" customFormat="false" ht="15" hidden="false" customHeight="false" outlineLevel="0" collapsed="false">
      <c r="A129" s="0" t="n">
        <v>125</v>
      </c>
      <c r="B129" s="10" t="n">
        <f aca="false">(A129-1)/12</f>
        <v>10.3333333333333</v>
      </c>
      <c r="C129" s="11" t="n">
        <f aca="false">Parametros!$B$5/(1+Parametros!$B$7*Parametros!$B$6*B129)^(1/Parametros!$B$7)</f>
        <v>165.992418099939</v>
      </c>
      <c r="D129" s="11" t="n">
        <f aca="false">IF(B129&lt;=Parametros!$B$17,C129,Parametros!$B$5/(1+Parametros!$B$7*Parametros!$B$6*Parametros!$B$17)^(1/Parametros!$B$7)*EXP(-Parametros!$B$8*(B129-Parametros!$B$17)))</f>
        <v>165.986921723081</v>
      </c>
      <c r="E129" s="12" t="n">
        <f aca="false">D129*30.4*IF(B129&lt;Parametros!$B$15,1,0)</f>
        <v>5046.00242038166</v>
      </c>
      <c r="F129" s="12" t="n">
        <f aca="false">C129*30.4*IF(B129&lt;Parametros!$B$15,1,0)</f>
        <v>5046.16951023814</v>
      </c>
      <c r="G129" s="12" t="n">
        <f aca="false">(E129*(Parametros!$B$9*(1-Parametros!$B$10)-Parametros!$B$11)-Parametros!$B$12*IF(B129&lt;Parametros!$B$15,1,0))/(1+Parametros!$B$14)^B129</f>
        <v>81069.4455805357</v>
      </c>
    </row>
    <row r="130" customFormat="false" ht="15" hidden="false" customHeight="false" outlineLevel="0" collapsed="false">
      <c r="A130" s="0" t="n">
        <v>126</v>
      </c>
      <c r="B130" s="10" t="n">
        <f aca="false">(A130-1)/12</f>
        <v>10.4166666666667</v>
      </c>
      <c r="C130" s="11" t="n">
        <f aca="false">Parametros!$B$5/(1+Parametros!$B$7*Parametros!$B$6*B130)^(1/Parametros!$B$7)</f>
        <v>165.175725171561</v>
      </c>
      <c r="D130" s="11" t="n">
        <f aca="false">IF(B130&lt;=Parametros!$B$17,C130,Parametros!$B$5/(1+Parametros!$B$7*Parametros!$B$6*Parametros!$B$17)^(1/Parametros!$B$7)*EXP(-Parametros!$B$8*(B130-Parametros!$B$17)))</f>
        <v>165.159058497244</v>
      </c>
      <c r="E130" s="12" t="n">
        <f aca="false">D130*30.4*IF(B130&lt;Parametros!$B$15,1,0)</f>
        <v>5020.83537831623</v>
      </c>
      <c r="F130" s="12" t="n">
        <f aca="false">C130*30.4*IF(B130&lt;Parametros!$B$15,1,0)</f>
        <v>5021.34204521545</v>
      </c>
      <c r="G130" s="12" t="n">
        <f aca="false">(E130*(Parametros!$B$9*(1-Parametros!$B$10)-Parametros!$B$11)-Parametros!$B$12*IF(B130&lt;Parametros!$B$15,1,0))/(1+Parametros!$B$14)^B130</f>
        <v>80010.331443778</v>
      </c>
    </row>
    <row r="131" customFormat="false" ht="15" hidden="false" customHeight="false" outlineLevel="0" collapsed="false">
      <c r="A131" s="0" t="n">
        <v>127</v>
      </c>
      <c r="B131" s="10" t="n">
        <f aca="false">(A131-1)/12</f>
        <v>10.5</v>
      </c>
      <c r="C131" s="11" t="n">
        <f aca="false">Parametros!$B$5/(1+Parametros!$B$7*Parametros!$B$6*B131)^(1/Parametros!$B$7)</f>
        <v>164.369004113698</v>
      </c>
      <c r="D131" s="11" t="n">
        <f aca="false">IF(B131&lt;=Parametros!$B$17,C131,Parametros!$B$5/(1+Parametros!$B$7*Parametros!$B$6*Parametros!$B$17)^(1/Parametros!$B$7)*EXP(-Parametros!$B$8*(B131-Parametros!$B$17)))</f>
        <v>164.335324256472</v>
      </c>
      <c r="E131" s="12" t="n">
        <f aca="false">D131*30.4*IF(B131&lt;Parametros!$B$15,1,0)</f>
        <v>4995.79385739676</v>
      </c>
      <c r="F131" s="12" t="n">
        <f aca="false">C131*30.4*IF(B131&lt;Parametros!$B$15,1,0)</f>
        <v>4996.81772505643</v>
      </c>
      <c r="G131" s="12" t="n">
        <f aca="false">(E131*(Parametros!$B$9*(1-Parametros!$B$10)-Parametros!$B$11)-Parametros!$B$12*IF(B131&lt;Parametros!$B$15,1,0))/(1+Parametros!$B$14)^B131</f>
        <v>78964.9681630513</v>
      </c>
    </row>
    <row r="132" customFormat="false" ht="15" hidden="false" customHeight="false" outlineLevel="0" collapsed="false">
      <c r="A132" s="0" t="n">
        <v>128</v>
      </c>
      <c r="B132" s="10" t="n">
        <f aca="false">(A132-1)/12</f>
        <v>10.5833333333333</v>
      </c>
      <c r="C132" s="11" t="n">
        <f aca="false">Parametros!$B$5/(1+Parametros!$B$7*Parametros!$B$6*B132)^(1/Parametros!$B$7)</f>
        <v>163.572061531447</v>
      </c>
      <c r="D132" s="11" t="n">
        <f aca="false">IF(B132&lt;=Parametros!$B$17,C132,Parametros!$B$5/(1+Parametros!$B$7*Parametros!$B$6*Parametros!$B$17)^(1/Parametros!$B$7)*EXP(-Parametros!$B$8*(B132-Parametros!$B$17)))</f>
        <v>163.515698407366</v>
      </c>
      <c r="E132" s="12" t="n">
        <f aca="false">D132*30.4*IF(B132&lt;Parametros!$B$15,1,0)</f>
        <v>4970.87723158393</v>
      </c>
      <c r="F132" s="12" t="n">
        <f aca="false">C132*30.4*IF(B132&lt;Parametros!$B$15,1,0)</f>
        <v>4972.59067055599</v>
      </c>
      <c r="G132" s="12" t="n">
        <f aca="false">(E132*(Parametros!$B$9*(1-Parametros!$B$10)-Parametros!$B$11)-Parametros!$B$12*IF(B132&lt;Parametros!$B$15,1,0))/(1+Parametros!$B$14)^B132</f>
        <v>77933.1778735045</v>
      </c>
    </row>
    <row r="133" customFormat="false" ht="15" hidden="false" customHeight="false" outlineLevel="0" collapsed="false">
      <c r="A133" s="0" t="n">
        <v>129</v>
      </c>
      <c r="B133" s="10" t="n">
        <f aca="false">(A133-1)/12</f>
        <v>10.6666666666667</v>
      </c>
      <c r="C133" s="11" t="n">
        <f aca="false">Parametros!$B$5/(1+Parametros!$B$7*Parametros!$B$6*B133)^(1/Parametros!$B$7)</f>
        <v>162.784709149899</v>
      </c>
      <c r="D133" s="11" t="n">
        <f aca="false">IF(B133&lt;=Parametros!$B$17,C133,Parametros!$B$5/(1+Parametros!$B$7*Parametros!$B$6*Parametros!$B$17)^(1/Parametros!$B$7)*EXP(-Parametros!$B$8*(B133-Parametros!$B$17)))</f>
        <v>162.700160459236</v>
      </c>
      <c r="E133" s="12" t="n">
        <f aca="false">D133*30.4*IF(B133&lt;Parametros!$B$15,1,0)</f>
        <v>4946.08487796078</v>
      </c>
      <c r="F133" s="12" t="n">
        <f aca="false">C133*30.4*IF(B133&lt;Parametros!$B$15,1,0)</f>
        <v>4948.65515815692</v>
      </c>
      <c r="G133" s="12" t="n">
        <f aca="false">(E133*(Parametros!$B$9*(1-Parametros!$B$10)-Parametros!$B$11)-Parametros!$B$12*IF(B133&lt;Parametros!$B$15,1,0))/(1+Parametros!$B$14)^B133</f>
        <v>76914.7850057073</v>
      </c>
    </row>
    <row r="134" customFormat="false" ht="15" hidden="false" customHeight="false" outlineLevel="0" collapsed="false">
      <c r="A134" s="0" t="n">
        <v>130</v>
      </c>
      <c r="B134" s="10" t="n">
        <f aca="false">(A134-1)/12</f>
        <v>10.75</v>
      </c>
      <c r="C134" s="11" t="n">
        <f aca="false">Parametros!$B$5/(1+Parametros!$B$7*Parametros!$B$6*B134)^(1/Parametros!$B$7)</f>
        <v>162.006763642862</v>
      </c>
      <c r="D134" s="11" t="n">
        <f aca="false">IF(B134&lt;=Parametros!$B$17,C134,Parametros!$B$5/(1+Parametros!$B$7*Parametros!$B$6*Parametros!$B$17)^(1/Parametros!$B$7)*EXP(-Parametros!$B$8*(B134-Parametros!$B$17)))</f>
        <v>161.888690023592</v>
      </c>
      <c r="E134" s="12" t="n">
        <f aca="false">D134*30.4*IF(B134&lt;Parametros!$B$15,1,0)</f>
        <v>4921.41617671719</v>
      </c>
      <c r="F134" s="12" t="n">
        <f aca="false">C134*30.4*IF(B134&lt;Parametros!$B$15,1,0)</f>
        <v>4925.005614743</v>
      </c>
      <c r="G134" s="12" t="n">
        <f aca="false">(E134*(Parametros!$B$9*(1-Parametros!$B$10)-Parametros!$B$11)-Parametros!$B$12*IF(B134&lt;Parametros!$B$15,1,0))/(1+Parametros!$B$14)^B134</f>
        <v>75909.6162560674</v>
      </c>
    </row>
    <row r="135" customFormat="false" ht="15" hidden="false" customHeight="false" outlineLevel="0" collapsed="false">
      <c r="A135" s="0" t="n">
        <v>131</v>
      </c>
      <c r="B135" s="10" t="n">
        <f aca="false">(A135-1)/12</f>
        <v>10.8333333333333</v>
      </c>
      <c r="C135" s="11" t="n">
        <f aca="false">Parametros!$B$5/(1+Parametros!$B$7*Parametros!$B$6*B135)^(1/Parametros!$B$7)</f>
        <v>161.238046468491</v>
      </c>
      <c r="D135" s="11" t="n">
        <f aca="false">IF(B135&lt;=Parametros!$B$17,C135,Parametros!$B$5/(1+Parametros!$B$7*Parametros!$B$6*Parametros!$B$17)^(1/Parametros!$B$7)*EXP(-Parametros!$B$8*(B135-Parametros!$B$17)))</f>
        <v>161.08126681363</v>
      </c>
      <c r="E135" s="12" t="n">
        <f aca="false">D135*30.4*IF(B135&lt;Parametros!$B$15,1,0)</f>
        <v>4896.87051113434</v>
      </c>
      <c r="F135" s="12" t="n">
        <f aca="false">C135*30.4*IF(B135&lt;Parametros!$B$15,1,0)</f>
        <v>4901.63661264211</v>
      </c>
      <c r="G135" s="12" t="n">
        <f aca="false">(E135*(Parametros!$B$9*(1-Parametros!$B$10)-Parametros!$B$11)-Parametros!$B$12*IF(B135&lt;Parametros!$B$15,1,0))/(1+Parametros!$B$14)^B135</f>
        <v>74917.5005576295</v>
      </c>
    </row>
    <row r="136" customFormat="false" ht="15" hidden="false" customHeight="false" outlineLevel="0" collapsed="false">
      <c r="A136" s="0" t="n">
        <v>132</v>
      </c>
      <c r="B136" s="10" t="n">
        <f aca="false">(A136-1)/12</f>
        <v>10.9166666666667</v>
      </c>
      <c r="C136" s="11" t="n">
        <f aca="false">Parametros!$B$5/(1+Parametros!$B$7*Parametros!$B$6*B136)^(1/Parametros!$B$7)</f>
        <v>160.478383711495</v>
      </c>
      <c r="D136" s="11" t="n">
        <f aca="false">IF(B136&lt;=Parametros!$B$17,C136,Parametros!$B$5/(1+Parametros!$B$7*Parametros!$B$6*Parametros!$B$17)^(1/Parametros!$B$7)*EXP(-Parametros!$B$8*(B136-Parametros!$B$17)))</f>
        <v>160.277870643728</v>
      </c>
      <c r="E136" s="12" t="n">
        <f aca="false">D136*30.4*IF(B136&lt;Parametros!$B$15,1,0)</f>
        <v>4872.44726756932</v>
      </c>
      <c r="F136" s="12" t="n">
        <f aca="false">C136*30.4*IF(B136&lt;Parametros!$B$15,1,0)</f>
        <v>4878.54286482946</v>
      </c>
      <c r="G136" s="12" t="n">
        <f aca="false">(E136*(Parametros!$B$9*(1-Parametros!$B$10)-Parametros!$B$11)-Parametros!$B$12*IF(B136&lt;Parametros!$B$15,1,0))/(1+Parametros!$B$14)^B136</f>
        <v>73938.2690512501</v>
      </c>
    </row>
    <row r="137" customFormat="false" ht="15" hidden="false" customHeight="false" outlineLevel="0" collapsed="false">
      <c r="A137" s="0" t="n">
        <v>133</v>
      </c>
      <c r="B137" s="10" t="n">
        <f aca="false">(A137-1)/12</f>
        <v>11</v>
      </c>
      <c r="C137" s="11" t="n">
        <f aca="false">Parametros!$B$5/(1+Parametros!$B$7*Parametros!$B$6*B137)^(1/Parametros!$B$7)</f>
        <v>159.727605931628</v>
      </c>
      <c r="D137" s="11" t="n">
        <f aca="false">IF(B137&lt;=Parametros!$B$17,C137,Parametros!$B$5/(1+Parametros!$B$7*Parametros!$B$6*Parametros!$B$17)^(1/Parametros!$B$7)*EXP(-Parametros!$B$8*(B137-Parametros!$B$17)))</f>
        <v>159.47848142894</v>
      </c>
      <c r="E137" s="12" t="n">
        <f aca="false">D137*30.4*IF(B137&lt;Parametros!$B$15,1,0)</f>
        <v>4848.14583543976</v>
      </c>
      <c r="F137" s="12" t="n">
        <f aca="false">C137*30.4*IF(B137&lt;Parametros!$B$15,1,0)</f>
        <v>4855.7192203215</v>
      </c>
      <c r="G137" s="12" t="n">
        <f aca="false">(E137*(Parametros!$B$9*(1-Parametros!$B$10)-Parametros!$B$11)-Parametros!$B$12*IF(B137&lt;Parametros!$B$15,1,0))/(1+Parametros!$B$14)^B137</f>
        <v>72971.7550571428</v>
      </c>
    </row>
    <row r="138" customFormat="false" ht="15" hidden="false" customHeight="false" outlineLevel="0" collapsed="false">
      <c r="A138" s="0" t="n">
        <v>134</v>
      </c>
      <c r="B138" s="10" t="n">
        <f aca="false">(A138-1)/12</f>
        <v>11.0833333333333</v>
      </c>
      <c r="C138" s="11" t="n">
        <f aca="false">Parametros!$B$5/(1+Parametros!$B$7*Parametros!$B$6*B138)^(1/Parametros!$B$7)</f>
        <v>158.985548018154</v>
      </c>
      <c r="D138" s="11" t="n">
        <f aca="false">IF(B138&lt;=Parametros!$B$17,C138,Parametros!$B$5/(1+Parametros!$B$7*Parametros!$B$6*Parametros!$B$17)^(1/Parametros!$B$7)*EXP(-Parametros!$B$8*(B138-Parametros!$B$17)))</f>
        <v>158.683079184493</v>
      </c>
      <c r="E138" s="12" t="n">
        <f aca="false">D138*30.4*IF(B138&lt;Parametros!$B$15,1,0)</f>
        <v>4823.96560720859</v>
      </c>
      <c r="F138" s="12" t="n">
        <f aca="false">C138*30.4*IF(B138&lt;Parametros!$B$15,1,0)</f>
        <v>4833.16065975188</v>
      </c>
      <c r="G138" s="12" t="n">
        <f aca="false">(E138*(Parametros!$B$9*(1-Parametros!$B$10)-Parametros!$B$11)-Parametros!$B$12*IF(B138&lt;Parametros!$B$15,1,0))/(1+Parametros!$B$14)^B138</f>
        <v>72017.7940467913</v>
      </c>
    </row>
    <row r="139" customFormat="false" ht="15" hidden="false" customHeight="false" outlineLevel="0" collapsed="false">
      <c r="A139" s="0" t="n">
        <v>135</v>
      </c>
      <c r="B139" s="10" t="n">
        <f aca="false">(A139-1)/12</f>
        <v>11.1666666666667</v>
      </c>
      <c r="C139" s="11" t="n">
        <f aca="false">Parametros!$B$5/(1+Parametros!$B$7*Parametros!$B$6*B139)^(1/Parametros!$B$7)</f>
        <v>158.252049050023</v>
      </c>
      <c r="D139" s="11" t="n">
        <f aca="false">IF(B139&lt;=Parametros!$B$17,C139,Parametros!$B$5/(1+Parametros!$B$7*Parametros!$B$6*Parametros!$B$17)^(1/Parametros!$B$7)*EXP(-Parametros!$B$8*(B139-Parametros!$B$17)))</f>
        <v>157.891644025291</v>
      </c>
      <c r="E139" s="12" t="n">
        <f aca="false">D139*30.4*IF(B139&lt;Parametros!$B$15,1,0)</f>
        <v>4799.90597836886</v>
      </c>
      <c r="F139" s="12" t="n">
        <f aca="false">C139*30.4*IF(B139&lt;Parametros!$B$15,1,0)</f>
        <v>4810.8622911207</v>
      </c>
      <c r="G139" s="12" t="n">
        <f aca="false">(E139*(Parametros!$B$9*(1-Parametros!$B$10)-Parametros!$B$11)-Parametros!$B$12*IF(B139&lt;Parametros!$B$15,1,0))/(1+Parametros!$B$14)^B139</f>
        <v>71076.2236152229</v>
      </c>
    </row>
    <row r="140" customFormat="false" ht="15" hidden="false" customHeight="false" outlineLevel="0" collapsed="false">
      <c r="A140" s="0" t="n">
        <v>136</v>
      </c>
      <c r="B140" s="10" t="n">
        <f aca="false">(A140-1)/12</f>
        <v>11.25</v>
      </c>
      <c r="C140" s="11" t="n">
        <f aca="false">Parametros!$B$5/(1+Parametros!$B$7*Parametros!$B$6*B140)^(1/Parametros!$B$7)</f>
        <v>157.526952161497</v>
      </c>
      <c r="D140" s="11" t="n">
        <f aca="false">IF(B140&lt;=Parametros!$B$17,C140,Parametros!$B$5/(1+Parametros!$B$7*Parametros!$B$6*Parametros!$B$17)^(1/Parametros!$B$7)*EXP(-Parametros!$B$8*(B140-Parametros!$B$17)))</f>
        <v>157.104156165414</v>
      </c>
      <c r="E140" s="12" t="n">
        <f aca="false">D140*30.4*IF(B140&lt;Parametros!$B$15,1,0)</f>
        <v>4775.96634742857</v>
      </c>
      <c r="F140" s="12" t="n">
        <f aca="false">C140*30.4*IF(B140&lt;Parametros!$B$15,1,0)</f>
        <v>4788.81934570949</v>
      </c>
      <c r="G140" s="12" t="n">
        <f aca="false">(E140*(Parametros!$B$9*(1-Parametros!$B$10)-Parametros!$B$11)-Parametros!$B$12*IF(B140&lt;Parametros!$B$15,1,0))/(1+Parametros!$B$14)^B140</f>
        <v>70146.8834536396</v>
      </c>
    </row>
    <row r="141" customFormat="false" ht="15" hidden="false" customHeight="false" outlineLevel="0" collapsed="false">
      <c r="A141" s="0" t="n">
        <v>137</v>
      </c>
      <c r="B141" s="10" t="n">
        <f aca="false">(A141-1)/12</f>
        <v>11.3333333333333</v>
      </c>
      <c r="C141" s="11" t="n">
        <f aca="false">Parametros!$B$5/(1+Parametros!$B$7*Parametros!$B$6*B141)^(1/Parametros!$B$7)</f>
        <v>156.810104412964</v>
      </c>
      <c r="D141" s="11" t="n">
        <f aca="false">IF(B141&lt;=Parametros!$B$17,C141,Parametros!$B$5/(1+Parametros!$B$7*Parametros!$B$6*Parametros!$B$17)^(1/Parametros!$B$7)*EXP(-Parametros!$B$8*(B141-Parametros!$B$17)))</f>
        <v>156.320595917623</v>
      </c>
      <c r="E141" s="12" t="n">
        <f aca="false">D141*30.4*IF(B141&lt;Parametros!$B$15,1,0)</f>
        <v>4752.14611589572</v>
      </c>
      <c r="F141" s="12" t="n">
        <f aca="false">C141*30.4*IF(B141&lt;Parametros!$B$15,1,0)</f>
        <v>4767.0271741541</v>
      </c>
      <c r="G141" s="12" t="n">
        <f aca="false">(E141*(Parametros!$B$9*(1-Parametros!$B$10)-Parametros!$B$11)-Parametros!$B$12*IF(B141&lt;Parametros!$B$15,1,0))/(1+Parametros!$B$14)^B141</f>
        <v>69229.6153224013</v>
      </c>
    </row>
    <row r="142" customFormat="false" ht="15" hidden="false" customHeight="false" outlineLevel="0" collapsed="false">
      <c r="A142" s="0" t="n">
        <v>138</v>
      </c>
      <c r="B142" s="10" t="n">
        <f aca="false">(A142-1)/12</f>
        <v>11.4166666666667</v>
      </c>
      <c r="C142" s="11" t="n">
        <f aca="false">Parametros!$B$5/(1+Parametros!$B$7*Parametros!$B$6*B142)^(1/Parametros!$B$7)</f>
        <v>156.101356666726</v>
      </c>
      <c r="D142" s="11" t="n">
        <f aca="false">IF(B142&lt;=Parametros!$B$17,C142,Parametros!$B$5/(1+Parametros!$B$7*Parametros!$B$6*Parametros!$B$17)^(1/Parametros!$B$7)*EXP(-Parametros!$B$8*(B142-Parametros!$B$17)))</f>
        <v>155.540943692871</v>
      </c>
      <c r="E142" s="12" t="n">
        <f aca="false">D142*30.4*IF(B142&lt;Parametros!$B$15,1,0)</f>
        <v>4728.44468826328</v>
      </c>
      <c r="F142" s="12" t="n">
        <f aca="false">C142*30.4*IF(B142&lt;Parametros!$B$15,1,0)</f>
        <v>4745.48124266848</v>
      </c>
      <c r="G142" s="12" t="n">
        <f aca="false">(E142*(Parametros!$B$9*(1-Parametros!$B$10)-Parametros!$B$11)-Parametros!$B$12*IF(B142&lt;Parametros!$B$15,1,0))/(1+Parametros!$B$14)^B142</f>
        <v>68324.2630243577</v>
      </c>
    </row>
    <row r="143" customFormat="false" ht="15" hidden="false" customHeight="false" outlineLevel="0" collapsed="false">
      <c r="A143" s="0" t="n">
        <v>139</v>
      </c>
      <c r="B143" s="10" t="n">
        <f aca="false">(A143-1)/12</f>
        <v>11.5</v>
      </c>
      <c r="C143" s="11" t="n">
        <f aca="false">Parametros!$B$5/(1+Parametros!$B$7*Parametros!$B$6*B143)^(1/Parametros!$B$7)</f>
        <v>155.400563467519</v>
      </c>
      <c r="D143" s="11" t="n">
        <f aca="false">IF(B143&lt;=Parametros!$B$17,C143,Parametros!$B$5/(1+Parametros!$B$7*Parametros!$B$6*Parametros!$B$17)^(1/Parametros!$B$7)*EXP(-Parametros!$B$8*(B143-Parametros!$B$17)))</f>
        <v>154.765179999813</v>
      </c>
      <c r="E143" s="12" t="n">
        <f aca="false">D143*30.4*IF(B143&lt;Parametros!$B$15,1,0)</f>
        <v>4704.86147199432</v>
      </c>
      <c r="F143" s="12" t="n">
        <f aca="false">C143*30.4*IF(B143&lt;Parametros!$B$15,1,0)</f>
        <v>4724.17712941259</v>
      </c>
      <c r="G143" s="12" t="n">
        <f aca="false">(E143*(Parametros!$B$9*(1-Parametros!$B$10)-Parametros!$B$11)-Parametros!$B$12*IF(B143&lt;Parametros!$B$15,1,0))/(1+Parametros!$B$14)^B143</f>
        <v>67430.6723785224</v>
      </c>
    </row>
    <row r="144" customFormat="false" ht="15" hidden="false" customHeight="false" outlineLevel="0" collapsed="false">
      <c r="A144" s="0" t="n">
        <v>140</v>
      </c>
      <c r="B144" s="10" t="n">
        <f aca="false">(A144-1)/12</f>
        <v>11.5833333333333</v>
      </c>
      <c r="C144" s="11" t="n">
        <f aca="false">Parametros!$B$5/(1+Parametros!$B$7*Parametros!$B$6*B144)^(1/Parametros!$B$7)</f>
        <v>154.707582927564</v>
      </c>
      <c r="D144" s="11" t="n">
        <f aca="false">IF(B144&lt;=Parametros!$B$17,C144,Parametros!$B$5/(1+Parametros!$B$7*Parametros!$B$6*Parametros!$B$17)^(1/Parametros!$B$7)*EXP(-Parametros!$B$8*(B144-Parametros!$B$17)))</f>
        <v>153.993285444316</v>
      </c>
      <c r="E144" s="12" t="n">
        <f aca="false">D144*30.4*IF(B144&lt;Parametros!$B$15,1,0)</f>
        <v>4681.3958775072</v>
      </c>
      <c r="F144" s="12" t="n">
        <f aca="false">C144*30.4*IF(B144&lt;Parametros!$B$15,1,0)</f>
        <v>4703.11052099794</v>
      </c>
      <c r="G144" s="12" t="n">
        <f aca="false">(E144*(Parametros!$B$9*(1-Parametros!$B$10)-Parametros!$B$11)-Parametros!$B$12*IF(B144&lt;Parametros!$B$15,1,0))/(1+Parametros!$B$14)^B144</f>
        <v>66548.6911940869</v>
      </c>
    </row>
    <row r="145" customFormat="false" ht="15" hidden="false" customHeight="false" outlineLevel="0" collapsed="false">
      <c r="A145" s="0" t="n">
        <v>141</v>
      </c>
      <c r="B145" s="10" t="n">
        <f aca="false">(A145-1)/12</f>
        <v>11.6666666666667</v>
      </c>
      <c r="C145" s="11" t="n">
        <f aca="false">Parametros!$B$5/(1+Parametros!$B$7*Parametros!$B$6*B145)^(1/Parametros!$B$7)</f>
        <v>154.022276615946</v>
      </c>
      <c r="D145" s="11" t="n">
        <f aca="false">IF(B145&lt;=Parametros!$B$17,C145,Parametros!$B$5/(1+Parametros!$B$7*Parametros!$B$6*Parametros!$B$17)^(1/Parametros!$B$7)*EXP(-Parametros!$B$8*(B145-Parametros!$B$17)))</f>
        <v>153.225240728975</v>
      </c>
      <c r="E145" s="12" t="n">
        <f aca="false">D145*30.4*IF(B145&lt;Parametros!$B$15,1,0)</f>
        <v>4658.04731816084</v>
      </c>
      <c r="F145" s="12" t="n">
        <f aca="false">C145*30.4*IF(B145&lt;Parametros!$B$15,1,0)</f>
        <v>4682.27720912476</v>
      </c>
      <c r="G145" s="12" t="n">
        <f aca="false">(E145*(Parametros!$B$9*(1-Parametros!$B$10)-Parametros!$B$11)-Parametros!$B$12*IF(B145&lt;Parametros!$B$15,1,0))/(1+Parametros!$B$14)^B145</f>
        <v>65678.1692447689</v>
      </c>
    </row>
    <row r="146" customFormat="false" ht="15" hidden="false" customHeight="false" outlineLevel="0" collapsed="false">
      <c r="A146" s="0" t="n">
        <v>142</v>
      </c>
      <c r="B146" s="10" t="n">
        <f aca="false">(A146-1)/12</f>
        <v>11.75</v>
      </c>
      <c r="C146" s="11" t="n">
        <f aca="false">Parametros!$B$5/(1+Parametros!$B$7*Parametros!$B$6*B146)^(1/Parametros!$B$7)</f>
        <v>153.344509452135</v>
      </c>
      <c r="D146" s="11" t="n">
        <f aca="false">IF(B146&lt;=Parametros!$B$17,C146,Parametros!$B$5/(1+Parametros!$B$7*Parametros!$B$6*Parametros!$B$17)^(1/Parametros!$B$7)*EXP(-Parametros!$B$8*(B146-Parametros!$B$17)))</f>
        <v>152.461026652633</v>
      </c>
      <c r="E146" s="12" t="n">
        <f aca="false">D146*30.4*IF(B146&lt;Parametros!$B$15,1,0)</f>
        <v>4634.81521024004</v>
      </c>
      <c r="F146" s="12" t="n">
        <f aca="false">C146*30.4*IF(B146&lt;Parametros!$B$15,1,0)</f>
        <v>4661.67308734489</v>
      </c>
      <c r="G146" s="12" t="n">
        <f aca="false">(E146*(Parametros!$B$9*(1-Parametros!$B$10)-Parametros!$B$11)-Parametros!$B$12*IF(B146&lt;Parametros!$B$15,1,0))/(1+Parametros!$B$14)^B146</f>
        <v>64818.9582434912</v>
      </c>
    </row>
    <row r="147" customFormat="false" ht="15" hidden="false" customHeight="false" outlineLevel="0" collapsed="false">
      <c r="A147" s="0" t="n">
        <v>143</v>
      </c>
      <c r="B147" s="10" t="n">
        <f aca="false">(A147-1)/12</f>
        <v>11.8333333333333</v>
      </c>
      <c r="C147" s="11" t="n">
        <f aca="false">Parametros!$B$5/(1+Parametros!$B$7*Parametros!$B$6*B147)^(1/Parametros!$B$7)</f>
        <v>152.674149603454</v>
      </c>
      <c r="D147" s="11" t="n">
        <f aca="false">IF(B147&lt;=Parametros!$B$17,C147,Parametros!$B$5/(1+Parametros!$B$7*Parametros!$B$6*Parametros!$B$17)^(1/Parametros!$B$7)*EXP(-Parametros!$B$8*(B147-Parametros!$B$17)))</f>
        <v>151.700624109898</v>
      </c>
      <c r="E147" s="12" t="n">
        <f aca="false">D147*30.4*IF(B147&lt;Parametros!$B$15,1,0)</f>
        <v>4611.6989729409</v>
      </c>
      <c r="F147" s="12" t="n">
        <f aca="false">C147*30.4*IF(B147&lt;Parametros!$B$15,1,0)</f>
        <v>4641.294147945</v>
      </c>
      <c r="G147" s="12" t="n">
        <f aca="false">(E147*(Parametros!$B$9*(1-Parametros!$B$10)-Parametros!$B$11)-Parametros!$B$12*IF(B147&lt;Parametros!$B$15,1,0))/(1+Parametros!$B$14)^B147</f>
        <v>63970.9118173861</v>
      </c>
    </row>
    <row r="148" customFormat="false" ht="15" hidden="false" customHeight="false" outlineLevel="0" collapsed="false">
      <c r="A148" s="0" t="n">
        <v>144</v>
      </c>
      <c r="B148" s="10" t="n">
        <f aca="false">(A148-1)/12</f>
        <v>11.9166666666667</v>
      </c>
      <c r="C148" s="11" t="n">
        <f aca="false">Parametros!$B$5/(1+Parametros!$B$7*Parametros!$B$6*B148)^(1/Parametros!$B$7)</f>
        <v>152.011068386344</v>
      </c>
      <c r="D148" s="11" t="n">
        <f aca="false">IF(B148&lt;=Parametros!$B$17,C148,Parametros!$B$5/(1+Parametros!$B$7*Parametros!$B$6*Parametros!$B$17)^(1/Parametros!$B$7)*EXP(-Parametros!$B$8*(B148-Parametros!$B$17)))</f>
        <v>150.944014090667</v>
      </c>
      <c r="E148" s="12" t="n">
        <f aca="false">D148*30.4*IF(B148&lt;Parametros!$B$15,1,0)</f>
        <v>4588.69802835627</v>
      </c>
      <c r="F148" s="12" t="n">
        <f aca="false">C148*30.4*IF(B148&lt;Parametros!$B$15,1,0)</f>
        <v>4621.13647894487</v>
      </c>
      <c r="G148" s="12" t="n">
        <f aca="false">(E148*(Parametros!$B$9*(1-Parametros!$B$10)-Parametros!$B$11)-Parametros!$B$12*IF(B148&lt;Parametros!$B$15,1,0))/(1+Parametros!$B$14)^B148</f>
        <v>63133.8854831224</v>
      </c>
    </row>
    <row r="149" customFormat="false" ht="15" hidden="false" customHeight="false" outlineLevel="0" collapsed="false">
      <c r="A149" s="0" t="n">
        <v>145</v>
      </c>
      <c r="B149" s="10" t="n">
        <f aca="false">(A149-1)/12</f>
        <v>12</v>
      </c>
      <c r="C149" s="11" t="n">
        <f aca="false">Parametros!$B$5/(1+Parametros!$B$7*Parametros!$B$6*B149)^(1/Parametros!$B$7)</f>
        <v>151.355140171241</v>
      </c>
      <c r="D149" s="11" t="n">
        <f aca="false">IF(B149&lt;=Parametros!$B$17,C149,Parametros!$B$5/(1+Parametros!$B$7*Parametros!$B$6*Parametros!$B$17)^(1/Parametros!$B$7)*EXP(-Parametros!$B$8*(B149-Parametros!$B$17)))</f>
        <v>150.191177679649</v>
      </c>
      <c r="E149" s="12" t="n">
        <f aca="false">D149*30.4*IF(B149&lt;Parametros!$B$15,1,0)</f>
        <v>4565.81180146134</v>
      </c>
      <c r="F149" s="12" t="n">
        <f aca="false">C149*30.4*IF(B149&lt;Parametros!$B$15,1,0)</f>
        <v>4601.19626120572</v>
      </c>
      <c r="G149" s="12" t="n">
        <f aca="false">(E149*(Parametros!$B$9*(1-Parametros!$B$10)-Parametros!$B$11)-Parametros!$B$12*IF(B149&lt;Parametros!$B$15,1,0))/(1+Parametros!$B$14)^B149</f>
        <v>62307.7366225496</v>
      </c>
    </row>
    <row r="150" customFormat="false" ht="15" hidden="false" customHeight="false" outlineLevel="0" collapsed="false">
      <c r="A150" s="0" t="n">
        <v>146</v>
      </c>
      <c r="B150" s="10" t="n">
        <f aca="false">(A150-1)/12</f>
        <v>12.0833333333333</v>
      </c>
      <c r="C150" s="11" t="n">
        <f aca="false">Parametros!$B$5/(1+Parametros!$B$7*Parametros!$B$6*B150)^(1/Parametros!$B$7)</f>
        <v>150.706242290921</v>
      </c>
      <c r="D150" s="11" t="n">
        <f aca="false">IF(B150&lt;=Parametros!$B$17,C150,Parametros!$B$5/(1+Parametros!$B$7*Parametros!$B$6*Parametros!$B$17)^(1/Parametros!$B$7)*EXP(-Parametros!$B$8*(B150-Parametros!$B$17)))</f>
        <v>149.442096055897</v>
      </c>
      <c r="E150" s="12" t="n">
        <f aca="false">D150*30.4*IF(B150&lt;Parametros!$B$15,1,0)</f>
        <v>4543.03972009926</v>
      </c>
      <c r="F150" s="12" t="n">
        <f aca="false">C150*30.4*IF(B150&lt;Parametros!$B$15,1,0)</f>
        <v>4581.469765644</v>
      </c>
      <c r="G150" s="12" t="n">
        <f aca="false">(E150*(Parametros!$B$9*(1-Parametros!$B$10)-Parametros!$B$11)-Parametros!$B$12*IF(B150&lt;Parametros!$B$15,1,0))/(1+Parametros!$B$14)^B150</f>
        <v>61492.3244586561</v>
      </c>
    </row>
    <row r="151" customFormat="false" ht="15" hidden="false" customHeight="false" outlineLevel="0" collapsed="false">
      <c r="A151" s="0" t="n">
        <v>147</v>
      </c>
      <c r="B151" s="10" t="n">
        <f aca="false">(A151-1)/12</f>
        <v>12.1666666666667</v>
      </c>
      <c r="C151" s="11" t="n">
        <f aca="false">Parametros!$B$5/(1+Parametros!$B$7*Parametros!$B$6*B151)^(1/Parametros!$B$7)</f>
        <v>150.064254952171</v>
      </c>
      <c r="D151" s="11" t="n">
        <f aca="false">IF(B151&lt;=Parametros!$B$17,C151,Parametros!$B$5/(1+Parametros!$B$7*Parametros!$B$6*Parametros!$B$17)^(1/Parametros!$B$7)*EXP(-Parametros!$B$8*(B151-Parametros!$B$17)))</f>
        <v>148.696750492329</v>
      </c>
      <c r="E151" s="12" t="n">
        <f aca="false">D151*30.4*IF(B151&lt;Parametros!$B$15,1,0)</f>
        <v>4520.38121496679</v>
      </c>
      <c r="F151" s="12" t="n">
        <f aca="false">C151*30.4*IF(B151&lt;Parametros!$B$15,1,0)</f>
        <v>4561.953350546</v>
      </c>
      <c r="G151" s="12" t="n">
        <f aca="false">(E151*(Parametros!$B$9*(1-Parametros!$B$10)-Parametros!$B$11)-Parametros!$B$12*IF(B151&lt;Parametros!$B$15,1,0))/(1+Parametros!$B$14)^B151</f>
        <v>60687.5100318366</v>
      </c>
    </row>
    <row r="152" customFormat="false" ht="15" hidden="false" customHeight="false" outlineLevel="0" collapsed="false">
      <c r="A152" s="0" t="n">
        <v>148</v>
      </c>
      <c r="B152" s="10" t="n">
        <f aca="false">(A152-1)/12</f>
        <v>12.25</v>
      </c>
      <c r="C152" s="11" t="n">
        <f aca="false">Parametros!$B$5/(1+Parametros!$B$7*Parametros!$B$6*B152)^(1/Parametros!$B$7)</f>
        <v>149.429061150628</v>
      </c>
      <c r="D152" s="11" t="n">
        <f aca="false">IF(B152&lt;=Parametros!$B$17,C152,Parametros!$B$5/(1+Parametros!$B$7*Parametros!$B$6*Parametros!$B$17)^(1/Parametros!$B$7)*EXP(-Parametros!$B$8*(B152-Parametros!$B$17)))</f>
        <v>147.955122355268</v>
      </c>
      <c r="E152" s="12" t="n">
        <f aca="false">D152*30.4*IF(B152&lt;Parametros!$B$15,1,0)</f>
        <v>4497.83571960014</v>
      </c>
      <c r="F152" s="12" t="n">
        <f aca="false">C152*30.4*IF(B152&lt;Parametros!$B$15,1,0)</f>
        <v>4542.64345897908</v>
      </c>
      <c r="G152" s="12" t="n">
        <f aca="false">(E152*(Parametros!$B$9*(1-Parametros!$B$10)-Parametros!$B$11)-Parametros!$B$12*IF(B152&lt;Parametros!$B$15,1,0))/(1+Parametros!$B$14)^B152</f>
        <v>59893.1561764657</v>
      </c>
    </row>
    <row r="153" customFormat="false" ht="15" hidden="false" customHeight="false" outlineLevel="0" collapsed="false">
      <c r="A153" s="0" t="n">
        <v>149</v>
      </c>
      <c r="B153" s="10" t="n">
        <f aca="false">(A153-1)/12</f>
        <v>12.3333333333333</v>
      </c>
      <c r="C153" s="11" t="n">
        <f aca="false">Parametros!$B$5/(1+Parametros!$B$7*Parametros!$B$6*B153)^(1/Parametros!$B$7)</f>
        <v>148.800546588667</v>
      </c>
      <c r="D153" s="11" t="n">
        <f aca="false">IF(B153&lt;=Parametros!$B$17,C153,Parametros!$B$5/(1+Parametros!$B$7*Parametros!$B$6*Parametros!$B$17)^(1/Parametros!$B$7)*EXP(-Parametros!$B$8*(B153-Parametros!$B$17)))</f>
        <v>147.217193103972</v>
      </c>
      <c r="E153" s="12" t="n">
        <f aca="false">D153*30.4*IF(B153&lt;Parametros!$B$15,1,0)</f>
        <v>4475.40267036074</v>
      </c>
      <c r="F153" s="12" t="n">
        <f aca="false">C153*30.4*IF(B153&lt;Parametros!$B$15,1,0)</f>
        <v>4523.53661629549</v>
      </c>
      <c r="G153" s="12" t="n">
        <f aca="false">(E153*(Parametros!$B$9*(1-Parametros!$B$10)-Parametros!$B$11)-Parametros!$B$12*IF(B153&lt;Parametros!$B$15,1,0))/(1+Parametros!$B$14)^B153</f>
        <v>59109.1274977725</v>
      </c>
    </row>
    <row r="154" customFormat="false" ht="15" hidden="false" customHeight="false" outlineLevel="0" collapsed="false">
      <c r="A154" s="0" t="n">
        <v>150</v>
      </c>
      <c r="B154" s="10" t="n">
        <f aca="false">(A154-1)/12</f>
        <v>12.4166666666667</v>
      </c>
      <c r="C154" s="11" t="n">
        <f aca="false">Parametros!$B$5/(1+Parametros!$B$7*Parametros!$B$6*B154)^(1/Parametros!$B$7)</f>
        <v>148.178599596212</v>
      </c>
      <c r="D154" s="11" t="n">
        <f aca="false">IF(B154&lt;=Parametros!$B$17,C154,Parametros!$B$5/(1+Parametros!$B$7*Parametros!$B$6*Parametros!$B$17)^(1/Parametros!$B$7)*EXP(-Parametros!$B$8*(B154-Parametros!$B$17)))</f>
        <v>146.482944290171</v>
      </c>
      <c r="E154" s="12" t="n">
        <f aca="false">D154*30.4*IF(B154&lt;Parametros!$B$15,1,0)</f>
        <v>4453.08150642119</v>
      </c>
      <c r="F154" s="12" t="n">
        <f aca="false">C154*30.4*IF(B154&lt;Parametros!$B$15,1,0)</f>
        <v>4504.62942772485</v>
      </c>
      <c r="G154" s="12" t="n">
        <f aca="false">(E154*(Parametros!$B$9*(1-Parametros!$B$10)-Parametros!$B$11)-Parametros!$B$12*IF(B154&lt;Parametros!$B$15,1,0))/(1+Parametros!$B$14)^B154</f>
        <v>58335.2903490138</v>
      </c>
    </row>
    <row r="155" customFormat="false" ht="15" hidden="false" customHeight="false" outlineLevel="0" collapsed="false">
      <c r="A155" s="0" t="n">
        <v>151</v>
      </c>
      <c r="B155" s="10" t="n">
        <f aca="false">(A155-1)/12</f>
        <v>12.5</v>
      </c>
      <c r="C155" s="11" t="n">
        <f aca="false">Parametros!$B$5/(1+Parametros!$B$7*Parametros!$B$6*B155)^(1/Parametros!$B$7)</f>
        <v>147.563111054331</v>
      </c>
      <c r="D155" s="11" t="n">
        <f aca="false">IF(B155&lt;=Parametros!$B$17,C155,Parametros!$B$5/(1+Parametros!$B$7*Parametros!$B$6*Parametros!$B$17)^(1/Parametros!$B$7)*EXP(-Parametros!$B$8*(B155-Parametros!$B$17)))</f>
        <v>145.752357557606</v>
      </c>
      <c r="E155" s="12" t="n">
        <f aca="false">D155*30.4*IF(B155&lt;Parametros!$B$15,1,0)</f>
        <v>4430.87166975123</v>
      </c>
      <c r="F155" s="12" t="n">
        <f aca="false">C155*30.4*IF(B155&lt;Parametros!$B$15,1,0)</f>
        <v>4485.91857605166</v>
      </c>
      <c r="G155" s="12" t="n">
        <f aca="false">(E155*(Parametros!$B$9*(1-Parametros!$B$10)-Parametros!$B$11)-Parametros!$B$12*IF(B155&lt;Parametros!$B$15,1,0))/(1+Parametros!$B$14)^B155</f>
        <v>57571.5128089407</v>
      </c>
    </row>
    <row r="156" customFormat="false" ht="15" hidden="false" customHeight="false" outlineLevel="0" collapsed="false">
      <c r="A156" s="0" t="n">
        <v>152</v>
      </c>
      <c r="B156" s="10" t="n">
        <f aca="false">(A156-1)/12</f>
        <v>12.5833333333333</v>
      </c>
      <c r="C156" s="11" t="n">
        <f aca="false">Parametros!$B$5/(1+Parametros!$B$7*Parametros!$B$6*B156)^(1/Parametros!$B$7)</f>
        <v>146.95397432152</v>
      </c>
      <c r="D156" s="11" t="n">
        <f aca="false">IF(B156&lt;=Parametros!$B$17,C156,Parametros!$B$5/(1+Parametros!$B$7*Parametros!$B$6*Parametros!$B$17)^(1/Parametros!$B$7)*EXP(-Parametros!$B$8*(B156-Parametros!$B$17)))</f>
        <v>145.025414641572</v>
      </c>
      <c r="E156" s="12" t="n">
        <f aca="false">D156*30.4*IF(B156&lt;Parametros!$B$15,1,0)</f>
        <v>4408.77260510379</v>
      </c>
      <c r="F156" s="12" t="n">
        <f aca="false">C156*30.4*IF(B156&lt;Parametros!$B$15,1,0)</f>
        <v>4467.40081937422</v>
      </c>
      <c r="G156" s="12" t="n">
        <f aca="false">(E156*(Parametros!$B$9*(1-Parametros!$B$10)-Parametros!$B$11)-Parametros!$B$12*IF(B156&lt;Parametros!$B$15,1,0))/(1+Parametros!$B$14)^B156</f>
        <v>56817.6646595553</v>
      </c>
    </row>
    <row r="157" customFormat="false" ht="15" hidden="false" customHeight="false" outlineLevel="0" collapsed="false">
      <c r="A157" s="0" t="n">
        <v>153</v>
      </c>
      <c r="B157" s="10" t="n">
        <f aca="false">(A157-1)/12</f>
        <v>12.6666666666667</v>
      </c>
      <c r="C157" s="11" t="n">
        <f aca="false">Parametros!$B$5/(1+Parametros!$B$7*Parametros!$B$6*B157)^(1/Parametros!$B$7)</f>
        <v>146.35108516256</v>
      </c>
      <c r="D157" s="11" t="n">
        <f aca="false">IF(B157&lt;=Parametros!$B$17,C157,Parametros!$B$5/(1+Parametros!$B$7*Parametros!$B$6*Parametros!$B$17)^(1/Parametros!$B$7)*EXP(-Parametros!$B$8*(B157-Parametros!$B$17)))</f>
        <v>144.302097368457</v>
      </c>
      <c r="E157" s="12" t="n">
        <f aca="false">D157*30.4*IF(B157&lt;Parametros!$B$15,1,0)</f>
        <v>4386.7837600011</v>
      </c>
      <c r="F157" s="12" t="n">
        <f aca="false">C157*30.4*IF(B157&lt;Parametros!$B$15,1,0)</f>
        <v>4449.07298894182</v>
      </c>
      <c r="G157" s="12" t="n">
        <f aca="false">(E157*(Parametros!$B$9*(1-Parametros!$B$10)-Parametros!$B$11)-Parametros!$B$12*IF(B157&lt;Parametros!$B$15,1,0))/(1+Parametros!$B$14)^B157</f>
        <v>56073.6173641545</v>
      </c>
    </row>
    <row r="158" customFormat="false" ht="15" hidden="false" customHeight="false" outlineLevel="0" collapsed="false">
      <c r="A158" s="0" t="n">
        <v>154</v>
      </c>
      <c r="B158" s="10" t="n">
        <f aca="false">(A158-1)/12</f>
        <v>12.75</v>
      </c>
      <c r="C158" s="11" t="n">
        <f aca="false">Parametros!$B$5/(1+Parametros!$B$7*Parametros!$B$6*B158)^(1/Parametros!$B$7)</f>
        <v>145.754341679829</v>
      </c>
      <c r="D158" s="11" t="n">
        <f aca="false">IF(B158&lt;=Parametros!$B$17,C158,Parametros!$B$5/(1+Parametros!$B$7*Parametros!$B$6*Parametros!$B$17)^(1/Parametros!$B$7)*EXP(-Parametros!$B$8*(B158-Parametros!$B$17)))</f>
        <v>143.582387655293</v>
      </c>
      <c r="E158" s="12" t="n">
        <f aca="false">D158*30.4*IF(B158&lt;Parametros!$B$15,1,0)</f>
        <v>4364.90458472089</v>
      </c>
      <c r="F158" s="12" t="n">
        <f aca="false">C158*30.4*IF(B158&lt;Parametros!$B$15,1,0)</f>
        <v>4430.9319870668</v>
      </c>
      <c r="G158" s="12" t="n">
        <f aca="false">(E158*(Parametros!$B$9*(1-Parametros!$B$10)-Parametros!$B$11)-Parametros!$B$12*IF(B158&lt;Parametros!$B$15,1,0))/(1+Parametros!$B$14)^B158</f>
        <v>55339.2440456561</v>
      </c>
    </row>
    <row r="159" customFormat="false" ht="15" hidden="false" customHeight="false" outlineLevel="0" collapsed="false">
      <c r="A159" s="0" t="n">
        <v>155</v>
      </c>
      <c r="B159" s="10" t="n">
        <f aca="false">(A159-1)/12</f>
        <v>12.8333333333333</v>
      </c>
      <c r="C159" s="11" t="n">
        <f aca="false">Parametros!$B$5/(1+Parametros!$B$7*Parametros!$B$6*B159)^(1/Parametros!$B$7)</f>
        <v>145.163644246992</v>
      </c>
      <c r="D159" s="11" t="n">
        <f aca="false">IF(B159&lt;=Parametros!$B$17,C159,Parametros!$B$5/(1+Parametros!$B$7*Parametros!$B$6*Parametros!$B$17)^(1/Parametros!$B$7)*EXP(-Parametros!$B$8*(B159-Parametros!$B$17)))</f>
        <v>142.866267509297</v>
      </c>
      <c r="E159" s="12" t="n">
        <f aca="false">D159*30.4*IF(B159&lt;Parametros!$B$15,1,0)</f>
        <v>4343.13453228264</v>
      </c>
      <c r="F159" s="12" t="n">
        <f aca="false">C159*30.4*IF(B159&lt;Parametros!$B$15,1,0)</f>
        <v>4412.97478510857</v>
      </c>
      <c r="G159" s="12" t="n">
        <f aca="false">(E159*(Parametros!$B$9*(1-Parametros!$B$10)-Parametros!$B$11)-Parametros!$B$12*IF(B159&lt;Parametros!$B$15,1,0))/(1+Parametros!$B$14)^B159</f>
        <v>54614.4194652039</v>
      </c>
    </row>
    <row r="160" customFormat="false" ht="15" hidden="false" customHeight="false" outlineLevel="0" collapsed="false">
      <c r="A160" s="0" t="n">
        <v>156</v>
      </c>
      <c r="B160" s="10" t="n">
        <f aca="false">(A160-1)/12</f>
        <v>12.9166666666667</v>
      </c>
      <c r="C160" s="11" t="n">
        <f aca="false">Parametros!$B$5/(1+Parametros!$B$7*Parametros!$B$6*B160)^(1/Parametros!$B$7)</f>
        <v>144.578895444956</v>
      </c>
      <c r="D160" s="11" t="n">
        <f aca="false">IF(B160&lt;=Parametros!$B$17,C160,Parametros!$B$5/(1+Parametros!$B$7*Parametros!$B$6*Parametros!$B$17)^(1/Parametros!$B$7)*EXP(-Parametros!$B$8*(B160-Parametros!$B$17)))</f>
        <v>142.153719027431</v>
      </c>
      <c r="E160" s="12" t="n">
        <f aca="false">D160*30.4*IF(B160&lt;Parametros!$B$15,1,0)</f>
        <v>4321.4730584339</v>
      </c>
      <c r="F160" s="12" t="n">
        <f aca="false">C160*30.4*IF(B160&lt;Parametros!$B$15,1,0)</f>
        <v>4395.19842152666</v>
      </c>
      <c r="G160" s="12" t="n">
        <f aca="false">(E160*(Parametros!$B$9*(1-Parametros!$B$10)-Parametros!$B$11)-Parametros!$B$12*IF(B160&lt;Parametros!$B$15,1,0))/(1+Parametros!$B$14)^B160</f>
        <v>53899.0200010487</v>
      </c>
    </row>
    <row r="161" customFormat="false" ht="15" hidden="false" customHeight="false" outlineLevel="0" collapsed="false">
      <c r="A161" s="0" t="n">
        <v>157</v>
      </c>
      <c r="B161" s="10" t="n">
        <f aca="false">(A161-1)/12</f>
        <v>13</v>
      </c>
      <c r="C161" s="11" t="n">
        <f aca="false">Parametros!$B$5/(1+Parametros!$B$7*Parametros!$B$6*B161)^(1/Parametros!$B$7)</f>
        <v>144</v>
      </c>
      <c r="D161" s="11" t="n">
        <f aca="false">IF(B161&lt;=Parametros!$B$17,C161,Parametros!$B$5/(1+Parametros!$B$7*Parametros!$B$6*Parametros!$B$17)^(1/Parametros!$B$7)*EXP(-Parametros!$B$8*(B161-Parametros!$B$17)))</f>
        <v>141.444724395944</v>
      </c>
      <c r="E161" s="12" t="n">
        <f aca="false">D161*30.4*IF(B161&lt;Parametros!$B$15,1,0)</f>
        <v>4299.9196216367</v>
      </c>
      <c r="F161" s="12" t="n">
        <f aca="false">C161*30.4*IF(B161&lt;Parametros!$B$15,1,0)</f>
        <v>4377.6</v>
      </c>
      <c r="G161" s="12" t="n">
        <f aca="false">(E161*(Parametros!$B$9*(1-Parametros!$B$10)-Parametros!$B$11)-Parametros!$B$12*IF(B161&lt;Parametros!$B$15,1,0))/(1+Parametros!$B$14)^B161</f>
        <v>53192.9236277014</v>
      </c>
    </row>
    <row r="162" customFormat="false" ht="15" hidden="false" customHeight="false" outlineLevel="0" collapsed="false">
      <c r="A162" s="0" t="n">
        <v>158</v>
      </c>
      <c r="B162" s="10" t="n">
        <f aca="false">(A162-1)/12</f>
        <v>13.0833333333333</v>
      </c>
      <c r="C162" s="11" t="n">
        <f aca="false">Parametros!$B$5/(1+Parametros!$B$7*Parametros!$B$6*B162)^(1/Parametros!$B$7)</f>
        <v>143.42686472401</v>
      </c>
      <c r="D162" s="11" t="n">
        <f aca="false">IF(B162&lt;=Parametros!$B$17,C162,Parametros!$B$5/(1+Parametros!$B$7*Parametros!$B$6*Parametros!$B$17)^(1/Parametros!$B$7)*EXP(-Parametros!$B$8*(B162-Parametros!$B$17)))</f>
        <v>140.739265889934</v>
      </c>
      <c r="E162" s="12" t="n">
        <f aca="false">D162*30.4*IF(B162&lt;Parametros!$B$15,1,0)</f>
        <v>4278.47368305399</v>
      </c>
      <c r="F162" s="12" t="n">
        <f aca="false">C162*30.4*IF(B162&lt;Parametros!$B$15,1,0)</f>
        <v>4360.17668760989</v>
      </c>
      <c r="G162" s="12" t="n">
        <f aca="false">(E162*(Parametros!$B$9*(1-Parametros!$B$10)-Parametros!$B$11)-Parametros!$B$12*IF(B162&lt;Parametros!$B$15,1,0))/(1+Parametros!$B$14)^B162</f>
        <v>52496.0098953538</v>
      </c>
    </row>
    <row r="163" customFormat="false" ht="15" hidden="false" customHeight="false" outlineLevel="0" collapsed="false">
      <c r="A163" s="0" t="n">
        <v>159</v>
      </c>
      <c r="B163" s="10" t="n">
        <f aca="false">(A163-1)/12</f>
        <v>13.1666666666667</v>
      </c>
      <c r="C163" s="11" t="n">
        <f aca="false">Parametros!$B$5/(1+Parametros!$B$7*Parametros!$B$6*B163)^(1/Parametros!$B$7)</f>
        <v>142.859398456711</v>
      </c>
      <c r="D163" s="11" t="n">
        <f aca="false">IF(B163&lt;=Parametros!$B$17,C163,Parametros!$B$5/(1+Parametros!$B$7*Parametros!$B$6*Parametros!$B$17)^(1/Parametros!$B$7)*EXP(-Parametros!$B$8*(B163-Parametros!$B$17)))</f>
        <v>140.037325872901</v>
      </c>
      <c r="E163" s="12" t="n">
        <f aca="false">D163*30.4*IF(B163&lt;Parametros!$B$15,1,0)</f>
        <v>4257.1347065362</v>
      </c>
      <c r="F163" s="12" t="n">
        <f aca="false">C163*30.4*IF(B163&lt;Parametros!$B$15,1,0)</f>
        <v>4342.92571308401</v>
      </c>
      <c r="G163" s="12" t="n">
        <f aca="false">(E163*(Parametros!$B$9*(1-Parametros!$B$10)-Parametros!$B$11)-Parametros!$B$12*IF(B163&lt;Parametros!$B$15,1,0))/(1+Parametros!$B$14)^B163</f>
        <v>51808.1599095655</v>
      </c>
    </row>
    <row r="164" customFormat="false" ht="15" hidden="false" customHeight="false" outlineLevel="0" collapsed="false">
      <c r="A164" s="0" t="n">
        <v>160</v>
      </c>
      <c r="B164" s="10" t="n">
        <f aca="false">(A164-1)/12</f>
        <v>13.25</v>
      </c>
      <c r="C164" s="11" t="n">
        <f aca="false">Parametros!$B$5/(1+Parametros!$B$7*Parametros!$B$6*B164)^(1/Parametros!$B$7)</f>
        <v>142.297512009841</v>
      </c>
      <c r="D164" s="11" t="n">
        <f aca="false">IF(B164&lt;=Parametros!$B$17,C164,Parametros!$B$5/(1+Parametros!$B$7*Parametros!$B$6*Parametros!$B$17)^(1/Parametros!$B$7)*EXP(-Parametros!$B$8*(B164-Parametros!$B$17)))</f>
        <v>139.338886796309</v>
      </c>
      <c r="E164" s="12" t="n">
        <f aca="false">D164*30.4*IF(B164&lt;Parametros!$B$15,1,0)</f>
        <v>4235.9021586078</v>
      </c>
      <c r="F164" s="12" t="n">
        <f aca="false">C164*30.4*IF(B164&lt;Parametros!$B$15,1,0)</f>
        <v>4325.84436509917</v>
      </c>
      <c r="G164" s="12" t="n">
        <f aca="false">(E164*(Parametros!$B$9*(1-Parametros!$B$10)-Parametros!$B$11)-Parametros!$B$12*IF(B164&lt;Parametros!$B$15,1,0))/(1+Parametros!$B$14)^B164</f>
        <v>51129.2563112118</v>
      </c>
    </row>
    <row r="165" customFormat="false" ht="15" hidden="false" customHeight="false" outlineLevel="0" collapsed="false">
      <c r="A165" s="0" t="n">
        <v>161</v>
      </c>
      <c r="B165" s="10" t="n">
        <f aca="false">(A165-1)/12</f>
        <v>13.3333333333333</v>
      </c>
      <c r="C165" s="11" t="n">
        <f aca="false">Parametros!$B$5/(1+Parametros!$B$7*Parametros!$B$6*B165)^(1/Parametros!$B$7)</f>
        <v>141.741118113173</v>
      </c>
      <c r="D165" s="11" t="n">
        <f aca="false">IF(B165&lt;=Parametros!$B$17,C165,Parametros!$B$5/(1+Parametros!$B$7*Parametros!$B$6*Parametros!$B$17)^(1/Parametros!$B$7)*EXP(-Parametros!$B$8*(B165-Parametros!$B$17)))</f>
        <v>138.643931199144</v>
      </c>
      <c r="E165" s="12" t="n">
        <f aca="false">D165*30.4*IF(B165&lt;Parametros!$B$15,1,0)</f>
        <v>4214.77550845398</v>
      </c>
      <c r="F165" s="12" t="n">
        <f aca="false">C165*30.4*IF(B165&lt;Parametros!$B$15,1,0)</f>
        <v>4308.92999064047</v>
      </c>
      <c r="G165" s="12" t="n">
        <f aca="false">(E165*(Parametros!$B$9*(1-Parametros!$B$10)-Parametros!$B$11)-Parametros!$B$12*IF(B165&lt;Parametros!$B$15,1,0))/(1+Parametros!$B$14)^B165</f>
        <v>50459.1832566894</v>
      </c>
    </row>
    <row r="166" customFormat="false" ht="15" hidden="false" customHeight="false" outlineLevel="0" collapsed="false">
      <c r="A166" s="0" t="n">
        <v>162</v>
      </c>
      <c r="B166" s="10" t="n">
        <f aca="false">(A166-1)/12</f>
        <v>13.4166666666667</v>
      </c>
      <c r="C166" s="11" t="n">
        <f aca="false">Parametros!$B$5/(1+Parametros!$B$7*Parametros!$B$6*B166)^(1/Parametros!$B$7)</f>
        <v>141.190131362325</v>
      </c>
      <c r="D166" s="11" t="n">
        <f aca="false">IF(B166&lt;=Parametros!$B$17,C166,Parametros!$B$5/(1+Parametros!$B$7*Parametros!$B$6*Parametros!$B$17)^(1/Parametros!$B$7)*EXP(-Parametros!$B$8*(B166-Parametros!$B$17)))</f>
        <v>137.95244170748</v>
      </c>
      <c r="E166" s="12" t="n">
        <f aca="false">D166*30.4*IF(B166&lt;Parametros!$B$15,1,0)</f>
        <v>4193.75422790739</v>
      </c>
      <c r="F166" s="12" t="n">
        <f aca="false">C166*30.4*IF(B166&lt;Parametros!$B$15,1,0)</f>
        <v>4292.17999341467</v>
      </c>
      <c r="G166" s="12" t="n">
        <f aca="false">(E166*(Parametros!$B$9*(1-Parametros!$B$10)-Parametros!$B$11)-Parametros!$B$12*IF(B166&lt;Parametros!$B$15,1,0))/(1+Parametros!$B$14)^B166</f>
        <v>49797.8263983787</v>
      </c>
    </row>
    <row r="167" customFormat="false" ht="15" hidden="false" customHeight="false" outlineLevel="0" collapsed="false">
      <c r="A167" s="0" t="n">
        <v>163</v>
      </c>
      <c r="B167" s="10" t="n">
        <f aca="false">(A167-1)/12</f>
        <v>13.5</v>
      </c>
      <c r="C167" s="11" t="n">
        <f aca="false">Parametros!$B$5/(1+Parametros!$B$7*Parametros!$B$6*B167)^(1/Parametros!$B$7)</f>
        <v>140.644468168279</v>
      </c>
      <c r="D167" s="11" t="n">
        <f aca="false">IF(B167&lt;=Parametros!$B$17,C167,Parametros!$B$5/(1+Parametros!$B$7*Parametros!$B$6*Parametros!$B$17)^(1/Parametros!$B$7)*EXP(-Parametros!$B$8*(B167-Parametros!$B$17)))</f>
        <v>137.264401034044</v>
      </c>
      <c r="E167" s="12" t="n">
        <f aca="false">D167*30.4*IF(B167&lt;Parametros!$B$15,1,0)</f>
        <v>4172.83779143493</v>
      </c>
      <c r="F167" s="12" t="n">
        <f aca="false">C167*30.4*IF(B167&lt;Parametros!$B$15,1,0)</f>
        <v>4275.59183231569</v>
      </c>
      <c r="G167" s="12" t="n">
        <f aca="false">(E167*(Parametros!$B$9*(1-Parametros!$B$10)-Parametros!$B$11)-Parametros!$B$12*IF(B167&lt;Parametros!$B$15,1,0))/(1+Parametros!$B$14)^B167</f>
        <v>49145.0728653554</v>
      </c>
    </row>
    <row r="168" customFormat="false" ht="15" hidden="false" customHeight="false" outlineLevel="0" collapsed="false">
      <c r="A168" s="0" t="n">
        <v>164</v>
      </c>
      <c r="B168" s="10" t="n">
        <f aca="false">(A168-1)/12</f>
        <v>13.5833333333333</v>
      </c>
      <c r="C168" s="11" t="n">
        <f aca="false">Parametros!$B$5/(1+Parametros!$B$7*Parametros!$B$6*B168)^(1/Parametros!$B$7)</f>
        <v>140.104046708559</v>
      </c>
      <c r="D168" s="11" t="n">
        <f aca="false">IF(B168&lt;=Parametros!$B$17,C168,Parametros!$B$5/(1+Parametros!$B$7*Parametros!$B$6*Parametros!$B$17)^(1/Parametros!$B$7)*EXP(-Parametros!$B$8*(B168-Parametros!$B$17)))</f>
        <v>136.579791977782</v>
      </c>
      <c r="E168" s="12" t="n">
        <f aca="false">D168*30.4*IF(B168&lt;Parametros!$B$15,1,0)</f>
        <v>4152.02567612458</v>
      </c>
      <c r="F168" s="12" t="n">
        <f aca="false">C168*30.4*IF(B168&lt;Parametros!$B$15,1,0)</f>
        <v>4259.1630199402</v>
      </c>
      <c r="G168" s="12" t="n">
        <f aca="false">(E168*(Parametros!$B$9*(1-Parametros!$B$10)-Parametros!$B$11)-Parametros!$B$12*IF(B168&lt;Parametros!$B$15,1,0))/(1+Parametros!$B$14)^B168</f>
        <v>48500.8112443528</v>
      </c>
    </row>
    <row r="169" customFormat="false" ht="15" hidden="false" customHeight="false" outlineLevel="0" collapsed="false">
      <c r="A169" s="0" t="n">
        <v>165</v>
      </c>
      <c r="B169" s="10" t="n">
        <f aca="false">(A169-1)/12</f>
        <v>13.6666666666667</v>
      </c>
      <c r="C169" s="11" t="n">
        <f aca="false">Parametros!$B$5/(1+Parametros!$B$7*Parametros!$B$6*B169)^(1/Parametros!$B$7)</f>
        <v>139.568786879983</v>
      </c>
      <c r="D169" s="11" t="n">
        <f aca="false">IF(B169&lt;=Parametros!$B$17,C169,Parametros!$B$5/(1+Parametros!$B$7*Parametros!$B$6*Parametros!$B$17)^(1/Parametros!$B$7)*EXP(-Parametros!$B$8*(B169-Parametros!$B$17)))</f>
        <v>135.898597423434</v>
      </c>
      <c r="E169" s="12" t="n">
        <f aca="false">D169*30.4*IF(B169&lt;Parametros!$B$15,1,0)</f>
        <v>4131.3173616724</v>
      </c>
      <c r="F169" s="12" t="n">
        <f aca="false">C169*30.4*IF(B169&lt;Parametros!$B$15,1,0)</f>
        <v>4242.89112115147</v>
      </c>
      <c r="G169" s="12" t="n">
        <f aca="false">(E169*(Parametros!$B$9*(1-Parametros!$B$10)-Parametros!$B$11)-Parametros!$B$12*IF(B169&lt;Parametros!$B$15,1,0))/(1+Parametros!$B$14)^B169</f>
        <v>47864.9315609677</v>
      </c>
    </row>
    <row r="170" customFormat="false" ht="15" hidden="false" customHeight="false" outlineLevel="0" collapsed="false">
      <c r="A170" s="0" t="n">
        <v>166</v>
      </c>
      <c r="B170" s="10" t="n">
        <f aca="false">(A170-1)/12</f>
        <v>13.75</v>
      </c>
      <c r="C170" s="11" t="n">
        <f aca="false">Parametros!$B$5/(1+Parametros!$B$7*Parametros!$B$6*B170)^(1/Parametros!$B$7)</f>
        <v>139.038610252945</v>
      </c>
      <c r="D170" s="11" t="n">
        <f aca="false">IF(B170&lt;=Parametros!$B$17,C170,Parametros!$B$5/(1+Parametros!$B$7*Parametros!$B$6*Parametros!$B$17)^(1/Parametros!$B$7)*EXP(-Parametros!$B$8*(B170-Parametros!$B$17)))</f>
        <v>135.220800341099</v>
      </c>
      <c r="E170" s="12" t="n">
        <f aca="false">D170*30.4*IF(B170&lt;Parametros!$B$15,1,0)</f>
        <v>4110.71233036942</v>
      </c>
      <c r="F170" s="12" t="n">
        <f aca="false">C170*30.4*IF(B170&lt;Parametros!$B$15,1,0)</f>
        <v>4226.77375168952</v>
      </c>
      <c r="G170" s="12" t="n">
        <f aca="false">(E170*(Parametros!$B$9*(1-Parametros!$B$10)-Parametros!$B$11)-Parametros!$B$12*IF(B170&lt;Parametros!$B$15,1,0))/(1+Parametros!$B$14)^B170</f>
        <v>47237.3252611089</v>
      </c>
    </row>
    <row r="171" customFormat="false" ht="15" hidden="false" customHeight="false" outlineLevel="0" collapsed="false">
      <c r="A171" s="0" t="n">
        <v>167</v>
      </c>
      <c r="B171" s="10" t="n">
        <f aca="false">(A171-1)/12</f>
        <v>13.8333333333333</v>
      </c>
      <c r="C171" s="11" t="n">
        <f aca="false">Parametros!$B$5/(1+Parametros!$B$7*Parametros!$B$6*B171)^(1/Parametros!$B$7)</f>
        <v>138.513440027169</v>
      </c>
      <c r="D171" s="11" t="n">
        <f aca="false">IF(B171&lt;=Parametros!$B$17,C171,Parametros!$B$5/(1+Parametros!$B$7*Parametros!$B$6*Parametros!$B$17)^(1/Parametros!$B$7)*EXP(-Parametros!$B$8*(B171-Parametros!$B$17)))</f>
        <v>134.546383785816</v>
      </c>
      <c r="E171" s="12" t="n">
        <f aca="false">D171*30.4*IF(B171&lt;Parametros!$B$15,1,0)</f>
        <v>4090.21006708881</v>
      </c>
      <c r="F171" s="12" t="n">
        <f aca="false">C171*30.4*IF(B171&lt;Parametros!$B$15,1,0)</f>
        <v>4210.80857682594</v>
      </c>
      <c r="G171" s="12" t="n">
        <f aca="false">(E171*(Parametros!$B$9*(1-Parametros!$B$10)-Parametros!$B$11)-Parametros!$B$12*IF(B171&lt;Parametros!$B$15,1,0))/(1+Parametros!$B$14)^B171</f>
        <v>46617.8851926851</v>
      </c>
    </row>
    <row r="172" customFormat="false" ht="15" hidden="false" customHeight="false" outlineLevel="0" collapsed="false">
      <c r="A172" s="0" t="n">
        <v>168</v>
      </c>
      <c r="B172" s="10" t="n">
        <f aca="false">(A172-1)/12</f>
        <v>13.9166666666667</v>
      </c>
      <c r="C172" s="11" t="n">
        <f aca="false">Parametros!$B$5/(1+Parametros!$B$7*Parametros!$B$6*B172)^(1/Parametros!$B$7)</f>
        <v>137.993200988871</v>
      </c>
      <c r="D172" s="11" t="n">
        <f aca="false">IF(B172&lt;=Parametros!$B$17,C172,Parametros!$B$5/(1+Parametros!$B$7*Parametros!$B$6*Parametros!$B$17)^(1/Parametros!$B$7)*EXP(-Parametros!$B$8*(B172-Parametros!$B$17)))</f>
        <v>133.875330897135</v>
      </c>
      <c r="E172" s="12" t="n">
        <f aca="false">D172*30.4*IF(B172&lt;Parametros!$B$15,1,0)</f>
        <v>4069.8100592729</v>
      </c>
      <c r="F172" s="12" t="n">
        <f aca="false">C172*30.4*IF(B172&lt;Parametros!$B$15,1,0)</f>
        <v>4194.99331006167</v>
      </c>
      <c r="G172" s="12" t="n">
        <f aca="false">(E172*(Parametros!$B$9*(1-Parametros!$B$10)-Parametros!$B$11)-Parametros!$B$12*IF(B172&lt;Parametros!$B$15,1,0))/(1+Parametros!$B$14)^B172</f>
        <v>46006.5055875279</v>
      </c>
    </row>
    <row r="173" customFormat="false" ht="15" hidden="false" customHeight="false" outlineLevel="0" collapsed="false">
      <c r="A173" s="0" t="n">
        <v>169</v>
      </c>
      <c r="B173" s="10" t="n">
        <f aca="false">(A173-1)/12</f>
        <v>14</v>
      </c>
      <c r="C173" s="11" t="n">
        <f aca="false">Parametros!$B$5/(1+Parametros!$B$7*Parametros!$B$6*B173)^(1/Parametros!$B$7)</f>
        <v>137.477819469279</v>
      </c>
      <c r="D173" s="11" t="n">
        <f aca="false">IF(B173&lt;=Parametros!$B$17,C173,Parametros!$B$5/(1+Parametros!$B$7*Parametros!$B$6*Parametros!$B$17)^(1/Parametros!$B$7)*EXP(-Parametros!$B$8*(B173-Parametros!$B$17)))</f>
        <v>133.207624898699</v>
      </c>
      <c r="E173" s="12" t="n">
        <f aca="false">D173*30.4*IF(B173&lt;Parametros!$B$15,1,0)</f>
        <v>4049.51179692045</v>
      </c>
      <c r="F173" s="12" t="n">
        <f aca="false">C173*30.4*IF(B173&lt;Parametros!$B$15,1,0)</f>
        <v>4179.32571186608</v>
      </c>
      <c r="G173" s="12" t="n">
        <f aca="false">(E173*(Parametros!$B$9*(1-Parametros!$B$10)-Parametros!$B$11)-Parametros!$B$12*IF(B173&lt;Parametros!$B$15,1,0))/(1+Parametros!$B$14)^B173</f>
        <v>45403.082043548</v>
      </c>
    </row>
    <row r="174" customFormat="false" ht="15" hidden="false" customHeight="false" outlineLevel="0" collapsed="false">
      <c r="A174" s="0" t="n">
        <v>170</v>
      </c>
      <c r="B174" s="10" t="n">
        <f aca="false">(A174-1)/12</f>
        <v>14.0833333333333</v>
      </c>
      <c r="C174" s="11" t="n">
        <f aca="false">Parametros!$B$5/(1+Parametros!$B$7*Parametros!$B$6*B174)^(1/Parametros!$B$7)</f>
        <v>136.967223304469</v>
      </c>
      <c r="D174" s="11" t="n">
        <f aca="false">IF(B174&lt;=Parametros!$B$17,C174,Parametros!$B$5/(1+Parametros!$B$7*Parametros!$B$6*Parametros!$B$17)^(1/Parametros!$B$7)*EXP(-Parametros!$B$8*(B174-Parametros!$B$17)))</f>
        <v>132.543249097823</v>
      </c>
      <c r="E174" s="12" t="n">
        <f aca="false">D174*30.4*IF(B174&lt;Parametros!$B$15,1,0)</f>
        <v>4029.31477257383</v>
      </c>
      <c r="F174" s="12" t="n">
        <f aca="false">C174*30.4*IF(B174&lt;Parametros!$B$15,1,0)</f>
        <v>4163.80358845585</v>
      </c>
      <c r="G174" s="12" t="n">
        <f aca="false">(E174*(Parametros!$B$9*(1-Parametros!$B$10)-Parametros!$B$11)-Parametros!$B$12*IF(B174&lt;Parametros!$B$15,1,0))/(1+Parametros!$B$14)^B174</f>
        <v>44807.5115071213</v>
      </c>
    </row>
    <row r="175" customFormat="false" ht="15" hidden="false" customHeight="false" outlineLevel="0" collapsed="false">
      <c r="A175" s="0" t="n">
        <v>171</v>
      </c>
      <c r="B175" s="10" t="n">
        <f aca="false">(A175-1)/12</f>
        <v>14.1666666666667</v>
      </c>
      <c r="C175" s="11" t="n">
        <f aca="false">Parametros!$B$5/(1+Parametros!$B$7*Parametros!$B$6*B175)^(1/Parametros!$B$7)</f>
        <v>136.461341796455</v>
      </c>
      <c r="D175" s="11" t="n">
        <f aca="false">IF(B175&lt;=Parametros!$B$17,C175,Parametros!$B$5/(1+Parametros!$B$7*Parametros!$B$6*Parametros!$B$17)^(1/Parametros!$B$7)*EXP(-Parametros!$B$8*(B175-Parametros!$B$17)))</f>
        <v>131.882186885078</v>
      </c>
      <c r="E175" s="12" t="n">
        <f aca="false">D175*30.4*IF(B175&lt;Parametros!$B$15,1,0)</f>
        <v>4009.21848130638</v>
      </c>
      <c r="F175" s="12" t="n">
        <f aca="false">C175*30.4*IF(B175&lt;Parametros!$B$15,1,0)</f>
        <v>4148.42479061225</v>
      </c>
      <c r="G175" s="12" t="n">
        <f aca="false">(E175*(Parametros!$B$9*(1-Parametros!$B$10)-Parametros!$B$11)-Parametros!$B$12*IF(B175&lt;Parametros!$B$15,1,0))/(1+Parametros!$B$14)^B175</f>
        <v>44219.6922557019</v>
      </c>
    </row>
    <row r="176" customFormat="false" ht="15" hidden="false" customHeight="false" outlineLevel="0" collapsed="false">
      <c r="A176" s="0" t="n">
        <v>172</v>
      </c>
      <c r="B176" s="10" t="n">
        <f aca="false">(A176-1)/12</f>
        <v>14.25</v>
      </c>
      <c r="C176" s="11" t="n">
        <f aca="false">Parametros!$B$5/(1+Parametros!$B$7*Parametros!$B$6*B176)^(1/Parametros!$B$7)</f>
        <v>135.960105675502</v>
      </c>
      <c r="D176" s="11" t="n">
        <f aca="false">IF(B176&lt;=Parametros!$B$17,C176,Parametros!$B$5/(1+Parametros!$B$7*Parametros!$B$6*Parametros!$B$17)^(1/Parametros!$B$7)*EXP(-Parametros!$B$8*(B176-Parametros!$B$17)))</f>
        <v>131.224421733875</v>
      </c>
      <c r="E176" s="12" t="n">
        <f aca="false">D176*30.4*IF(B176&lt;Parametros!$B$15,1,0)</f>
        <v>3989.22242070979</v>
      </c>
      <c r="F176" s="12" t="n">
        <f aca="false">C176*30.4*IF(B176&lt;Parametros!$B$15,1,0)</f>
        <v>4133.18721253525</v>
      </c>
      <c r="G176" s="12" t="n">
        <f aca="false">(E176*(Parametros!$B$9*(1-Parametros!$B$10)-Parametros!$B$11)-Parametros!$B$12*IF(B176&lt;Parametros!$B$15,1,0))/(1+Parametros!$B$14)^B176</f>
        <v>43639.5238806585</v>
      </c>
    </row>
    <row r="177" customFormat="false" ht="15" hidden="false" customHeight="false" outlineLevel="0" collapsed="false">
      <c r="A177" s="0" t="n">
        <v>173</v>
      </c>
      <c r="B177" s="10" t="n">
        <f aca="false">(A177-1)/12</f>
        <v>14.3333333333333</v>
      </c>
      <c r="C177" s="11" t="n">
        <f aca="false">Parametros!$B$5/(1+Parametros!$B$7*Parametros!$B$6*B177)^(1/Parametros!$B$7)</f>
        <v>135.463447063597</v>
      </c>
      <c r="D177" s="11" t="n">
        <f aca="false">IF(B177&lt;=Parametros!$B$17,C177,Parametros!$B$5/(1+Parametros!$B$7*Parametros!$B$6*Parametros!$B$17)^(1/Parametros!$B$7)*EXP(-Parametros!$B$8*(B177-Parametros!$B$17)))</f>
        <v>130.569937200049</v>
      </c>
      <c r="E177" s="12" t="n">
        <f aca="false">D177*30.4*IF(B177&lt;Parametros!$B$15,1,0)</f>
        <v>3969.32609088148</v>
      </c>
      <c r="F177" s="12" t="n">
        <f aca="false">C177*30.4*IF(B177&lt;Parametros!$B$15,1,0)</f>
        <v>4118.08879073335</v>
      </c>
      <c r="G177" s="12" t="n">
        <f aca="false">(E177*(Parametros!$B$9*(1-Parametros!$B$10)-Parametros!$B$11)-Parametros!$B$12*IF(B177&lt;Parametros!$B$15,1,0))/(1+Parametros!$B$14)^B177</f>
        <v>43066.907270333</v>
      </c>
    </row>
    <row r="178" customFormat="false" ht="15" hidden="false" customHeight="false" outlineLevel="0" collapsed="false">
      <c r="A178" s="0" t="n">
        <v>174</v>
      </c>
      <c r="B178" s="10" t="n">
        <f aca="false">(A178-1)/12</f>
        <v>14.4166666666667</v>
      </c>
      <c r="C178" s="11" t="n">
        <f aca="false">Parametros!$B$5/(1+Parametros!$B$7*Parametros!$B$6*B178)^(1/Parametros!$B$7)</f>
        <v>134.971299439062</v>
      </c>
      <c r="D178" s="11" t="n">
        <f aca="false">IF(B178&lt;=Parametros!$B$17,C178,Parametros!$B$5/(1+Parametros!$B$7*Parametros!$B$6*Parametros!$B$17)^(1/Parametros!$B$7)*EXP(-Parametros!$B$8*(B178-Parametros!$B$17)))</f>
        <v>129.918716921453</v>
      </c>
      <c r="E178" s="12" t="n">
        <f aca="false">D178*30.4*IF(B178&lt;Parametros!$B$15,1,0)</f>
        <v>3949.52899441218</v>
      </c>
      <c r="F178" s="12" t="n">
        <f aca="false">C178*30.4*IF(B178&lt;Parametros!$B$15,1,0)</f>
        <v>4103.1275029475</v>
      </c>
      <c r="G178" s="12" t="n">
        <f aca="false">(E178*(Parametros!$B$9*(1-Parametros!$B$10)-Parametros!$B$11)-Parametros!$B$12*IF(B178&lt;Parametros!$B$15,1,0))/(1+Parametros!$B$14)^B178</f>
        <v>42501.7445933158</v>
      </c>
    </row>
    <row r="179" customFormat="false" ht="15" hidden="false" customHeight="false" outlineLevel="0" collapsed="false">
      <c r="A179" s="0" t="n">
        <v>175</v>
      </c>
      <c r="B179" s="10" t="n">
        <f aca="false">(A179-1)/12</f>
        <v>14.5</v>
      </c>
      <c r="C179" s="11" t="n">
        <f aca="false">Parametros!$B$5/(1+Parametros!$B$7*Parametros!$B$6*B179)^(1/Parametros!$B$7)</f>
        <v>134.483597602246</v>
      </c>
      <c r="D179" s="11" t="n">
        <f aca="false">IF(B179&lt;=Parametros!$B$17,C179,Parametros!$B$5/(1+Parametros!$B$7*Parametros!$B$6*Parametros!$B$17)^(1/Parametros!$B$7)*EXP(-Parametros!$B$8*(B179-Parametros!$B$17)))</f>
        <v>129.270744617547</v>
      </c>
      <c r="E179" s="12" t="n">
        <f aca="false">D179*30.4*IF(B179&lt;Parametros!$B$15,1,0)</f>
        <v>3929.83063637344</v>
      </c>
      <c r="F179" s="12" t="n">
        <f aca="false">C179*30.4*IF(B179&lt;Parametros!$B$15,1,0)</f>
        <v>4088.30136710827</v>
      </c>
      <c r="G179" s="12" t="n">
        <f aca="false">(E179*(Parametros!$B$9*(1-Parametros!$B$10)-Parametros!$B$11)-Parametros!$B$12*IF(B179&lt;Parametros!$B$15,1,0))/(1+Parametros!$B$14)^B179</f>
        <v>41943.9392819383</v>
      </c>
    </row>
    <row r="180" customFormat="false" ht="15" hidden="false" customHeight="false" outlineLevel="0" collapsed="false">
      <c r="A180" s="0" t="n">
        <v>176</v>
      </c>
      <c r="B180" s="10" t="n">
        <f aca="false">(A180-1)/12</f>
        <v>14.5833333333333</v>
      </c>
      <c r="C180" s="11" t="n">
        <f aca="false">Parametros!$B$5/(1+Parametros!$B$7*Parametros!$B$6*B180)^(1/Parametros!$B$7)</f>
        <v>134.000277642261</v>
      </c>
      <c r="D180" s="11" t="n">
        <f aca="false">IF(B180&lt;=Parametros!$B$17,C180,Parametros!$B$5/(1+Parametros!$B$7*Parametros!$B$6*Parametros!$B$17)^(1/Parametros!$B$7)*EXP(-Parametros!$B$8*(B180-Parametros!$B$17)))</f>
        <v>128.62600408899</v>
      </c>
      <c r="E180" s="12" t="n">
        <f aca="false">D180*30.4*IF(B180&lt;Parametros!$B$15,1,0)</f>
        <v>3910.23052430529</v>
      </c>
      <c r="F180" s="12" t="n">
        <f aca="false">C180*30.4*IF(B180&lt;Parametros!$B$15,1,0)</f>
        <v>4073.60844032475</v>
      </c>
      <c r="G180" s="12" t="n">
        <f aca="false">(E180*(Parametros!$B$9*(1-Parametros!$B$10)-Parametros!$B$11)-Parametros!$B$12*IF(B180&lt;Parametros!$B$15,1,0))/(1+Parametros!$B$14)^B180</f>
        <v>41393.396015976</v>
      </c>
    </row>
    <row r="181" customFormat="false" ht="15" hidden="false" customHeight="false" outlineLevel="0" collapsed="false">
      <c r="A181" s="0" t="n">
        <v>177</v>
      </c>
      <c r="B181" s="10" t="n">
        <f aca="false">(A181-1)/12</f>
        <v>14.6666666666667</v>
      </c>
      <c r="C181" s="11" t="n">
        <f aca="false">Parametros!$B$5/(1+Parametros!$B$7*Parametros!$B$6*B181)^(1/Parametros!$B$7)</f>
        <v>133.521276904743</v>
      </c>
      <c r="D181" s="11" t="n">
        <f aca="false">IF(B181&lt;=Parametros!$B$17,C181,Parametros!$B$5/(1+Parametros!$B$7*Parametros!$B$6*Parametros!$B$17)^(1/Parametros!$B$7)*EXP(-Parametros!$B$8*(B181-Parametros!$B$17)))</f>
        <v>127.984479217234</v>
      </c>
      <c r="E181" s="12" t="n">
        <f aca="false">D181*30.4*IF(B181&lt;Parametros!$B$15,1,0)</f>
        <v>3890.72816820391</v>
      </c>
      <c r="F181" s="12" t="n">
        <f aca="false">C181*30.4*IF(B181&lt;Parametros!$B$15,1,0)</f>
        <v>4059.04681790418</v>
      </c>
      <c r="G181" s="12" t="n">
        <f aca="false">(E181*(Parametros!$B$9*(1-Parametros!$B$10)-Parametros!$B$11)-Parametros!$B$12*IF(B181&lt;Parametros!$B$15,1,0))/(1+Parametros!$B$14)^B181</f>
        <v>40850.0207065639</v>
      </c>
    </row>
    <row r="182" customFormat="false" ht="15" hidden="false" customHeight="false" outlineLevel="0" collapsed="false">
      <c r="A182" s="0" t="n">
        <v>178</v>
      </c>
      <c r="B182" s="10" t="n">
        <f aca="false">(A182-1)/12</f>
        <v>14.75</v>
      </c>
      <c r="C182" s="11" t="n">
        <f aca="false">Parametros!$B$5/(1+Parametros!$B$7*Parametros!$B$6*B182)^(1/Parametros!$B$7)</f>
        <v>133.046533960569</v>
      </c>
      <c r="D182" s="11" t="n">
        <f aca="false">IF(B182&lt;=Parametros!$B$17,C182,Parametros!$B$5/(1+Parametros!$B$7*Parametros!$B$6*Parametros!$B$17)^(1/Parametros!$B$7)*EXP(-Parametros!$B$8*(B182-Parametros!$B$17)))</f>
        <v>127.346153964124</v>
      </c>
      <c r="E182" s="12" t="n">
        <f aca="false">D182*30.4*IF(B182&lt;Parametros!$B$15,1,0)</f>
        <v>3871.32308050938</v>
      </c>
      <c r="F182" s="12" t="n">
        <f aca="false">C182*30.4*IF(B182&lt;Parametros!$B$15,1,0)</f>
        <v>4044.61463240129</v>
      </c>
      <c r="G182" s="12" t="n">
        <f aca="false">(E182*(Parametros!$B$9*(1-Parametros!$B$10)-Parametros!$B$11)-Parametros!$B$12*IF(B182&lt;Parametros!$B$15,1,0))/(1+Parametros!$B$14)^B182</f>
        <v>40313.7204803164</v>
      </c>
    </row>
    <row r="183" customFormat="false" ht="15" hidden="false" customHeight="false" outlineLevel="0" collapsed="false">
      <c r="A183" s="0" t="n">
        <v>179</v>
      </c>
      <c r="B183" s="10" t="n">
        <f aca="false">(A183-1)/12</f>
        <v>14.8333333333333</v>
      </c>
      <c r="C183" s="11" t="n">
        <f aca="false">Parametros!$B$5/(1+Parametros!$B$7*Parametros!$B$6*B183)^(1/Parametros!$B$7)</f>
        <v>132.575988575531</v>
      </c>
      <c r="D183" s="11" t="n">
        <f aca="false">IF(B183&lt;=Parametros!$B$17,C183,Parametros!$B$5/(1+Parametros!$B$7*Parametros!$B$6*Parametros!$B$17)^(1/Parametros!$B$7)*EXP(-Parametros!$B$8*(B183-Parametros!$B$17)))</f>
        <v>126.711012371496</v>
      </c>
      <c r="E183" s="12" t="n">
        <f aca="false">D183*30.4*IF(B183&lt;Parametros!$B$15,1,0)</f>
        <v>3852.01477609349</v>
      </c>
      <c r="F183" s="12" t="n">
        <f aca="false">C183*30.4*IF(B183&lt;Parametros!$B$15,1,0)</f>
        <v>4030.31005269614</v>
      </c>
      <c r="G183" s="12" t="n">
        <f aca="false">(E183*(Parametros!$B$9*(1-Parametros!$B$10)-Parametros!$B$11)-Parametros!$B$12*IF(B183&lt;Parametros!$B$15,1,0))/(1+Parametros!$B$14)^B183</f>
        <v>39784.4036636545</v>
      </c>
    </row>
    <row r="184" customFormat="false" ht="15" hidden="false" customHeight="false" outlineLevel="0" collapsed="false">
      <c r="A184" s="0" t="n">
        <v>180</v>
      </c>
      <c r="B184" s="10" t="n">
        <f aca="false">(A184-1)/12</f>
        <v>14.9166666666667</v>
      </c>
      <c r="C184" s="11" t="n">
        <f aca="false">Parametros!$B$5/(1+Parametros!$B$7*Parametros!$B$6*B184)^(1/Parametros!$B$7)</f>
        <v>132.109581680906</v>
      </c>
      <c r="D184" s="11" t="n">
        <f aca="false">IF(B184&lt;=Parametros!$B$17,C184,Parametros!$B$5/(1+Parametros!$B$7*Parametros!$B$6*Parametros!$B$17)^(1/Parametros!$B$7)*EXP(-Parametros!$B$8*(B184-Parametros!$B$17)))</f>
        <v>126.079038560777</v>
      </c>
      <c r="E184" s="12" t="n">
        <f aca="false">D184*30.4*IF(B184&lt;Parametros!$B$15,1,0)</f>
        <v>3832.80277224763</v>
      </c>
      <c r="F184" s="12" t="n">
        <f aca="false">C184*30.4*IF(B184&lt;Parametros!$B$15,1,0)</f>
        <v>4016.13128309954</v>
      </c>
      <c r="G184" s="12" t="n">
        <f aca="false">(E184*(Parametros!$B$9*(1-Parametros!$B$10)-Parametros!$B$11)-Parametros!$B$12*IF(B184&lt;Parametros!$B$15,1,0))/(1+Parametros!$B$14)^B184</f>
        <v>39261.9797673324</v>
      </c>
    </row>
    <row r="185" customFormat="false" ht="15" hidden="false" customHeight="false" outlineLevel="0" collapsed="false">
      <c r="A185" s="0" t="n">
        <v>181</v>
      </c>
      <c r="B185" s="10" t="n">
        <f aca="false">(A185-1)/12</f>
        <v>15</v>
      </c>
      <c r="C185" s="11" t="n">
        <f aca="false">Parametros!$B$5/(1+Parametros!$B$7*Parametros!$B$6*B185)^(1/Parametros!$B$7)</f>
        <v>131.647255344906</v>
      </c>
      <c r="D185" s="11" t="n">
        <f aca="false">IF(B185&lt;=Parametros!$B$17,C185,Parametros!$B$5/(1+Parametros!$B$7*Parametros!$B$6*Parametros!$B$17)^(1/Parametros!$B$7)*EXP(-Parametros!$B$8*(B185-Parametros!$B$17)))</f>
        <v>125.450216732589</v>
      </c>
      <c r="E185" s="12" t="n">
        <f aca="false">D185*30.4*IF(B185&lt;Parametros!$B$15,1,0)</f>
        <v>3813.6865886707</v>
      </c>
      <c r="F185" s="12" t="n">
        <f aca="false">C185*30.4*IF(B185&lt;Parametros!$B$15,1,0)</f>
        <v>4002.07656248514</v>
      </c>
      <c r="G185" s="12" t="n">
        <f aca="false">(E185*(Parametros!$B$9*(1-Parametros!$B$10)-Parametros!$B$11)-Parametros!$B$12*IF(B185&lt;Parametros!$B$15,1,0))/(1+Parametros!$B$14)^B185</f>
        <v>38746.3594711656</v>
      </c>
    </row>
    <row r="186" customFormat="false" ht="15" hidden="false" customHeight="false" outlineLevel="0" collapsed="false">
      <c r="A186" s="0" t="n">
        <v>182</v>
      </c>
      <c r="B186" s="10" t="n">
        <f aca="false">(A186-1)/12</f>
        <v>15.0833333333333</v>
      </c>
      <c r="C186" s="11" t="n">
        <f aca="false">Parametros!$B$5/(1+Parametros!$B$7*Parametros!$B$6*B186)^(1/Parametros!$B$7)</f>
        <v>131.188952744972</v>
      </c>
      <c r="D186" s="11" t="n">
        <f aca="false">IF(B186&lt;=Parametros!$B$17,C186,Parametros!$B$5/(1+Parametros!$B$7*Parametros!$B$6*Parametros!$B$17)^(1/Parametros!$B$7)*EXP(-Parametros!$B$8*(B186-Parametros!$B$17)))</f>
        <v>124.824531166352</v>
      </c>
      <c r="E186" s="12" t="n">
        <f aca="false">D186*30.4*IF(B186&lt;Parametros!$B$15,1,0)</f>
        <v>3794.66574745711</v>
      </c>
      <c r="F186" s="12" t="n">
        <f aca="false">C186*30.4*IF(B186&lt;Parametros!$B$15,1,0)</f>
        <v>3988.14416344713</v>
      </c>
      <c r="G186" s="12" t="n">
        <f aca="false">(E186*(Parametros!$B$9*(1-Parametros!$B$10)-Parametros!$B$11)-Parametros!$B$12*IF(B186&lt;Parametros!$B$15,1,0))/(1+Parametros!$B$14)^B186</f>
        <v>38237.4546089536</v>
      </c>
    </row>
    <row r="187" customFormat="false" ht="15" hidden="false" customHeight="false" outlineLevel="0" collapsed="false">
      <c r="A187" s="0" t="n">
        <v>183</v>
      </c>
      <c r="B187" s="10" t="n">
        <f aca="false">(A187-1)/12</f>
        <v>15.1666666666667</v>
      </c>
      <c r="C187" s="11" t="n">
        <f aca="false">Parametros!$B$5/(1+Parametros!$B$7*Parametros!$B$6*B187)^(1/Parametros!$B$7)</f>
        <v>130.734618140882</v>
      </c>
      <c r="D187" s="11" t="n">
        <f aca="false">IF(B187&lt;=Parametros!$B$17,C187,Parametros!$B$5/(1+Parametros!$B$7*Parametros!$B$6*Parametros!$B$17)^(1/Parametros!$B$7)*EXP(-Parametros!$B$8*(B187-Parametros!$B$17)))</f>
        <v>124.201966219897</v>
      </c>
      <c r="E187" s="12" t="n">
        <f aca="false">D187*30.4*IF(B187&lt;Parametros!$B$15,1,0)</f>
        <v>3775.73977308486</v>
      </c>
      <c r="F187" s="12" t="n">
        <f aca="false">C187*30.4*IF(B187&lt;Parametros!$B$15,1,0)</f>
        <v>3974.33239148281</v>
      </c>
      <c r="G187" s="12" t="n">
        <f aca="false">(E187*(Parametros!$B$9*(1-Parametros!$B$10)-Parametros!$B$11)-Parametros!$B$12*IF(B187&lt;Parametros!$B$15,1,0))/(1+Parametros!$B$14)^B187</f>
        <v>37735.1781535992</v>
      </c>
    </row>
    <row r="188" customFormat="false" ht="15" hidden="false" customHeight="false" outlineLevel="0" collapsed="false">
      <c r="A188" s="0" t="n">
        <v>184</v>
      </c>
      <c r="B188" s="10" t="n">
        <f aca="false">(A188-1)/12</f>
        <v>15.25</v>
      </c>
      <c r="C188" s="11" t="n">
        <f aca="false">Parametros!$B$5/(1+Parametros!$B$7*Parametros!$B$6*B188)^(1/Parametros!$B$7)</f>
        <v>130.284196848651</v>
      </c>
      <c r="D188" s="11" t="n">
        <f aca="false">IF(B188&lt;=Parametros!$B$17,C188,Parametros!$B$5/(1+Parametros!$B$7*Parametros!$B$6*Parametros!$B$17)^(1/Parametros!$B$7)*EXP(-Parametros!$B$8*(B188-Parametros!$B$17)))</f>
        <v>123.582506329065</v>
      </c>
      <c r="E188" s="12" t="n">
        <f aca="false">D188*30.4*IF(B188&lt;Parametros!$B$15,1,0)</f>
        <v>3756.90819240358</v>
      </c>
      <c r="F188" s="12" t="n">
        <f aca="false">C188*30.4*IF(B188&lt;Parametros!$B$15,1,0)</f>
        <v>3960.63958419899</v>
      </c>
      <c r="G188" s="12" t="n">
        <f aca="false">(E188*(Parametros!$B$9*(1-Parametros!$B$10)-Parametros!$B$11)-Parametros!$B$12*IF(B188&lt;Parametros!$B$15,1,0))/(1+Parametros!$B$14)^B188</f>
        <v>37239.4442024168</v>
      </c>
    </row>
    <row r="189" customFormat="false" ht="15" hidden="false" customHeight="false" outlineLevel="0" collapsed="false">
      <c r="A189" s="0" t="n">
        <v>185</v>
      </c>
      <c r="B189" s="10" t="n">
        <f aca="false">(A189-1)/12</f>
        <v>15.3333333333333</v>
      </c>
      <c r="C189" s="11" t="n">
        <f aca="false">Parametros!$B$5/(1+Parametros!$B$7*Parametros!$B$6*B189)^(1/Parametros!$B$7)</f>
        <v>129.837635215186</v>
      </c>
      <c r="D189" s="11" t="n">
        <f aca="false">IF(B189&lt;=Parametros!$B$17,C189,Parametros!$B$5/(1+Parametros!$B$7*Parametros!$B$6*Parametros!$B$17)^(1/Parametros!$B$7)*EXP(-Parametros!$B$8*(B189-Parametros!$B$17)))</f>
        <v>122.966136007328</v>
      </c>
      <c r="E189" s="12" t="n">
        <f aca="false">D189*30.4*IF(B189&lt;Parametros!$B$15,1,0)</f>
        <v>3738.17053462278</v>
      </c>
      <c r="F189" s="12" t="n">
        <f aca="false">C189*30.4*IF(B189&lt;Parametros!$B$15,1,0)</f>
        <v>3947.06411054166</v>
      </c>
      <c r="G189" s="12" t="n">
        <f aca="false">(E189*(Parametros!$B$9*(1-Parametros!$B$10)-Parametros!$B$11)-Parametros!$B$12*IF(B189&lt;Parametros!$B$15,1,0))/(1+Parametros!$B$14)^B189</f>
        <v>36750.1679626325</v>
      </c>
    </row>
    <row r="190" customFormat="false" ht="15" hidden="false" customHeight="false" outlineLevel="0" collapsed="false">
      <c r="A190" s="0" t="n">
        <v>186</v>
      </c>
      <c r="B190" s="10" t="n">
        <f aca="false">(A190-1)/12</f>
        <v>15.4166666666667</v>
      </c>
      <c r="C190" s="11" t="n">
        <f aca="false">Parametros!$B$5/(1+Parametros!$B$7*Parametros!$B$6*B190)^(1/Parametros!$B$7)</f>
        <v>129.394880593679</v>
      </c>
      <c r="D190" s="11" t="n">
        <f aca="false">IF(B190&lt;=Parametros!$B$17,C190,Parametros!$B$5/(1+Parametros!$B$7*Parametros!$B$6*Parametros!$B$17)^(1/Parametros!$B$7)*EXP(-Parametros!$B$8*(B190-Parametros!$B$17)))</f>
        <v>122.352839845396</v>
      </c>
      <c r="E190" s="12" t="n">
        <f aca="false">D190*30.4*IF(B190&lt;Parametros!$B$15,1,0)</f>
        <v>3719.52633130005</v>
      </c>
      <c r="F190" s="12" t="n">
        <f aca="false">C190*30.4*IF(B190&lt;Parametros!$B$15,1,0)</f>
        <v>3933.60437004785</v>
      </c>
      <c r="G190" s="12" t="n">
        <f aca="false">(E190*(Parametros!$B$9*(1-Parametros!$B$10)-Parametros!$B$11)-Parametros!$B$12*IF(B190&lt;Parametros!$B$15,1,0))/(1+Parametros!$B$14)^B190</f>
        <v>36267.2657370694</v>
      </c>
    </row>
    <row r="191" customFormat="false" ht="15" hidden="false" customHeight="false" outlineLevel="0" collapsed="false">
      <c r="A191" s="0" t="n">
        <v>187</v>
      </c>
      <c r="B191" s="10" t="n">
        <f aca="false">(A191-1)/12</f>
        <v>15.5</v>
      </c>
      <c r="C191" s="11" t="n">
        <f aca="false">Parametros!$B$5/(1+Parametros!$B$7*Parametros!$B$6*B191)^(1/Parametros!$B$7)</f>
        <v>128.955881319708</v>
      </c>
      <c r="D191" s="11" t="n">
        <f aca="false">IF(B191&lt;=Parametros!$B$17,C191,Parametros!$B$5/(1+Parametros!$B$7*Parametros!$B$6*Parametros!$B$17)^(1/Parametros!$B$7)*EXP(-Parametros!$B$8*(B191-Parametros!$B$17)))</f>
        <v>121.742602510833</v>
      </c>
      <c r="E191" s="12" t="n">
        <f aca="false">D191*30.4*IF(B191&lt;Parametros!$B$15,1,0)</f>
        <v>3700.97511632933</v>
      </c>
      <c r="F191" s="12" t="n">
        <f aca="false">C191*30.4*IF(B191&lt;Parametros!$B$15,1,0)</f>
        <v>3920.25879211913</v>
      </c>
      <c r="G191" s="12" t="n">
        <f aca="false">(E191*(Parametros!$B$9*(1-Parametros!$B$10)-Parametros!$B$11)-Parametros!$B$12*IF(B191&lt;Parametros!$B$15,1,0))/(1+Parametros!$B$14)^B191</f>
        <v>35790.6549100177</v>
      </c>
    </row>
    <row r="192" customFormat="false" ht="15" hidden="false" customHeight="false" outlineLevel="0" collapsed="false">
      <c r="A192" s="0" t="n">
        <v>188</v>
      </c>
      <c r="B192" s="10" t="n">
        <f aca="false">(A192-1)/12</f>
        <v>15.5833333333333</v>
      </c>
      <c r="C192" s="11" t="n">
        <f aca="false">Parametros!$B$5/(1+Parametros!$B$7*Parametros!$B$6*B192)^(1/Parametros!$B$7)</f>
        <v>128.520586688026</v>
      </c>
      <c r="D192" s="11" t="n">
        <f aca="false">IF(B192&lt;=Parametros!$B$17,C192,Parametros!$B$5/(1+Parametros!$B$7*Parametros!$B$6*Parametros!$B$17)^(1/Parametros!$B$7)*EXP(-Parametros!$B$8*(B192-Parametros!$B$17)))</f>
        <v>121.135408747673</v>
      </c>
      <c r="E192" s="12" t="n">
        <f aca="false">D192*30.4*IF(B192&lt;Parametros!$B$15,1,0)</f>
        <v>3682.51642592927</v>
      </c>
      <c r="F192" s="12" t="n">
        <f aca="false">C192*30.4*IF(B192&lt;Parametros!$B$15,1,0)</f>
        <v>3907.02583531599</v>
      </c>
      <c r="G192" s="12" t="n">
        <f aca="false">(E192*(Parametros!$B$9*(1-Parametros!$B$10)-Parametros!$B$11)-Parametros!$B$12*IF(B192&lt;Parametros!$B$15,1,0))/(1+Parametros!$B$14)^B192</f>
        <v>35320.2539332869</v>
      </c>
    </row>
    <row r="193" customFormat="false" ht="15" hidden="false" customHeight="false" outlineLevel="0" collapsed="false">
      <c r="A193" s="0" t="n">
        <v>189</v>
      </c>
      <c r="B193" s="10" t="n">
        <f aca="false">(A193-1)/12</f>
        <v>15.6666666666667</v>
      </c>
      <c r="C193" s="11" t="n">
        <f aca="false">Parametros!$B$5/(1+Parametros!$B$7*Parametros!$B$6*B193)^(1/Parametros!$B$7)</f>
        <v>128.088946930008</v>
      </c>
      <c r="D193" s="11" t="n">
        <f aca="false">IF(B193&lt;=Parametros!$B$17,C193,Parametros!$B$5/(1+Parametros!$B$7*Parametros!$B$6*Parametros!$B$17)^(1/Parametros!$B$7)*EXP(-Parametros!$B$8*(B193-Parametros!$B$17)))</f>
        <v>120.531243376041</v>
      </c>
      <c r="E193" s="12" t="n">
        <f aca="false">D193*30.4*IF(B193&lt;Parametros!$B$15,1,0)</f>
        <v>3664.14979863166</v>
      </c>
      <c r="F193" s="12" t="n">
        <f aca="false">C193*30.4*IF(B193&lt;Parametros!$B$15,1,0)</f>
        <v>3893.90398667226</v>
      </c>
      <c r="G193" s="12" t="n">
        <f aca="false">(E193*(Parametros!$B$9*(1-Parametros!$B$10)-Parametros!$B$11)-Parametros!$B$12*IF(B193&lt;Parametros!$B$15,1,0))/(1+Parametros!$B$14)^B193</f>
        <v>34855.982312438</v>
      </c>
    </row>
    <row r="194" customFormat="false" ht="15" hidden="false" customHeight="false" outlineLevel="0" collapsed="false">
      <c r="A194" s="0" t="n">
        <v>190</v>
      </c>
      <c r="B194" s="10" t="n">
        <f aca="false">(A194-1)/12</f>
        <v>15.75</v>
      </c>
      <c r="C194" s="11" t="n">
        <f aca="false">Parametros!$B$5/(1+Parametros!$B$7*Parametros!$B$6*B194)^(1/Parametros!$B$7)</f>
        <v>127.660913191746</v>
      </c>
      <c r="D194" s="11" t="n">
        <f aca="false">IF(B194&lt;=Parametros!$B$17,C194,Parametros!$B$5/(1+Parametros!$B$7*Parametros!$B$6*Parametros!$B$17)^(1/Parametros!$B$7)*EXP(-Parametros!$B$8*(B194-Parametros!$B$17)))</f>
        <v>119.930091291771</v>
      </c>
      <c r="E194" s="12" t="n">
        <f aca="false">D194*30.4*IF(B194&lt;Parametros!$B$15,1,0)</f>
        <v>3645.87477526985</v>
      </c>
      <c r="F194" s="12" t="n">
        <f aca="false">C194*30.4*IF(B194&lt;Parametros!$B$15,1,0)</f>
        <v>3880.89176102909</v>
      </c>
      <c r="G194" s="12" t="n">
        <f aca="false">(E194*(Parametros!$B$9*(1-Parametros!$B$10)-Parametros!$B$11)-Parametros!$B$12*IF(B194&lt;Parametros!$B$15,1,0))/(1+Parametros!$B$14)^B194</f>
        <v>34397.7605931921</v>
      </c>
    </row>
    <row r="195" customFormat="false" ht="15" hidden="false" customHeight="false" outlineLevel="0" collapsed="false">
      <c r="A195" s="0" t="n">
        <v>191</v>
      </c>
      <c r="B195" s="10" t="n">
        <f aca="false">(A195-1)/12</f>
        <v>15.8333333333333</v>
      </c>
      <c r="C195" s="11" t="n">
        <f aca="false">Parametros!$B$5/(1+Parametros!$B$7*Parametros!$B$6*B195)^(1/Parametros!$B$7)</f>
        <v>127.236437512755</v>
      </c>
      <c r="D195" s="11" t="n">
        <f aca="false">IF(B195&lt;=Parametros!$B$17,C195,Parametros!$B$5/(1+Parametros!$B$7*Parametros!$B$6*Parametros!$B$17)^(1/Parametros!$B$7)*EXP(-Parametros!$B$8*(B195-Parametros!$B$17)))</f>
        <v>119.33193746603</v>
      </c>
      <c r="E195" s="12" t="n">
        <f aca="false">D195*30.4*IF(B195&lt;Parametros!$B$15,1,0)</f>
        <v>3627.69089896732</v>
      </c>
      <c r="F195" s="12" t="n">
        <f aca="false">C195*30.4*IF(B195&lt;Parametros!$B$15,1,0)</f>
        <v>3867.98770038776</v>
      </c>
      <c r="G195" s="12" t="n">
        <f aca="false">(E195*(Parametros!$B$9*(1-Parametros!$B$10)-Parametros!$B$11)-Parametros!$B$12*IF(B195&lt;Parametros!$B$15,1,0))/(1+Parametros!$B$14)^B195</f>
        <v>33945.5103480154</v>
      </c>
    </row>
    <row r="196" customFormat="false" ht="15" hidden="false" customHeight="false" outlineLevel="0" collapsed="false">
      <c r="A196" s="0" t="n">
        <v>192</v>
      </c>
      <c r="B196" s="10" t="n">
        <f aca="false">(A196-1)/12</f>
        <v>15.9166666666667</v>
      </c>
      <c r="C196" s="11" t="n">
        <f aca="false">Parametros!$B$5/(1+Parametros!$B$7*Parametros!$B$6*B196)^(1/Parametros!$B$7)</f>
        <v>126.815472805283</v>
      </c>
      <c r="D196" s="11" t="n">
        <f aca="false">IF(B196&lt;=Parametros!$B$17,C196,Parametros!$B$5/(1+Parametros!$B$7*Parametros!$B$6*Parametros!$B$17)^(1/Parametros!$B$7)*EXP(-Parametros!$B$8*(B196-Parametros!$B$17)))</f>
        <v>118.736766944941</v>
      </c>
      <c r="E196" s="12" t="n">
        <f aca="false">D196*30.4*IF(B196&lt;Parametros!$B$15,1,0)</f>
        <v>3609.5977151262</v>
      </c>
      <c r="F196" s="12" t="n">
        <f aca="false">C196*30.4*IF(B196&lt;Parametros!$B$15,1,0)</f>
        <v>3855.19037328059</v>
      </c>
      <c r="G196" s="12" t="n">
        <f aca="false">(E196*(Parametros!$B$9*(1-Parametros!$B$10)-Parametros!$B$11)-Parametros!$B$12*IF(B196&lt;Parametros!$B$15,1,0))/(1+Parametros!$B$14)^B196</f>
        <v>33499.154162876</v>
      </c>
    </row>
    <row r="197" customFormat="false" ht="15" hidden="false" customHeight="false" outlineLevel="0" collapsed="false">
      <c r="A197" s="0" t="n">
        <v>193</v>
      </c>
      <c r="B197" s="10" t="n">
        <f aca="false">(A197-1)/12</f>
        <v>16</v>
      </c>
      <c r="C197" s="11" t="n">
        <f aca="false">Parametros!$B$5/(1+Parametros!$B$7*Parametros!$B$6*B197)^(1/Parametros!$B$7)</f>
        <v>126.397972834197</v>
      </c>
      <c r="D197" s="11" t="n">
        <f aca="false">IF(B197&lt;=Parametros!$B$17,C197,Parametros!$B$5/(1+Parametros!$B$7*Parametros!$B$6*Parametros!$B$17)^(1/Parametros!$B$7)*EXP(-Parametros!$B$8*(B197-Parametros!$B$17)))</f>
        <v>118.144564849209</v>
      </c>
      <c r="E197" s="12" t="n">
        <f aca="false">D197*30.4*IF(B197&lt;Parametros!$B$15,1,0)</f>
        <v>3591.59477141596</v>
      </c>
      <c r="F197" s="12" t="n">
        <f aca="false">C197*30.4*IF(B197&lt;Parametros!$B$15,1,0)</f>
        <v>3842.4983741596</v>
      </c>
      <c r="G197" s="12" t="n">
        <f aca="false">(E197*(Parametros!$B$9*(1-Parametros!$B$10)-Parametros!$B$11)-Parametros!$B$12*IF(B197&lt;Parametros!$B$15,1,0))/(1+Parametros!$B$14)^B197</f>
        <v>33058.6156241716</v>
      </c>
    </row>
    <row r="198" customFormat="false" ht="15" hidden="false" customHeight="false" outlineLevel="0" collapsed="false">
      <c r="A198" s="0" t="n">
        <v>194</v>
      </c>
      <c r="B198" s="10" t="n">
        <f aca="false">(A198-1)/12</f>
        <v>16.0833333333333</v>
      </c>
      <c r="C198" s="11" t="n">
        <f aca="false">Parametros!$B$5/(1+Parametros!$B$7*Parametros!$B$6*B198)^(1/Parametros!$B$7)</f>
        <v>125.983892197436</v>
      </c>
      <c r="D198" s="11" t="n">
        <f aca="false">IF(B198&lt;=Parametros!$B$17,C198,Parametros!$B$5/(1+Parametros!$B$7*Parametros!$B$6*Parametros!$B$17)^(1/Parametros!$B$7)*EXP(-Parametros!$B$8*(B198-Parametros!$B$17)))</f>
        <v>117.555316373752</v>
      </c>
      <c r="E198" s="12" t="n">
        <f aca="false">D198*30.4*IF(B198&lt;Parametros!$B$15,1,0)</f>
        <v>3573.68161776207</v>
      </c>
      <c r="F198" s="12" t="n">
        <f aca="false">C198*30.4*IF(B198&lt;Parametros!$B$15,1,0)</f>
        <v>3829.91032280206</v>
      </c>
      <c r="G198" s="12" t="n">
        <f aca="false">(E198*(Parametros!$B$9*(1-Parametros!$B$10)-Parametros!$B$11)-Parametros!$B$12*IF(B198&lt;Parametros!$B$15,1,0))/(1+Parametros!$B$14)^B198</f>
        <v>32623.8193058258</v>
      </c>
    </row>
    <row r="199" customFormat="false" ht="15" hidden="false" customHeight="false" outlineLevel="0" collapsed="false">
      <c r="A199" s="0" t="n">
        <v>195</v>
      </c>
      <c r="B199" s="10" t="n">
        <f aca="false">(A199-1)/12</f>
        <v>16.1666666666667</v>
      </c>
      <c r="C199" s="11" t="n">
        <f aca="false">Parametros!$B$5/(1+Parametros!$B$7*Parametros!$B$6*B199)^(1/Parametros!$B$7)</f>
        <v>125.573186306993</v>
      </c>
      <c r="D199" s="11" t="n">
        <f aca="false">IF(B199&lt;=Parametros!$B$17,C199,Parametros!$B$5/(1+Parametros!$B$7*Parametros!$B$6*Parametros!$B$17)^(1/Parametros!$B$7)*EXP(-Parametros!$B$8*(B199-Parametros!$B$17)))</f>
        <v>116.969006787328</v>
      </c>
      <c r="E199" s="12" t="n">
        <f aca="false">D199*30.4*IF(B199&lt;Parametros!$B$15,1,0)</f>
        <v>3555.85780633476</v>
      </c>
      <c r="F199" s="12" t="n">
        <f aca="false">C199*30.4*IF(B199&lt;Parametros!$B$15,1,0)</f>
        <v>3817.42486373258</v>
      </c>
      <c r="G199" s="12" t="n">
        <f aca="false">(E199*(Parametros!$B$9*(1-Parametros!$B$10)-Parametros!$B$11)-Parametros!$B$12*IF(B199&lt;Parametros!$B$15,1,0))/(1+Parametros!$B$14)^B199</f>
        <v>32194.6907565505</v>
      </c>
    </row>
    <row r="200" customFormat="false" ht="15" hidden="false" customHeight="false" outlineLevel="0" collapsed="false">
      <c r="A200" s="0" t="n">
        <v>196</v>
      </c>
      <c r="B200" s="10" t="n">
        <f aca="false">(A200-1)/12</f>
        <v>16.25</v>
      </c>
      <c r="C200" s="11" t="n">
        <f aca="false">Parametros!$B$5/(1+Parametros!$B$7*Parametros!$B$6*B200)^(1/Parametros!$B$7)</f>
        <v>125.165811370432</v>
      </c>
      <c r="D200" s="11" t="n">
        <f aca="false">IF(B200&lt;=Parametros!$B$17,C200,Parametros!$B$5/(1+Parametros!$B$7*Parametros!$B$6*Parametros!$B$17)^(1/Parametros!$B$7)*EXP(-Parametros!$B$8*(B200-Parametros!$B$17)))</f>
        <v>116.385621432164</v>
      </c>
      <c r="E200" s="12" t="n">
        <f aca="false">D200*30.4*IF(B200&lt;Parametros!$B$15,1,0)</f>
        <v>3538.1228915378</v>
      </c>
      <c r="F200" s="12" t="n">
        <f aca="false">C200*30.4*IF(B200&lt;Parametros!$B$15,1,0)</f>
        <v>3805.04066566114</v>
      </c>
      <c r="G200" s="12" t="n">
        <f aca="false">(E200*(Parametros!$B$9*(1-Parametros!$B$10)-Parametros!$B$11)-Parametros!$B$12*IF(B200&lt;Parametros!$B$15,1,0))/(1+Parametros!$B$14)^B200</f>
        <v>31771.1564872724</v>
      </c>
    </row>
    <row r="201" customFormat="false" ht="15" hidden="false" customHeight="false" outlineLevel="0" collapsed="false">
      <c r="A201" s="0" t="n">
        <v>197</v>
      </c>
      <c r="B201" s="10" t="n">
        <f aca="false">(A201-1)/12</f>
        <v>16.3333333333333</v>
      </c>
      <c r="C201" s="11" t="n">
        <f aca="false">Parametros!$B$5/(1+Parametros!$B$7*Parametros!$B$6*B201)^(1/Parametros!$B$7)</f>
        <v>124.761724372912</v>
      </c>
      <c r="D201" s="11" t="n">
        <f aca="false">IF(B201&lt;=Parametros!$B$17,C201,Parametros!$B$5/(1+Parametros!$B$7*Parametros!$B$6*Parametros!$B$17)^(1/Parametros!$B$7)*EXP(-Parametros!$B$8*(B201-Parametros!$B$17)))</f>
        <v>115.805145723599</v>
      </c>
      <c r="E201" s="12" t="n">
        <f aca="false">D201*30.4*IF(B201&lt;Parametros!$B$15,1,0)</f>
        <v>3520.47642999741</v>
      </c>
      <c r="F201" s="12" t="n">
        <f aca="false">C201*30.4*IF(B201&lt;Parametros!$B$15,1,0)</f>
        <v>3792.75642093653</v>
      </c>
      <c r="G201" s="12" t="n">
        <f aca="false">(E201*(Parametros!$B$9*(1-Parametros!$B$10)-Parametros!$B$11)-Parametros!$B$12*IF(B201&lt;Parametros!$B$15,1,0))/(1+Parametros!$B$14)^B201</f>
        <v>31353.1439587216</v>
      </c>
    </row>
    <row r="202" customFormat="false" ht="15" hidden="false" customHeight="false" outlineLevel="0" collapsed="false">
      <c r="A202" s="0" t="n">
        <v>198</v>
      </c>
      <c r="B202" s="10" t="n">
        <f aca="false">(A202-1)/12</f>
        <v>16.4166666666667</v>
      </c>
      <c r="C202" s="11" t="n">
        <f aca="false">Parametros!$B$5/(1+Parametros!$B$7*Parametros!$B$6*B202)^(1/Parametros!$B$7)</f>
        <v>124.360883059694</v>
      </c>
      <c r="D202" s="11" t="n">
        <f aca="false">IF(B202&lt;=Parametros!$B$17,C202,Parametros!$B$5/(1+Parametros!$B$7*Parametros!$B$6*Parametros!$B$17)^(1/Parametros!$B$7)*EXP(-Parametros!$B$8*(B202-Parametros!$B$17)))</f>
        <v>115.227565149708</v>
      </c>
      <c r="E202" s="12" t="n">
        <f aca="false">D202*30.4*IF(B202&lt;Parametros!$B$15,1,0)</f>
        <v>3502.91798055112</v>
      </c>
      <c r="F202" s="12" t="n">
        <f aca="false">C202*30.4*IF(B202&lt;Parametros!$B$15,1,0)</f>
        <v>3780.57084501468</v>
      </c>
      <c r="G202" s="12" t="n">
        <f aca="false">(E202*(Parametros!$B$9*(1-Parametros!$B$10)-Parametros!$B$11)-Parametros!$B$12*IF(B202&lt;Parametros!$B$15,1,0))/(1+Parametros!$B$14)^B202</f>
        <v>30940.5815691796</v>
      </c>
    </row>
    <row r="203" customFormat="false" ht="15" hidden="false" customHeight="false" outlineLevel="0" collapsed="false">
      <c r="A203" s="0" t="n">
        <v>199</v>
      </c>
      <c r="B203" s="10" t="n">
        <f aca="false">(A203-1)/12</f>
        <v>16.5</v>
      </c>
      <c r="C203" s="11" t="n">
        <f aca="false">Parametros!$B$5/(1+Parametros!$B$7*Parametros!$B$6*B203)^(1/Parametros!$B$7)</f>
        <v>123.963245919129</v>
      </c>
      <c r="D203" s="11" t="n">
        <f aca="false">IF(B203&lt;=Parametros!$B$17,C203,Parametros!$B$5/(1+Parametros!$B$7*Parametros!$B$6*Parametros!$B$17)^(1/Parametros!$B$7)*EXP(-Parametros!$B$8*(B203-Parametros!$B$17)))</f>
        <v>114.652865270947</v>
      </c>
      <c r="E203" s="12" t="n">
        <f aca="false">D203*30.4*IF(B203&lt;Parametros!$B$15,1,0)</f>
        <v>3485.4471042368</v>
      </c>
      <c r="F203" s="12" t="n">
        <f aca="false">C203*30.4*IF(B203&lt;Parametros!$B$15,1,0)</f>
        <v>3768.48267594151</v>
      </c>
      <c r="G203" s="12" t="n">
        <f aca="false">(E203*(Parametros!$B$9*(1-Parametros!$B$10)-Parametros!$B$11)-Parametros!$B$12*IF(B203&lt;Parametros!$B$15,1,0))/(1+Parametros!$B$14)^B203</f>
        <v>30533.3986423861</v>
      </c>
    </row>
    <row r="204" customFormat="false" ht="15" hidden="false" customHeight="false" outlineLevel="0" collapsed="false">
      <c r="A204" s="0" t="n">
        <v>200</v>
      </c>
      <c r="B204" s="10" t="n">
        <f aca="false">(A204-1)/12</f>
        <v>16.5833333333333</v>
      </c>
      <c r="C204" s="11" t="n">
        <f aca="false">Parametros!$B$5/(1+Parametros!$B$7*Parametros!$B$6*B204)^(1/Parametros!$B$7)</f>
        <v>123.568772166108</v>
      </c>
      <c r="D204" s="11" t="n">
        <f aca="false">IF(B204&lt;=Parametros!$B$17,C204,Parametros!$B$5/(1+Parametros!$B$7*Parametros!$B$6*Parametros!$B$17)^(1/Parametros!$B$7)*EXP(-Parametros!$B$8*(B204-Parametros!$B$17)))</f>
        <v>114.08103171979</v>
      </c>
      <c r="E204" s="12" t="n">
        <f aca="false">D204*30.4*IF(B204&lt;Parametros!$B$15,1,0)</f>
        <v>3468.06336428161</v>
      </c>
      <c r="F204" s="12" t="n">
        <f aca="false">C204*30.4*IF(B204&lt;Parametros!$B$15,1,0)</f>
        <v>3756.49067384968</v>
      </c>
      <c r="G204" s="12" t="n">
        <f aca="false">(E204*(Parametros!$B$9*(1-Parametros!$B$10)-Parametros!$B$11)-Parametros!$B$12*IF(B204&lt;Parametros!$B$15,1,0))/(1+Parametros!$B$14)^B204</f>
        <v>30131.5254156008</v>
      </c>
    </row>
    <row r="205" customFormat="false" ht="15" hidden="false" customHeight="false" outlineLevel="0" collapsed="false">
      <c r="A205" s="0" t="n">
        <v>201</v>
      </c>
      <c r="B205" s="10" t="n">
        <f aca="false">(A205-1)/12</f>
        <v>16.6666666666667</v>
      </c>
      <c r="C205" s="11" t="n">
        <f aca="false">Parametros!$B$5/(1+Parametros!$B$7*Parametros!$B$6*B205)^(1/Parametros!$B$7)</f>
        <v>123.177421725955</v>
      </c>
      <c r="D205" s="11" t="n">
        <f aca="false">IF(B205&lt;=Parametros!$B$17,C205,Parametros!$B$5/(1+Parametros!$B$7*Parametros!$B$6*Parametros!$B$17)^(1/Parametros!$B$7)*EXP(-Parametros!$B$8*(B205-Parametros!$B$17)))</f>
        <v>113.512050200367</v>
      </c>
      <c r="E205" s="12" t="n">
        <f aca="false">D205*30.4*IF(B205&lt;Parametros!$B$15,1,0)</f>
        <v>3450.76632609116</v>
      </c>
      <c r="F205" s="12" t="n">
        <f aca="false">C205*30.4*IF(B205&lt;Parametros!$B$15,1,0)</f>
        <v>3744.59362046902</v>
      </c>
      <c r="G205" s="12" t="n">
        <f aca="false">(E205*(Parametros!$B$9*(1-Parametros!$B$10)-Parametros!$B$11)-Parametros!$B$12*IF(B205&lt;Parametros!$B$15,1,0))/(1+Parametros!$B$14)^B205</f>
        <v>29734.8930278191</v>
      </c>
    </row>
    <row r="206" customFormat="false" ht="15" hidden="false" customHeight="false" outlineLevel="0" collapsed="false">
      <c r="A206" s="0" t="n">
        <v>202</v>
      </c>
      <c r="B206" s="10" t="n">
        <f aca="false">(A206-1)/12</f>
        <v>16.75</v>
      </c>
      <c r="C206" s="11" t="n">
        <f aca="false">Parametros!$B$5/(1+Parametros!$B$7*Parametros!$B$6*B206)^(1/Parametros!$B$7)</f>
        <v>122.789155218746</v>
      </c>
      <c r="D206" s="11" t="n">
        <f aca="false">IF(B206&lt;=Parametros!$B$17,C206,Parametros!$B$5/(1+Parametros!$B$7*Parametros!$B$6*Parametros!$B$17)^(1/Parametros!$B$7)*EXP(-Parametros!$B$8*(B206-Parametros!$B$17)))</f>
        <v>112.945906488112</v>
      </c>
      <c r="E206" s="12" t="n">
        <f aca="false">D206*30.4*IF(B206&lt;Parametros!$B$15,1,0)</f>
        <v>3433.55555723859</v>
      </c>
      <c r="F206" s="12" t="n">
        <f aca="false">C206*30.4*IF(B206&lt;Parametros!$B$15,1,0)</f>
        <v>3732.79031864989</v>
      </c>
      <c r="G206" s="12" t="n">
        <f aca="false">(E206*(Parametros!$B$9*(1-Parametros!$B$10)-Parametros!$B$11)-Parametros!$B$12*IF(B206&lt;Parametros!$B$15,1,0))/(1+Parametros!$B$14)^B206</f>
        <v>29343.4335081401</v>
      </c>
    </row>
    <row r="207" customFormat="false" ht="15" hidden="false" customHeight="false" outlineLevel="0" collapsed="false">
      <c r="A207" s="0" t="n">
        <v>203</v>
      </c>
      <c r="B207" s="10" t="n">
        <f aca="false">(A207-1)/12</f>
        <v>16.8333333333333</v>
      </c>
      <c r="C207" s="11" t="n">
        <f aca="false">Parametros!$B$5/(1+Parametros!$B$7*Parametros!$B$6*B207)^(1/Parametros!$B$7)</f>
        <v>122.403933944061</v>
      </c>
      <c r="D207" s="11" t="n">
        <f aca="false">IF(B207&lt;=Parametros!$B$17,C207,Parametros!$B$5/(1+Parametros!$B$7*Parametros!$B$6*Parametros!$B$17)^(1/Parametros!$B$7)*EXP(-Parametros!$B$8*(B207-Parametros!$B$17)))</f>
        <v>112.382586429401</v>
      </c>
      <c r="E207" s="12" t="n">
        <f aca="false">D207*30.4*IF(B207&lt;Parametros!$B$15,1,0)</f>
        <v>3416.43062745378</v>
      </c>
      <c r="F207" s="12" t="n">
        <f aca="false">C207*30.4*IF(B207&lt;Parametros!$B$15,1,0)</f>
        <v>3721.07959189945</v>
      </c>
      <c r="G207" s="12" t="n">
        <f aca="false">(E207*(Parametros!$B$9*(1-Parametros!$B$10)-Parametros!$B$11)-Parametros!$B$12*IF(B207&lt;Parametros!$B$15,1,0))/(1+Parametros!$B$14)^B207</f>
        <v>28957.0797642841</v>
      </c>
    </row>
    <row r="208" customFormat="false" ht="15" hidden="false" customHeight="false" outlineLevel="0" collapsed="false">
      <c r="A208" s="0" t="n">
        <v>204</v>
      </c>
      <c r="B208" s="10" t="n">
        <f aca="false">(A208-1)/12</f>
        <v>16.9166666666667</v>
      </c>
      <c r="C208" s="11" t="n">
        <f aca="false">Parametros!$B$5/(1+Parametros!$B$7*Parametros!$B$6*B208)^(1/Parametros!$B$7)</f>
        <v>122.021719866121</v>
      </c>
      <c r="D208" s="11" t="n">
        <f aca="false">IF(B208&lt;=Parametros!$B$17,C208,Parametros!$B$5/(1+Parametros!$B$7*Parametros!$B$6*Parametros!$B$17)^(1/Parametros!$B$7)*EXP(-Parametros!$B$8*(B208-Parametros!$B$17)))</f>
        <v>111.822075941204</v>
      </c>
      <c r="E208" s="12" t="n">
        <f aca="false">D208*30.4*IF(B208&lt;Parametros!$B$15,1,0)</f>
        <v>3399.3911086126</v>
      </c>
      <c r="F208" s="12" t="n">
        <f aca="false">C208*30.4*IF(B208&lt;Parametros!$B$15,1,0)</f>
        <v>3709.46028393009</v>
      </c>
      <c r="G208" s="12" t="n">
        <f aca="false">(E208*(Parametros!$B$9*(1-Parametros!$B$10)-Parametros!$B$11)-Parametros!$B$12*IF(B208&lt;Parametros!$B$15,1,0))/(1+Parametros!$B$14)^B208</f>
        <v>28575.7655712579</v>
      </c>
    </row>
    <row r="209" customFormat="false" ht="15" hidden="false" customHeight="false" outlineLevel="0" collapsed="false">
      <c r="A209" s="0" t="n">
        <v>205</v>
      </c>
      <c r="B209" s="10" t="n">
        <f aca="false">(A209-1)/12</f>
        <v>17</v>
      </c>
      <c r="C209" s="11" t="n">
        <f aca="false">Parametros!$B$5/(1+Parametros!$B$7*Parametros!$B$6*B209)^(1/Parametros!$B$7)</f>
        <v>121.642475599337</v>
      </c>
      <c r="D209" s="11" t="n">
        <f aca="false">IF(B209&lt;=Parametros!$B$17,C209,Parametros!$B$5/(1+Parametros!$B$7*Parametros!$B$6*Parametros!$B$17)^(1/Parametros!$B$7)*EXP(-Parametros!$B$8*(B209-Parametros!$B$17)))</f>
        <v>111.26436101073</v>
      </c>
      <c r="E209" s="12" t="n">
        <f aca="false">D209*30.4*IF(B209&lt;Parametros!$B$15,1,0)</f>
        <v>3382.43657472618</v>
      </c>
      <c r="F209" s="12" t="n">
        <f aca="false">C209*30.4*IF(B209&lt;Parametros!$B$15,1,0)</f>
        <v>3697.93125821985</v>
      </c>
      <c r="G209" s="12" t="n">
        <f aca="false">(E209*(Parametros!$B$9*(1-Parametros!$B$10)-Parametros!$B$11)-Parametros!$B$12*IF(B209&lt;Parametros!$B$15,1,0))/(1+Parametros!$B$14)^B209</f>
        <v>28199.4255601667</v>
      </c>
    </row>
    <row r="210" customFormat="false" ht="15" hidden="false" customHeight="false" outlineLevel="0" collapsed="false">
      <c r="A210" s="0" t="n">
        <v>206</v>
      </c>
      <c r="B210" s="10" t="n">
        <f aca="false">(A210-1)/12</f>
        <v>17.0833333333333</v>
      </c>
      <c r="C210" s="11" t="n">
        <f aca="false">Parametros!$B$5/(1+Parametros!$B$7*Parametros!$B$6*B210)^(1/Parametros!$B$7)</f>
        <v>121.266164394224</v>
      </c>
      <c r="D210" s="11" t="n">
        <f aca="false">IF(B210&lt;=Parametros!$B$17,C210,Parametros!$B$5/(1+Parametros!$B$7*Parametros!$B$6*Parametros!$B$17)^(1/Parametros!$B$7)*EXP(-Parametros!$B$8*(B210-Parametros!$B$17)))</f>
        <v>110.709427695076</v>
      </c>
      <c r="E210" s="12" t="n">
        <f aca="false">D210*30.4*IF(B210&lt;Parametros!$B$15,1,0)</f>
        <v>3365.5666019303</v>
      </c>
      <c r="F210" s="12" t="n">
        <f aca="false">C210*30.4*IF(B210&lt;Parametros!$B$15,1,0)</f>
        <v>3686.4913975844</v>
      </c>
      <c r="G210" s="12" t="n">
        <f aca="false">(E210*(Parametros!$B$9*(1-Parametros!$B$10)-Parametros!$B$11)-Parametros!$B$12*IF(B210&lt;Parametros!$B$15,1,0))/(1+Parametros!$B$14)^B210</f>
        <v>27827.9952071693</v>
      </c>
    </row>
    <row r="211" customFormat="false" ht="15" hidden="false" customHeight="false" outlineLevel="0" collapsed="false">
      <c r="A211" s="0" t="n">
        <v>207</v>
      </c>
      <c r="B211" s="10" t="n">
        <f aca="false">(A211-1)/12</f>
        <v>17.1666666666667</v>
      </c>
      <c r="C211" s="11" t="n">
        <f aca="false">Parametros!$B$5/(1+Parametros!$B$7*Parametros!$B$6*B211)^(1/Parametros!$B$7)</f>
        <v>120.892750123692</v>
      </c>
      <c r="D211" s="11" t="n">
        <f aca="false">IF(B211&lt;=Parametros!$B$17,C211,Parametros!$B$5/(1+Parametros!$B$7*Parametros!$B$6*Parametros!$B$17)^(1/Parametros!$B$7)*EXP(-Parametros!$B$8*(B211-Parametros!$B$17)))</f>
        <v>110.15726212088</v>
      </c>
      <c r="E211" s="12" t="n">
        <f aca="false">D211*30.4*IF(B211&lt;Parametros!$B$15,1,0)</f>
        <v>3348.78076847476</v>
      </c>
      <c r="F211" s="12" t="n">
        <f aca="false">C211*30.4*IF(B211&lt;Parametros!$B$15,1,0)</f>
        <v>3675.13960376023</v>
      </c>
      <c r="G211" s="12" t="n">
        <f aca="false">(E211*(Parametros!$B$9*(1-Parametros!$B$10)-Parametros!$B$11)-Parametros!$B$12*IF(B211&lt;Parametros!$B$15,1,0))/(1+Parametros!$B$14)^B211</f>
        <v>27461.4108225767</v>
      </c>
    </row>
    <row r="212" customFormat="false" ht="15" hidden="false" customHeight="false" outlineLevel="0" collapsed="false">
      <c r="A212" s="0" t="n">
        <v>208</v>
      </c>
      <c r="B212" s="10" t="n">
        <f aca="false">(A212-1)/12</f>
        <v>17.25</v>
      </c>
      <c r="C212" s="11" t="n">
        <f aca="false">Parametros!$B$5/(1+Parametros!$B$7*Parametros!$B$6*B212)^(1/Parametros!$B$7)</f>
        <v>120.522197269692</v>
      </c>
      <c r="D212" s="11" t="n">
        <f aca="false">IF(B212&lt;=Parametros!$B$17,C212,Parametros!$B$5/(1+Parametros!$B$7*Parametros!$B$6*Parametros!$B$17)^(1/Parametros!$B$7)*EXP(-Parametros!$B$8*(B212-Parametros!$B$17)))</f>
        <v>109.607850483975</v>
      </c>
      <c r="E212" s="12" t="n">
        <f aca="false">D212*30.4*IF(B212&lt;Parametros!$B$15,1,0)</f>
        <v>3332.07865471285</v>
      </c>
      <c r="F212" s="12" t="n">
        <f aca="false">C212*30.4*IF(B212&lt;Parametros!$B$15,1,0)</f>
        <v>3663.87479699864</v>
      </c>
      <c r="G212" s="12" t="n">
        <f aca="false">(E212*(Parametros!$B$9*(1-Parametros!$B$10)-Parametros!$B$11)-Parametros!$B$12*IF(B212&lt;Parametros!$B$15,1,0))/(1+Parametros!$B$14)^B212</f>
        <v>27099.6095400902</v>
      </c>
    </row>
    <row r="213" customFormat="false" ht="15" hidden="false" customHeight="false" outlineLevel="0" collapsed="false">
      <c r="A213" s="0" t="n">
        <v>209</v>
      </c>
      <c r="B213" s="10" t="n">
        <f aca="false">(A213-1)/12</f>
        <v>17.3333333333333</v>
      </c>
      <c r="C213" s="11" t="n">
        <f aca="false">Parametros!$B$5/(1+Parametros!$B$7*Parametros!$B$6*B213)^(1/Parametros!$B$7)</f>
        <v>120.154470910209</v>
      </c>
      <c r="D213" s="11" t="n">
        <f aca="false">IF(B213&lt;=Parametros!$B$17,C213,Parametros!$B$5/(1+Parametros!$B$7*Parametros!$B$6*Parametros!$B$17)^(1/Parametros!$B$7)*EXP(-Parametros!$B$8*(B213-Parametros!$B$17)))</f>
        <v>109.061179049041</v>
      </c>
      <c r="E213" s="12" t="n">
        <f aca="false">D213*30.4*IF(B213&lt;Parametros!$B$15,1,0)</f>
        <v>3315.45984309085</v>
      </c>
      <c r="F213" s="12" t="n">
        <f aca="false">C213*30.4*IF(B213&lt;Parametros!$B$15,1,0)</f>
        <v>3652.69591567037</v>
      </c>
      <c r="G213" s="12" t="n">
        <f aca="false">(E213*(Parametros!$B$9*(1-Parametros!$B$10)-Parametros!$B$11)-Parametros!$B$12*IF(B213&lt;Parametros!$B$15,1,0))/(1+Parametros!$B$14)^B213</f>
        <v>26742.5293061786</v>
      </c>
    </row>
    <row r="214" customFormat="false" ht="15" hidden="false" customHeight="false" outlineLevel="0" collapsed="false">
      <c r="A214" s="0" t="n">
        <v>210</v>
      </c>
      <c r="B214" s="10" t="n">
        <f aca="false">(A214-1)/12</f>
        <v>17.4166666666667</v>
      </c>
      <c r="C214" s="11" t="n">
        <f aca="false">Parametros!$B$5/(1+Parametros!$B$7*Parametros!$B$6*B214)^(1/Parametros!$B$7)</f>
        <v>119.789536706588</v>
      </c>
      <c r="D214" s="11" t="n">
        <f aca="false">IF(B214&lt;=Parametros!$B$17,C214,Parametros!$B$5/(1+Parametros!$B$7*Parametros!$B$6*Parametros!$B$17)^(1/Parametros!$B$7)*EXP(-Parametros!$B$8*(B214-Parametros!$B$17)))</f>
        <v>108.517234149263</v>
      </c>
      <c r="E214" s="12" t="n">
        <f aca="false">D214*30.4*IF(B214&lt;Parametros!$B$15,1,0)</f>
        <v>3298.92391813761</v>
      </c>
      <c r="F214" s="12" t="n">
        <f aca="false">C214*30.4*IF(B214&lt;Parametros!$B$15,1,0)</f>
        <v>3641.60191588029</v>
      </c>
      <c r="G214" s="12" t="n">
        <f aca="false">(E214*(Parametros!$B$9*(1-Parametros!$B$10)-Parametros!$B$11)-Parametros!$B$12*IF(B214&lt;Parametros!$B$15,1,0))/(1+Parametros!$B$14)^B214</f>
        <v>26390.1088695922</v>
      </c>
    </row>
    <row r="215" customFormat="false" ht="15" hidden="false" customHeight="false" outlineLevel="0" collapsed="false">
      <c r="A215" s="0" t="n">
        <v>211</v>
      </c>
      <c r="B215" s="10" t="n">
        <f aca="false">(A215-1)/12</f>
        <v>17.5</v>
      </c>
      <c r="C215" s="11" t="n">
        <f aca="false">Parametros!$B$5/(1+Parametros!$B$7*Parametros!$B$6*B215)^(1/Parametros!$B$7)</f>
        <v>119.427360891189</v>
      </c>
      <c r="D215" s="11" t="n">
        <f aca="false">IF(B215&lt;=Parametros!$B$17,C215,Parametros!$B$5/(1+Parametros!$B$7*Parametros!$B$6*Parametros!$B$17)^(1/Parametros!$B$7)*EXP(-Parametros!$B$8*(B215-Parametros!$B$17)))</f>
        <v>107.976002185991</v>
      </c>
      <c r="E215" s="12" t="n">
        <f aca="false">D215*30.4*IF(B215&lt;Parametros!$B$15,1,0)</f>
        <v>3282.47046645414</v>
      </c>
      <c r="F215" s="12" t="n">
        <f aca="false">C215*30.4*IF(B215&lt;Parametros!$B$15,1,0)</f>
        <v>3630.59177109214</v>
      </c>
      <c r="G215" s="12" t="n">
        <f aca="false">(E215*(Parametros!$B$9*(1-Parametros!$B$10)-Parametros!$B$11)-Parametros!$B$12*IF(B215&lt;Parametros!$B$15,1,0))/(1+Parametros!$B$14)^B215</f>
        <v>26042.2877710121</v>
      </c>
    </row>
    <row r="216" customFormat="false" ht="15" hidden="false" customHeight="false" outlineLevel="0" collapsed="false">
      <c r="A216" s="0" t="n">
        <v>212</v>
      </c>
      <c r="B216" s="10" t="n">
        <f aca="false">(A216-1)/12</f>
        <v>17.5833333333333</v>
      </c>
      <c r="C216" s="11" t="n">
        <f aca="false">Parametros!$B$5/(1+Parametros!$B$7*Parametros!$B$6*B216)^(1/Parametros!$B$7)</f>
        <v>119.067910255355</v>
      </c>
      <c r="D216" s="11" t="n">
        <f aca="false">IF(B216&lt;=Parametros!$B$17,C216,Parametros!$B$5/(1+Parametros!$B$7*Parametros!$B$6*Parametros!$B$17)^(1/Parametros!$B$7)*EXP(-Parametros!$B$8*(B216-Parametros!$B$17)))</f>
        <v>107.437469628398</v>
      </c>
      <c r="E216" s="12" t="n">
        <f aca="false">D216*30.4*IF(B216&lt;Parametros!$B$15,1,0)</f>
        <v>3266.09907670329</v>
      </c>
      <c r="F216" s="12" t="n">
        <f aca="false">C216*30.4*IF(B216&lt;Parametros!$B$15,1,0)</f>
        <v>3619.6644717628</v>
      </c>
      <c r="G216" s="12" t="n">
        <f aca="false">(E216*(Parametros!$B$9*(1-Parametros!$B$10)-Parametros!$B$11)-Parametros!$B$12*IF(B216&lt;Parametros!$B$15,1,0))/(1+Parametros!$B$14)^B216</f>
        <v>25699.0063328325</v>
      </c>
    </row>
    <row r="217" customFormat="false" ht="15" hidden="false" customHeight="false" outlineLevel="0" collapsed="false">
      <c r="A217" s="0" t="n">
        <v>213</v>
      </c>
      <c r="B217" s="10" t="n">
        <f aca="false">(A217-1)/12</f>
        <v>17.6666666666667</v>
      </c>
      <c r="C217" s="11" t="n">
        <f aca="false">Parametros!$B$5/(1+Parametros!$B$7*Parametros!$B$6*B217)^(1/Parametros!$B$7)</f>
        <v>118.711152137691</v>
      </c>
      <c r="D217" s="11" t="n">
        <f aca="false">IF(B217&lt;=Parametros!$B$17,C217,Parametros!$B$5/(1+Parametros!$B$7*Parametros!$B$6*Parametros!$B$17)^(1/Parametros!$B$7)*EXP(-Parametros!$B$8*(B217-Parametros!$B$17)))</f>
        <v>106.901623013141</v>
      </c>
      <c r="E217" s="12" t="n">
        <f aca="false">D217*30.4*IF(B217&lt;Parametros!$B$15,1,0)</f>
        <v>3249.80933959947</v>
      </c>
      <c r="F217" s="12" t="n">
        <f aca="false">C217*30.4*IF(B217&lt;Parametros!$B$15,1,0)</f>
        <v>3608.81902498582</v>
      </c>
      <c r="G217" s="12" t="n">
        <f aca="false">(E217*(Parametros!$B$9*(1-Parametros!$B$10)-Parametros!$B$11)-Parametros!$B$12*IF(B217&lt;Parametros!$B$15,1,0))/(1+Parametros!$B$14)^B217</f>
        <v>25360.205649075</v>
      </c>
    </row>
    <row r="218" customFormat="false" ht="15" hidden="false" customHeight="false" outlineLevel="0" collapsed="false">
      <c r="A218" s="0" t="n">
        <v>214</v>
      </c>
      <c r="B218" s="10" t="n">
        <f aca="false">(A218-1)/12</f>
        <v>17.75</v>
      </c>
      <c r="C218" s="11" t="n">
        <f aca="false">Parametros!$B$5/(1+Parametros!$B$7*Parametros!$B$6*B218)^(1/Parametros!$B$7)</f>
        <v>118.357054412635</v>
      </c>
      <c r="D218" s="11" t="n">
        <f aca="false">IF(B218&lt;=Parametros!$B$17,C218,Parametros!$B$5/(1+Parametros!$B$7*Parametros!$B$6*Parametros!$B$17)^(1/Parametros!$B$7)*EXP(-Parametros!$B$8*(B218-Parametros!$B$17)))</f>
        <v>106.368448944027</v>
      </c>
      <c r="E218" s="12" t="n">
        <f aca="false">D218*30.4*IF(B218&lt;Parametros!$B$15,1,0)</f>
        <v>3233.60084789841</v>
      </c>
      <c r="F218" s="12" t="n">
        <f aca="false">C218*30.4*IF(B218&lt;Parametros!$B$15,1,0)</f>
        <v>3598.05445414411</v>
      </c>
      <c r="G218" s="12" t="n">
        <f aca="false">(E218*(Parametros!$B$9*(1-Parametros!$B$10)-Parametros!$B$11)-Parametros!$B$12*IF(B218&lt;Parametros!$B$15,1,0))/(1+Parametros!$B$14)^B218</f>
        <v>25025.8275754325</v>
      </c>
    </row>
    <row r="219" customFormat="false" ht="15" hidden="false" customHeight="false" outlineLevel="0" collapsed="false">
      <c r="A219" s="0" t="n">
        <v>215</v>
      </c>
      <c r="B219" s="10" t="n">
        <f aca="false">(A219-1)/12</f>
        <v>17.8333333333333</v>
      </c>
      <c r="C219" s="11" t="n">
        <f aca="false">Parametros!$B$5/(1+Parametros!$B$7*Parametros!$B$6*B219)^(1/Parametros!$B$7)</f>
        <v>118.00558547932</v>
      </c>
      <c r="D219" s="11" t="n">
        <f aca="false">IF(B219&lt;=Parametros!$B$17,C219,Parametros!$B$5/(1+Parametros!$B$7*Parametros!$B$6*Parametros!$B$17)^(1/Parametros!$B$7)*EXP(-Parametros!$B$8*(B219-Parametros!$B$17)))</f>
        <v>105.837934091676</v>
      </c>
      <c r="E219" s="12" t="n">
        <f aca="false">D219*30.4*IF(B219&lt;Parametros!$B$15,1,0)</f>
        <v>3217.47319638695</v>
      </c>
      <c r="F219" s="12" t="n">
        <f aca="false">C219*30.4*IF(B219&lt;Parametros!$B$15,1,0)</f>
        <v>3587.36979857131</v>
      </c>
      <c r="G219" s="12" t="n">
        <f aca="false">(E219*(Parametros!$B$9*(1-Parametros!$B$10)-Parametros!$B$11)-Parametros!$B$12*IF(B219&lt;Parametros!$B$15,1,0))/(1+Parametros!$B$14)^B219</f>
        <v>24695.8147194419</v>
      </c>
    </row>
    <row r="220" customFormat="false" ht="15" hidden="false" customHeight="false" outlineLevel="0" collapsed="false">
      <c r="A220" s="0" t="n">
        <v>216</v>
      </c>
      <c r="B220" s="10" t="n">
        <f aca="false">(A220-1)/12</f>
        <v>17.9166666666667</v>
      </c>
      <c r="C220" s="11" t="n">
        <f aca="false">Parametros!$B$5/(1+Parametros!$B$7*Parametros!$B$6*B220)^(1/Parametros!$B$7)</f>
        <v>117.656714250713</v>
      </c>
      <c r="D220" s="11" t="n">
        <f aca="false">IF(B220&lt;=Parametros!$B$17,C220,Parametros!$B$5/(1+Parametros!$B$7*Parametros!$B$6*Parametros!$B$17)^(1/Parametros!$B$7)*EXP(-Parametros!$B$8*(B220-Parametros!$B$17)))</f>
        <v>105.31006519319</v>
      </c>
      <c r="E220" s="12" t="n">
        <f aca="false">D220*30.4*IF(B220&lt;Parametros!$B$15,1,0)</f>
        <v>3201.42598187298</v>
      </c>
      <c r="F220" s="12" t="n">
        <f aca="false">C220*30.4*IF(B220&lt;Parametros!$B$15,1,0)</f>
        <v>3576.76411322169</v>
      </c>
      <c r="G220" s="12" t="n">
        <f aca="false">(E220*(Parametros!$B$9*(1-Parametros!$B$10)-Parametros!$B$11)-Parametros!$B$12*IF(B220&lt;Parametros!$B$15,1,0))/(1+Parametros!$B$14)^B220</f>
        <v>24370.110430783</v>
      </c>
    </row>
    <row r="221" customFormat="false" ht="15" hidden="false" customHeight="false" outlineLevel="0" collapsed="false">
      <c r="A221" s="0" t="n">
        <v>217</v>
      </c>
      <c r="B221" s="10" t="n">
        <f aca="false">(A221-1)/12</f>
        <v>18</v>
      </c>
      <c r="C221" s="11" t="n">
        <f aca="false">Parametros!$B$5/(1+Parametros!$B$7*Parametros!$B$6*B221)^(1/Parametros!$B$7)</f>
        <v>117.310410143036</v>
      </c>
      <c r="D221" s="11" t="n">
        <f aca="false">IF(B221&lt;=Parametros!$B$17,C221,Parametros!$B$5/(1+Parametros!$B$7*Parametros!$B$6*Parametros!$B$17)^(1/Parametros!$B$7)*EXP(-Parametros!$B$8*(B221-Parametros!$B$17)))</f>
        <v>104.784829051819</v>
      </c>
      <c r="E221" s="12" t="n">
        <f aca="false">D221*30.4*IF(B221&lt;Parametros!$B$15,1,0)</f>
        <v>3185.45880317531</v>
      </c>
      <c r="F221" s="12" t="n">
        <f aca="false">C221*30.4*IF(B221&lt;Parametros!$B$15,1,0)</f>
        <v>3566.23646834829</v>
      </c>
      <c r="G221" s="12" t="n">
        <f aca="false">(E221*(Parametros!$B$9*(1-Parametros!$B$10)-Parametros!$B$11)-Parametros!$B$12*IF(B221&lt;Parametros!$B$15,1,0))/(1+Parametros!$B$14)^B221</f>
        <v>24048.6587917024</v>
      </c>
    </row>
    <row r="222" customFormat="false" ht="15" hidden="false" customHeight="false" outlineLevel="0" collapsed="false">
      <c r="A222" s="0" t="n">
        <v>218</v>
      </c>
      <c r="B222" s="10" t="n">
        <f aca="false">(A222-1)/12</f>
        <v>18.0833333333333</v>
      </c>
      <c r="C222" s="11" t="n">
        <f aca="false">Parametros!$B$5/(1+Parametros!$B$7*Parametros!$B$6*B222)^(1/Parametros!$B$7)</f>
        <v>116.966643065432</v>
      </c>
      <c r="D222" s="11" t="n">
        <f aca="false">IF(B222&lt;=Parametros!$B$17,C222,Parametros!$B$5/(1+Parametros!$B$7*Parametros!$B$6*Parametros!$B$17)^(1/Parametros!$B$7)*EXP(-Parametros!$B$8*(B222-Parametros!$B$17)))</f>
        <v>104.262212536632</v>
      </c>
      <c r="E222" s="12" t="n">
        <f aca="false">D222*30.4*IF(B222&lt;Parametros!$B$15,1,0)</f>
        <v>3169.57126111362</v>
      </c>
      <c r="F222" s="12" t="n">
        <f aca="false">C222*30.4*IF(B222&lt;Parametros!$B$15,1,0)</f>
        <v>3555.78594918914</v>
      </c>
      <c r="G222" s="12" t="n">
        <f aca="false">(E222*(Parametros!$B$9*(1-Parametros!$B$10)-Parametros!$B$11)-Parametros!$B$12*IF(B222&lt;Parametros!$B$15,1,0))/(1+Parametros!$B$14)^B222</f>
        <v>23731.4046075615</v>
      </c>
    </row>
    <row r="223" customFormat="false" ht="15" hidden="false" customHeight="false" outlineLevel="0" collapsed="false">
      <c r="A223" s="0" t="n">
        <v>219</v>
      </c>
      <c r="B223" s="10" t="n">
        <f aca="false">(A223-1)/12</f>
        <v>18.1666666666667</v>
      </c>
      <c r="C223" s="11" t="n">
        <f aca="false">Parametros!$B$5/(1+Parametros!$B$7*Parametros!$B$6*B223)^(1/Parametros!$B$7)</f>
        <v>116.625383409909</v>
      </c>
      <c r="D223" s="11" t="n">
        <f aca="false">IF(B223&lt;=Parametros!$B$17,C223,Parametros!$B$5/(1+Parametros!$B$7*Parametros!$B$6*Parametros!$B$17)^(1/Parametros!$B$7)*EXP(-Parametros!$B$8*(B223-Parametros!$B$17)))</f>
        <v>103.742202582189</v>
      </c>
      <c r="E223" s="12" t="n">
        <f aca="false">D223*30.4*IF(B223&lt;Parametros!$B$15,1,0)</f>
        <v>3153.76295849854</v>
      </c>
      <c r="F223" s="12" t="n">
        <f aca="false">C223*30.4*IF(B223&lt;Parametros!$B$15,1,0)</f>
        <v>3545.41165566122</v>
      </c>
      <c r="G223" s="12" t="n">
        <f aca="false">(E223*(Parametros!$B$9*(1-Parametros!$B$10)-Parametros!$B$11)-Parametros!$B$12*IF(B223&lt;Parametros!$B$15,1,0))/(1+Parametros!$B$14)^B223</f>
        <v>23418.2933975048</v>
      </c>
    </row>
    <row r="224" customFormat="false" ht="15" hidden="false" customHeight="false" outlineLevel="0" collapsed="false">
      <c r="A224" s="0" t="n">
        <v>220</v>
      </c>
      <c r="B224" s="10" t="n">
        <f aca="false">(A224-1)/12</f>
        <v>18.25</v>
      </c>
      <c r="C224" s="11" t="n">
        <f aca="false">Parametros!$B$5/(1+Parametros!$B$7*Parametros!$B$6*B224)^(1/Parametros!$B$7)</f>
        <v>116.28660204151</v>
      </c>
      <c r="D224" s="11" t="n">
        <f aca="false">IF(B224&lt;=Parametros!$B$17,C224,Parametros!$B$5/(1+Parametros!$B$7*Parametros!$B$6*Parametros!$B$17)^(1/Parametros!$B$7)*EXP(-Parametros!$B$8*(B224-Parametros!$B$17)))</f>
        <v>103.224786188213</v>
      </c>
      <c r="E224" s="12" t="n">
        <f aca="false">D224*30.4*IF(B224&lt;Parametros!$B$15,1,0)</f>
        <v>3138.03350012168</v>
      </c>
      <c r="F224" s="12" t="n">
        <f aca="false">C224*30.4*IF(B224&lt;Parametros!$B$15,1,0)</f>
        <v>3535.11270206192</v>
      </c>
      <c r="G224" s="12" t="n">
        <f aca="false">(E224*(Parametros!$B$9*(1-Parametros!$B$10)-Parametros!$B$11)-Parametros!$B$12*IF(B224&lt;Parametros!$B$15,1,0))/(1+Parametros!$B$14)^B224</f>
        <v>23109.2713852504</v>
      </c>
    </row>
    <row r="225" customFormat="false" ht="15" hidden="false" customHeight="false" outlineLevel="0" collapsed="false">
      <c r="A225" s="0" t="n">
        <v>221</v>
      </c>
      <c r="B225" s="10" t="n">
        <f aca="false">(A225-1)/12</f>
        <v>18.3333333333333</v>
      </c>
      <c r="C225" s="11" t="n">
        <f aca="false">Parametros!$B$5/(1+Parametros!$B$7*Parametros!$B$6*B225)^(1/Parametros!$B$7)</f>
        <v>115.950270288748</v>
      </c>
      <c r="D225" s="11" t="n">
        <f aca="false">IF(B225&lt;=Parametros!$B$17,C225,Parametros!$B$5/(1+Parametros!$B$7*Parametros!$B$6*Parametros!$B$17)^(1/Parametros!$B$7)*EXP(-Parametros!$B$8*(B225-Parametros!$B$17)))</f>
        <v>102.709950419268</v>
      </c>
      <c r="E225" s="12" t="n">
        <f aca="false">D225*30.4*IF(B225&lt;Parametros!$B$15,1,0)</f>
        <v>3122.38249274576</v>
      </c>
      <c r="F225" s="12" t="n">
        <f aca="false">C225*30.4*IF(B225&lt;Parametros!$B$15,1,0)</f>
        <v>3524.88821677795</v>
      </c>
      <c r="G225" s="12" t="n">
        <f aca="false">(E225*(Parametros!$B$9*(1-Parametros!$B$10)-Parametros!$B$11)-Parametros!$B$12*IF(B225&lt;Parametros!$B$15,1,0))/(1+Parametros!$B$14)^B225</f>
        <v>22804.2854899977</v>
      </c>
    </row>
    <row r="226" customFormat="false" ht="15" hidden="false" customHeight="false" outlineLevel="0" collapsed="false">
      <c r="A226" s="0" t="n">
        <v>222</v>
      </c>
      <c r="B226" s="10" t="n">
        <f aca="false">(A226-1)/12</f>
        <v>18.4166666666667</v>
      </c>
      <c r="C226" s="11" t="n">
        <f aca="false">Parametros!$B$5/(1+Parametros!$B$7*Parametros!$B$6*B226)^(1/Parametros!$B$7)</f>
        <v>115.616359934253</v>
      </c>
      <c r="D226" s="11" t="n">
        <f aca="false">IF(B226&lt;=Parametros!$B$17,C226,Parametros!$B$5/(1+Parametros!$B$7*Parametros!$B$6*Parametros!$B$17)^(1/Parametros!$B$7)*EXP(-Parametros!$B$8*(B226-Parametros!$B$17)))</f>
        <v>102.197682404434</v>
      </c>
      <c r="E226" s="12" t="n">
        <f aca="false">D226*30.4*IF(B226&lt;Parametros!$B$15,1,0)</f>
        <v>3106.80954509479</v>
      </c>
      <c r="F226" s="12" t="n">
        <f aca="false">C226*30.4*IF(B226&lt;Parametros!$B$15,1,0)</f>
        <v>3514.7373420013</v>
      </c>
      <c r="G226" s="12" t="n">
        <f aca="false">(E226*(Parametros!$B$9*(1-Parametros!$B$10)-Parametros!$B$11)-Parametros!$B$12*IF(B226&lt;Parametros!$B$15,1,0))/(1+Parametros!$B$14)^B226</f>
        <v>22503.2833174525</v>
      </c>
    </row>
    <row r="227" customFormat="false" ht="15" hidden="false" customHeight="false" outlineLevel="0" collapsed="false">
      <c r="A227" s="0" t="n">
        <v>223</v>
      </c>
      <c r="B227" s="10" t="n">
        <f aca="false">(A227-1)/12</f>
        <v>18.5</v>
      </c>
      <c r="C227" s="11" t="n">
        <f aca="false">Parametros!$B$5/(1+Parametros!$B$7*Parametros!$B$6*B227)^(1/Parametros!$B$7)</f>
        <v>115.284843205663</v>
      </c>
      <c r="D227" s="11" t="n">
        <f aca="false">IF(B227&lt;=Parametros!$B$17,C227,Parametros!$B$5/(1+Parametros!$B$7*Parametros!$B$6*Parametros!$B$17)^(1/Parametros!$B$7)*EXP(-Parametros!$B$8*(B227-Parametros!$B$17)))</f>
        <v>101.687969336982</v>
      </c>
      <c r="E227" s="12" t="n">
        <f aca="false">D227*30.4*IF(B227&lt;Parametros!$B$15,1,0)</f>
        <v>3091.31426784425</v>
      </c>
      <c r="F227" s="12" t="n">
        <f aca="false">C227*30.4*IF(B227&lt;Parametros!$B$15,1,0)</f>
        <v>3504.65923345215</v>
      </c>
      <c r="G227" s="12" t="n">
        <f aca="false">(E227*(Parametros!$B$9*(1-Parametros!$B$10)-Parametros!$B$11)-Parametros!$B$12*IF(B227&lt;Parametros!$B$15,1,0))/(1+Parametros!$B$14)^B227</f>
        <v>22206.2131509686</v>
      </c>
    </row>
    <row r="228" customFormat="false" ht="15" hidden="false" customHeight="false" outlineLevel="0" collapsed="false">
      <c r="A228" s="0" t="n">
        <v>224</v>
      </c>
      <c r="B228" s="10" t="n">
        <f aca="false">(A228-1)/12</f>
        <v>18.5833333333333</v>
      </c>
      <c r="C228" s="11" t="n">
        <f aca="false">Parametros!$B$5/(1+Parametros!$B$7*Parametros!$B$6*B228)^(1/Parametros!$B$7)</f>
        <v>114.955692766727</v>
      </c>
      <c r="D228" s="11" t="n">
        <f aca="false">IF(B228&lt;=Parametros!$B$17,C228,Parametros!$B$5/(1+Parametros!$B$7*Parametros!$B$6*Parametros!$B$17)^(1/Parametros!$B$7)*EXP(-Parametros!$B$8*(B228-Parametros!$B$17)))</f>
        <v>101.18079847406</v>
      </c>
      <c r="E228" s="12" t="n">
        <f aca="false">D228*30.4*IF(B228&lt;Parametros!$B$15,1,0)</f>
        <v>3075.89627361142</v>
      </c>
      <c r="F228" s="12" t="n">
        <f aca="false">C228*30.4*IF(B228&lt;Parametros!$B$15,1,0)</f>
        <v>3494.65306010851</v>
      </c>
      <c r="G228" s="12" t="n">
        <f aca="false">(E228*(Parametros!$B$9*(1-Parametros!$B$10)-Parametros!$B$11)-Parametros!$B$12*IF(B228&lt;Parametros!$B$15,1,0))/(1+Parametros!$B$14)^B228</f>
        <v>21913.0239428026</v>
      </c>
    </row>
    <row r="229" customFormat="false" ht="15" hidden="false" customHeight="false" outlineLevel="0" collapsed="false">
      <c r="A229" s="0" t="n">
        <v>225</v>
      </c>
      <c r="B229" s="10" t="n">
        <f aca="false">(A229-1)/12</f>
        <v>18.6666666666667</v>
      </c>
      <c r="C229" s="11" t="n">
        <f aca="false">Parametros!$B$5/(1+Parametros!$B$7*Parametros!$B$6*B229)^(1/Parametros!$B$7)</f>
        <v>114.628881708629</v>
      </c>
      <c r="D229" s="11" t="n">
        <f aca="false">IF(B229&lt;=Parametros!$B$17,C229,Parametros!$B$5/(1+Parametros!$B$7*Parametros!$B$6*Parametros!$B$17)^(1/Parametros!$B$7)*EXP(-Parametros!$B$8*(B229-Parametros!$B$17)))</f>
        <v>100.67615713637</v>
      </c>
      <c r="E229" s="12" t="n">
        <f aca="false">D229*30.4*IF(B229&lt;Parametros!$B$15,1,0)</f>
        <v>3060.55517694563</v>
      </c>
      <c r="F229" s="12" t="n">
        <f aca="false">C229*30.4*IF(B229&lt;Parametros!$B$15,1,0)</f>
        <v>3484.71800394234</v>
      </c>
      <c r="G229" s="12" t="n">
        <f aca="false">(E229*(Parametros!$B$9*(1-Parametros!$B$10)-Parametros!$B$11)-Parametros!$B$12*IF(B229&lt;Parametros!$B$15,1,0))/(1+Parametros!$B$14)^B229</f>
        <v>21623.6653054817</v>
      </c>
    </row>
    <row r="230" customFormat="false" ht="15" hidden="false" customHeight="false" outlineLevel="0" collapsed="false">
      <c r="A230" s="0" t="n">
        <v>226</v>
      </c>
      <c r="B230" s="10" t="n">
        <f aca="false">(A230-1)/12</f>
        <v>18.75</v>
      </c>
      <c r="C230" s="11" t="n">
        <f aca="false">Parametros!$B$5/(1+Parametros!$B$7*Parametros!$B$6*B230)^(1/Parametros!$B$7)</f>
        <v>114.304383541517</v>
      </c>
      <c r="D230" s="11" t="n">
        <f aca="false">IF(B230&lt;=Parametros!$B$17,C230,Parametros!$B$5/(1+Parametros!$B$7*Parametros!$B$6*Parametros!$B$17)^(1/Parametros!$B$7)*EXP(-Parametros!$B$8*(B230-Parametros!$B$17)))</f>
        <v>100.174032707851</v>
      </c>
      <c r="E230" s="12" t="n">
        <f aca="false">D230*30.4*IF(B230&lt;Parametros!$B$15,1,0)</f>
        <v>3045.29059431867</v>
      </c>
      <c r="F230" s="12" t="n">
        <f aca="false">C230*30.4*IF(B230&lt;Parametros!$B$15,1,0)</f>
        <v>3474.8532596621</v>
      </c>
      <c r="G230" s="12" t="n">
        <f aca="false">(E230*(Parametros!$B$9*(1-Parametros!$B$10)-Parametros!$B$11)-Parametros!$B$12*IF(B230&lt;Parametros!$B$15,1,0))/(1+Parametros!$B$14)^B230</f>
        <v>21338.087503283</v>
      </c>
    </row>
    <row r="231" customFormat="false" ht="15" hidden="false" customHeight="false" outlineLevel="0" collapsed="false">
      <c r="A231" s="0" t="n">
        <v>227</v>
      </c>
      <c r="B231" s="10" t="n">
        <f aca="false">(A231-1)/12</f>
        <v>18.8333333333333</v>
      </c>
      <c r="C231" s="11" t="n">
        <f aca="false">Parametros!$B$5/(1+Parametros!$B$7*Parametros!$B$6*B231)^(1/Parametros!$B$7)</f>
        <v>113.982172186231</v>
      </c>
      <c r="D231" s="11" t="n">
        <f aca="false">IF(B231&lt;=Parametros!$B$17,C231,Parametros!$B$5/(1+Parametros!$B$7*Parametros!$B$6*Parametros!$B$17)^(1/Parametros!$B$7)*EXP(-Parametros!$B$8*(B231-Parametros!$B$17)))</f>
        <v>99.6744126353678</v>
      </c>
      <c r="E231" s="12" t="n">
        <f aca="false">D231*30.4*IF(B231&lt;Parametros!$B$15,1,0)</f>
        <v>3030.10214411518</v>
      </c>
      <c r="F231" s="12" t="n">
        <f aca="false">C231*30.4*IF(B231&lt;Parametros!$B$15,1,0)</f>
        <v>3465.05803446144</v>
      </c>
      <c r="G231" s="12" t="n">
        <f aca="false">(E231*(Parametros!$B$9*(1-Parametros!$B$10)-Parametros!$B$11)-Parametros!$B$12*IF(B231&lt;Parametros!$B$15,1,0))/(1+Parametros!$B$14)^B231</f>
        <v>21056.2414438225</v>
      </c>
    </row>
    <row r="232" customFormat="false" ht="15" hidden="false" customHeight="false" outlineLevel="0" collapsed="false">
      <c r="A232" s="0" t="n">
        <v>228</v>
      </c>
      <c r="B232" s="10" t="n">
        <f aca="false">(A232-1)/12</f>
        <v>18.9166666666667</v>
      </c>
      <c r="C232" s="11" t="n">
        <f aca="false">Parametros!$B$5/(1+Parametros!$B$7*Parametros!$B$6*B232)^(1/Parametros!$B$7)</f>
        <v>113.662221966244</v>
      </c>
      <c r="D232" s="11" t="n">
        <f aca="false">IF(B232&lt;=Parametros!$B$17,C232,Parametros!$B$5/(1+Parametros!$B$7*Parametros!$B$6*Parametros!$B$17)^(1/Parametros!$B$7)*EXP(-Parametros!$B$8*(B232-Parametros!$B$17)))</f>
        <v>99.1772844283917</v>
      </c>
      <c r="E232" s="12" t="n">
        <f aca="false">D232*30.4*IF(B232&lt;Parametros!$B$15,1,0)</f>
        <v>3014.98944662311</v>
      </c>
      <c r="F232" s="12" t="n">
        <f aca="false">C232*30.4*IF(B232&lt;Parametros!$B$15,1,0)</f>
        <v>3455.33154777382</v>
      </c>
      <c r="G232" s="12" t="n">
        <f aca="false">(E232*(Parametros!$B$9*(1-Parametros!$B$10)-Parametros!$B$11)-Parametros!$B$12*IF(B232&lt;Parametros!$B$15,1,0))/(1+Parametros!$B$14)^B232</f>
        <v>20778.078669752</v>
      </c>
    </row>
    <row r="233" customFormat="false" ht="15" hidden="false" customHeight="false" outlineLevel="0" collapsed="false">
      <c r="A233" s="0" t="n">
        <v>229</v>
      </c>
      <c r="B233" s="10" t="n">
        <f aca="false">(A233-1)/12</f>
        <v>19</v>
      </c>
      <c r="C233" s="11" t="n">
        <f aca="false">Parametros!$B$5/(1+Parametros!$B$7*Parametros!$B$6*B233)^(1/Parametros!$B$7)</f>
        <v>113.344507599772</v>
      </c>
      <c r="D233" s="11" t="n">
        <f aca="false">IF(B233&lt;=Parametros!$B$17,C233,Parametros!$B$5/(1+Parametros!$B$7*Parametros!$B$6*Parametros!$B$17)^(1/Parametros!$B$7)*EXP(-Parametros!$B$8*(B233-Parametros!$B$17)))</f>
        <v>98.6826356586918</v>
      </c>
      <c r="E233" s="12" t="n">
        <f aca="false">D233*30.4*IF(B233&lt;Parametros!$B$15,1,0)</f>
        <v>2999.95212402423</v>
      </c>
      <c r="F233" s="12" t="n">
        <f aca="false">C233*30.4*IF(B233&lt;Parametros!$B$15,1,0)</f>
        <v>3445.67303103308</v>
      </c>
      <c r="G233" s="12" t="n">
        <f aca="false">(E233*(Parametros!$B$9*(1-Parametros!$B$10)-Parametros!$B$11)-Parametros!$B$12*IF(B233&lt;Parametros!$B$15,1,0))/(1+Parametros!$B$14)^B233</f>
        <v>20503.551350564</v>
      </c>
    </row>
    <row r="234" customFormat="false" ht="15" hidden="false" customHeight="false" outlineLevel="0" collapsed="false">
      <c r="A234" s="0" t="n">
        <v>230</v>
      </c>
      <c r="B234" s="10" t="n">
        <f aca="false">(A234-1)/12</f>
        <v>19.0833333333333</v>
      </c>
      <c r="C234" s="11" t="n">
        <f aca="false">Parametros!$B$5/(1+Parametros!$B$7*Parametros!$B$6*B234)^(1/Parametros!$B$7)</f>
        <v>113.029004192091</v>
      </c>
      <c r="D234" s="11" t="n">
        <f aca="false">IF(B234&lt;=Parametros!$B$17,C234,Parametros!$B$5/(1+Parametros!$B$7*Parametros!$B$6*Parametros!$B$17)^(1/Parametros!$B$7)*EXP(-Parametros!$B$8*(B234-Parametros!$B$17)))</f>
        <v>98.1904539600232</v>
      </c>
      <c r="E234" s="12" t="n">
        <f aca="false">D234*30.4*IF(B234&lt;Parametros!$B$15,1,0)</f>
        <v>2984.9898003847</v>
      </c>
      <c r="F234" s="12" t="n">
        <f aca="false">C234*30.4*IF(B234&lt;Parametros!$B$15,1,0)</f>
        <v>3436.08172743957</v>
      </c>
      <c r="G234" s="12" t="n">
        <f aca="false">(E234*(Parametros!$B$9*(1-Parametros!$B$10)-Parametros!$B$11)-Parametros!$B$12*IF(B234&lt;Parametros!$B$15,1,0))/(1+Parametros!$B$14)^B234</f>
        <v>20232.612274501</v>
      </c>
    </row>
    <row r="235" customFormat="false" ht="15" hidden="false" customHeight="false" outlineLevel="0" collapsed="false">
      <c r="A235" s="0" t="n">
        <v>231</v>
      </c>
      <c r="B235" s="10" t="n">
        <f aca="false">(A235-1)/12</f>
        <v>19.1666666666667</v>
      </c>
      <c r="C235" s="11" t="n">
        <f aca="false">Parametros!$B$5/(1+Parametros!$B$7*Parametros!$B$6*B235)^(1/Parametros!$B$7)</f>
        <v>112.715687228022</v>
      </c>
      <c r="D235" s="11" t="n">
        <f aca="false">IF(B235&lt;=Parametros!$B$17,C235,Parametros!$B$5/(1+Parametros!$B$7*Parametros!$B$6*Parametros!$B$17)^(1/Parametros!$B$7)*EXP(-Parametros!$B$8*(B235-Parametros!$B$17)))</f>
        <v>97.7007270278176</v>
      </c>
      <c r="E235" s="12" t="n">
        <f aca="false">D235*30.4*IF(B235&lt;Parametros!$B$15,1,0)</f>
        <v>2970.10210164565</v>
      </c>
      <c r="F235" s="12" t="n">
        <f aca="false">C235*30.4*IF(B235&lt;Parametros!$B$15,1,0)</f>
        <v>3426.55689173186</v>
      </c>
      <c r="G235" s="12" t="n">
        <f aca="false">(E235*(Parametros!$B$9*(1-Parametros!$B$10)-Parametros!$B$11)-Parametros!$B$12*IF(B235&lt;Parametros!$B$15,1,0))/(1+Parametros!$B$14)^B235</f>
        <v>19965.2148405703</v>
      </c>
    </row>
    <row r="236" customFormat="false" ht="15" hidden="false" customHeight="false" outlineLevel="0" collapsed="false">
      <c r="A236" s="0" t="n">
        <v>232</v>
      </c>
      <c r="B236" s="10" t="n">
        <f aca="false">(A236-1)/12</f>
        <v>19.25</v>
      </c>
      <c r="C236" s="11" t="n">
        <f aca="false">Parametros!$B$5/(1+Parametros!$B$7*Parametros!$B$6*B236)^(1/Parametros!$B$7)</f>
        <v>112.404532564597</v>
      </c>
      <c r="D236" s="11" t="n">
        <f aca="false">IF(B236&lt;=Parametros!$B$17,C236,Parametros!$B$5/(1+Parametros!$B$7*Parametros!$B$6*Parametros!$B$17)^(1/Parametros!$B$7)*EXP(-Parametros!$B$8*(B236-Parametros!$B$17)))</f>
        <v>97.2134426188763</v>
      </c>
      <c r="E236" s="12" t="n">
        <f aca="false">D236*30.4*IF(B236&lt;Parametros!$B$15,1,0)</f>
        <v>2955.28865561384</v>
      </c>
      <c r="F236" s="12" t="n">
        <f aca="false">C236*30.4*IF(B236&lt;Parametros!$B$15,1,0)</f>
        <v>3417.09778996373</v>
      </c>
      <c r="G236" s="12" t="n">
        <f aca="false">(E236*(Parametros!$B$9*(1-Parametros!$B$10)-Parametros!$B$11)-Parametros!$B$12*IF(B236&lt;Parametros!$B$15,1,0))/(1+Parametros!$B$14)^B236</f>
        <v>19701.3130506608</v>
      </c>
    </row>
    <row r="237" customFormat="false" ht="15" hidden="false" customHeight="false" outlineLevel="0" collapsed="false">
      <c r="A237" s="0" t="n">
        <v>233</v>
      </c>
      <c r="B237" s="10" t="n">
        <f aca="false">(A237-1)/12</f>
        <v>19.3333333333333</v>
      </c>
      <c r="C237" s="11" t="n">
        <f aca="false">Parametros!$B$5/(1+Parametros!$B$7*Parametros!$B$6*B237)^(1/Parametros!$B$7)</f>
        <v>112.095516423898</v>
      </c>
      <c r="D237" s="11" t="n">
        <f aca="false">IF(B237&lt;=Parametros!$B$17,C237,Parametros!$B$5/(1+Parametros!$B$7*Parametros!$B$6*Parametros!$B$17)^(1/Parametros!$B$7)*EXP(-Parametros!$B$8*(B237-Parametros!$B$17)))</f>
        <v>96.7285885510636</v>
      </c>
      <c r="E237" s="12" t="n">
        <f aca="false">D237*30.4*IF(B237&lt;Parametros!$B$15,1,0)</f>
        <v>2940.54909195233</v>
      </c>
      <c r="F237" s="12" t="n">
        <f aca="false">C237*30.4*IF(B237&lt;Parametros!$B$15,1,0)</f>
        <v>3407.7036992865</v>
      </c>
      <c r="G237" s="12" t="n">
        <f aca="false">(E237*(Parametros!$B$9*(1-Parametros!$B$10)-Parametros!$B$11)-Parametros!$B$12*IF(B237&lt;Parametros!$B$15,1,0))/(1+Parametros!$B$14)^B237</f>
        <v>19440.8615017618</v>
      </c>
    </row>
    <row r="238" customFormat="false" ht="15" hidden="false" customHeight="false" outlineLevel="0" collapsed="false">
      <c r="A238" s="0" t="n">
        <v>234</v>
      </c>
      <c r="B238" s="10" t="n">
        <f aca="false">(A238-1)/12</f>
        <v>19.4166666666667</v>
      </c>
      <c r="C238" s="11" t="n">
        <f aca="false">Parametros!$B$5/(1+Parametros!$B$7*Parametros!$B$6*B238)^(1/Parametros!$B$7)</f>
        <v>111.788615386061</v>
      </c>
      <c r="D238" s="11" t="n">
        <f aca="false">IF(B238&lt;=Parametros!$B$17,C238,Parametros!$B$5/(1+Parametros!$B$7*Parametros!$B$6*Parametros!$B$17)^(1/Parametros!$B$7)*EXP(-Parametros!$B$8*(B238-Parametros!$B$17)))</f>
        <v>96.2461527030027</v>
      </c>
      <c r="E238" s="12" t="n">
        <f aca="false">D238*30.4*IF(B238&lt;Parametros!$B$15,1,0)</f>
        <v>2925.88304217128</v>
      </c>
      <c r="F238" s="12" t="n">
        <f aca="false">C238*30.4*IF(B238&lt;Parametros!$B$15,1,0)</f>
        <v>3398.37390773626</v>
      </c>
      <c r="G238" s="12" t="n">
        <f aca="false">(E238*(Parametros!$B$9*(1-Parametros!$B$10)-Parametros!$B$11)-Parametros!$B$12*IF(B238&lt;Parametros!$B$15,1,0))/(1+Parametros!$B$14)^B238</f>
        <v>19183.8153782819</v>
      </c>
    </row>
    <row r="239" customFormat="false" ht="15" hidden="false" customHeight="false" outlineLevel="0" collapsed="false">
      <c r="A239" s="0" t="n">
        <v>235</v>
      </c>
      <c r="B239" s="10" t="n">
        <f aca="false">(A239-1)/12</f>
        <v>19.5</v>
      </c>
      <c r="C239" s="11" t="n">
        <f aca="false">Parametros!$B$5/(1+Parametros!$B$7*Parametros!$B$6*B239)^(1/Parametros!$B$7)</f>
        <v>111.48380638244</v>
      </c>
      <c r="D239" s="11" t="n">
        <f aca="false">IF(B239&lt;=Parametros!$B$17,C239,Parametros!$B$5/(1+Parametros!$B$7*Parametros!$B$6*Parametros!$B$17)^(1/Parametros!$B$7)*EXP(-Parametros!$B$8*(B239-Parametros!$B$17)))</f>
        <v>95.7661230137722</v>
      </c>
      <c r="E239" s="12" t="n">
        <f aca="false">D239*30.4*IF(B239&lt;Parametros!$B$15,1,0)</f>
        <v>2911.29013961868</v>
      </c>
      <c r="F239" s="12" t="n">
        <f aca="false">C239*30.4*IF(B239&lt;Parametros!$B$15,1,0)</f>
        <v>3389.10771402617</v>
      </c>
      <c r="G239" s="12" t="n">
        <f aca="false">(E239*(Parametros!$B$9*(1-Parametros!$B$10)-Parametros!$B$11)-Parametros!$B$12*IF(B239&lt;Parametros!$B$15,1,0))/(1+Parametros!$B$14)^B239</f>
        <v>18930.1304444672</v>
      </c>
    </row>
    <row r="240" customFormat="false" ht="15" hidden="false" customHeight="false" outlineLevel="0" collapsed="false">
      <c r="A240" s="0" t="n">
        <v>236</v>
      </c>
      <c r="B240" s="10" t="n">
        <f aca="false">(A240-1)/12</f>
        <v>19.5833333333333</v>
      </c>
      <c r="C240" s="11" t="n">
        <f aca="false">Parametros!$B$5/(1+Parametros!$B$7*Parametros!$B$6*B240)^(1/Parametros!$B$7)</f>
        <v>111.181066688931</v>
      </c>
      <c r="D240" s="11" t="n">
        <f aca="false">IF(B240&lt;=Parametros!$B$17,C240,Parametros!$B$5/(1+Parametros!$B$7*Parametros!$B$6*Parametros!$B$17)^(1/Parametros!$B$7)*EXP(-Parametros!$B$8*(B240-Parametros!$B$17)))</f>
        <v>95.2884874826049</v>
      </c>
      <c r="E240" s="12" t="n">
        <f aca="false">D240*30.4*IF(B240&lt;Parametros!$B$15,1,0)</f>
        <v>2896.77001947119</v>
      </c>
      <c r="F240" s="12" t="n">
        <f aca="false">C240*30.4*IF(B240&lt;Parametros!$B$15,1,0)</f>
        <v>3379.90442734349</v>
      </c>
      <c r="G240" s="12" t="n">
        <f aca="false">(E240*(Parametros!$B$9*(1-Parametros!$B$10)-Parametros!$B$11)-Parametros!$B$12*IF(B240&lt;Parametros!$B$15,1,0))/(1+Parametros!$B$14)^B240</f>
        <v>18679.763036917</v>
      </c>
    </row>
    <row r="241" customFormat="false" ht="15" hidden="false" customHeight="false" outlineLevel="0" collapsed="false">
      <c r="A241" s="0" t="n">
        <v>237</v>
      </c>
      <c r="B241" s="10" t="n">
        <f aca="false">(A241-1)/12</f>
        <v>19.6666666666667</v>
      </c>
      <c r="C241" s="11" t="n">
        <f aca="false">Parametros!$B$5/(1+Parametros!$B$7*Parametros!$B$6*B241)^(1/Parametros!$B$7)</f>
        <v>110.88037391945</v>
      </c>
      <c r="D241" s="11" t="n">
        <f aca="false">IF(B241&lt;=Parametros!$B$17,C241,Parametros!$B$5/(1+Parametros!$B$7*Parametros!$B$6*Parametros!$B$17)^(1/Parametros!$B$7)*EXP(-Parametros!$B$8*(B241-Parametros!$B$17)))</f>
        <v>94.8132341685876</v>
      </c>
      <c r="E241" s="12" t="n">
        <f aca="false">D241*30.4*IF(B241&lt;Parametros!$B$15,1,0)</f>
        <v>2882.32231872506</v>
      </c>
      <c r="F241" s="12" t="n">
        <f aca="false">C241*30.4*IF(B241&lt;Parametros!$B$15,1,0)</f>
        <v>3370.76336715128</v>
      </c>
      <c r="G241" s="12" t="n">
        <f aca="false">(E241*(Parametros!$B$9*(1-Parametros!$B$10)-Parametros!$B$11)-Parametros!$B$12*IF(B241&lt;Parametros!$B$15,1,0))/(1+Parametros!$B$14)^B241</f>
        <v>18432.6700571958</v>
      </c>
    </row>
    <row r="242" customFormat="false" ht="15" hidden="false" customHeight="false" outlineLevel="0" collapsed="false">
      <c r="A242" s="0" t="n">
        <v>238</v>
      </c>
      <c r="B242" s="10" t="n">
        <f aca="false">(A242-1)/12</f>
        <v>19.75</v>
      </c>
      <c r="C242" s="11" t="n">
        <f aca="false">Parametros!$B$5/(1+Parametros!$B$7*Parametros!$B$6*B242)^(1/Parametros!$B$7)</f>
        <v>110.581706019561</v>
      </c>
      <c r="D242" s="11" t="n">
        <f aca="false">IF(B242&lt;=Parametros!$B$17,C242,Parametros!$B$5/(1+Parametros!$B$7*Parametros!$B$6*Parametros!$B$17)^(1/Parametros!$B$7)*EXP(-Parametros!$B$8*(B242-Parametros!$B$17)))</f>
        <v>94.3403511903627</v>
      </c>
      <c r="E242" s="12" t="n">
        <f aca="false">D242*30.4*IF(B242&lt;Parametros!$B$15,1,0)</f>
        <v>2867.94667618702</v>
      </c>
      <c r="F242" s="12" t="n">
        <f aca="false">C242*30.4*IF(B242&lt;Parametros!$B$15,1,0)</f>
        <v>3361.68386299465</v>
      </c>
      <c r="G242" s="12" t="n">
        <f aca="false">(E242*(Parametros!$B$9*(1-Parametros!$B$10)-Parametros!$B$11)-Parametros!$B$12*IF(B242&lt;Parametros!$B$15,1,0))/(1+Parametros!$B$14)^B242</f>
        <v>18188.8089645409</v>
      </c>
    </row>
    <row r="243" customFormat="false" ht="15" hidden="false" customHeight="false" outlineLevel="0" collapsed="false">
      <c r="A243" s="0" t="n">
        <v>239</v>
      </c>
      <c r="B243" s="10" t="n">
        <f aca="false">(A243-1)/12</f>
        <v>19.8333333333333</v>
      </c>
      <c r="C243" s="11" t="n">
        <f aca="false">Parametros!$B$5/(1+Parametros!$B$7*Parametros!$B$6*B243)^(1/Parametros!$B$7)</f>
        <v>110.285041260244</v>
      </c>
      <c r="D243" s="11" t="n">
        <f aca="false">IF(B243&lt;=Parametros!$B$17,C243,Parametros!$B$5/(1+Parametros!$B$7*Parametros!$B$6*Parametros!$B$17)^(1/Parametros!$B$7)*EXP(-Parametros!$B$8*(B243-Parametros!$B$17)))</f>
        <v>93.8698267258311</v>
      </c>
      <c r="E243" s="12" t="n">
        <f aca="false">D243*30.4*IF(B243&lt;Parametros!$B$15,1,0)</f>
        <v>2853.64273246526</v>
      </c>
      <c r="F243" s="12" t="n">
        <f aca="false">C243*30.4*IF(B243&lt;Parametros!$B$15,1,0)</f>
        <v>3352.66525431142</v>
      </c>
      <c r="G243" s="12" t="n">
        <f aca="false">(E243*(Parametros!$B$9*(1-Parametros!$B$10)-Parametros!$B$11)-Parametros!$B$12*IF(B243&lt;Parametros!$B$15,1,0))/(1+Parametros!$B$14)^B243</f>
        <v>17948.1377686638</v>
      </c>
    </row>
    <row r="244" customFormat="false" ht="15" hidden="false" customHeight="false" outlineLevel="0" collapsed="false">
      <c r="A244" s="0" t="n">
        <v>240</v>
      </c>
      <c r="B244" s="10" t="n">
        <f aca="false">(A244-1)/12</f>
        <v>19.9166666666667</v>
      </c>
      <c r="C244" s="11" t="n">
        <f aca="false">Parametros!$B$5/(1+Parametros!$B$7*Parametros!$B$6*B244)^(1/Parametros!$B$7)</f>
        <v>109.990358231813</v>
      </c>
      <c r="D244" s="11" t="n">
        <f aca="false">IF(B244&lt;=Parametros!$B$17,C244,Parametros!$B$5/(1+Parametros!$B$7*Parametros!$B$6*Parametros!$B$17)^(1/Parametros!$B$7)*EXP(-Parametros!$B$8*(B244-Parametros!$B$17)))</f>
        <v>93.4016490118567</v>
      </c>
      <c r="E244" s="12" t="n">
        <f aca="false">D244*30.4*IF(B244&lt;Parametros!$B$15,1,0)</f>
        <v>2839.41012996044</v>
      </c>
      <c r="F244" s="12" t="n">
        <f aca="false">C244*30.4*IF(B244&lt;Parametros!$B$15,1,0)</f>
        <v>3343.7068902471</v>
      </c>
      <c r="G244" s="12" t="n">
        <f aca="false">(E244*(Parametros!$B$9*(1-Parametros!$B$10)-Parametros!$B$11)-Parametros!$B$12*IF(B244&lt;Parametros!$B$15,1,0))/(1+Parametros!$B$14)^B244</f>
        <v>17710.6150226444</v>
      </c>
    </row>
    <row r="245" customFormat="false" ht="15" hidden="false" customHeight="false" outlineLevel="0" collapsed="false">
      <c r="A245" s="0" t="n">
        <v>241</v>
      </c>
      <c r="B245" s="10" t="n">
        <f aca="false">(A245-1)/12</f>
        <v>20</v>
      </c>
      <c r="C245" s="11" t="n">
        <f aca="false">Parametros!$B$5/(1+Parametros!$B$7*Parametros!$B$6*B245)^(1/Parametros!$B$7)</f>
        <v>109.697635837962</v>
      </c>
      <c r="D245" s="11" t="n">
        <f aca="false">IF(B245&lt;=Parametros!$B$17,C245,Parametros!$B$5/(1+Parametros!$B$7*Parametros!$B$6*Parametros!$B$17)^(1/Parametros!$B$7)*EXP(-Parametros!$B$8*(B245-Parametros!$B$17)))</f>
        <v>92.9358063439723</v>
      </c>
      <c r="E245" s="12" t="n">
        <f aca="false">D245*30.4*IF(B245&lt;Parametros!$B$15,1,0)</f>
        <v>2825.24851285676</v>
      </c>
      <c r="F245" s="12" t="n">
        <f aca="false">C245*30.4*IF(B245&lt;Parametros!$B$15,1,0)</f>
        <v>3334.80812947403</v>
      </c>
      <c r="G245" s="12" t="n">
        <f aca="false">(E245*(Parametros!$B$9*(1-Parametros!$B$10)-Parametros!$B$11)-Parametros!$B$12*IF(B245&lt;Parametros!$B$15,1,0))/(1+Parametros!$B$14)^B245</f>
        <v>17476.1998159165</v>
      </c>
    </row>
    <row r="246" customFormat="false" ht="15" hidden="false" customHeight="false" outlineLevel="0" collapsed="false">
      <c r="A246" s="0" t="n">
        <v>242</v>
      </c>
      <c r="B246" s="10" t="n">
        <f aca="false">(A246-1)/12</f>
        <v>20.0833333333333</v>
      </c>
      <c r="C246" s="11" t="n">
        <f aca="false">Parametros!$B$5/(1+Parametros!$B$7*Parametros!$B$6*B246)^(1/Parametros!$B$7)</f>
        <v>109.406853289954</v>
      </c>
      <c r="D246" s="11" t="n">
        <f aca="false">IF(B246&lt;=Parametros!$B$17,C246,Parametros!$B$5/(1+Parametros!$B$7*Parametros!$B$6*Parametros!$B$17)^(1/Parametros!$B$7)*EXP(-Parametros!$B$8*(B246-Parametros!$B$17)))</f>
        <v>92.4722870760869</v>
      </c>
      <c r="E246" s="12" t="n">
        <f aca="false">D246*30.4*IF(B246&lt;Parametros!$B$15,1,0)</f>
        <v>2811.15752711304</v>
      </c>
      <c r="F246" s="12" t="n">
        <f aca="false">C246*30.4*IF(B246&lt;Parametros!$B$15,1,0)</f>
        <v>3325.96834001461</v>
      </c>
      <c r="G246" s="12" t="n">
        <f aca="false">(E246*(Parametros!$B$9*(1-Parametros!$B$10)-Parametros!$B$11)-Parametros!$B$12*IF(B246&lt;Parametros!$B$15,1,0))/(1+Parametros!$B$14)^B246</f>
        <v>17244.8517673446</v>
      </c>
    </row>
    <row r="247" customFormat="false" ht="15" hidden="false" customHeight="false" outlineLevel="0" collapsed="false">
      <c r="A247" s="0" t="n">
        <v>243</v>
      </c>
      <c r="B247" s="10" t="n">
        <f aca="false">(A247-1)/12</f>
        <v>20.1666666666667</v>
      </c>
      <c r="C247" s="11" t="n">
        <f aca="false">Parametros!$B$5/(1+Parametros!$B$7*Parametros!$B$6*B247)^(1/Parametros!$B$7)</f>
        <v>109.117990100937</v>
      </c>
      <c r="D247" s="11" t="n">
        <f aca="false">IF(B247&lt;=Parametros!$B$17,C247,Parametros!$B$5/(1+Parametros!$B$7*Parametros!$B$6*Parametros!$B$17)^(1/Parametros!$B$7)*EXP(-Parametros!$B$8*(B247-Parametros!$B$17)))</f>
        <v>92.0110796201946</v>
      </c>
      <c r="E247" s="12" t="n">
        <f aca="false">D247*30.4*IF(B247&lt;Parametros!$B$15,1,0)</f>
        <v>2797.13682045392</v>
      </c>
      <c r="F247" s="12" t="n">
        <f aca="false">C247*30.4*IF(B247&lt;Parametros!$B$15,1,0)</f>
        <v>3317.18689906848</v>
      </c>
      <c r="G247" s="12" t="n">
        <f aca="false">(E247*(Parametros!$B$9*(1-Parametros!$B$10)-Parametros!$B$11)-Parametros!$B$12*IF(B247&lt;Parametros!$B$15,1,0))/(1+Parametros!$B$14)^B247</f>
        <v>17016.5310183885</v>
      </c>
    </row>
    <row r="248" customFormat="false" ht="15" hidden="false" customHeight="false" outlineLevel="0" collapsed="false">
      <c r="A248" s="0" t="n">
        <v>244</v>
      </c>
      <c r="B248" s="10" t="n">
        <f aca="false">(A248-1)/12</f>
        <v>20.25</v>
      </c>
      <c r="C248" s="11" t="n">
        <f aca="false">Parametros!$B$5/(1+Parametros!$B$7*Parametros!$B$6*B248)^(1/Parametros!$B$7)</f>
        <v>108.831026080381</v>
      </c>
      <c r="D248" s="11" t="n">
        <f aca="false">IF(B248&lt;=Parametros!$B$17,C248,Parametros!$B$5/(1+Parametros!$B$7*Parametros!$B$6*Parametros!$B$17)^(1/Parametros!$B$7)*EXP(-Parametros!$B$8*(B248-Parametros!$B$17)))</f>
        <v>91.5521724460851</v>
      </c>
      <c r="E248" s="12" t="n">
        <f aca="false">D248*30.4*IF(B248&lt;Parametros!$B$15,1,0)</f>
        <v>2783.18604236099</v>
      </c>
      <c r="F248" s="12" t="n">
        <f aca="false">C248*30.4*IF(B248&lt;Parametros!$B$15,1,0)</f>
        <v>3308.46319284359</v>
      </c>
      <c r="G248" s="12" t="n">
        <f aca="false">(E248*(Parametros!$B$9*(1-Parametros!$B$10)-Parametros!$B$11)-Parametros!$B$12*IF(B248&lt;Parametros!$B$15,1,0))/(1+Parametros!$B$14)^B248</f>
        <v>16791.1982263578</v>
      </c>
    </row>
    <row r="249" customFormat="false" ht="15" hidden="false" customHeight="false" outlineLevel="0" collapsed="false">
      <c r="A249" s="0" t="n">
        <v>245</v>
      </c>
      <c r="B249" s="10" t="n">
        <f aca="false">(A249-1)/12</f>
        <v>20.3333333333333</v>
      </c>
      <c r="C249" s="11" t="n">
        <f aca="false">Parametros!$B$5/(1+Parametros!$B$7*Parametros!$B$6*B249)^(1/Parametros!$B$7)</f>
        <v>108.545941328653</v>
      </c>
      <c r="D249" s="11" t="n">
        <f aca="false">IF(B249&lt;=Parametros!$B$17,C249,Parametros!$B$5/(1+Parametros!$B$7*Parametros!$B$6*Parametros!$B$17)^(1/Parametros!$B$7)*EXP(-Parametros!$B$8*(B249-Parametros!$B$17)))</f>
        <v>91.0955540810551</v>
      </c>
      <c r="E249" s="12" t="n">
        <f aca="false">D249*30.4*IF(B249&lt;Parametros!$B$15,1,0)</f>
        <v>2769.30484406408</v>
      </c>
      <c r="F249" s="12" t="n">
        <f aca="false">C249*30.4*IF(B249&lt;Parametros!$B$15,1,0)</f>
        <v>3299.79661639104</v>
      </c>
      <c r="G249" s="12" t="n">
        <f aca="false">(E249*(Parametros!$B$9*(1-Parametros!$B$10)-Parametros!$B$11)-Parametros!$B$12*IF(B249&lt;Parametros!$B$15,1,0))/(1+Parametros!$B$14)^B249</f>
        <v>16568.8145577514</v>
      </c>
    </row>
    <row r="250" customFormat="false" ht="15" hidden="false" customHeight="false" outlineLevel="0" collapsed="false">
      <c r="A250" s="0" t="n">
        <v>246</v>
      </c>
      <c r="B250" s="10" t="n">
        <f aca="false">(A250-1)/12</f>
        <v>20.4166666666667</v>
      </c>
      <c r="C250" s="11" t="n">
        <f aca="false">Parametros!$B$5/(1+Parametros!$B$7*Parametros!$B$6*B250)^(1/Parametros!$B$7)</f>
        <v>108.262716231694</v>
      </c>
      <c r="D250" s="11" t="n">
        <f aca="false">IF(B250&lt;=Parametros!$B$17,C250,Parametros!$B$5/(1+Parametros!$B$7*Parametros!$B$6*Parametros!$B$17)^(1/Parametros!$B$7)*EXP(-Parametros!$B$8*(B250-Parametros!$B$17)))</f>
        <v>90.6412131096217</v>
      </c>
      <c r="E250" s="12" t="n">
        <f aca="false">D250*30.4*IF(B250&lt;Parametros!$B$15,1,0)</f>
        <v>2755.4928785325</v>
      </c>
      <c r="F250" s="12" t="n">
        <f aca="false">C250*30.4*IF(B250&lt;Parametros!$B$15,1,0)</f>
        <v>3291.1865734435</v>
      </c>
      <c r="G250" s="12" t="n">
        <f aca="false">(E250*(Parametros!$B$9*(1-Parametros!$B$10)-Parametros!$B$11)-Parametros!$B$12*IF(B250&lt;Parametros!$B$15,1,0))/(1+Parametros!$B$14)^B250</f>
        <v>16349.3416816848</v>
      </c>
    </row>
    <row r="251" customFormat="false" ht="15" hidden="false" customHeight="false" outlineLevel="0" collapsed="false">
      <c r="A251" s="0" t="n">
        <v>247</v>
      </c>
      <c r="B251" s="10" t="n">
        <f aca="false">(A251-1)/12</f>
        <v>20.5</v>
      </c>
      <c r="C251" s="11" t="n">
        <f aca="false">Parametros!$B$5/(1+Parametros!$B$7*Parametros!$B$6*B251)^(1/Parametros!$B$7)</f>
        <v>107.981331455833</v>
      </c>
      <c r="D251" s="11" t="n">
        <f aca="false">IF(B251&lt;=Parametros!$B$17,C251,Parametros!$B$5/(1+Parametros!$B$7*Parametros!$B$6*Parametros!$B$17)^(1/Parametros!$B$7)*EXP(-Parametros!$B$8*(B251-Parametros!$B$17)))</f>
        <v>90.189138173237</v>
      </c>
      <c r="E251" s="12" t="n">
        <f aca="false">D251*30.4*IF(B251&lt;Parametros!$B$15,1,0)</f>
        <v>2741.7498004664</v>
      </c>
      <c r="F251" s="12" t="n">
        <f aca="false">C251*30.4*IF(B251&lt;Parametros!$B$15,1,0)</f>
        <v>3282.63247625732</v>
      </c>
      <c r="G251" s="12" t="n">
        <f aca="false">(E251*(Parametros!$B$9*(1-Parametros!$B$10)-Parametros!$B$11)-Parametros!$B$12*IF(B251&lt;Parametros!$B$15,1,0))/(1+Parametros!$B$14)^B251</f>
        <v>16132.7417634004</v>
      </c>
    </row>
    <row r="252" customFormat="false" ht="15" hidden="false" customHeight="false" outlineLevel="0" collapsed="false">
      <c r="A252" s="0" t="n">
        <v>248</v>
      </c>
      <c r="B252" s="10" t="n">
        <f aca="false">(A252-1)/12</f>
        <v>20.5833333333333</v>
      </c>
      <c r="C252" s="11" t="n">
        <f aca="false">Parametros!$B$5/(1+Parametros!$B$7*Parametros!$B$6*B252)^(1/Parametros!$B$7)</f>
        <v>107.701767942698</v>
      </c>
      <c r="D252" s="11" t="n">
        <f aca="false">IF(B252&lt;=Parametros!$B$17,C252,Parametros!$B$5/(1+Parametros!$B$7*Parametros!$B$6*Parametros!$B$17)^(1/Parametros!$B$7)*EXP(-Parametros!$B$8*(B252-Parametros!$B$17)))</f>
        <v>89.7393179700039</v>
      </c>
      <c r="E252" s="12" t="n">
        <f aca="false">D252*30.4*IF(B252&lt;Parametros!$B$15,1,0)</f>
        <v>2728.07526628812</v>
      </c>
      <c r="F252" s="12" t="n">
        <f aca="false">C252*30.4*IF(B252&lt;Parametros!$B$15,1,0)</f>
        <v>3274.13374545802</v>
      </c>
      <c r="G252" s="12" t="n">
        <f aca="false">(E252*(Parametros!$B$9*(1-Parametros!$B$10)-Parametros!$B$11)-Parametros!$B$12*IF(B252&lt;Parametros!$B$15,1,0))/(1+Parametros!$B$14)^B252</f>
        <v>15918.9774578626</v>
      </c>
    </row>
    <row r="253" customFormat="false" ht="15" hidden="false" customHeight="false" outlineLevel="0" collapsed="false">
      <c r="A253" s="0" t="n">
        <v>249</v>
      </c>
      <c r="B253" s="10" t="n">
        <f aca="false">(A253-1)/12</f>
        <v>20.6666666666667</v>
      </c>
      <c r="C253" s="11" t="n">
        <f aca="false">Parametros!$B$5/(1+Parametros!$B$7*Parametros!$B$6*B253)^(1/Parametros!$B$7)</f>
        <v>107.424006904251</v>
      </c>
      <c r="D253" s="11" t="n">
        <f aca="false">IF(B253&lt;=Parametros!$B$17,C253,Parametros!$B$5/(1+Parametros!$B$7*Parametros!$B$6*Parametros!$B$17)^(1/Parametros!$B$7)*EXP(-Parametros!$B$8*(B253-Parametros!$B$17)))</f>
        <v>89.291741254394</v>
      </c>
      <c r="E253" s="12" t="n">
        <f aca="false">D253*30.4*IF(B253&lt;Parametros!$B$15,1,0)</f>
        <v>2714.46893413358</v>
      </c>
      <c r="F253" s="12" t="n">
        <f aca="false">C253*30.4*IF(B253&lt;Parametros!$B$15,1,0)</f>
        <v>3265.68980988922</v>
      </c>
      <c r="G253" s="12" t="n">
        <f aca="false">(E253*(Parametros!$B$9*(1-Parametros!$B$10)-Parametros!$B$11)-Parametros!$B$12*IF(B253&lt;Parametros!$B$15,1,0))/(1+Parametros!$B$14)^B253</f>
        <v>15708.0119034351</v>
      </c>
    </row>
    <row r="254" customFormat="false" ht="15" hidden="false" customHeight="false" outlineLevel="0" collapsed="false">
      <c r="A254" s="0" t="n">
        <v>250</v>
      </c>
      <c r="B254" s="10" t="n">
        <f aca="false">(A254-1)/12</f>
        <v>20.75</v>
      </c>
      <c r="C254" s="11" t="n">
        <f aca="false">Parametros!$B$5/(1+Parametros!$B$7*Parametros!$B$6*B254)^(1/Parametros!$B$7)</f>
        <v>107.148029817923</v>
      </c>
      <c r="D254" s="11" t="n">
        <f aca="false">IF(B254&lt;=Parametros!$B$17,C254,Parametros!$B$5/(1+Parametros!$B$7*Parametros!$B$6*Parametros!$B$17)^(1/Parametros!$B$7)*EXP(-Parametros!$B$8*(B254-Parametros!$B$17)))</f>
        <v>88.8463968369661</v>
      </c>
      <c r="E254" s="12" t="n">
        <f aca="false">D254*30.4*IF(B254&lt;Parametros!$B$15,1,0)</f>
        <v>2700.93046384377</v>
      </c>
      <c r="F254" s="12" t="n">
        <f aca="false">C254*30.4*IF(B254&lt;Parametros!$B$15,1,0)</f>
        <v>3257.30010646485</v>
      </c>
      <c r="G254" s="12" t="n">
        <f aca="false">(E254*(Parametros!$B$9*(1-Parametros!$B$10)-Parametros!$B$11)-Parametros!$B$12*IF(B254&lt;Parametros!$B$15,1,0))/(1+Parametros!$B$14)^B254</f>
        <v>15499.8087156397</v>
      </c>
    </row>
    <row r="255" customFormat="false" ht="15" hidden="false" customHeight="false" outlineLevel="0" collapsed="false">
      <c r="A255" s="0" t="n">
        <v>251</v>
      </c>
      <c r="B255" s="10" t="n">
        <f aca="false">(A255-1)/12</f>
        <v>20.8333333333333</v>
      </c>
      <c r="C255" s="11" t="n">
        <f aca="false">Parametros!$B$5/(1+Parametros!$B$7*Parametros!$B$6*B255)^(1/Parametros!$B$7)</f>
        <v>106.873818421861</v>
      </c>
      <c r="D255" s="11" t="n">
        <f aca="false">IF(B255&lt;=Parametros!$B$17,C255,Parametros!$B$5/(1+Parametros!$B$7*Parametros!$B$6*Parametros!$B$17)^(1/Parametros!$B$7)*EXP(-Parametros!$B$8*(B255-Parametros!$B$17)))</f>
        <v>88.4032735840866</v>
      </c>
      <c r="E255" s="12" t="n">
        <f aca="false">D255*30.4*IF(B255&lt;Parametros!$B$15,1,0)</f>
        <v>2687.45951695623</v>
      </c>
      <c r="F255" s="12" t="n">
        <f aca="false">C255*30.4*IF(B255&lt;Parametros!$B$15,1,0)</f>
        <v>3248.96408002456</v>
      </c>
      <c r="G255" s="12" t="n">
        <f aca="false">(E255*(Parametros!$B$9*(1-Parametros!$B$10)-Parametros!$B$11)-Parametros!$B$12*IF(B255&lt;Parametros!$B$15,1,0))/(1+Parametros!$B$14)^B255</f>
        <v>15294.3319809951</v>
      </c>
    </row>
    <row r="256" customFormat="false" ht="15" hidden="false" customHeight="false" outlineLevel="0" collapsed="false">
      <c r="A256" s="0" t="n">
        <v>252</v>
      </c>
      <c r="B256" s="10" t="n">
        <f aca="false">(A256-1)/12</f>
        <v>20.9166666666667</v>
      </c>
      <c r="C256" s="11" t="n">
        <f aca="false">Parametros!$B$5/(1+Parametros!$B$7*Parametros!$B$6*B256)^(1/Parametros!$B$7)</f>
        <v>106.601354710273</v>
      </c>
      <c r="D256" s="11" t="n">
        <f aca="false">IF(B256&lt;=Parametros!$B$17,C256,Parametros!$B$5/(1+Parametros!$B$7*Parametros!$B$6*Parametros!$B$17)^(1/Parametros!$B$7)*EXP(-Parametros!$B$8*(B256-Parametros!$B$17)))</f>
        <v>87.9623604176509</v>
      </c>
      <c r="E256" s="12" t="n">
        <f aca="false">D256*30.4*IF(B256&lt;Parametros!$B$15,1,0)</f>
        <v>2674.05575669659</v>
      </c>
      <c r="F256" s="12" t="n">
        <f aca="false">C256*30.4*IF(B256&lt;Parametros!$B$15,1,0)</f>
        <v>3240.6811831923</v>
      </c>
      <c r="G256" s="12" t="n">
        <f aca="false">(E256*(Parametros!$B$9*(1-Parametros!$B$10)-Parametros!$B$11)-Parametros!$B$12*IF(B256&lt;Parametros!$B$15,1,0))/(1+Parametros!$B$14)^B256</f>
        <v>15091.5462509363</v>
      </c>
    </row>
    <row r="257" customFormat="false" ht="15" hidden="false" customHeight="false" outlineLevel="0" collapsed="false">
      <c r="A257" s="0" t="n">
        <v>253</v>
      </c>
      <c r="B257" s="10" t="n">
        <f aca="false">(A257-1)/12</f>
        <v>21</v>
      </c>
      <c r="C257" s="11" t="n">
        <f aca="false">Parametros!$B$5/(1+Parametros!$B$7*Parametros!$B$6*B257)^(1/Parametros!$B$7)</f>
        <v>106.330620928879</v>
      </c>
      <c r="D257" s="11" t="n">
        <f aca="false">IF(B257&lt;=Parametros!$B$17,C257,Parametros!$B$5/(1+Parametros!$B$7*Parametros!$B$6*Parametros!$B$17)^(1/Parametros!$B$7)*EXP(-Parametros!$B$8*(B257-Parametros!$B$17)))</f>
        <v>87.5236463148071</v>
      </c>
      <c r="E257" s="12" t="n">
        <f aca="false">D257*30.4*IF(B257&lt;Parametros!$B$15,1,0)</f>
        <v>2660.71884797014</v>
      </c>
      <c r="F257" s="12" t="n">
        <f aca="false">C257*30.4*IF(B257&lt;Parametros!$B$15,1,0)</f>
        <v>3232.45087623791</v>
      </c>
      <c r="G257" s="12" t="n">
        <f aca="false">(E257*(Parametros!$B$9*(1-Parametros!$B$10)-Parametros!$B$11)-Parametros!$B$12*IF(B257&lt;Parametros!$B$15,1,0))/(1+Parametros!$B$14)^B257</f>
        <v>14891.4165358112</v>
      </c>
    </row>
    <row r="258" customFormat="false" ht="15" hidden="false" customHeight="false" outlineLevel="0" collapsed="false">
      <c r="A258" s="0" t="n">
        <v>254</v>
      </c>
      <c r="B258" s="10" t="n">
        <f aca="false">(A258-1)/12</f>
        <v>21.0833333333333</v>
      </c>
      <c r="C258" s="11" t="n">
        <f aca="false">Parametros!$B$5/(1+Parametros!$B$7*Parametros!$B$6*B258)^(1/Parametros!$B$7)</f>
        <v>106.061599570451</v>
      </c>
      <c r="D258" s="11" t="n">
        <f aca="false">IF(B258&lt;=Parametros!$B$17,C258,Parametros!$B$5/(1+Parametros!$B$7*Parametros!$B$6*Parametros!$B$17)^(1/Parametros!$B$7)*EXP(-Parametros!$B$8*(B258-Parametros!$B$17)))</f>
        <v>87.0871203076797</v>
      </c>
      <c r="E258" s="12" t="n">
        <f aca="false">D258*30.4*IF(B258&lt;Parametros!$B$15,1,0)</f>
        <v>2647.44845735346</v>
      </c>
      <c r="F258" s="12" t="n">
        <f aca="false">C258*30.4*IF(B258&lt;Parametros!$B$15,1,0)</f>
        <v>3224.27262694172</v>
      </c>
      <c r="G258" s="12" t="n">
        <f aca="false">(E258*(Parametros!$B$9*(1-Parametros!$B$10)-Parametros!$B$11)-Parametros!$B$12*IF(B258&lt;Parametros!$B$15,1,0))/(1+Parametros!$B$14)^B258</f>
        <v>14693.9082989551</v>
      </c>
    </row>
    <row r="259" customFormat="false" ht="15" hidden="false" customHeight="false" outlineLevel="0" collapsed="false">
      <c r="A259" s="0" t="n">
        <v>255</v>
      </c>
      <c r="B259" s="10" t="n">
        <f aca="false">(A259-1)/12</f>
        <v>21.1666666666667</v>
      </c>
      <c r="C259" s="11" t="n">
        <f aca="false">Parametros!$B$5/(1+Parametros!$B$7*Parametros!$B$6*B259)^(1/Parametros!$B$7)</f>
        <v>105.794273370463</v>
      </c>
      <c r="D259" s="11" t="n">
        <f aca="false">IF(B259&lt;=Parametros!$B$17,C259,Parametros!$B$5/(1+Parametros!$B$7*Parametros!$B$6*Parametros!$B$17)^(1/Parametros!$B$7)*EXP(-Parametros!$B$8*(B259-Parametros!$B$17)))</f>
        <v>86.6527714830958</v>
      </c>
      <c r="E259" s="12" t="n">
        <f aca="false">D259*30.4*IF(B259&lt;Parametros!$B$15,1,0)</f>
        <v>2634.24425308611</v>
      </c>
      <c r="F259" s="12" t="n">
        <f aca="false">C259*30.4*IF(B259&lt;Parametros!$B$15,1,0)</f>
        <v>3216.14591046206</v>
      </c>
      <c r="G259" s="12" t="n">
        <f aca="false">(E259*(Parametros!$B$9*(1-Parametros!$B$10)-Parametros!$B$11)-Parametros!$B$12*IF(B259&lt;Parametros!$B$15,1,0))/(1+Parametros!$B$14)^B259</f>
        <v>14498.9874508416</v>
      </c>
    </row>
    <row r="260" customFormat="false" ht="15" hidden="false" customHeight="false" outlineLevel="0" collapsed="false">
      <c r="A260" s="0" t="n">
        <v>256</v>
      </c>
      <c r="B260" s="10" t="n">
        <f aca="false">(A260-1)/12</f>
        <v>21.25</v>
      </c>
      <c r="C260" s="11" t="n">
        <f aca="false">Parametros!$B$5/(1+Parametros!$B$7*Parametros!$B$6*B260)^(1/Parametros!$B$7)</f>
        <v>105.528625302814</v>
      </c>
      <c r="D260" s="11" t="n">
        <f aca="false">IF(B260&lt;=Parametros!$B$17,C260,Parametros!$B$5/(1+Parametros!$B$7*Parametros!$B$6*Parametros!$B$17)^(1/Parametros!$B$7)*EXP(-Parametros!$B$8*(B260-Parametros!$B$17)))</f>
        <v>86.2205889823121</v>
      </c>
      <c r="E260" s="12" t="n">
        <f aca="false">D260*30.4*IF(B260&lt;Parametros!$B$15,1,0)</f>
        <v>2621.10590506229</v>
      </c>
      <c r="F260" s="12" t="n">
        <f aca="false">C260*30.4*IF(B260&lt;Parametros!$B$15,1,0)</f>
        <v>3208.07020920555</v>
      </c>
      <c r="G260" s="12" t="n">
        <f aca="false">(E260*(Parametros!$B$9*(1-Parametros!$B$10)-Parametros!$B$11)-Parametros!$B$12*IF(B260&lt;Parametros!$B$15,1,0))/(1+Parametros!$B$14)^B260</f>
        <v>14306.6203433089</v>
      </c>
    </row>
    <row r="261" customFormat="false" ht="15" hidden="false" customHeight="false" outlineLevel="0" collapsed="false">
      <c r="A261" s="0" t="n">
        <v>257</v>
      </c>
      <c r="B261" s="10" t="n">
        <f aca="false">(A261-1)/12</f>
        <v>21.3333333333333</v>
      </c>
      <c r="C261" s="11" t="n">
        <f aca="false">Parametros!$B$5/(1+Parametros!$B$7*Parametros!$B$6*B261)^(1/Parametros!$B$7)</f>
        <v>105.264638575663</v>
      </c>
      <c r="D261" s="11" t="n">
        <f aca="false">IF(B261&lt;=Parametros!$B$17,C261,Parametros!$B$5/(1+Parametros!$B$7*Parametros!$B$6*Parametros!$B$17)^(1/Parametros!$B$7)*EXP(-Parametros!$B$8*(B261-Parametros!$B$17)))</f>
        <v>85.7905620007436</v>
      </c>
      <c r="E261" s="12" t="n">
        <f aca="false">D261*30.4*IF(B261&lt;Parametros!$B$15,1,0)</f>
        <v>2608.03308482261</v>
      </c>
      <c r="F261" s="12" t="n">
        <f aca="false">C261*30.4*IF(B261&lt;Parametros!$B$15,1,0)</f>
        <v>3200.04501270016</v>
      </c>
      <c r="G261" s="12" t="n">
        <f aca="false">(E261*(Parametros!$B$9*(1-Parametros!$B$10)-Parametros!$B$11)-Parametros!$B$12*IF(B261&lt;Parametros!$B$15,1,0))/(1+Parametros!$B$14)^B261</f>
        <v>14116.7737638603</v>
      </c>
    </row>
    <row r="262" customFormat="false" ht="15" hidden="false" customHeight="false" outlineLevel="0" collapsed="false">
      <c r="A262" s="0" t="n">
        <v>258</v>
      </c>
      <c r="B262" s="10" t="n">
        <f aca="false">(A262-1)/12</f>
        <v>21.4166666666667</v>
      </c>
      <c r="C262" s="11" t="n">
        <f aca="false">Parametros!$B$5/(1+Parametros!$B$7*Parametros!$B$6*B262)^(1/Parametros!$B$7)</f>
        <v>105.002296627337</v>
      </c>
      <c r="D262" s="11" t="n">
        <f aca="false">IF(B262&lt;=Parametros!$B$17,C262,Parametros!$B$5/(1+Parametros!$B$7*Parametros!$B$6*Parametros!$B$17)^(1/Parametros!$B$7)*EXP(-Parametros!$B$8*(B262-Parametros!$B$17)))</f>
        <v>85.3626797876934</v>
      </c>
      <c r="E262" s="12" t="n">
        <f aca="false">D262*30.4*IF(B262&lt;Parametros!$B$15,1,0)</f>
        <v>2595.02546554588</v>
      </c>
      <c r="F262" s="12" t="n">
        <f aca="false">C262*30.4*IF(B262&lt;Parametros!$B$15,1,0)</f>
        <v>3192.06981747103</v>
      </c>
      <c r="G262" s="12" t="n">
        <f aca="false">(E262*(Parametros!$B$9*(1-Parametros!$B$10)-Parametros!$B$11)-Parametros!$B$12*IF(B262&lt;Parametros!$B$15,1,0))/(1+Parametros!$B$14)^B262</f>
        <v>13929.4149300387</v>
      </c>
    </row>
    <row r="263" customFormat="false" ht="15" hidden="false" customHeight="false" outlineLevel="0" collapsed="false">
      <c r="A263" s="0" t="n">
        <v>259</v>
      </c>
      <c r="B263" s="10" t="n">
        <f aca="false">(A263-1)/12</f>
        <v>21.5</v>
      </c>
      <c r="C263" s="11" t="n">
        <f aca="false">Parametros!$B$5/(1+Parametros!$B$7*Parametros!$B$6*B263)^(1/Parametros!$B$7)</f>
        <v>104.741583122329</v>
      </c>
      <c r="D263" s="11" t="n">
        <f aca="false">IF(B263&lt;=Parametros!$B$17,C263,Parametros!$B$5/(1+Parametros!$B$7*Parametros!$B$6*Parametros!$B$17)^(1/Parametros!$B$7)*EXP(-Parametros!$B$8*(B263-Parametros!$B$17)))</f>
        <v>84.9369316460839</v>
      </c>
      <c r="E263" s="12" t="n">
        <f aca="false">D263*30.4*IF(B263&lt;Parametros!$B$15,1,0)</f>
        <v>2582.08272204095</v>
      </c>
      <c r="F263" s="12" t="n">
        <f aca="false">C263*30.4*IF(B263&lt;Parametros!$B$15,1,0)</f>
        <v>3184.1441269188</v>
      </c>
      <c r="G263" s="12" t="n">
        <f aca="false">(E263*(Parametros!$B$9*(1-Parametros!$B$10)-Parametros!$B$11)-Parametros!$B$12*IF(B263&lt;Parametros!$B$15,1,0))/(1+Parametros!$B$14)^B263</f>
        <v>13744.5114838728</v>
      </c>
    </row>
    <row r="264" customFormat="false" ht="15" hidden="false" customHeight="false" outlineLevel="0" collapsed="false">
      <c r="A264" s="0" t="n">
        <v>260</v>
      </c>
      <c r="B264" s="10" t="n">
        <f aca="false">(A264-1)/12</f>
        <v>21.5833333333333</v>
      </c>
      <c r="C264" s="11" t="n">
        <f aca="false">Parametros!$B$5/(1+Parametros!$B$7*Parametros!$B$6*B264)^(1/Parametros!$B$7)</f>
        <v>104.482481947388</v>
      </c>
      <c r="D264" s="11" t="n">
        <f aca="false">IF(B264&lt;=Parametros!$B$17,C264,Parametros!$B$5/(1+Parametros!$B$7*Parametros!$B$6*Parametros!$B$17)^(1/Parametros!$B$7)*EXP(-Parametros!$B$8*(B264-Parametros!$B$17)))</f>
        <v>84.5133069321893</v>
      </c>
      <c r="E264" s="12" t="n">
        <f aca="false">D264*30.4*IF(B264&lt;Parametros!$B$15,1,0)</f>
        <v>2569.20453073856</v>
      </c>
      <c r="F264" s="12" t="n">
        <f aca="false">C264*30.4*IF(B264&lt;Parametros!$B$15,1,0)</f>
        <v>3176.26745120059</v>
      </c>
      <c r="G264" s="12" t="n">
        <f aca="false">(E264*(Parametros!$B$9*(1-Parametros!$B$10)-Parametros!$B$11)-Parametros!$B$12*IF(B264&lt;Parametros!$B$15,1,0))/(1+Parametros!$B$14)^B264</f>
        <v>13562.0314863957</v>
      </c>
    </row>
    <row r="265" customFormat="false" ht="15" hidden="false" customHeight="false" outlineLevel="0" collapsed="false">
      <c r="A265" s="0" t="n">
        <v>261</v>
      </c>
      <c r="B265" s="10" t="n">
        <f aca="false">(A265-1)/12</f>
        <v>21.6666666666667</v>
      </c>
      <c r="C265" s="11" t="n">
        <f aca="false">Parametros!$B$5/(1+Parametros!$B$7*Parametros!$B$6*B265)^(1/Parametros!$B$7)</f>
        <v>104.224977207678</v>
      </c>
      <c r="D265" s="11" t="n">
        <f aca="false">IF(B265&lt;=Parametros!$B$17,C265,Parametros!$B$5/(1+Parametros!$B$7*Parametros!$B$6*Parametros!$B$17)^(1/Parametros!$B$7)*EXP(-Parametros!$B$8*(B265-Parametros!$B$17)))</f>
        <v>84.0917950553698</v>
      </c>
      <c r="E265" s="12" t="n">
        <f aca="false">D265*30.4*IF(B265&lt;Parametros!$B$15,1,0)</f>
        <v>2556.39056968324</v>
      </c>
      <c r="F265" s="12" t="n">
        <f aca="false">C265*30.4*IF(B265&lt;Parametros!$B$15,1,0)</f>
        <v>3168.43930711342</v>
      </c>
      <c r="G265" s="12" t="n">
        <f aca="false">(E265*(Parametros!$B$9*(1-Parametros!$B$10)-Parametros!$B$11)-Parametros!$B$12*IF(B265&lt;Parametros!$B$15,1,0))/(1+Parametros!$B$14)^B265</f>
        <v>13381.9434122341</v>
      </c>
    </row>
    <row r="266" customFormat="false" ht="15" hidden="false" customHeight="false" outlineLevel="0" collapsed="false">
      <c r="A266" s="0" t="n">
        <v>262</v>
      </c>
      <c r="B266" s="10" t="n">
        <f aca="false">(A266-1)/12</f>
        <v>21.75</v>
      </c>
      <c r="C266" s="11" t="n">
        <f aca="false">Parametros!$B$5/(1+Parametros!$B$7*Parametros!$B$6*B266)^(1/Parametros!$B$7)</f>
        <v>103.969053223028</v>
      </c>
      <c r="D266" s="11" t="n">
        <f aca="false">IF(B266&lt;=Parametros!$B$17,C266,Parametros!$B$5/(1+Parametros!$B$7*Parametros!$B$6*Parametros!$B$17)^(1/Parametros!$B$7)*EXP(-Parametros!$B$8*(B266-Parametros!$B$17)))</f>
        <v>83.6723854778065</v>
      </c>
      <c r="E266" s="12" t="n">
        <f aca="false">D266*30.4*IF(B266&lt;Parametros!$B$15,1,0)</f>
        <v>2543.64051852532</v>
      </c>
      <c r="F266" s="12" t="n">
        <f aca="false">C266*30.4*IF(B266&lt;Parametros!$B$15,1,0)</f>
        <v>3160.65921798006</v>
      </c>
      <c r="G266" s="12" t="n">
        <f aca="false">(E266*(Parametros!$B$9*(1-Parametros!$B$10)-Parametros!$B$11)-Parametros!$B$12*IF(B266&lt;Parametros!$B$15,1,0))/(1+Parametros!$B$14)^B266</f>
        <v>13204.2161442663</v>
      </c>
    </row>
    <row r="267" customFormat="false" ht="15" hidden="false" customHeight="false" outlineLevel="0" collapsed="false">
      <c r="A267" s="0" t="n">
        <v>263</v>
      </c>
      <c r="B267" s="10" t="n">
        <f aca="false">(A267-1)/12</f>
        <v>21.8333333333333</v>
      </c>
      <c r="C267" s="11" t="n">
        <f aca="false">Parametros!$B$5/(1+Parametros!$B$7*Parametros!$B$6*B267)^(1/Parametros!$B$7)</f>
        <v>103.714694524255</v>
      </c>
      <c r="D267" s="11" t="n">
        <f aca="false">IF(B267&lt;=Parametros!$B$17,C267,Parametros!$B$5/(1+Parametros!$B$7*Parametros!$B$6*Parametros!$B$17)^(1/Parametros!$B$7)*EXP(-Parametros!$B$8*(B267-Parametros!$B$17)))</f>
        <v>83.255067714238</v>
      </c>
      <c r="E267" s="12" t="n">
        <f aca="false">D267*30.4*IF(B267&lt;Parametros!$B$15,1,0)</f>
        <v>2530.95405851283</v>
      </c>
      <c r="F267" s="12" t="n">
        <f aca="false">C267*30.4*IF(B267&lt;Parametros!$B$15,1,0)</f>
        <v>3152.92671353734</v>
      </c>
      <c r="G267" s="12" t="n">
        <f aca="false">(E267*(Parametros!$B$9*(1-Parametros!$B$10)-Parametros!$B$11)-Parametros!$B$12*IF(B267&lt;Parametros!$B$15,1,0))/(1+Parametros!$B$14)^B267</f>
        <v>13028.8189683504</v>
      </c>
    </row>
    <row r="268" customFormat="false" ht="15" hidden="false" customHeight="false" outlineLevel="0" collapsed="false">
      <c r="A268" s="0" t="n">
        <v>264</v>
      </c>
      <c r="B268" s="10" t="n">
        <f aca="false">(A268-1)/12</f>
        <v>21.9166666666667</v>
      </c>
      <c r="C268" s="11" t="n">
        <f aca="false">Parametros!$B$5/(1+Parametros!$B$7*Parametros!$B$6*B268)^(1/Parametros!$B$7)</f>
        <v>103.46188584956</v>
      </c>
      <c r="D268" s="11" t="n">
        <f aca="false">IF(B268&lt;=Parametros!$B$17,C268,Parametros!$B$5/(1+Parametros!$B$7*Parametros!$B$6*Parametros!$B$17)^(1/Parametros!$B$7)*EXP(-Parametros!$B$8*(B268-Parametros!$B$17)))</f>
        <v>82.8398313316986</v>
      </c>
      <c r="E268" s="12" t="n">
        <f aca="false">D268*30.4*IF(B268&lt;Parametros!$B$15,1,0)</f>
        <v>2518.33087248364</v>
      </c>
      <c r="F268" s="12" t="n">
        <f aca="false">C268*30.4*IF(B268&lt;Parametros!$B$15,1,0)</f>
        <v>3145.24132982664</v>
      </c>
      <c r="G268" s="12" t="n">
        <f aca="false">(E268*(Parametros!$B$9*(1-Parametros!$B$10)-Parametros!$B$11)-Parametros!$B$12*IF(B268&lt;Parametros!$B$15,1,0))/(1+Parametros!$B$14)^B268</f>
        <v>12855.7215681199</v>
      </c>
    </row>
    <row r="269" customFormat="false" ht="15" hidden="false" customHeight="false" outlineLevel="0" collapsed="false">
      <c r="A269" s="0" t="n">
        <v>265</v>
      </c>
      <c r="B269" s="10" t="n">
        <f aca="false">(A269-1)/12</f>
        <v>22</v>
      </c>
      <c r="C269" s="11" t="n">
        <f aca="false">Parametros!$B$5/(1+Parametros!$B$7*Parametros!$B$6*B269)^(1/Parametros!$B$7)</f>
        <v>103.210612141011</v>
      </c>
      <c r="D269" s="11" t="n">
        <f aca="false">IF(B269&lt;=Parametros!$B$17,C269,Parametros!$B$5/(1+Parametros!$B$7*Parametros!$B$6*Parametros!$B$17)^(1/Parametros!$B$7)*EXP(-Parametros!$B$8*(B269-Parametros!$B$17)))</f>
        <v>82.4266659492571</v>
      </c>
      <c r="E269" s="12" t="n">
        <f aca="false">D269*30.4*IF(B269&lt;Parametros!$B$15,1,0)</f>
        <v>2505.77064485741</v>
      </c>
      <c r="F269" s="12" t="n">
        <f aca="false">C269*30.4*IF(B269&lt;Parametros!$B$15,1,0)</f>
        <v>3137.60260908672</v>
      </c>
      <c r="G269" s="12" t="n">
        <f aca="false">(E269*(Parametros!$B$9*(1-Parametros!$B$10)-Parametros!$B$11)-Parametros!$B$12*IF(B269&lt;Parametros!$B$15,1,0))/(1+Parametros!$B$14)^B269</f>
        <v>12684.8940198457</v>
      </c>
    </row>
    <row r="270" customFormat="false" ht="15" hidden="false" customHeight="false" outlineLevel="0" collapsed="false">
      <c r="A270" s="0" t="n">
        <v>266</v>
      </c>
      <c r="B270" s="10" t="n">
        <f aca="false">(A270-1)/12</f>
        <v>22.0833333333333</v>
      </c>
      <c r="C270" s="11" t="n">
        <f aca="false">Parametros!$B$5/(1+Parametros!$B$7*Parametros!$B$6*B270)^(1/Parametros!$B$7)</f>
        <v>102.960858541078</v>
      </c>
      <c r="D270" s="11" t="n">
        <f aca="false">IF(B270&lt;=Parametros!$B$17,C270,Parametros!$B$5/(1+Parametros!$B$7*Parametros!$B$6*Parametros!$B$17)^(1/Parametros!$B$7)*EXP(-Parametros!$B$8*(B270-Parametros!$B$17)))</f>
        <v>82.0155612377573</v>
      </c>
      <c r="E270" s="12" t="n">
        <f aca="false">D270*30.4*IF(B270&lt;Parametros!$B$15,1,0)</f>
        <v>2493.27306162782</v>
      </c>
      <c r="F270" s="12" t="n">
        <f aca="false">C270*30.4*IF(B270&lt;Parametros!$B$15,1,0)</f>
        <v>3130.01009964878</v>
      </c>
      <c r="G270" s="12" t="n">
        <f aca="false">(E270*(Parametros!$B$9*(1-Parametros!$B$10)-Parametros!$B$11)-Parametros!$B$12*IF(B270&lt;Parametros!$B$15,1,0))/(1+Parametros!$B$14)^B270</f>
        <v>12516.3067873657</v>
      </c>
    </row>
    <row r="271" customFormat="false" ht="15" hidden="false" customHeight="false" outlineLevel="0" collapsed="false">
      <c r="A271" s="0" t="n">
        <v>267</v>
      </c>
      <c r="B271" s="10" t="n">
        <f aca="false">(A271-1)/12</f>
        <v>22.1666666666667</v>
      </c>
      <c r="C271" s="11" t="n">
        <f aca="false">Parametros!$B$5/(1+Parametros!$B$7*Parametros!$B$6*B271)^(1/Parametros!$B$7)</f>
        <v>102.712610389263</v>
      </c>
      <c r="D271" s="11" t="n">
        <f aca="false">IF(B271&lt;=Parametros!$B$17,C271,Parametros!$B$5/(1+Parametros!$B$7*Parametros!$B$6*Parametros!$B$17)^(1/Parametros!$B$7)*EXP(-Parametros!$B$8*(B271-Parametros!$B$17)))</f>
        <v>81.6065069195602</v>
      </c>
      <c r="E271" s="12" t="n">
        <f aca="false">D271*30.4*IF(B271&lt;Parametros!$B$15,1,0)</f>
        <v>2480.83781035463</v>
      </c>
      <c r="F271" s="12" t="n">
        <f aca="false">C271*30.4*IF(B271&lt;Parametros!$B$15,1,0)</f>
        <v>3122.46335583361</v>
      </c>
      <c r="G271" s="12" t="n">
        <f aca="false">(E271*(Parametros!$B$9*(1-Parametros!$B$10)-Parametros!$B$11)-Parametros!$B$12*IF(B271&lt;Parametros!$B$15,1,0))/(1+Parametros!$B$14)^B271</f>
        <v>12349.9307170789</v>
      </c>
    </row>
    <row r="272" customFormat="false" ht="15" hidden="false" customHeight="false" outlineLevel="0" collapsed="false">
      <c r="A272" s="0" t="n">
        <v>268</v>
      </c>
      <c r="B272" s="10" t="n">
        <f aca="false">(A272-1)/12</f>
        <v>22.25</v>
      </c>
      <c r="C272" s="11" t="n">
        <f aca="false">Parametros!$B$5/(1+Parametros!$B$7*Parametros!$B$6*B272)^(1/Parametros!$B$7)</f>
        <v>102.465853218778</v>
      </c>
      <c r="D272" s="11" t="n">
        <f aca="false">IF(B272&lt;=Parametros!$B$17,C272,Parametros!$B$5/(1+Parametros!$B$7*Parametros!$B$6*Parametros!$B$17)^(1/Parametros!$B$7)*EXP(-Parametros!$B$8*(B272-Parametros!$B$17)))</f>
        <v>81.1994927682863</v>
      </c>
      <c r="E272" s="12" t="n">
        <f aca="false">D272*30.4*IF(B272&lt;Parametros!$B$15,1,0)</f>
        <v>2468.4645801559</v>
      </c>
      <c r="F272" s="12" t="n">
        <f aca="false">C272*30.4*IF(B272&lt;Parametros!$B$15,1,0)</f>
        <v>3114.96193785085</v>
      </c>
      <c r="G272" s="12" t="n">
        <f aca="false">(E272*(Parametros!$B$9*(1-Parametros!$B$10)-Parametros!$B$11)-Parametros!$B$12*IF(B272&lt;Parametros!$B$15,1,0))/(1+Parametros!$B$14)^B272</f>
        <v>12185.737033004</v>
      </c>
    </row>
    <row r="273" customFormat="false" ht="15" hidden="false" customHeight="false" outlineLevel="0" collapsed="false">
      <c r="A273" s="0" t="n">
        <v>269</v>
      </c>
      <c r="B273" s="10" t="n">
        <f aca="false">(A273-1)/12</f>
        <v>22.3333333333333</v>
      </c>
      <c r="C273" s="11" t="n">
        <f aca="false">Parametros!$B$5/(1+Parametros!$B$7*Parametros!$B$6*B273)^(1/Parametros!$B$7)</f>
        <v>102.2205727533</v>
      </c>
      <c r="D273" s="11" t="n">
        <f aca="false">IF(B273&lt;=Parametros!$B$17,C273,Parametros!$B$5/(1+Parametros!$B$7*Parametros!$B$6*Parametros!$B$17)^(1/Parametros!$B$7)*EXP(-Parametros!$B$8*(B273-Parametros!$B$17)))</f>
        <v>80.7945086085609</v>
      </c>
      <c r="E273" s="12" t="n">
        <f aca="false">D273*30.4*IF(B273&lt;Parametros!$B$15,1,0)</f>
        <v>2456.15306170025</v>
      </c>
      <c r="F273" s="12" t="n">
        <f aca="false">C273*30.4*IF(B273&lt;Parametros!$B$15,1,0)</f>
        <v>3107.50541170033</v>
      </c>
      <c r="G273" s="12" t="n">
        <f aca="false">(E273*(Parametros!$B$9*(1-Parametros!$B$10)-Parametros!$B$11)-Parametros!$B$12*IF(B273&lt;Parametros!$B$15,1,0))/(1+Parametros!$B$14)^B273</f>
        <v>12023.6973319022</v>
      </c>
    </row>
    <row r="274" customFormat="false" ht="15" hidden="false" customHeight="false" outlineLevel="0" collapsed="false">
      <c r="A274" s="0" t="n">
        <v>270</v>
      </c>
      <c r="B274" s="10" t="n">
        <f aca="false">(A274-1)/12</f>
        <v>22.4166666666667</v>
      </c>
      <c r="C274" s="11" t="n">
        <f aca="false">Parametros!$B$5/(1+Parametros!$B$7*Parametros!$B$6*B274)^(1/Parametros!$B$7)</f>
        <v>101.976754903796</v>
      </c>
      <c r="D274" s="11" t="n">
        <f aca="false">IF(B274&lt;=Parametros!$B$17,C274,Parametros!$B$5/(1+Parametros!$B$7*Parametros!$B$6*Parametros!$B$17)^(1/Parametros!$B$7)*EXP(-Parametros!$B$8*(B274-Parametros!$B$17)))</f>
        <v>80.3915443157587</v>
      </c>
      <c r="E274" s="12" t="n">
        <f aca="false">D274*30.4*IF(B274&lt;Parametros!$B$15,1,0)</f>
        <v>2443.90294719906</v>
      </c>
      <c r="F274" s="12" t="n">
        <f aca="false">C274*30.4*IF(B274&lt;Parametros!$B$15,1,0)</f>
        <v>3100.09334907541</v>
      </c>
      <c r="G274" s="12" t="n">
        <f aca="false">(E274*(Parametros!$B$9*(1-Parametros!$B$10)-Parametros!$B$11)-Parametros!$B$12*IF(B274&lt;Parametros!$B$15,1,0))/(1+Parametros!$B$14)^B274</f>
        <v>11863.7835784624</v>
      </c>
    </row>
    <row r="275" customFormat="false" ht="15" hidden="false" customHeight="false" outlineLevel="0" collapsed="false">
      <c r="A275" s="0" t="n">
        <v>271</v>
      </c>
      <c r="B275" s="10" t="n">
        <f aca="false">(A275-1)/12</f>
        <v>22.5</v>
      </c>
      <c r="C275" s="11" t="n">
        <f aca="false">Parametros!$B$5/(1+Parametros!$B$7*Parametros!$B$6*B275)^(1/Parametros!$B$7)</f>
        <v>101.734385765402</v>
      </c>
      <c r="D275" s="11" t="n">
        <f aca="false">IF(B275&lt;=Parametros!$B$17,C275,Parametros!$B$5/(1+Parametros!$B$7*Parametros!$B$6*Parametros!$B$17)^(1/Parametros!$B$7)*EXP(-Parametros!$B$8*(B275-Parametros!$B$17)))</f>
        <v>79.9905898157514</v>
      </c>
      <c r="E275" s="12" t="n">
        <f aca="false">D275*30.4*IF(B275&lt;Parametros!$B$15,1,0)</f>
        <v>2431.71393039884</v>
      </c>
      <c r="F275" s="12" t="n">
        <f aca="false">C275*30.4*IF(B275&lt;Parametros!$B$15,1,0)</f>
        <v>3092.72532726822</v>
      </c>
      <c r="G275" s="12" t="n">
        <f aca="false">(E275*(Parametros!$B$9*(1-Parametros!$B$10)-Parametros!$B$11)-Parametros!$B$12*IF(B275&lt;Parametros!$B$15,1,0))/(1+Parametros!$B$14)^B275</f>
        <v>11705.9681005489</v>
      </c>
    </row>
    <row r="276" customFormat="false" ht="15" hidden="false" customHeight="false" outlineLevel="0" collapsed="false">
      <c r="A276" s="0" t="n">
        <v>272</v>
      </c>
      <c r="B276" s="10" t="n">
        <f aca="false">(A276-1)/12</f>
        <v>22.5833333333333</v>
      </c>
      <c r="C276" s="11" t="n">
        <f aca="false">Parametros!$B$5/(1+Parametros!$B$7*Parametros!$B$6*B276)^(1/Parametros!$B$7)</f>
        <v>101.493451614371</v>
      </c>
      <c r="D276" s="11" t="n">
        <f aca="false">IF(B276&lt;=Parametros!$B$17,C276,Parametros!$B$5/(1+Parametros!$B$7*Parametros!$B$6*Parametros!$B$17)^(1/Parametros!$B$7)*EXP(-Parametros!$B$8*(B276-Parametros!$B$17)))</f>
        <v>79.5916350846558</v>
      </c>
      <c r="E276" s="12" t="n">
        <f aca="false">D276*30.4*IF(B276&lt;Parametros!$B$15,1,0)</f>
        <v>2419.58570657353</v>
      </c>
      <c r="F276" s="12" t="n">
        <f aca="false">C276*30.4*IF(B276&lt;Parametros!$B$15,1,0)</f>
        <v>3085.40092907687</v>
      </c>
      <c r="G276" s="12" t="n">
        <f aca="false">(E276*(Parametros!$B$9*(1-Parametros!$B$10)-Parametros!$B$11)-Parametros!$B$12*IF(B276&lt;Parametros!$B$15,1,0))/(1+Parametros!$B$14)^B276</f>
        <v>11550.2235845104</v>
      </c>
    </row>
    <row r="277" customFormat="false" ht="15" hidden="false" customHeight="false" outlineLevel="0" collapsed="false">
      <c r="A277" s="0" t="n">
        <v>273</v>
      </c>
      <c r="B277" s="10" t="n">
        <f aca="false">(A277-1)/12</f>
        <v>22.6666666666667</v>
      </c>
      <c r="C277" s="11" t="n">
        <f aca="false">Parametros!$B$5/(1+Parametros!$B$7*Parametros!$B$6*B277)^(1/Parametros!$B$7)</f>
        <v>101.253938905082</v>
      </c>
      <c r="D277" s="11" t="n">
        <f aca="false">IF(B277&lt;=Parametros!$B$17,C277,Parametros!$B$5/(1+Parametros!$B$7*Parametros!$B$6*Parametros!$B$17)^(1/Parametros!$B$7)*EXP(-Parametros!$B$8*(B277-Parametros!$B$17)))</f>
        <v>79.1946701485826</v>
      </c>
      <c r="E277" s="12" t="n">
        <f aca="false">D277*30.4*IF(B277&lt;Parametros!$B$15,1,0)</f>
        <v>2407.51797251691</v>
      </c>
      <c r="F277" s="12" t="n">
        <f aca="false">C277*30.4*IF(B277&lt;Parametros!$B$15,1,0)</f>
        <v>3078.11974271448</v>
      </c>
      <c r="G277" s="12" t="n">
        <f aca="false">(E277*(Parametros!$B$9*(1-Parametros!$B$10)-Parametros!$B$11)-Parametros!$B$12*IF(B277&lt;Parametros!$B$15,1,0))/(1+Parametros!$B$14)^B277</f>
        <v>11396.5230705486</v>
      </c>
    </row>
    <row r="278" customFormat="false" ht="15" hidden="false" customHeight="false" outlineLevel="0" collapsed="false">
      <c r="A278" s="0" t="n">
        <v>274</v>
      </c>
      <c r="B278" s="10" t="n">
        <f aca="false">(A278-1)/12</f>
        <v>22.75</v>
      </c>
      <c r="C278" s="11" t="n">
        <f aca="false">Parametros!$B$5/(1+Parametros!$B$7*Parametros!$B$6*B278)^(1/Parametros!$B$7)</f>
        <v>101.015834267108</v>
      </c>
      <c r="D278" s="11" t="n">
        <f aca="false">IF(B278&lt;=Parametros!$B$17,C278,Parametros!$B$5/(1+Parametros!$B$7*Parametros!$B$6*Parametros!$B$17)^(1/Parametros!$B$7)*EXP(-Parametros!$B$8*(B278-Parametros!$B$17)))</f>
        <v>78.7996850833879</v>
      </c>
      <c r="E278" s="12" t="n">
        <f aca="false">D278*30.4*IF(B278&lt;Parametros!$B$15,1,0)</f>
        <v>2395.51042653499</v>
      </c>
      <c r="F278" s="12" t="n">
        <f aca="false">C278*30.4*IF(B278&lt;Parametros!$B$15,1,0)</f>
        <v>3070.88136172007</v>
      </c>
      <c r="G278" s="12" t="n">
        <f aca="false">(E278*(Parametros!$B$9*(1-Parametros!$B$10)-Parametros!$B$11)-Parametros!$B$12*IF(B278&lt;Parametros!$B$15,1,0))/(1+Parametros!$B$14)^B278</f>
        <v>11244.8399481479</v>
      </c>
    </row>
    <row r="279" customFormat="false" ht="15" hidden="false" customHeight="false" outlineLevel="0" collapsed="false">
      <c r="A279" s="0" t="n">
        <v>275</v>
      </c>
      <c r="B279" s="10" t="n">
        <f aca="false">(A279-1)/12</f>
        <v>22.8333333333333</v>
      </c>
      <c r="C279" s="11" t="n">
        <f aca="false">Parametros!$B$5/(1+Parametros!$B$7*Parametros!$B$6*B279)^(1/Parametros!$B$7)</f>
        <v>100.779124502341</v>
      </c>
      <c r="D279" s="11" t="n">
        <f aca="false">IF(B279&lt;=Parametros!$B$17,C279,Parametros!$B$5/(1+Parametros!$B$7*Parametros!$B$6*Parametros!$B$17)^(1/Parametros!$B$7)*EXP(-Parametros!$B$8*(B279-Parametros!$B$17)))</f>
        <v>78.4066700144244</v>
      </c>
      <c r="E279" s="12" t="n">
        <f aca="false">D279*30.4*IF(B279&lt;Parametros!$B$15,1,0)</f>
        <v>2383.5627684385</v>
      </c>
      <c r="F279" s="12" t="n">
        <f aca="false">C279*30.4*IF(B279&lt;Parametros!$B$15,1,0)</f>
        <v>3063.68538487117</v>
      </c>
      <c r="G279" s="12" t="n">
        <f aca="false">(E279*(Parametros!$B$9*(1-Parametros!$B$10)-Parametros!$B$11)-Parametros!$B$12*IF(B279&lt;Parametros!$B$15,1,0))/(1+Parametros!$B$14)^B279</f>
        <v>11095.1479515631</v>
      </c>
    </row>
    <row r="280" customFormat="false" ht="15" hidden="false" customHeight="false" outlineLevel="0" collapsed="false">
      <c r="A280" s="0" t="n">
        <v>276</v>
      </c>
      <c r="B280" s="10" t="n">
        <f aca="false">(A280-1)/12</f>
        <v>22.9166666666667</v>
      </c>
      <c r="C280" s="11" t="n">
        <f aca="false">Parametros!$B$5/(1+Parametros!$B$7*Parametros!$B$6*B280)^(1/Parametros!$B$7)</f>
        <v>100.543796582178</v>
      </c>
      <c r="D280" s="11" t="n">
        <f aca="false">IF(B280&lt;=Parametros!$B$17,C280,Parametros!$B$5/(1+Parametros!$B$7*Parametros!$B$6*Parametros!$B$17)^(1/Parametros!$B$7)*EXP(-Parametros!$B$8*(B280-Parametros!$B$17)))</f>
        <v>78.015615116295</v>
      </c>
      <c r="E280" s="12" t="n">
        <f aca="false">D280*30.4*IF(B280&lt;Parametros!$B$15,1,0)</f>
        <v>2371.67469953537</v>
      </c>
      <c r="F280" s="12" t="n">
        <f aca="false">C280*30.4*IF(B280&lt;Parametros!$B$15,1,0)</f>
        <v>3056.5314160982</v>
      </c>
      <c r="G280" s="12" t="n">
        <f aca="false">(E280*(Parametros!$B$9*(1-Parametros!$B$10)-Parametros!$B$11)-Parametros!$B$12*IF(B280&lt;Parametros!$B$15,1,0))/(1+Parametros!$B$14)^B280</f>
        <v>10947.4211553653</v>
      </c>
    </row>
    <row r="281" customFormat="false" ht="15" hidden="false" customHeight="false" outlineLevel="0" collapsed="false">
      <c r="A281" s="0" t="n">
        <v>277</v>
      </c>
      <c r="B281" s="10" t="n">
        <f aca="false">(A281-1)/12</f>
        <v>23</v>
      </c>
      <c r="C281" s="11" t="n">
        <f aca="false">Parametros!$B$5/(1+Parametros!$B$7*Parametros!$B$6*B281)^(1/Parametros!$B$7)</f>
        <v>100.309837644755</v>
      </c>
      <c r="D281" s="11" t="n">
        <f aca="false">IF(B281&lt;=Parametros!$B$17,C281,Parametros!$B$5/(1+Parametros!$B$7*Parametros!$B$6*Parametros!$B$17)^(1/Parametros!$B$7)*EXP(-Parametros!$B$8*(B281-Parametros!$B$17)))</f>
        <v>77.6265106126067</v>
      </c>
      <c r="E281" s="12" t="n">
        <f aca="false">D281*30.4*IF(B281&lt;Parametros!$B$15,1,0)</f>
        <v>2359.84592262325</v>
      </c>
      <c r="F281" s="12" t="n">
        <f aca="false">C281*30.4*IF(B281&lt;Parametros!$B$15,1,0)</f>
        <v>3049.41906440055</v>
      </c>
      <c r="G281" s="12" t="n">
        <f aca="false">(E281*(Parametros!$B$9*(1-Parametros!$B$10)-Parametros!$B$11)-Parametros!$B$12*IF(B281&lt;Parametros!$B$15,1,0))/(1+Parametros!$B$14)^B281</f>
        <v>10801.6339700458</v>
      </c>
    </row>
    <row r="282" customFormat="false" ht="15" hidden="false" customHeight="false" outlineLevel="0" collapsed="false">
      <c r="A282" s="0" t="n">
        <v>278</v>
      </c>
      <c r="B282" s="10" t="n">
        <f aca="false">(A282-1)/12</f>
        <v>23.0833333333333</v>
      </c>
      <c r="C282" s="11" t="n">
        <f aca="false">Parametros!$B$5/(1+Parametros!$B$7*Parametros!$B$6*B282)^(1/Parametros!$B$7)</f>
        <v>100.077234992247</v>
      </c>
      <c r="D282" s="11" t="n">
        <f aca="false">IF(B282&lt;=Parametros!$B$17,C282,Parametros!$B$5/(1+Parametros!$B$7*Parametros!$B$6*Parametros!$B$17)^(1/Parametros!$B$7)*EXP(-Parametros!$B$8*(B282-Parametros!$B$17)))</f>
        <v>77.2393467757269</v>
      </c>
      <c r="E282" s="12" t="n">
        <f aca="false">D282*30.4*IF(B282&lt;Parametros!$B$15,1,0)</f>
        <v>2348.0761419821</v>
      </c>
      <c r="F282" s="12" t="n">
        <f aca="false">C282*30.4*IF(B282&lt;Parametros!$B$15,1,0)</f>
        <v>3042.3479437643</v>
      </c>
      <c r="G282" s="12" t="n">
        <f aca="false">(E282*(Parametros!$B$9*(1-Parametros!$B$10)-Parametros!$B$11)-Parametros!$B$12*IF(B282&lt;Parametros!$B$15,1,0))/(1+Parametros!$B$14)^B282</f>
        <v>10657.7611376761</v>
      </c>
    </row>
    <row r="283" customFormat="false" ht="15" hidden="false" customHeight="false" outlineLevel="0" collapsed="false">
      <c r="A283" s="0" t="n">
        <v>279</v>
      </c>
      <c r="B283" s="10" t="n">
        <f aca="false">(A283-1)/12</f>
        <v>23.1666666666667</v>
      </c>
      <c r="C283" s="11" t="n">
        <f aca="false">Parametros!$B$5/(1+Parametros!$B$7*Parametros!$B$6*B283)^(1/Parametros!$B$7)</f>
        <v>99.8459760882081</v>
      </c>
      <c r="D283" s="11" t="n">
        <f aca="false">IF(B283&lt;=Parametros!$B$17,C283,Parametros!$B$5/(1+Parametros!$B$7*Parametros!$B$6*Parametros!$B$17)^(1/Parametros!$B$7)*EXP(-Parametros!$B$8*(B283-Parametros!$B$17)))</f>
        <v>76.8541139265393</v>
      </c>
      <c r="E283" s="12" t="n">
        <f aca="false">D283*30.4*IF(B283&lt;Parametros!$B$15,1,0)</f>
        <v>2336.3650633668</v>
      </c>
      <c r="F283" s="12" t="n">
        <f aca="false">C283*30.4*IF(B283&lt;Parametros!$B$15,1,0)</f>
        <v>3035.31767308153</v>
      </c>
      <c r="G283" s="12" t="n">
        <f aca="false">(E283*(Parametros!$B$9*(1-Parametros!$B$10)-Parametros!$B$11)-Parametros!$B$12*IF(B283&lt;Parametros!$B$15,1,0))/(1+Parametros!$B$14)^B283</f>
        <v>10515.7777276244</v>
      </c>
    </row>
    <row r="284" customFormat="false" ht="15" hidden="false" customHeight="false" outlineLevel="0" collapsed="false">
      <c r="A284" s="0" t="n">
        <v>280</v>
      </c>
      <c r="B284" s="10" t="n">
        <f aca="false">(A284-1)/12</f>
        <v>23.25</v>
      </c>
      <c r="C284" s="11" t="n">
        <f aca="false">Parametros!$B$5/(1+Parametros!$B$7*Parametros!$B$6*B284)^(1/Parametros!$B$7)</f>
        <v>99.6160485549757</v>
      </c>
      <c r="D284" s="11" t="n">
        <f aca="false">IF(B284&lt;=Parametros!$B$17,C284,Parametros!$B$5/(1+Parametros!$B$7*Parametros!$B$6*Parametros!$B$17)^(1/Parametros!$B$7)*EXP(-Parametros!$B$8*(B284-Parametros!$B$17)))</f>
        <v>76.4708024342028</v>
      </c>
      <c r="E284" s="12" t="n">
        <f aca="false">D284*30.4*IF(B284&lt;Parametros!$B$15,1,0)</f>
        <v>2324.71239399976</v>
      </c>
      <c r="F284" s="12" t="n">
        <f aca="false">C284*30.4*IF(B284&lt;Parametros!$B$15,1,0)</f>
        <v>3028.32787607126</v>
      </c>
      <c r="G284" s="12" t="n">
        <f aca="false">(E284*(Parametros!$B$9*(1-Parametros!$B$10)-Parametros!$B$11)-Parametros!$B$12*IF(B284&lt;Parametros!$B$15,1,0))/(1+Parametros!$B$14)^B284</f>
        <v>10375.6591323267</v>
      </c>
    </row>
    <row r="285" customFormat="false" ht="15" hidden="false" customHeight="false" outlineLevel="0" collapsed="false">
      <c r="A285" s="0" t="n">
        <v>281</v>
      </c>
      <c r="B285" s="10" t="n">
        <f aca="false">(A285-1)/12</f>
        <v>23.3333333333333</v>
      </c>
      <c r="C285" s="11" t="n">
        <f aca="false">Parametros!$B$5/(1+Parametros!$B$7*Parametros!$B$6*B285)^(1/Parametros!$B$7)</f>
        <v>99.3874401711158</v>
      </c>
      <c r="D285" s="11" t="n">
        <f aca="false">IF(B285&lt;=Parametros!$B$17,C285,Parametros!$B$5/(1+Parametros!$B$7*Parametros!$B$6*Parametros!$B$17)^(1/Parametros!$B$7)*EXP(-Parametros!$B$8*(B285-Parametros!$B$17)))</f>
        <v>76.0894027159099</v>
      </c>
      <c r="E285" s="12" t="n">
        <f aca="false">D285*30.4*IF(B285&lt;Parametros!$B$15,1,0)</f>
        <v>2313.11784256366</v>
      </c>
      <c r="F285" s="12" t="n">
        <f aca="false">C285*30.4*IF(B285&lt;Parametros!$B$15,1,0)</f>
        <v>3021.37818120192</v>
      </c>
      <c r="G285" s="12" t="n">
        <f aca="false">(E285*(Parametros!$B$9*(1-Parametros!$B$10)-Parametros!$B$11)-Parametros!$B$12*IF(B285&lt;Parametros!$B$15,1,0))/(1+Parametros!$B$14)^B285</f>
        <v>10237.3810631131</v>
      </c>
    </row>
    <row r="286" customFormat="false" ht="15" hidden="false" customHeight="false" outlineLevel="0" collapsed="false">
      <c r="A286" s="0" t="n">
        <v>282</v>
      </c>
      <c r="B286" s="10" t="n">
        <f aca="false">(A286-1)/12</f>
        <v>23.4166666666667</v>
      </c>
      <c r="C286" s="11" t="n">
        <f aca="false">Parametros!$B$5/(1+Parametros!$B$7*Parametros!$B$6*B286)^(1/Parametros!$B$7)</f>
        <v>99.1601388689238</v>
      </c>
      <c r="D286" s="11" t="n">
        <f aca="false">IF(B286&lt;=Parametros!$B$17,C286,Parametros!$B$5/(1+Parametros!$B$7*Parametros!$B$6*Parametros!$B$17)^(1/Parametros!$B$7)*EXP(-Parametros!$B$8*(B286-Parametros!$B$17)))</f>
        <v>75.7099052366479</v>
      </c>
      <c r="E286" s="12" t="n">
        <f aca="false">D286*30.4*IF(B286&lt;Parametros!$B$15,1,0)</f>
        <v>2301.5811191941</v>
      </c>
      <c r="F286" s="12" t="n">
        <f aca="false">C286*30.4*IF(B286&lt;Parametros!$B$15,1,0)</f>
        <v>3014.46822161528</v>
      </c>
      <c r="G286" s="12" t="n">
        <f aca="false">(E286*(Parametros!$B$9*(1-Parametros!$B$10)-Parametros!$B$11)-Parametros!$B$12*IF(B286&lt;Parametros!$B$15,1,0))/(1+Parametros!$B$14)^B286</f>
        <v>10100.9195460875</v>
      </c>
    </row>
    <row r="287" customFormat="false" ht="15" hidden="false" customHeight="false" outlineLevel="0" collapsed="false">
      <c r="A287" s="0" t="n">
        <v>283</v>
      </c>
      <c r="B287" s="10" t="n">
        <f aca="false">(A287-1)/12</f>
        <v>23.5</v>
      </c>
      <c r="C287" s="11" t="n">
        <f aca="false">Parametros!$B$5/(1+Parametros!$B$7*Parametros!$B$6*B287)^(1/Parametros!$B$7)</f>
        <v>98.9341327319714</v>
      </c>
      <c r="D287" s="11" t="n">
        <f aca="false">IF(B287&lt;=Parametros!$B$17,C287,Parametros!$B$5/(1+Parametros!$B$7*Parametros!$B$6*Parametros!$B$17)^(1/Parametros!$B$7)*EXP(-Parametros!$B$8*(B287-Parametros!$B$17)))</f>
        <v>75.3323005089601</v>
      </c>
      <c r="E287" s="12" t="n">
        <f aca="false">D287*30.4*IF(B287&lt;Parametros!$B$15,1,0)</f>
        <v>2290.10193547239</v>
      </c>
      <c r="F287" s="12" t="n">
        <f aca="false">C287*30.4*IF(B287&lt;Parametros!$B$15,1,0)</f>
        <v>3007.59763505193</v>
      </c>
      <c r="G287" s="12" t="n">
        <f aca="false">(E287*(Parametros!$B$9*(1-Parametros!$B$10)-Parametros!$B$11)-Parametros!$B$12*IF(B287&lt;Parametros!$B$15,1,0))/(1+Parametros!$B$14)^B287</f>
        <v>9966.25091806046</v>
      </c>
    </row>
    <row r="288" customFormat="false" ht="15" hidden="false" customHeight="false" outlineLevel="0" collapsed="false">
      <c r="A288" s="0" t="n">
        <v>284</v>
      </c>
      <c r="B288" s="10" t="n">
        <f aca="false">(A288-1)/12</f>
        <v>23.5833333333333</v>
      </c>
      <c r="C288" s="11" t="n">
        <f aca="false">Parametros!$B$5/(1+Parametros!$B$7*Parametros!$B$6*B288)^(1/Parametros!$B$7)</f>
        <v>98.7094099927013</v>
      </c>
      <c r="D288" s="11" t="n">
        <f aca="false">IF(B288&lt;=Parametros!$B$17,C288,Parametros!$B$5/(1+Parametros!$B$7*Parametros!$B$6*Parametros!$B$17)^(1/Parametros!$B$7)*EXP(-Parametros!$B$8*(B288-Parametros!$B$17)))</f>
        <v>74.9565790927085</v>
      </c>
      <c r="E288" s="12" t="n">
        <f aca="false">D288*30.4*IF(B288&lt;Parametros!$B$15,1,0)</f>
        <v>2278.68000441834</v>
      </c>
      <c r="F288" s="12" t="n">
        <f aca="false">C288*30.4*IF(B288&lt;Parametros!$B$15,1,0)</f>
        <v>3000.76606377812</v>
      </c>
      <c r="G288" s="12" t="n">
        <f aca="false">(E288*(Parametros!$B$9*(1-Parametros!$B$10)-Parametros!$B$11)-Parametros!$B$12*IF(B288&lt;Parametros!$B$15,1,0))/(1+Parametros!$B$14)^B288</f>
        <v>9833.35182253493</v>
      </c>
    </row>
    <row r="289" customFormat="false" ht="15" hidden="false" customHeight="false" outlineLevel="0" collapsed="false">
      <c r="A289" s="0" t="n">
        <v>285</v>
      </c>
      <c r="B289" s="10" t="n">
        <f aca="false">(A289-1)/12</f>
        <v>23.6666666666667</v>
      </c>
      <c r="C289" s="11" t="n">
        <f aca="false">Parametros!$B$5/(1+Parametros!$B$7*Parametros!$B$6*B289)^(1/Parametros!$B$7)</f>
        <v>98.4859590300681</v>
      </c>
      <c r="D289" s="11" t="n">
        <f aca="false">IF(B289&lt;=Parametros!$B$17,C289,Parametros!$B$5/(1+Parametros!$B$7*Parametros!$B$6*Parametros!$B$17)^(1/Parametros!$B$7)*EXP(-Parametros!$B$8*(B289-Parametros!$B$17)))</f>
        <v>74.5827315948383</v>
      </c>
      <c r="E289" s="12" t="n">
        <f aca="false">D289*30.4*IF(B289&lt;Parametros!$B$15,1,0)</f>
        <v>2267.31504048308</v>
      </c>
      <c r="F289" s="12" t="n">
        <f aca="false">C289*30.4*IF(B289&lt;Parametros!$B$15,1,0)</f>
        <v>2993.97315451407</v>
      </c>
      <c r="G289" s="12" t="n">
        <f aca="false">(E289*(Parametros!$B$9*(1-Parametros!$B$10)-Parametros!$B$11)-Parametros!$B$12*IF(B289&lt;Parametros!$B$15,1,0))/(1+Parametros!$B$14)^B289</f>
        <v>9702.19920574305</v>
      </c>
    </row>
    <row r="290" customFormat="false" ht="15" hidden="false" customHeight="false" outlineLevel="0" collapsed="false">
      <c r="A290" s="0" t="n">
        <v>286</v>
      </c>
      <c r="B290" s="10" t="n">
        <f aca="false">(A290-1)/12</f>
        <v>23.75</v>
      </c>
      <c r="C290" s="11" t="n">
        <f aca="false">Parametros!$B$5/(1+Parametros!$B$7*Parametros!$B$6*B290)^(1/Parametros!$B$7)</f>
        <v>98.2637683672247</v>
      </c>
      <c r="D290" s="11" t="n">
        <f aca="false">IF(B290&lt;=Parametros!$B$17,C290,Parametros!$B$5/(1+Parametros!$B$7*Parametros!$B$6*Parametros!$B$17)^(1/Parametros!$B$7)*EXP(-Parametros!$B$8*(B290-Parametros!$B$17)))</f>
        <v>74.2107486691425</v>
      </c>
      <c r="E290" s="12" t="n">
        <f aca="false">D290*30.4*IF(B290&lt;Parametros!$B$15,1,0)</f>
        <v>2256.00675954193</v>
      </c>
      <c r="F290" s="12" t="n">
        <f aca="false">C290*30.4*IF(B290&lt;Parametros!$B$15,1,0)</f>
        <v>2987.21855836363</v>
      </c>
      <c r="G290" s="12" t="n">
        <f aca="false">(E290*(Parametros!$B$9*(1-Parametros!$B$10)-Parametros!$B$11)-Parametros!$B$12*IF(B290&lt;Parametros!$B$15,1,0))/(1+Parametros!$B$14)^B290</f>
        <v>9572.77031273469</v>
      </c>
    </row>
    <row r="291" customFormat="false" ht="15" hidden="false" customHeight="false" outlineLevel="0" collapsed="false">
      <c r="A291" s="0" t="n">
        <v>287</v>
      </c>
      <c r="B291" s="10" t="n">
        <f aca="false">(A291-1)/12</f>
        <v>23.8333333333333</v>
      </c>
      <c r="C291" s="11" t="n">
        <f aca="false">Parametros!$B$5/(1+Parametros!$B$7*Parametros!$B$6*B291)^(1/Parametros!$B$7)</f>
        <v>98.0428266692525</v>
      </c>
      <c r="D291" s="11" t="n">
        <f aca="false">IF(B291&lt;=Parametros!$B$17,C291,Parametros!$B$5/(1+Parametros!$B$7*Parametros!$B$6*Parametros!$B$17)^(1/Parametros!$B$7)*EXP(-Parametros!$B$8*(B291-Parametros!$B$17)))</f>
        <v>73.8406210160285</v>
      </c>
      <c r="E291" s="12" t="n">
        <f aca="false">D291*30.4*IF(B291&lt;Parametros!$B$15,1,0)</f>
        <v>2244.75487888727</v>
      </c>
      <c r="F291" s="12" t="n">
        <f aca="false">C291*30.4*IF(B291&lt;Parametros!$B$15,1,0)</f>
        <v>2980.50193074528</v>
      </c>
      <c r="G291" s="12" t="n">
        <f aca="false">(E291*(Parametros!$B$9*(1-Parametros!$B$10)-Parametros!$B$11)-Parametros!$B$12*IF(B291&lt;Parametros!$B$15,1,0))/(1+Parametros!$B$14)^B291</f>
        <v>9445.04268351612</v>
      </c>
    </row>
    <row r="292" customFormat="false" ht="15" hidden="false" customHeight="false" outlineLevel="0" collapsed="false">
      <c r="A292" s="0" t="n">
        <v>288</v>
      </c>
      <c r="B292" s="10" t="n">
        <f aca="false">(A292-1)/12</f>
        <v>23.9166666666667</v>
      </c>
      <c r="C292" s="11" t="n">
        <f aca="false">Parametros!$B$5/(1+Parametros!$B$7*Parametros!$B$6*B292)^(1/Parametros!$B$7)</f>
        <v>97.8231227409353</v>
      </c>
      <c r="D292" s="11" t="n">
        <f aca="false">IF(B292&lt;=Parametros!$B$17,C292,Parametros!$B$5/(1+Parametros!$B$7*Parametros!$B$6*Parametros!$B$17)^(1/Parametros!$B$7)*EXP(-Parametros!$B$8*(B292-Parametros!$B$17)))</f>
        <v>73.4723393822858</v>
      </c>
      <c r="E292" s="12" t="n">
        <f aca="false">D292*30.4*IF(B292&lt;Parametros!$B$15,1,0)</f>
        <v>2233.55911722149</v>
      </c>
      <c r="F292" s="12" t="n">
        <f aca="false">C292*30.4*IF(B292&lt;Parametros!$B$15,1,0)</f>
        <v>2973.82293132443</v>
      </c>
      <c r="G292" s="12" t="n">
        <f aca="false">(E292*(Parametros!$B$9*(1-Parametros!$B$10)-Parametros!$B$11)-Parametros!$B$12*IF(B292&lt;Parametros!$B$15,1,0))/(1+Parametros!$B$14)^B292</f>
        <v>9318.99414923857</v>
      </c>
    </row>
    <row r="293" customFormat="false" ht="15" hidden="false" customHeight="false" outlineLevel="0" collapsed="false">
      <c r="A293" s="0" t="n">
        <v>289</v>
      </c>
      <c r="B293" s="10" t="n">
        <f aca="false">(A293-1)/12</f>
        <v>24</v>
      </c>
      <c r="C293" s="11" t="n">
        <f aca="false">Parametros!$B$5/(1+Parametros!$B$7*Parametros!$B$6*B293)^(1/Parametros!$B$7)</f>
        <v>97.6046455245749</v>
      </c>
      <c r="D293" s="11" t="n">
        <f aca="false">IF(B293&lt;=Parametros!$B$17,C293,Parametros!$B$5/(1+Parametros!$B$7*Parametros!$B$6*Parametros!$B$17)^(1/Parametros!$B$7)*EXP(-Parametros!$B$8*(B293-Parametros!$B$17)))</f>
        <v>73.1058945608543</v>
      </c>
      <c r="E293" s="12" t="n">
        <f aca="false">D293*30.4*IF(B293&lt;Parametros!$B$15,1,0)</f>
        <v>2222.41919464997</v>
      </c>
      <c r="F293" s="12" t="n">
        <f aca="false">C293*30.4*IF(B293&lt;Parametros!$B$15,1,0)</f>
        <v>2967.18122394708</v>
      </c>
      <c r="G293" s="12" t="n">
        <f aca="false">(E293*(Parametros!$B$9*(1-Parametros!$B$10)-Parametros!$B$11)-Parametros!$B$12*IF(B293&lt;Parametros!$B$15,1,0))/(1+Parametros!$B$14)^B293</f>
        <v>9194.60282843594</v>
      </c>
    </row>
    <row r="294" customFormat="false" ht="15" hidden="false" customHeight="false" outlineLevel="0" collapsed="false">
      <c r="A294" s="0" t="n">
        <v>290</v>
      </c>
      <c r="B294" s="10" t="n">
        <f aca="false">(A294-1)/12</f>
        <v>24.0833333333333</v>
      </c>
      <c r="C294" s="11" t="n">
        <f aca="false">Parametros!$B$5/(1+Parametros!$B$7*Parametros!$B$6*B294)^(1/Parametros!$B$7)</f>
        <v>97.3873840978488</v>
      </c>
      <c r="D294" s="11" t="n">
        <f aca="false">IF(B294&lt;=Parametros!$B$17,C294,Parametros!$B$5/(1+Parametros!$B$7*Parametros!$B$6*Parametros!$B$17)^(1/Parametros!$B$7)*EXP(-Parametros!$B$8*(B294-Parametros!$B$17)))</f>
        <v>72.7412773905945</v>
      </c>
      <c r="E294" s="12" t="n">
        <f aca="false">D294*30.4*IF(B294&lt;Parametros!$B$15,1,0)</f>
        <v>2211.33483267407</v>
      </c>
      <c r="F294" s="12" t="n">
        <f aca="false">C294*30.4*IF(B294&lt;Parametros!$B$15,1,0)</f>
        <v>2960.5764765746</v>
      </c>
      <c r="G294" s="12" t="n">
        <f aca="false">(E294*(Parametros!$B$9*(1-Parametros!$B$10)-Parametros!$B$11)-Parametros!$B$12*IF(B294&lt;Parametros!$B$15,1,0))/(1+Parametros!$B$14)^B294</f>
        <v>9071.84712331099</v>
      </c>
    </row>
    <row r="295" customFormat="false" ht="15" hidden="false" customHeight="false" outlineLevel="0" collapsed="false">
      <c r="A295" s="0" t="n">
        <v>291</v>
      </c>
      <c r="B295" s="10" t="n">
        <f aca="false">(A295-1)/12</f>
        <v>24.1666666666667</v>
      </c>
      <c r="C295" s="11" t="n">
        <f aca="false">Parametros!$B$5/(1+Parametros!$B$7*Parametros!$B$6*B295)^(1/Parametros!$B$7)</f>
        <v>97.1713276717075</v>
      </c>
      <c r="D295" s="11" t="n">
        <f aca="false">IF(B295&lt;=Parametros!$B$17,C295,Parametros!$B$5/(1+Parametros!$B$7*Parametros!$B$6*Parametros!$B$17)^(1/Parametros!$B$7)*EXP(-Parametros!$B$8*(B295-Parametros!$B$17)))</f>
        <v>72.378478756058</v>
      </c>
      <c r="E295" s="12" t="n">
        <f aca="false">D295*30.4*IF(B295&lt;Parametros!$B$15,1,0)</f>
        <v>2200.30575418416</v>
      </c>
      <c r="F295" s="12" t="n">
        <f aca="false">C295*30.4*IF(B295&lt;Parametros!$B$15,1,0)</f>
        <v>2954.00836121991</v>
      </c>
      <c r="G295" s="12" t="n">
        <f aca="false">(E295*(Parametros!$B$9*(1-Parametros!$B$10)-Parametros!$B$11)-Parametros!$B$12*IF(B295&lt;Parametros!$B$15,1,0))/(1+Parametros!$B$14)^B295</f>
        <v>8950.70571606955</v>
      </c>
    </row>
    <row r="296" customFormat="false" ht="15" hidden="false" customHeight="false" outlineLevel="0" collapsed="false">
      <c r="A296" s="0" t="n">
        <v>292</v>
      </c>
      <c r="B296" s="10" t="n">
        <f aca="false">(A296-1)/12</f>
        <v>24.25</v>
      </c>
      <c r="C296" s="11" t="n">
        <f aca="false">Parametros!$B$5/(1+Parametros!$B$7*Parametros!$B$6*B296)^(1/Parametros!$B$7)</f>
        <v>96.9564655883119</v>
      </c>
      <c r="D296" s="11" t="n">
        <f aca="false">IF(B296&lt;=Parametros!$B$17,C296,Parametros!$B$5/(1+Parametros!$B$7*Parametros!$B$6*Parametros!$B$17)^(1/Parametros!$B$7)*EXP(-Parametros!$B$8*(B296-Parametros!$B$17)))</f>
        <v>72.0174895872602</v>
      </c>
      <c r="E296" s="12" t="n">
        <f aca="false">D296*30.4*IF(B296&lt;Parametros!$B$15,1,0)</f>
        <v>2189.33168345271</v>
      </c>
      <c r="F296" s="12" t="n">
        <f aca="false">C296*30.4*IF(B296&lt;Parametros!$B$15,1,0)</f>
        <v>2947.47655388468</v>
      </c>
      <c r="G296" s="12" t="n">
        <f aca="false">(E296*(Parametros!$B$9*(1-Parametros!$B$10)-Parametros!$B$11)-Parametros!$B$12*IF(B296&lt;Parametros!$B$15,1,0))/(1+Parametros!$B$14)^B296</f>
        <v>8831.15756530187</v>
      </c>
    </row>
    <row r="297" customFormat="false" ht="15" hidden="false" customHeight="false" outlineLevel="0" collapsed="false">
      <c r="A297" s="0" t="n">
        <v>293</v>
      </c>
      <c r="B297" s="10" t="n">
        <f aca="false">(A297-1)/12</f>
        <v>24.3333333333333</v>
      </c>
      <c r="C297" s="11" t="n">
        <f aca="false">Parametros!$B$5/(1+Parametros!$B$7*Parametros!$B$6*B297)^(1/Parametros!$B$7)</f>
        <v>96.7427873190089</v>
      </c>
      <c r="D297" s="11" t="n">
        <f aca="false">IF(B297&lt;=Parametros!$B$17,C297,Parametros!$B$5/(1+Parametros!$B$7*Parametros!$B$6*Parametros!$B$17)^(1/Parametros!$B$7)*EXP(-Parametros!$B$8*(B297-Parametros!$B$17)))</f>
        <v>71.658300859453</v>
      </c>
      <c r="E297" s="12" t="n">
        <f aca="false">D297*30.4*IF(B297&lt;Parametros!$B$15,1,0)</f>
        <v>2178.41234612737</v>
      </c>
      <c r="F297" s="12" t="n">
        <f aca="false">C297*30.4*IF(B297&lt;Parametros!$B$15,1,0)</f>
        <v>2940.98073449787</v>
      </c>
      <c r="G297" s="12" t="n">
        <f aca="false">(E297*(Parametros!$B$9*(1-Parametros!$B$10)-Parametros!$B$11)-Parametros!$B$12*IF(B297&lt;Parametros!$B$15,1,0))/(1+Parametros!$B$14)^B297</f>
        <v>8713.18190241071</v>
      </c>
    </row>
    <row r="298" customFormat="false" ht="15" hidden="false" customHeight="false" outlineLevel="0" collapsed="false">
      <c r="A298" s="0" t="n">
        <v>294</v>
      </c>
      <c r="B298" s="10" t="n">
        <f aca="false">(A298-1)/12</f>
        <v>24.4166666666667</v>
      </c>
      <c r="C298" s="11" t="n">
        <f aca="false">Parametros!$B$5/(1+Parametros!$B$7*Parametros!$B$6*B298)^(1/Parametros!$B$7)</f>
        <v>96.5302824623452</v>
      </c>
      <c r="D298" s="11" t="n">
        <f aca="false">IF(B298&lt;=Parametros!$B$17,C298,Parametros!$B$5/(1+Parametros!$B$7*Parametros!$B$6*Parametros!$B$17)^(1/Parametros!$B$7)*EXP(-Parametros!$B$8*(B298-Parametros!$B$17)))</f>
        <v>71.3009035928994</v>
      </c>
      <c r="E298" s="12" t="n">
        <f aca="false">D298*30.4*IF(B298&lt;Parametros!$B$15,1,0)</f>
        <v>2167.54746922414</v>
      </c>
      <c r="F298" s="12" t="n">
        <f aca="false">C298*30.4*IF(B298&lt;Parametros!$B$15,1,0)</f>
        <v>2934.52058685529</v>
      </c>
      <c r="G298" s="12" t="n">
        <f aca="false">(E298*(Parametros!$B$9*(1-Parametros!$B$10)-Parametros!$B$11)-Parametros!$B$12*IF(B298&lt;Parametros!$B$15,1,0))/(1+Parametros!$B$14)^B298</f>
        <v>8596.75822808554</v>
      </c>
    </row>
    <row r="299" customFormat="false" ht="15" hidden="false" customHeight="false" outlineLevel="0" collapsed="false">
      <c r="A299" s="0" t="n">
        <v>295</v>
      </c>
      <c r="B299" s="10" t="n">
        <f aca="false">(A299-1)/12</f>
        <v>24.5</v>
      </c>
      <c r="C299" s="11" t="n">
        <f aca="false">Parametros!$B$5/(1+Parametros!$B$7*Parametros!$B$6*B299)^(1/Parametros!$B$7)</f>
        <v>96.3189407421177</v>
      </c>
      <c r="D299" s="11" t="n">
        <f aca="false">IF(B299&lt;=Parametros!$B$17,C299,Parametros!$B$5/(1+Parametros!$B$7*Parametros!$B$6*Parametros!$B$17)^(1/Parametros!$B$7)*EXP(-Parametros!$B$8*(B299-Parametros!$B$17)))</f>
        <v>70.9452888526493</v>
      </c>
      <c r="E299" s="12" t="n">
        <f aca="false">D299*30.4*IF(B299&lt;Parametros!$B$15,1,0)</f>
        <v>2156.73678112054</v>
      </c>
      <c r="F299" s="12" t="n">
        <f aca="false">C299*30.4*IF(B299&lt;Parametros!$B$15,1,0)</f>
        <v>2928.09579856038</v>
      </c>
      <c r="G299" s="12" t="n">
        <f aca="false">(E299*(Parametros!$B$9*(1-Parametros!$B$10)-Parametros!$B$11)-Parametros!$B$12*IF(B299&lt;Parametros!$B$15,1,0))/(1+Parametros!$B$14)^B299</f>
        <v>8481.86630882217</v>
      </c>
    </row>
    <row r="300" customFormat="false" ht="15" hidden="false" customHeight="false" outlineLevel="0" collapsed="false">
      <c r="A300" s="0" t="n">
        <v>296</v>
      </c>
      <c r="B300" s="10" t="n">
        <f aca="false">(A300-1)/12</f>
        <v>24.5833333333333</v>
      </c>
      <c r="C300" s="11" t="n">
        <f aca="false">Parametros!$B$5/(1+Parametros!$B$7*Parametros!$B$6*B300)^(1/Parametros!$B$7)</f>
        <v>96.1087520054604</v>
      </c>
      <c r="D300" s="11" t="n">
        <f aca="false">IF(B300&lt;=Parametros!$B$17,C300,Parametros!$B$5/(1+Parametros!$B$7*Parametros!$B$6*Parametros!$B$17)^(1/Parametros!$B$7)*EXP(-Parametros!$B$8*(B300-Parametros!$B$17)))</f>
        <v>70.5914477483155</v>
      </c>
      <c r="E300" s="12" t="n">
        <f aca="false">D300*30.4*IF(B300&lt;Parametros!$B$15,1,0)</f>
        <v>2145.98001154879</v>
      </c>
      <c r="F300" s="12" t="n">
        <f aca="false">C300*30.4*IF(B300&lt;Parametros!$B$15,1,0)</f>
        <v>2921.706060966</v>
      </c>
      <c r="G300" s="12" t="n">
        <f aca="false">(E300*(Parametros!$B$9*(1-Parametros!$B$10)-Parametros!$B$11)-Parametros!$B$12*IF(B300&lt;Parametros!$B$15,1,0))/(1+Parametros!$B$14)^B300</f>
        <v>8368.48617348727</v>
      </c>
    </row>
    <row r="301" customFormat="false" ht="15" hidden="false" customHeight="false" outlineLevel="0" collapsed="false">
      <c r="A301" s="0" t="n">
        <v>297</v>
      </c>
      <c r="B301" s="10" t="n">
        <f aca="false">(A301-1)/12</f>
        <v>24.6666666666667</v>
      </c>
      <c r="C301" s="11" t="n">
        <f aca="false">Parametros!$B$5/(1+Parametros!$B$7*Parametros!$B$6*B301)^(1/Parametros!$B$7)</f>
        <v>95.8997062209665</v>
      </c>
      <c r="D301" s="11" t="n">
        <f aca="false">IF(B301&lt;=Parametros!$B$17,C301,Parametros!$B$5/(1+Parametros!$B$7*Parametros!$B$6*Parametros!$B$17)^(1/Parametros!$B$7)*EXP(-Parametros!$B$8*(B301-Parametros!$B$17)))</f>
        <v>70.2393714338521</v>
      </c>
      <c r="E301" s="12" t="n">
        <f aca="false">D301*30.4*IF(B301&lt;Parametros!$B$15,1,0)</f>
        <v>2135.2768915891</v>
      </c>
      <c r="F301" s="12" t="n">
        <f aca="false">C301*30.4*IF(B301&lt;Parametros!$B$15,1,0)</f>
        <v>2915.35106911738</v>
      </c>
      <c r="G301" s="12" t="n">
        <f aca="false">(E301*(Parametros!$B$9*(1-Parametros!$B$10)-Parametros!$B$11)-Parametros!$B$12*IF(B301&lt;Parametros!$B$15,1,0))/(1+Parametros!$B$14)^B301</f>
        <v>8256.5981099272</v>
      </c>
    </row>
    <row r="302" customFormat="false" ht="15" hidden="false" customHeight="false" outlineLevel="0" collapsed="false">
      <c r="A302" s="0" t="n">
        <v>298</v>
      </c>
      <c r="B302" s="10" t="n">
        <f aca="false">(A302-1)/12</f>
        <v>24.75</v>
      </c>
      <c r="C302" s="11" t="n">
        <f aca="false">Parametros!$B$5/(1+Parametros!$B$7*Parametros!$B$6*B302)^(1/Parametros!$B$7)</f>
        <v>95.691793476845</v>
      </c>
      <c r="D302" s="11" t="n">
        <f aca="false">IF(B302&lt;=Parametros!$B$17,C302,Parametros!$B$5/(1+Parametros!$B$7*Parametros!$B$6*Parametros!$B$17)^(1/Parametros!$B$7)*EXP(-Parametros!$B$8*(B302-Parametros!$B$17)))</f>
        <v>69.8890511073329</v>
      </c>
      <c r="E302" s="12" t="n">
        <f aca="false">D302*30.4*IF(B302&lt;Parametros!$B$15,1,0)</f>
        <v>2124.62715366292</v>
      </c>
      <c r="F302" s="12" t="n">
        <f aca="false">C302*30.4*IF(B302&lt;Parametros!$B$15,1,0)</f>
        <v>2909.03052169609</v>
      </c>
      <c r="G302" s="12" t="n">
        <f aca="false">(E302*(Parametros!$B$9*(1-Parametros!$B$10)-Parametros!$B$11)-Parametros!$B$12*IF(B302&lt;Parametros!$B$15,1,0))/(1+Parametros!$B$14)^B302</f>
        <v>8146.18266162066</v>
      </c>
    </row>
    <row r="303" customFormat="false" ht="15" hidden="false" customHeight="false" outlineLevel="0" collapsed="false">
      <c r="A303" s="0" t="n">
        <v>299</v>
      </c>
      <c r="B303" s="10" t="n">
        <f aca="false">(A303-1)/12</f>
        <v>24.8333333333333</v>
      </c>
      <c r="C303" s="11" t="n">
        <f aca="false">Parametros!$B$5/(1+Parametros!$B$7*Parametros!$B$6*B303)^(1/Parametros!$B$7)</f>
        <v>95.4850039791113</v>
      </c>
      <c r="D303" s="11" t="n">
        <f aca="false">IF(B303&lt;=Parametros!$B$17,C303,Parametros!$B$5/(1+Parametros!$B$7*Parametros!$B$6*Parametros!$B$17)^(1/Parametros!$B$7)*EXP(-Parametros!$B$8*(B303-Parametros!$B$17)))</f>
        <v>69.5404780107314</v>
      </c>
      <c r="E303" s="12" t="n">
        <f aca="false">D303*30.4*IF(B303&lt;Parametros!$B$15,1,0)</f>
        <v>2114.03053152623</v>
      </c>
      <c r="F303" s="12" t="n">
        <f aca="false">C303*30.4*IF(B303&lt;Parametros!$B$15,1,0)</f>
        <v>2902.74412096498</v>
      </c>
      <c r="G303" s="12" t="n">
        <f aca="false">(E303*(Parametros!$B$9*(1-Parametros!$B$10)-Parametros!$B$11)-Parametros!$B$12*IF(B303&lt;Parametros!$B$15,1,0))/(1+Parametros!$B$14)^B303</f>
        <v>8037.22062437443</v>
      </c>
    </row>
    <row r="304" customFormat="false" ht="15" hidden="false" customHeight="false" outlineLevel="0" collapsed="false">
      <c r="A304" s="0" t="n">
        <v>300</v>
      </c>
      <c r="B304" s="10" t="n">
        <f aca="false">(A304-1)/12</f>
        <v>24.9166666666667</v>
      </c>
      <c r="C304" s="11" t="n">
        <f aca="false">Parametros!$B$5/(1+Parametros!$B$7*Parametros!$B$6*B304)^(1/Parametros!$B$7)</f>
        <v>95.279328049811</v>
      </c>
      <c r="D304" s="11" t="n">
        <f aca="false">IF(B304&lt;=Parametros!$B$17,C304,Parametros!$B$5/(1+Parametros!$B$7*Parametros!$B$6*Parametros!$B$17)^(1/Parametros!$B$7)*EXP(-Parametros!$B$8*(B304-Parametros!$B$17)))</f>
        <v>69.193643429702</v>
      </c>
      <c r="E304" s="12" t="n">
        <f aca="false">D304*30.4*IF(B304&lt;Parametros!$B$15,1,0)</f>
        <v>2103.48676026294</v>
      </c>
      <c r="F304" s="12" t="n">
        <f aca="false">C304*30.4*IF(B304&lt;Parametros!$B$15,1,0)</f>
        <v>2896.49157271425</v>
      </c>
      <c r="G304" s="12" t="n">
        <f aca="false">(E304*(Parametros!$B$9*(1-Parametros!$B$10)-Parametros!$B$11)-Parametros!$B$12*IF(B304&lt;Parametros!$B$15,1,0))/(1+Parametros!$B$14)^B304</f>
        <v>7929.69304306175</v>
      </c>
    </row>
    <row r="305" customFormat="false" ht="15" hidden="false" customHeight="false" outlineLevel="0" collapsed="false">
      <c r="A305" s="0" t="n">
        <v>301</v>
      </c>
      <c r="B305" s="10" t="n">
        <f aca="false">(A305-1)/12</f>
        <v>25</v>
      </c>
      <c r="C305" s="11" t="n">
        <f aca="false">Parametros!$B$5/(1+Parametros!$B$7*Parametros!$B$6*B305)^(1/Parametros!$B$7)</f>
        <v>95.0747561252758</v>
      </c>
      <c r="D305" s="11" t="n">
        <f aca="false">IF(B305&lt;=Parametros!$B$17,C305,Parametros!$B$5/(1+Parametros!$B$7*Parametros!$B$6*Parametros!$B$17)^(1/Parametros!$B$7)*EXP(-Parametros!$B$8*(B305-Parametros!$B$17)))</f>
        <v>68.8485386933622</v>
      </c>
      <c r="E305" s="12" t="n">
        <f aca="false">D305*30.4*IF(B305&lt;Parametros!$B$15,1,0)</f>
        <v>2092.99557627821</v>
      </c>
      <c r="F305" s="12" t="n">
        <f aca="false">C305*30.4*IF(B305&lt;Parametros!$B$15,1,0)</f>
        <v>2890.27258620838</v>
      </c>
      <c r="G305" s="12" t="n">
        <f aca="false">(E305*(Parametros!$B$9*(1-Parametros!$B$10)-Parametros!$B$11)-Parametros!$B$12*IF(B305&lt;Parametros!$B$15,1,0))/(1+Parametros!$B$14)^B305</f>
        <v>7823.58120840283</v>
      </c>
    </row>
    <row r="306" customFormat="false" ht="15" hidden="false" customHeight="false" outlineLevel="0" collapsed="false">
      <c r="A306" s="0" t="n">
        <v>302</v>
      </c>
      <c r="B306" s="10" t="n">
        <f aca="false">(A306-1)/12</f>
        <v>25.0833333333333</v>
      </c>
      <c r="C306" s="11" t="n">
        <f aca="false">Parametros!$B$5/(1+Parametros!$B$7*Parametros!$B$6*B306)^(1/Parametros!$B$7)</f>
        <v>94.8712787544117</v>
      </c>
      <c r="D306" s="11" t="n">
        <f aca="false">IF(B306&lt;=Parametros!$B$17,C306,Parametros!$B$5/(1+Parametros!$B$7*Parametros!$B$6*Parametros!$B$17)^(1/Parametros!$B$7)*EXP(-Parametros!$B$8*(B306-Parametros!$B$17)))</f>
        <v>68.5051551740757</v>
      </c>
      <c r="E306" s="12" t="n">
        <f aca="false">D306*30.4*IF(B306&lt;Parametros!$B$15,1,0)</f>
        <v>2082.5567172919</v>
      </c>
      <c r="F306" s="12" t="n">
        <f aca="false">C306*30.4*IF(B306&lt;Parametros!$B$15,1,0)</f>
        <v>2884.08687413412</v>
      </c>
      <c r="G306" s="12" t="n">
        <f aca="false">(E306*(Parametros!$B$9*(1-Parametros!$B$10)-Parametros!$B$11)-Parametros!$B$12*IF(B306&lt;Parametros!$B$15,1,0))/(1+Parametros!$B$14)^B306</f>
        <v>7718.86665378684</v>
      </c>
    </row>
    <row r="307" customFormat="false" ht="15" hidden="false" customHeight="false" outlineLevel="0" collapsed="false">
      <c r="A307" s="0" t="n">
        <v>303</v>
      </c>
      <c r="B307" s="10" t="n">
        <f aca="false">(A307-1)/12</f>
        <v>25.1666666666667</v>
      </c>
      <c r="C307" s="11" t="n">
        <f aca="false">Parametros!$B$5/(1+Parametros!$B$7*Parametros!$B$6*B307)^(1/Parametros!$B$7)</f>
        <v>94.6688865970176</v>
      </c>
      <c r="D307" s="11" t="n">
        <f aca="false">IF(B307&lt;=Parametros!$B$17,C307,Parametros!$B$5/(1+Parametros!$B$7*Parametros!$B$6*Parametros!$B$17)^(1/Parametros!$B$7)*EXP(-Parametros!$B$8*(B307-Parametros!$B$17)))</f>
        <v>68.1634842872364</v>
      </c>
      <c r="E307" s="12" t="n">
        <f aca="false">D307*30.4*IF(B307&lt;Parametros!$B$15,1,0)</f>
        <v>2072.16992233199</v>
      </c>
      <c r="F307" s="12" t="n">
        <f aca="false">C307*30.4*IF(B307&lt;Parametros!$B$15,1,0)</f>
        <v>2877.93415254933</v>
      </c>
      <c r="G307" s="12" t="n">
        <f aca="false">(E307*(Parametros!$B$9*(1-Parametros!$B$10)-Parametros!$B$11)-Parametros!$B$12*IF(B307&lt;Parametros!$B$15,1,0))/(1+Parametros!$B$14)^B307</f>
        <v>7615.5311521349</v>
      </c>
    </row>
    <row r="308" customFormat="false" ht="15" hidden="false" customHeight="false" outlineLevel="0" collapsed="false">
      <c r="A308" s="0" t="n">
        <v>304</v>
      </c>
      <c r="B308" s="10" t="n">
        <f aca="false">(A308-1)/12</f>
        <v>25.25</v>
      </c>
      <c r="C308" s="11" t="n">
        <f aca="false">Parametros!$B$5/(1+Parametros!$B$7*Parametros!$B$6*B308)^(1/Parametros!$B$7)</f>
        <v>94.4675704221345</v>
      </c>
      <c r="D308" s="11" t="n">
        <f aca="false">IF(B308&lt;=Parametros!$B$17,C308,Parametros!$B$5/(1+Parametros!$B$7*Parametros!$B$6*Parametros!$B$17)^(1/Parametros!$B$7)*EXP(-Parametros!$B$8*(B308-Parametros!$B$17)))</f>
        <v>67.8235174910546</v>
      </c>
      <c r="E308" s="12" t="n">
        <f aca="false">D308*30.4*IF(B308&lt;Parametros!$B$15,1,0)</f>
        <v>2061.83493172806</v>
      </c>
      <c r="F308" s="12" t="n">
        <f aca="false">C308*30.4*IF(B308&lt;Parametros!$B$15,1,0)</f>
        <v>2871.81414083289</v>
      </c>
      <c r="G308" s="12" t="n">
        <f aca="false">(E308*(Parametros!$B$9*(1-Parametros!$B$10)-Parametros!$B$11)-Parametros!$B$12*IF(B308&lt;Parametros!$B$15,1,0))/(1+Parametros!$B$14)^B308</f>
        <v>7513.55671280359</v>
      </c>
    </row>
    <row r="309" customFormat="false" ht="15" hidden="false" customHeight="false" outlineLevel="0" collapsed="false">
      <c r="A309" s="0" t="n">
        <v>305</v>
      </c>
      <c r="B309" s="10" t="n">
        <f aca="false">(A309-1)/12</f>
        <v>25.3333333333333</v>
      </c>
      <c r="C309" s="11" t="n">
        <f aca="false">Parametros!$B$5/(1+Parametros!$B$7*Parametros!$B$6*B309)^(1/Parametros!$B$7)</f>
        <v>94.2673211064251</v>
      </c>
      <c r="D309" s="11" t="n">
        <f aca="false">IF(B309&lt;=Parametros!$B$17,C309,Parametros!$B$5/(1+Parametros!$B$7*Parametros!$B$6*Parametros!$B$17)^(1/Parametros!$B$7)*EXP(-Parametros!$B$8*(B309-Parametros!$B$17)))</f>
        <v>67.4852462863425</v>
      </c>
      <c r="E309" s="12" t="n">
        <f aca="false">D309*30.4*IF(B309&lt;Parametros!$B$15,1,0)</f>
        <v>2051.55148710481</v>
      </c>
      <c r="F309" s="12" t="n">
        <f aca="false">C309*30.4*IF(B309&lt;Parametros!$B$15,1,0)</f>
        <v>2865.72656163532</v>
      </c>
      <c r="G309" s="12" t="n">
        <f aca="false">(E309*(Parametros!$B$9*(1-Parametros!$B$10)-Parametros!$B$11)-Parametros!$B$12*IF(B309&lt;Parametros!$B$15,1,0))/(1+Parametros!$B$14)^B309</f>
        <v>7412.92557852832</v>
      </c>
    </row>
    <row r="310" customFormat="false" ht="15" hidden="false" customHeight="false" outlineLevel="0" collapsed="false">
      <c r="A310" s="0" t="n">
        <v>306</v>
      </c>
      <c r="B310" s="10" t="n">
        <f aca="false">(A310-1)/12</f>
        <v>25.4166666666667</v>
      </c>
      <c r="C310" s="11" t="n">
        <f aca="false">Parametros!$B$5/(1+Parametros!$B$7*Parametros!$B$6*B310)^(1/Parametros!$B$7)</f>
        <v>94.0681296325811</v>
      </c>
      <c r="D310" s="11" t="n">
        <f aca="false">IF(B310&lt;=Parametros!$B$17,C310,Parametros!$B$5/(1+Parametros!$B$7*Parametros!$B$6*Parametros!$B$17)^(1/Parametros!$B$7)*EXP(-Parametros!$B$8*(B310-Parametros!$B$17)))</f>
        <v>67.1486622163024</v>
      </c>
      <c r="E310" s="12" t="n">
        <f aca="false">D310*30.4*IF(B310&lt;Parametros!$B$15,1,0)</f>
        <v>2041.31933137559</v>
      </c>
      <c r="F310" s="12" t="n">
        <f aca="false">C310*30.4*IF(B310&lt;Parametros!$B$15,1,0)</f>
        <v>2859.67114083046</v>
      </c>
      <c r="G310" s="12" t="n">
        <f aca="false">(E310*(Parametros!$B$9*(1-Parametros!$B$10)-Parametros!$B$11)-Parametros!$B$12*IF(B310&lt;Parametros!$B$15,1,0))/(1+Parametros!$B$14)^B310</f>
        <v>7313.62022240621</v>
      </c>
    </row>
    <row r="311" customFormat="false" ht="15" hidden="false" customHeight="false" outlineLevel="0" collapsed="false">
      <c r="A311" s="0" t="n">
        <v>307</v>
      </c>
      <c r="B311" s="10" t="n">
        <f aca="false">(A311-1)/12</f>
        <v>25.5</v>
      </c>
      <c r="C311" s="11" t="n">
        <f aca="false">Parametros!$B$5/(1+Parametros!$B$7*Parametros!$B$6*B311)^(1/Parametros!$B$7)</f>
        <v>93.8699870877603</v>
      </c>
      <c r="D311" s="11" t="n">
        <f aca="false">IF(B311&lt;=Parametros!$B$17,C311,Parametros!$B$5/(1+Parametros!$B$7*Parametros!$B$6*Parametros!$B$17)^(1/Parametros!$B$7)*EXP(-Parametros!$B$8*(B311-Parametros!$B$17)))</f>
        <v>66.813756866315</v>
      </c>
      <c r="E311" s="12" t="n">
        <f aca="false">D311*30.4*IF(B311&lt;Parametros!$B$15,1,0)</f>
        <v>2031.13820873598</v>
      </c>
      <c r="F311" s="12" t="n">
        <f aca="false">C311*30.4*IF(B311&lt;Parametros!$B$15,1,0)</f>
        <v>2853.64760746791</v>
      </c>
      <c r="G311" s="12" t="n">
        <f aca="false">(E311*(Parametros!$B$9*(1-Parametros!$B$10)-Parametros!$B$11)-Parametros!$B$12*IF(B311&lt;Parametros!$B$15,1,0))/(1+Parametros!$B$14)^B311</f>
        <v>7215.62334491789</v>
      </c>
    </row>
    <row r="312" customFormat="false" ht="15" hidden="false" customHeight="false" outlineLevel="0" collapsed="false">
      <c r="A312" s="0" t="n">
        <v>308</v>
      </c>
      <c r="B312" s="10" t="n">
        <f aca="false">(A312-1)/12</f>
        <v>25.5833333333333</v>
      </c>
      <c r="C312" s="11" t="n">
        <f aca="false">Parametros!$B$5/(1+Parametros!$B$7*Parametros!$B$6*B312)^(1/Parametros!$B$7)</f>
        <v>93.6728846620514</v>
      </c>
      <c r="D312" s="11" t="n">
        <f aca="false">IF(B312&lt;=Parametros!$B$17,C312,Parametros!$B$5/(1+Parametros!$B$7*Parametros!$B$6*Parametros!$B$17)^(1/Parametros!$B$7)*EXP(-Parametros!$B$8*(B312-Parametros!$B$17)))</f>
        <v>66.4805218637292</v>
      </c>
      <c r="E312" s="12" t="n">
        <f aca="false">D312*30.4*IF(B312&lt;Parametros!$B$15,1,0)</f>
        <v>2021.00786465737</v>
      </c>
      <c r="F312" s="12" t="n">
        <f aca="false">C312*30.4*IF(B312&lt;Parametros!$B$15,1,0)</f>
        <v>2847.65569372636</v>
      </c>
      <c r="G312" s="12" t="n">
        <f aca="false">(E312*(Parametros!$B$9*(1-Parametros!$B$10)-Parametros!$B$11)-Parametros!$B$12*IF(B312&lt;Parametros!$B$15,1,0))/(1+Parametros!$B$14)^B312</f>
        <v>7118.91787098767</v>
      </c>
    </row>
    <row r="313" customFormat="false" ht="15" hidden="false" customHeight="false" outlineLevel="0" collapsed="false">
      <c r="A313" s="0" t="n">
        <v>309</v>
      </c>
      <c r="B313" s="10" t="n">
        <f aca="false">(A313-1)/12</f>
        <v>25.6666666666667</v>
      </c>
      <c r="C313" s="11" t="n">
        <f aca="false">Parametros!$B$5/(1+Parametros!$B$7*Parametros!$B$6*B313)^(1/Parametros!$B$7)</f>
        <v>93.4768136469653</v>
      </c>
      <c r="D313" s="11" t="n">
        <f aca="false">IF(B313&lt;=Parametros!$B$17,C313,Parametros!$B$5/(1+Parametros!$B$7*Parametros!$B$6*Parametros!$B$17)^(1/Parametros!$B$7)*EXP(-Parametros!$B$8*(B313-Parametros!$B$17)))</f>
        <v>66.1489488776525</v>
      </c>
      <c r="E313" s="12" t="n">
        <f aca="false">D313*30.4*IF(B313&lt;Parametros!$B$15,1,0)</f>
        <v>2010.92804588064</v>
      </c>
      <c r="F313" s="12" t="n">
        <f aca="false">C313*30.4*IF(B313&lt;Parametros!$B$15,1,0)</f>
        <v>2841.69513486775</v>
      </c>
      <c r="G313" s="12" t="n">
        <f aca="false">(E313*(Parametros!$B$9*(1-Parametros!$B$10)-Parametros!$B$11)-Parametros!$B$12*IF(B313&lt;Parametros!$B$15,1,0))/(1+Parametros!$B$14)^B313</f>
        <v>7023.48694708169</v>
      </c>
    </row>
    <row r="314" customFormat="false" ht="15" hidden="false" customHeight="false" outlineLevel="0" collapsed="false">
      <c r="A314" s="0" t="n">
        <v>310</v>
      </c>
      <c r="B314" s="10" t="n">
        <f aca="false">(A314-1)/12</f>
        <v>25.75</v>
      </c>
      <c r="C314" s="11" t="n">
        <f aca="false">Parametros!$B$5/(1+Parametros!$B$7*Parametros!$B$6*B314)^(1/Parametros!$B$7)</f>
        <v>93.281765433954</v>
      </c>
      <c r="D314" s="11" t="n">
        <f aca="false">IF(B314&lt;=Parametros!$B$17,C314,Parametros!$B$5/(1+Parametros!$B$7*Parametros!$B$6*Parametros!$B$17)^(1/Parametros!$B$7)*EXP(-Parametros!$B$8*(B314-Parametros!$B$17)))</f>
        <v>65.819029618743</v>
      </c>
      <c r="E314" s="12" t="n">
        <f aca="false">D314*30.4*IF(B314&lt;Parametros!$B$15,1,0)</f>
        <v>2000.89850040979</v>
      </c>
      <c r="F314" s="12" t="n">
        <f aca="false">C314*30.4*IF(B314&lt;Parametros!$B$15,1,0)</f>
        <v>2835.7656691922</v>
      </c>
      <c r="G314" s="12" t="n">
        <f aca="false">(E314*(Parametros!$B$9*(1-Parametros!$B$10)-Parametros!$B$11)-Parametros!$B$12*IF(B314&lt;Parametros!$B$15,1,0))/(1+Parametros!$B$14)^B314</f>
        <v>6929.31393834347</v>
      </c>
    </row>
    <row r="315" customFormat="false" ht="15" hidden="false" customHeight="false" outlineLevel="0" collapsed="false">
      <c r="A315" s="0" t="n">
        <v>311</v>
      </c>
      <c r="B315" s="10" t="n">
        <f aca="false">(A315-1)/12</f>
        <v>25.8333333333333</v>
      </c>
      <c r="C315" s="11" t="n">
        <f aca="false">Parametros!$B$5/(1+Parametros!$B$7*Parametros!$B$6*B315)^(1/Parametros!$B$7)</f>
        <v>93.0877315129553</v>
      </c>
      <c r="D315" s="11" t="n">
        <f aca="false">IF(B315&lt;=Parametros!$B$17,C315,Parametros!$B$5/(1+Parametros!$B$7*Parametros!$B$6*Parametros!$B$17)^(1/Parametros!$B$7)*EXP(-Parametros!$B$8*(B315-Parametros!$B$17)))</f>
        <v>65.4907558390021</v>
      </c>
      <c r="E315" s="12" t="n">
        <f aca="false">D315*30.4*IF(B315&lt;Parametros!$B$15,1,0)</f>
        <v>1990.91897750566</v>
      </c>
      <c r="F315" s="12" t="n">
        <f aca="false">C315*30.4*IF(B315&lt;Parametros!$B$15,1,0)</f>
        <v>2829.86703799384</v>
      </c>
      <c r="G315" s="12" t="n">
        <f aca="false">(E315*(Parametros!$B$9*(1-Parametros!$B$10)-Parametros!$B$11)-Parametros!$B$12*IF(B315&lt;Parametros!$B$15,1,0))/(1+Parametros!$B$14)^B315</f>
        <v>6836.38242576648</v>
      </c>
    </row>
    <row r="316" customFormat="false" ht="15" hidden="false" customHeight="false" outlineLevel="0" collapsed="false">
      <c r="A316" s="0" t="n">
        <v>312</v>
      </c>
      <c r="B316" s="10" t="n">
        <f aca="false">(A316-1)/12</f>
        <v>25.9166666666667</v>
      </c>
      <c r="C316" s="11" t="n">
        <f aca="false">Parametros!$B$5/(1+Parametros!$B$7*Parametros!$B$6*B316)^(1/Parametros!$B$7)</f>
        <v>92.8947034709635</v>
      </c>
      <c r="D316" s="11" t="n">
        <f aca="false">IF(B316&lt;=Parametros!$B$17,C316,Parametros!$B$5/(1+Parametros!$B$7*Parametros!$B$6*Parametros!$B$17)^(1/Parametros!$B$7)*EXP(-Parametros!$B$8*(B316-Parametros!$B$17)))</f>
        <v>65.1641193315681</v>
      </c>
      <c r="E316" s="12" t="n">
        <f aca="false">D316*30.4*IF(B316&lt;Parametros!$B$15,1,0)</f>
        <v>1980.98922767967</v>
      </c>
      <c r="F316" s="12" t="n">
        <f aca="false">C316*30.4*IF(B316&lt;Parametros!$B$15,1,0)</f>
        <v>2823.99898551729</v>
      </c>
      <c r="G316" s="12" t="n">
        <f aca="false">(E316*(Parametros!$B$9*(1-Parametros!$B$10)-Parametros!$B$11)-Parametros!$B$12*IF(B316&lt;Parametros!$B$15,1,0))/(1+Parametros!$B$14)^B316</f>
        <v>6744.6762034031</v>
      </c>
    </row>
    <row r="317" customFormat="false" ht="15" hidden="false" customHeight="false" outlineLevel="0" collapsed="false">
      <c r="A317" s="0" t="n">
        <v>313</v>
      </c>
      <c r="B317" s="10" t="n">
        <f aca="false">(A317-1)/12</f>
        <v>26</v>
      </c>
      <c r="C317" s="11" t="n">
        <f aca="false">Parametros!$B$5/(1+Parametros!$B$7*Parametros!$B$6*B317)^(1/Parametros!$B$7)</f>
        <v>92.7026729906244</v>
      </c>
      <c r="D317" s="11" t="n">
        <f aca="false">IF(B317&lt;=Parametros!$B$17,C317,Parametros!$B$5/(1+Parametros!$B$7*Parametros!$B$6*Parametros!$B$17)^(1/Parametros!$B$7)*EXP(-Parametros!$B$8*(B317-Parametros!$B$17)))</f>
        <v>64.8391119305114</v>
      </c>
      <c r="E317" s="12" t="n">
        <f aca="false">D317*30.4*IF(B317&lt;Parametros!$B$15,1,0)</f>
        <v>1971.10900268755</v>
      </c>
      <c r="F317" s="12" t="n">
        <f aca="false">C317*30.4*IF(B317&lt;Parametros!$B$15,1,0)</f>
        <v>2818.16125891498</v>
      </c>
      <c r="G317" s="12" t="n">
        <f aca="false">(E317*(Parametros!$B$9*(1-Parametros!$B$10)-Parametros!$B$11)-Parametros!$B$12*IF(B317&lt;Parametros!$B$15,1,0))/(1+Parametros!$B$14)^B317</f>
        <v>6654.17927560968</v>
      </c>
    </row>
    <row r="318" customFormat="false" ht="15" hidden="false" customHeight="false" outlineLevel="0" collapsed="false">
      <c r="A318" s="0" t="n">
        <v>314</v>
      </c>
      <c r="B318" s="10" t="n">
        <f aca="false">(A318-1)/12</f>
        <v>26.0833333333333</v>
      </c>
      <c r="C318" s="11" t="n">
        <f aca="false">Parametros!$B$5/(1+Parametros!$B$7*Parametros!$B$6*B318)^(1/Parametros!$B$7)</f>
        <v>92.5116318488563</v>
      </c>
      <c r="D318" s="11" t="n">
        <f aca="false">IF(B318&lt;=Parametros!$B$17,C318,Parametros!$B$5/(1+Parametros!$B$7*Parametros!$B$6*Parametros!$B$17)^(1/Parametros!$B$7)*EXP(-Parametros!$B$8*(B318-Parametros!$B$17)))</f>
        <v>64.51572551063</v>
      </c>
      <c r="E318" s="12" t="n">
        <f aca="false">D318*30.4*IF(B318&lt;Parametros!$B$15,1,0)</f>
        <v>1961.27805552315</v>
      </c>
      <c r="F318" s="12" t="n">
        <f aca="false">C318*30.4*IF(B318&lt;Parametros!$B$15,1,0)</f>
        <v>2812.35360820523</v>
      </c>
      <c r="G318" s="12" t="n">
        <f aca="false">(E318*(Parametros!$B$9*(1-Parametros!$B$10)-Parametros!$B$11)-Parametros!$B$12*IF(B318&lt;Parametros!$B$15,1,0))/(1+Parametros!$B$14)^B318</f>
        <v>6564.87585432708</v>
      </c>
    </row>
    <row r="319" customFormat="false" ht="15" hidden="false" customHeight="false" outlineLevel="0" collapsed="false">
      <c r="A319" s="0" t="n">
        <v>315</v>
      </c>
      <c r="B319" s="10" t="n">
        <f aca="false">(A319-1)/12</f>
        <v>26.1666666666667</v>
      </c>
      <c r="C319" s="11" t="n">
        <f aca="false">Parametros!$B$5/(1+Parametros!$B$7*Parametros!$B$6*B319)^(1/Parametros!$B$7)</f>
        <v>92.3215719154934</v>
      </c>
      <c r="D319" s="11" t="n">
        <f aca="false">IF(B319&lt;=Parametros!$B$17,C319,Parametros!$B$5/(1+Parametros!$B$7*Parametros!$B$6*Parametros!$B$17)^(1/Parametros!$B$7)*EXP(-Parametros!$B$8*(B319-Parametros!$B$17)))</f>
        <v>64.1939519872465</v>
      </c>
      <c r="E319" s="12" t="n">
        <f aca="false">D319*30.4*IF(B319&lt;Parametros!$B$15,1,0)</f>
        <v>1951.49614041229</v>
      </c>
      <c r="F319" s="12" t="n">
        <f aca="false">C319*30.4*IF(B319&lt;Parametros!$B$15,1,0)</f>
        <v>2806.575786231</v>
      </c>
      <c r="G319" s="12" t="n">
        <f aca="false">(E319*(Parametros!$B$9*(1-Parametros!$B$10)-Parametros!$B$11)-Parametros!$B$12*IF(B319&lt;Parametros!$B$15,1,0))/(1+Parametros!$B$14)^B319</f>
        <v>6476.75035639636</v>
      </c>
    </row>
    <row r="320" customFormat="false" ht="15" hidden="false" customHeight="false" outlineLevel="0" collapsed="false">
      <c r="A320" s="0" t="n">
        <v>316</v>
      </c>
      <c r="B320" s="10" t="n">
        <f aca="false">(A320-1)/12</f>
        <v>26.25</v>
      </c>
      <c r="C320" s="11" t="n">
        <f aca="false">Parametros!$B$5/(1+Parametros!$B$7*Parametros!$B$6*B320)^(1/Parametros!$B$7)</f>
        <v>92.1324851519543</v>
      </c>
      <c r="D320" s="11" t="n">
        <f aca="false">IF(B320&lt;=Parametros!$B$17,C320,Parametros!$B$5/(1+Parametros!$B$7*Parametros!$B$6*Parametros!$B$17)^(1/Parametros!$B$7)*EXP(-Parametros!$B$8*(B320-Parametros!$B$17)))</f>
        <v>63.8737833160062</v>
      </c>
      <c r="E320" s="12" t="n">
        <f aca="false">D320*30.4*IF(B320&lt;Parametros!$B$15,1,0)</f>
        <v>1941.76301280659</v>
      </c>
      <c r="F320" s="12" t="n">
        <f aca="false">C320*30.4*IF(B320&lt;Parametros!$B$15,1,0)</f>
        <v>2800.82754861941</v>
      </c>
      <c r="G320" s="12" t="n">
        <f aca="false">(E320*(Parametros!$B$9*(1-Parametros!$B$10)-Parametros!$B$11)-Parametros!$B$12*IF(B320&lt;Parametros!$B$15,1,0))/(1+Parametros!$B$14)^B320</f>
        <v>6389.78740090904</v>
      </c>
    </row>
    <row r="321" customFormat="false" ht="15" hidden="false" customHeight="false" outlineLevel="0" collapsed="false">
      <c r="A321" s="0" t="n">
        <v>317</v>
      </c>
      <c r="B321" s="10" t="n">
        <f aca="false">(A321-1)/12</f>
        <v>26.3333333333333</v>
      </c>
      <c r="C321" s="11" t="n">
        <f aca="false">Parametros!$B$5/(1+Parametros!$B$7*Parametros!$B$6*B321)^(1/Parametros!$B$7)</f>
        <v>91.9443636099327</v>
      </c>
      <c r="D321" s="11" t="n">
        <f aca="false">IF(B321&lt;=Parametros!$B$17,C321,Parametros!$B$5/(1+Parametros!$B$7*Parametros!$B$6*Parametros!$B$17)^(1/Parametros!$B$7)*EXP(-Parametros!$B$8*(B321-Parametros!$B$17)))</f>
        <v>63.5552114926755</v>
      </c>
      <c r="E321" s="12" t="n">
        <f aca="false">D321*30.4*IF(B321&lt;Parametros!$B$15,1,0)</f>
        <v>1932.07842937733</v>
      </c>
      <c r="F321" s="12" t="n">
        <f aca="false">C321*30.4*IF(B321&lt;Parametros!$B$15,1,0)</f>
        <v>2795.10865374195</v>
      </c>
      <c r="G321" s="12" t="n">
        <f aca="false">(E321*(Parametros!$B$9*(1-Parametros!$B$10)-Parametros!$B$11)-Parametros!$B$12*IF(B321&lt;Parametros!$B$15,1,0))/(1+Parametros!$B$14)^B321</f>
        <v>6303.97180659159</v>
      </c>
    </row>
    <row r="322" customFormat="false" ht="15" hidden="false" customHeight="false" outlineLevel="0" collapsed="false">
      <c r="A322" s="0" t="n">
        <v>318</v>
      </c>
      <c r="B322" s="10" t="n">
        <f aca="false">(A322-1)/12</f>
        <v>26.4166666666667</v>
      </c>
      <c r="C322" s="11" t="n">
        <f aca="false">Parametros!$B$5/(1+Parametros!$B$7*Parametros!$B$6*B322)^(1/Parametros!$B$7)</f>
        <v>91.7571994301109</v>
      </c>
      <c r="D322" s="11" t="n">
        <f aca="false">IF(B322&lt;=Parametros!$B$17,C322,Parametros!$B$5/(1+Parametros!$B$7*Parametros!$B$6*Parametros!$B$17)^(1/Parametros!$B$7)*EXP(-Parametros!$B$8*(B322-Parametros!$B$17)))</f>
        <v>63.2382285529423</v>
      </c>
      <c r="E322" s="12" t="n">
        <f aca="false">D322*30.4*IF(B322&lt;Parametros!$B$15,1,0)</f>
        <v>1922.44214800944</v>
      </c>
      <c r="F322" s="12" t="n">
        <f aca="false">C322*30.4*IF(B322&lt;Parametros!$B$15,1,0)</f>
        <v>2789.41886267537</v>
      </c>
      <c r="G322" s="12" t="n">
        <f aca="false">(E322*(Parametros!$B$9*(1-Parametros!$B$10)-Parametros!$B$11)-Parametros!$B$12*IF(B322&lt;Parametros!$B$15,1,0))/(1+Parametros!$B$14)^B322</f>
        <v>6219.2885892237</v>
      </c>
    </row>
    <row r="323" customFormat="false" ht="15" hidden="false" customHeight="false" outlineLevel="0" collapsed="false">
      <c r="A323" s="0" t="n">
        <v>319</v>
      </c>
      <c r="B323" s="10" t="n">
        <f aca="false">(A323-1)/12</f>
        <v>26.5</v>
      </c>
      <c r="C323" s="11" t="n">
        <f aca="false">Parametros!$B$5/(1+Parametros!$B$7*Parametros!$B$6*B323)^(1/Parametros!$B$7)</f>
        <v>91.570984840896</v>
      </c>
      <c r="D323" s="11" t="n">
        <f aca="false">IF(B323&lt;=Parametros!$B$17,C323,Parametros!$B$5/(1+Parametros!$B$7*Parametros!$B$6*Parametros!$B$17)^(1/Parametros!$B$7)*EXP(-Parametros!$B$8*(B323-Parametros!$B$17)))</f>
        <v>62.9228265722166</v>
      </c>
      <c r="E323" s="12" t="n">
        <f aca="false">D323*30.4*IF(B323&lt;Parametros!$B$15,1,0)</f>
        <v>1912.85392779538</v>
      </c>
      <c r="F323" s="12" t="n">
        <f aca="false">C323*30.4*IF(B323&lt;Parametros!$B$15,1,0)</f>
        <v>2783.75793916324</v>
      </c>
      <c r="G323" s="12" t="n">
        <f aca="false">(E323*(Parametros!$B$9*(1-Parametros!$B$10)-Parametros!$B$11)-Parametros!$B$12*IF(B323&lt;Parametros!$B$15,1,0))/(1+Parametros!$B$14)^B323</f>
        <v>6135.72295908979</v>
      </c>
    </row>
    <row r="324" customFormat="false" ht="15" hidden="false" customHeight="false" outlineLevel="0" collapsed="false">
      <c r="A324" s="0" t="n">
        <v>320</v>
      </c>
      <c r="B324" s="10" t="n">
        <f aca="false">(A324-1)/12</f>
        <v>26.5833333333333</v>
      </c>
      <c r="C324" s="11" t="n">
        <f aca="false">Parametros!$B$5/(1+Parametros!$B$7*Parametros!$B$6*B324)^(1/Parametros!$B$7)</f>
        <v>91.3857121571773</v>
      </c>
      <c r="D324" s="11" t="n">
        <f aca="false">IF(B324&lt;=Parametros!$B$17,C324,Parametros!$B$5/(1+Parametros!$B$7*Parametros!$B$6*Parametros!$B$17)^(1/Parametros!$B$7)*EXP(-Parametros!$B$8*(B324-Parametros!$B$17)))</f>
        <v>62.6089976654324</v>
      </c>
      <c r="E324" s="12" t="n">
        <f aca="false">D324*30.4*IF(B324&lt;Parametros!$B$15,1,0)</f>
        <v>1903.31352902915</v>
      </c>
      <c r="F324" s="12" t="n">
        <f aca="false">C324*30.4*IF(B324&lt;Parametros!$B$15,1,0)</f>
        <v>2778.12564957819</v>
      </c>
      <c r="G324" s="12" t="n">
        <f aca="false">(E324*(Parametros!$B$9*(1-Parametros!$B$10)-Parametros!$B$11)-Parametros!$B$12*IF(B324&lt;Parametros!$B$15,1,0))/(1+Parametros!$B$14)^B324</f>
        <v>6053.26031846345</v>
      </c>
    </row>
    <row r="325" customFormat="false" ht="15" hidden="false" customHeight="false" outlineLevel="0" collapsed="false">
      <c r="A325" s="0" t="n">
        <v>321</v>
      </c>
      <c r="B325" s="10" t="n">
        <f aca="false">(A325-1)/12</f>
        <v>26.6666666666667</v>
      </c>
      <c r="C325" s="11" t="n">
        <f aca="false">Parametros!$B$5/(1+Parametros!$B$7*Parametros!$B$6*B325)^(1/Parametros!$B$7)</f>
        <v>91.201373779105</v>
      </c>
      <c r="D325" s="11" t="n">
        <f aca="false">IF(B325&lt;=Parametros!$B$17,C325,Parametros!$B$5/(1+Parametros!$B$7*Parametros!$B$6*Parametros!$B$17)^(1/Parametros!$B$7)*EXP(-Parametros!$B$8*(B325-Parametros!$B$17)))</f>
        <v>62.2967339868507</v>
      </c>
      <c r="E325" s="12" t="n">
        <f aca="false">D325*30.4*IF(B325&lt;Parametros!$B$15,1,0)</f>
        <v>1893.82071320026</v>
      </c>
      <c r="F325" s="12" t="n">
        <f aca="false">C325*30.4*IF(B325&lt;Parametros!$B$15,1,0)</f>
        <v>2772.52176288479</v>
      </c>
      <c r="G325" s="12" t="n">
        <f aca="false">(E325*(Parametros!$B$9*(1-Parametros!$B$10)-Parametros!$B$11)-Parametros!$B$12*IF(B325&lt;Parametros!$B$15,1,0))/(1+Parametros!$B$14)^B325</f>
        <v>5971.88625912435</v>
      </c>
    </row>
    <row r="326" customFormat="false" ht="15" hidden="false" customHeight="false" outlineLevel="0" collapsed="false">
      <c r="A326" s="0" t="n">
        <v>322</v>
      </c>
      <c r="B326" s="10" t="n">
        <f aca="false">(A326-1)/12</f>
        <v>26.75</v>
      </c>
      <c r="C326" s="11" t="n">
        <f aca="false">Parametros!$B$5/(1+Parametros!$B$7*Parametros!$B$6*B326)^(1/Parametros!$B$7)</f>
        <v>91.0179621908901</v>
      </c>
      <c r="D326" s="11" t="n">
        <f aca="false">IF(B326&lt;=Parametros!$B$17,C326,Parametros!$B$5/(1+Parametros!$B$7*Parametros!$B$6*Parametros!$B$17)^(1/Parametros!$B$7)*EXP(-Parametros!$B$8*(B326-Parametros!$B$17)))</f>
        <v>61.9860277298634</v>
      </c>
      <c r="E326" s="12" t="n">
        <f aca="false">D326*30.4*IF(B326&lt;Parametros!$B$15,1,0)</f>
        <v>1884.37524298785</v>
      </c>
      <c r="F326" s="12" t="n">
        <f aca="false">C326*30.4*IF(B326&lt;Parametros!$B$15,1,0)</f>
        <v>2766.94605060306</v>
      </c>
      <c r="G326" s="12" t="n">
        <f aca="false">(E326*(Parametros!$B$9*(1-Parametros!$B$10)-Parametros!$B$11)-Parametros!$B$12*IF(B326&lt;Parametros!$B$15,1,0))/(1+Parametros!$B$14)^B326</f>
        <v>5891.58655990719</v>
      </c>
    </row>
    <row r="327" customFormat="false" ht="15" hidden="false" customHeight="false" outlineLevel="0" collapsed="false">
      <c r="A327" s="0" t="n">
        <v>323</v>
      </c>
      <c r="B327" s="10" t="n">
        <f aca="false">(A327-1)/12</f>
        <v>26.8333333333333</v>
      </c>
      <c r="C327" s="11" t="n">
        <f aca="false">Parametros!$B$5/(1+Parametros!$B$7*Parametros!$B$6*B327)^(1/Parametros!$B$7)</f>
        <v>90.8354699596246</v>
      </c>
      <c r="D327" s="11" t="n">
        <f aca="false">IF(B327&lt;=Parametros!$B$17,C327,Parametros!$B$5/(1+Parametros!$B$7*Parametros!$B$6*Parametros!$B$17)^(1/Parametros!$B$7)*EXP(-Parametros!$B$8*(B327-Parametros!$B$17)))</f>
        <v>61.6768711267977</v>
      </c>
      <c r="E327" s="12" t="n">
        <f aca="false">D327*30.4*IF(B327&lt;Parametros!$B$15,1,0)</f>
        <v>1874.97688225465</v>
      </c>
      <c r="F327" s="12" t="n">
        <f aca="false">C327*30.4*IF(B327&lt;Parametros!$B$15,1,0)</f>
        <v>2761.39828677259</v>
      </c>
      <c r="G327" s="12" t="n">
        <f aca="false">(E327*(Parametros!$B$9*(1-Parametros!$B$10)-Parametros!$B$11)-Parametros!$B$12*IF(B327&lt;Parametros!$B$15,1,0))/(1+Parametros!$B$14)^B327</f>
        <v>5812.34718428225</v>
      </c>
    </row>
    <row r="328" customFormat="false" ht="15" hidden="false" customHeight="false" outlineLevel="0" collapsed="false">
      <c r="A328" s="0" t="n">
        <v>324</v>
      </c>
      <c r="B328" s="10" t="n">
        <f aca="false">(A328-1)/12</f>
        <v>26.9166666666667</v>
      </c>
      <c r="C328" s="11" t="n">
        <f aca="false">Parametros!$B$5/(1+Parametros!$B$7*Parametros!$B$6*B328)^(1/Parametros!$B$7)</f>
        <v>90.6538897341218</v>
      </c>
      <c r="D328" s="11" t="n">
        <f aca="false">IF(B328&lt;=Parametros!$B$17,C328,Parametros!$B$5/(1+Parametros!$B$7*Parametros!$B$6*Parametros!$B$17)^(1/Parametros!$B$7)*EXP(-Parametros!$B$8*(B328-Parametros!$B$17)))</f>
        <v>61.3692564487226</v>
      </c>
      <c r="E328" s="12" t="n">
        <f aca="false">D328*30.4*IF(B328&lt;Parametros!$B$15,1,0)</f>
        <v>1865.62539604117</v>
      </c>
      <c r="F328" s="12" t="n">
        <f aca="false">C328*30.4*IF(B328&lt;Parametros!$B$15,1,0)</f>
        <v>2755.8782479173</v>
      </c>
      <c r="G328" s="12" t="n">
        <f aca="false">(E328*(Parametros!$B$9*(1-Parametros!$B$10)-Parametros!$B$11)-Parametros!$B$12*IF(B328&lt;Parametros!$B$15,1,0))/(1+Parametros!$B$14)^B328</f>
        <v>5734.15427796717</v>
      </c>
    </row>
    <row r="329" customFormat="false" ht="15" hidden="false" customHeight="false" outlineLevel="0" collapsed="false">
      <c r="A329" s="0" t="n">
        <v>325</v>
      </c>
      <c r="B329" s="10" t="n">
        <f aca="false">(A329-1)/12</f>
        <v>27</v>
      </c>
      <c r="C329" s="11" t="n">
        <f aca="false">Parametros!$B$5/(1+Parametros!$B$7*Parametros!$B$6*B329)^(1/Parametros!$B$7)</f>
        <v>90.473214243776</v>
      </c>
      <c r="D329" s="11" t="n">
        <f aca="false">IF(B329&lt;=Parametros!$B$17,C329,Parametros!$B$5/(1+Parametros!$B$7*Parametros!$B$6*Parametros!$B$17)^(1/Parametros!$B$7)*EXP(-Parametros!$B$8*(B329-Parametros!$B$17)))</f>
        <v>61.063176005255</v>
      </c>
      <c r="E329" s="12" t="n">
        <f aca="false">D329*30.4*IF(B329&lt;Parametros!$B$15,1,0)</f>
        <v>1856.32055055975</v>
      </c>
      <c r="F329" s="12" t="n">
        <f aca="false">C329*30.4*IF(B329&lt;Parametros!$B$15,1,0)</f>
        <v>2750.38571301079</v>
      </c>
      <c r="G329" s="12" t="n">
        <f aca="false">(E329*(Parametros!$B$9*(1-Parametros!$B$10)-Parametros!$B$11)-Parametros!$B$12*IF(B329&lt;Parametros!$B$15,1,0))/(1+Parametros!$B$14)^B329</f>
        <v>5656.99416656962</v>
      </c>
    </row>
    <row r="330" customFormat="false" ht="15" hidden="false" customHeight="false" outlineLevel="0" collapsed="false">
      <c r="A330" s="0" t="n">
        <v>326</v>
      </c>
      <c r="B330" s="10" t="n">
        <f aca="false">(A330-1)/12</f>
        <v>27.0833333333333</v>
      </c>
      <c r="C330" s="11" t="n">
        <f aca="false">Parametros!$B$5/(1+Parametros!$B$7*Parametros!$B$6*B330)^(1/Parametros!$B$7)</f>
        <v>90.2934362974418</v>
      </c>
      <c r="D330" s="11" t="n">
        <f aca="false">IF(B330&lt;=Parametros!$B$17,C330,Parametros!$B$5/(1+Parametros!$B$7*Parametros!$B$6*Parametros!$B$17)^(1/Parametros!$B$7)*EXP(-Parametros!$B$8*(B330-Parametros!$B$17)))</f>
        <v>60.7586221443678</v>
      </c>
      <c r="E330" s="12" t="n">
        <f aca="false">D330*30.4*IF(B330&lt;Parametros!$B$15,1,0)</f>
        <v>1847.06211318878</v>
      </c>
      <c r="F330" s="12" t="n">
        <f aca="false">C330*30.4*IF(B330&lt;Parametros!$B$15,1,0)</f>
        <v>2744.92046344223</v>
      </c>
      <c r="G330" s="12" t="n">
        <f aca="false">(E330*(Parametros!$B$9*(1-Parametros!$B$10)-Parametros!$B$11)-Parametros!$B$12*IF(B330&lt;Parametros!$B$15,1,0))/(1+Parametros!$B$14)^B330</f>
        <v>5580.85335326028</v>
      </c>
    </row>
    <row r="331" customFormat="false" ht="15" hidden="false" customHeight="false" outlineLevel="0" collapsed="false">
      <c r="A331" s="0" t="n">
        <v>327</v>
      </c>
      <c r="B331" s="10" t="n">
        <f aca="false">(A331-1)/12</f>
        <v>27.1666666666667</v>
      </c>
      <c r="C331" s="11" t="n">
        <f aca="false">Parametros!$B$5/(1+Parametros!$B$7*Parametros!$B$6*B331)^(1/Parametros!$B$7)</f>
        <v>90.1145487823322</v>
      </c>
      <c r="D331" s="11" t="n">
        <f aca="false">IF(B331&lt;=Parametros!$B$17,C331,Parametros!$B$5/(1+Parametros!$B$7*Parametros!$B$6*Parametros!$B$17)^(1/Parametros!$B$7)*EXP(-Parametros!$B$8*(B331-Parametros!$B$17)))</f>
        <v>60.4555872521988</v>
      </c>
      <c r="E331" s="12" t="n">
        <f aca="false">D331*30.4*IF(B331&lt;Parametros!$B$15,1,0)</f>
        <v>1837.84985246684</v>
      </c>
      <c r="F331" s="12" t="n">
        <f aca="false">C331*30.4*IF(B331&lt;Parametros!$B$15,1,0)</f>
        <v>2739.4822829829</v>
      </c>
      <c r="G331" s="12" t="n">
        <f aca="false">(E331*(Parametros!$B$9*(1-Parametros!$B$10)-Parametros!$B$11)-Parametros!$B$12*IF(B331&lt;Parametros!$B$15,1,0))/(1+Parametros!$B$14)^B331</f>
        <v>5505.71851647595</v>
      </c>
    </row>
    <row r="332" customFormat="false" ht="15" hidden="false" customHeight="false" outlineLevel="0" collapsed="false">
      <c r="A332" s="0" t="n">
        <v>328</v>
      </c>
      <c r="B332" s="10" t="n">
        <f aca="false">(A332-1)/12</f>
        <v>27.25</v>
      </c>
      <c r="C332" s="11" t="n">
        <f aca="false">Parametros!$B$5/(1+Parametros!$B$7*Parametros!$B$6*B332)^(1/Parametros!$B$7)</f>
        <v>89.9365446629348</v>
      </c>
      <c r="D332" s="11" t="n">
        <f aca="false">IF(B332&lt;=Parametros!$B$17,C332,Parametros!$B$5/(1+Parametros!$B$7*Parametros!$B$6*Parametros!$B$17)^(1/Parametros!$B$7)*EXP(-Parametros!$B$8*(B332-Parametros!$B$17)))</f>
        <v>60.1540637528599</v>
      </c>
      <c r="E332" s="12" t="n">
        <f aca="false">D332*30.4*IF(B332&lt;Parametros!$B$15,1,0)</f>
        <v>1828.68353808694</v>
      </c>
      <c r="F332" s="12" t="n">
        <f aca="false">C332*30.4*IF(B332&lt;Parametros!$B$15,1,0)</f>
        <v>2734.07095775322</v>
      </c>
      <c r="G332" s="12" t="n">
        <f aca="false">(E332*(Parametros!$B$9*(1-Parametros!$B$10)-Parametros!$B$11)-Parametros!$B$12*IF(B332&lt;Parametros!$B$15,1,0))/(1+Parametros!$B$14)^B332</f>
        <v>5431.57650765226</v>
      </c>
    </row>
    <row r="333" customFormat="false" ht="15" hidden="false" customHeight="false" outlineLevel="0" collapsed="false">
      <c r="A333" s="0" t="n">
        <v>329</v>
      </c>
      <c r="B333" s="10" t="n">
        <f aca="false">(A333-1)/12</f>
        <v>27.3333333333333</v>
      </c>
      <c r="C333" s="11" t="n">
        <f aca="false">Parametros!$B$5/(1+Parametros!$B$7*Parametros!$B$6*B333)^(1/Parametros!$B$7)</f>
        <v>89.7594169799469</v>
      </c>
      <c r="D333" s="11" t="n">
        <f aca="false">IF(B333&lt;=Parametros!$B$17,C333,Parametros!$B$5/(1+Parametros!$B$7*Parametros!$B$6*Parametros!$B$17)^(1/Parametros!$B$7)*EXP(-Parametros!$B$8*(B333-Parametros!$B$17)))</f>
        <v>59.8540441082478</v>
      </c>
      <c r="E333" s="12" t="n">
        <f aca="false">D333*30.4*IF(B333&lt;Parametros!$B$15,1,0)</f>
        <v>1819.56294089073</v>
      </c>
      <c r="F333" s="12" t="n">
        <f aca="false">C333*30.4*IF(B333&lt;Parametros!$B$15,1,0)</f>
        <v>2728.68627619038</v>
      </c>
      <c r="G333" s="12" t="n">
        <f aca="false">(E333*(Parametros!$B$9*(1-Parametros!$B$10)-Parametros!$B$11)-Parametros!$B$12*IF(B333&lt;Parametros!$B$15,1,0))/(1+Parametros!$B$14)^B333</f>
        <v>5358.41434898559</v>
      </c>
    </row>
    <row r="334" customFormat="false" ht="15" hidden="false" customHeight="false" outlineLevel="0" collapsed="false">
      <c r="A334" s="0" t="n">
        <v>330</v>
      </c>
      <c r="B334" s="10" t="n">
        <f aca="false">(A334-1)/12</f>
        <v>27.4166666666667</v>
      </c>
      <c r="C334" s="11" t="n">
        <f aca="false">Parametros!$B$5/(1+Parametros!$B$7*Parametros!$B$6*B334)^(1/Parametros!$B$7)</f>
        <v>89.5831588492274</v>
      </c>
      <c r="D334" s="11" t="n">
        <f aca="false">IF(B334&lt;=Parametros!$B$17,C334,Parametros!$B$5/(1+Parametros!$B$7*Parametros!$B$6*Parametros!$B$17)^(1/Parametros!$B$7)*EXP(-Parametros!$B$8*(B334-Parametros!$B$17)))</f>
        <v>59.5555208178558</v>
      </c>
      <c r="E334" s="12" t="n">
        <f aca="false">D334*30.4*IF(B334&lt;Parametros!$B$15,1,0)</f>
        <v>1810.48783286282</v>
      </c>
      <c r="F334" s="12" t="n">
        <f aca="false">C334*30.4*IF(B334&lt;Parametros!$B$15,1,0)</f>
        <v>2723.32802901651</v>
      </c>
      <c r="G334" s="12" t="n">
        <f aca="false">(E334*(Parametros!$B$9*(1-Parametros!$B$10)-Parametros!$B$11)-Parametros!$B$12*IF(B334&lt;Parametros!$B$15,1,0))/(1+Parametros!$B$14)^B334</f>
        <v>5286.21923122402</v>
      </c>
    </row>
    <row r="335" customFormat="false" ht="15" hidden="false" customHeight="false" outlineLevel="0" collapsed="false">
      <c r="A335" s="0" t="n">
        <v>331</v>
      </c>
      <c r="B335" s="10" t="n">
        <f aca="false">(A335-1)/12</f>
        <v>27.5</v>
      </c>
      <c r="C335" s="11" t="n">
        <f aca="false">Parametros!$B$5/(1+Parametros!$B$7*Parametros!$B$6*B335)^(1/Parametros!$B$7)</f>
        <v>89.4077634607675</v>
      </c>
      <c r="D335" s="11" t="n">
        <f aca="false">IF(B335&lt;=Parametros!$B$17,C335,Parametros!$B$5/(1+Parametros!$B$7*Parametros!$B$6*Parametros!$B$17)^(1/Parametros!$B$7)*EXP(-Parametros!$B$8*(B335-Parametros!$B$17)))</f>
        <v>59.2584864185861</v>
      </c>
      <c r="E335" s="12" t="n">
        <f aca="false">D335*30.4*IF(B335&lt;Parametros!$B$15,1,0)</f>
        <v>1801.45798712502</v>
      </c>
      <c r="F335" s="12" t="n">
        <f aca="false">C335*30.4*IF(B335&lt;Parametros!$B$15,1,0)</f>
        <v>2717.99600920733</v>
      </c>
      <c r="G335" s="12" t="n">
        <f aca="false">(E335*(Parametros!$B$9*(1-Parametros!$B$10)-Parametros!$B$11)-Parametros!$B$12*IF(B335&lt;Parametros!$B$15,1,0))/(1+Parametros!$B$14)^B335</f>
        <v>5214.97851148665</v>
      </c>
    </row>
    <row r="336" customFormat="false" ht="15" hidden="false" customHeight="false" outlineLevel="0" collapsed="false">
      <c r="A336" s="0" t="n">
        <v>332</v>
      </c>
      <c r="B336" s="10" t="n">
        <f aca="false">(A336-1)/12</f>
        <v>27.5833333333333</v>
      </c>
      <c r="C336" s="11" t="n">
        <f aca="false">Parametros!$B$5/(1+Parametros!$B$7*Parametros!$B$6*B336)^(1/Parametros!$B$7)</f>
        <v>89.2332240776767</v>
      </c>
      <c r="D336" s="11" t="n">
        <f aca="false">IF(B336&lt;=Parametros!$B$17,C336,Parametros!$B$5/(1+Parametros!$B$7*Parametros!$B$6*Parametros!$B$17)^(1/Parametros!$B$7)*EXP(-Parametros!$B$8*(B336-Parametros!$B$17)))</f>
        <v>58.9629334845633</v>
      </c>
      <c r="E336" s="12" t="n">
        <f aca="false">D336*30.4*IF(B336&lt;Parametros!$B$15,1,0)</f>
        <v>1792.47317793072</v>
      </c>
      <c r="F336" s="12" t="n">
        <f aca="false">C336*30.4*IF(B336&lt;Parametros!$B$15,1,0)</f>
        <v>2712.69001196137</v>
      </c>
      <c r="G336" s="12" t="n">
        <f aca="false">(E336*(Parametros!$B$9*(1-Parametros!$B$10)-Parametros!$B$11)-Parametros!$B$12*IF(B336&lt;Parametros!$B$15,1,0))/(1+Parametros!$B$14)^B336</f>
        <v>5144.67971111113</v>
      </c>
    </row>
    <row r="337" customFormat="false" ht="15" hidden="false" customHeight="false" outlineLevel="0" collapsed="false">
      <c r="A337" s="0" t="n">
        <v>333</v>
      </c>
      <c r="B337" s="10" t="n">
        <f aca="false">(A337-1)/12</f>
        <v>27.6666666666667</v>
      </c>
      <c r="C337" s="11" t="n">
        <f aca="false">Parametros!$B$5/(1+Parametros!$B$7*Parametros!$B$6*B337)^(1/Parametros!$B$7)</f>
        <v>89.0595340351872</v>
      </c>
      <c r="D337" s="11" t="n">
        <f aca="false">IF(B337&lt;=Parametros!$B$17,C337,Parametros!$B$5/(1+Parametros!$B$7*Parametros!$B$6*Parametros!$B$17)^(1/Parametros!$B$7)*EXP(-Parametros!$B$8*(B337-Parametros!$B$17)))</f>
        <v>58.6688546269485</v>
      </c>
      <c r="E337" s="12" t="n">
        <f aca="false">D337*30.4*IF(B337&lt;Parametros!$B$15,1,0)</f>
        <v>1783.53318065923</v>
      </c>
      <c r="F337" s="12" t="n">
        <f aca="false">C337*30.4*IF(B337&lt;Parametros!$B$15,1,0)</f>
        <v>2707.40983466969</v>
      </c>
      <c r="G337" s="12" t="n">
        <f aca="false">(E337*(Parametros!$B$9*(1-Parametros!$B$10)-Parametros!$B$11)-Parametros!$B$12*IF(B337&lt;Parametros!$B$15,1,0))/(1+Parametros!$B$14)^B337</f>
        <v>5075.31051352894</v>
      </c>
    </row>
    <row r="338" customFormat="false" ht="15" hidden="false" customHeight="false" outlineLevel="0" collapsed="false">
      <c r="A338" s="0" t="n">
        <v>334</v>
      </c>
      <c r="B338" s="10" t="n">
        <f aca="false">(A338-1)/12</f>
        <v>27.75</v>
      </c>
      <c r="C338" s="11" t="n">
        <f aca="false">Parametros!$B$5/(1+Parametros!$B$7*Parametros!$B$6*B338)^(1/Parametros!$B$7)</f>
        <v>88.886686739674</v>
      </c>
      <c r="D338" s="11" t="n">
        <f aca="false">IF(B338&lt;=Parametros!$B$17,C338,Parametros!$B$5/(1+Parametros!$B$7*Parametros!$B$6*Parametros!$B$17)^(1/Parametros!$B$7)*EXP(-Parametros!$B$8*(B338-Parametros!$B$17)))</f>
        <v>58.3762424937551</v>
      </c>
      <c r="E338" s="12" t="n">
        <f aca="false">D338*30.4*IF(B338&lt;Parametros!$B$15,1,0)</f>
        <v>1774.63777181016</v>
      </c>
      <c r="F338" s="12" t="n">
        <f aca="false">C338*30.4*IF(B338&lt;Parametros!$B$15,1,0)</f>
        <v>2702.15527688609</v>
      </c>
      <c r="G338" s="12" t="n">
        <f aca="false">(E338*(Parametros!$B$9*(1-Parametros!$B$10)-Parametros!$B$11)-Parametros!$B$12*IF(B338&lt;Parametros!$B$15,1,0))/(1+Parametros!$B$14)^B338</f>
        <v>5006.85876216817</v>
      </c>
    </row>
    <row r="339" customFormat="false" ht="15" hidden="false" customHeight="false" outlineLevel="0" collapsed="false">
      <c r="A339" s="0" t="n">
        <v>335</v>
      </c>
      <c r="B339" s="10" t="n">
        <f aca="false">(A339-1)/12</f>
        <v>27.8333333333333</v>
      </c>
      <c r="C339" s="11" t="n">
        <f aca="false">Parametros!$B$5/(1+Parametros!$B$7*Parametros!$B$6*B339)^(1/Parametros!$B$7)</f>
        <v>88.7146756676908</v>
      </c>
      <c r="D339" s="11" t="n">
        <f aca="false">IF(B339&lt;=Parametros!$B$17,C339,Parametros!$B$5/(1+Parametros!$B$7*Parametros!$B$6*Parametros!$B$17)^(1/Parametros!$B$7)*EXP(-Parametros!$B$8*(B339-Parametros!$B$17)))</f>
        <v>58.0850897696645</v>
      </c>
      <c r="E339" s="12" t="n">
        <f aca="false">D339*30.4*IF(B339&lt;Parametros!$B$15,1,0)</f>
        <v>1765.7867289978</v>
      </c>
      <c r="F339" s="12" t="n">
        <f aca="false">C339*30.4*IF(B339&lt;Parametros!$B$15,1,0)</f>
        <v>2696.9261402978</v>
      </c>
      <c r="G339" s="12" t="n">
        <f aca="false">(E339*(Parametros!$B$9*(1-Parametros!$B$10)-Parametros!$B$11)-Parametros!$B$12*IF(B339&lt;Parametros!$B$15,1,0))/(1+Parametros!$B$14)^B339</f>
        <v>4939.31245838328</v>
      </c>
    </row>
    <row r="340" customFormat="false" ht="15" hidden="false" customHeight="false" outlineLevel="0" collapsed="false">
      <c r="A340" s="0" t="n">
        <v>336</v>
      </c>
      <c r="B340" s="10" t="n">
        <f aca="false">(A340-1)/12</f>
        <v>27.9166666666667</v>
      </c>
      <c r="C340" s="11" t="n">
        <f aca="false">Parametros!$B$5/(1+Parametros!$B$7*Parametros!$B$6*B340)^(1/Parametros!$B$7)</f>
        <v>88.5434943650224</v>
      </c>
      <c r="D340" s="11" t="n">
        <f aca="false">IF(B340&lt;=Parametros!$B$17,C340,Parametros!$B$5/(1+Parametros!$B$7*Parametros!$B$6*Parametros!$B$17)^(1/Parametros!$B$7)*EXP(-Parametros!$B$8*(B340-Parametros!$B$17)))</f>
        <v>57.7953891758434</v>
      </c>
      <c r="E340" s="12" t="n">
        <f aca="false">D340*30.4*IF(B340&lt;Parametros!$B$15,1,0)</f>
        <v>1756.97983094564</v>
      </c>
      <c r="F340" s="12" t="n">
        <f aca="false">C340*30.4*IF(B340&lt;Parametros!$B$15,1,0)</f>
        <v>2691.72222869668</v>
      </c>
      <c r="G340" s="12" t="n">
        <f aca="false">(E340*(Parametros!$B$9*(1-Parametros!$B$10)-Parametros!$B$11)-Parametros!$B$12*IF(B340&lt;Parametros!$B$15,1,0))/(1+Parametros!$B$14)^B340</f>
        <v>4872.65975941161</v>
      </c>
    </row>
    <row r="341" customFormat="false" ht="15" hidden="false" customHeight="false" outlineLevel="0" collapsed="false">
      <c r="A341" s="0" t="n">
        <v>337</v>
      </c>
      <c r="B341" s="10" t="n">
        <f aca="false">(A341-1)/12</f>
        <v>28</v>
      </c>
      <c r="C341" s="11" t="n">
        <f aca="false">Parametros!$B$5/(1+Parametros!$B$7*Parametros!$B$6*B341)^(1/Parametros!$B$7)</f>
        <v>88.3731364457526</v>
      </c>
      <c r="D341" s="11" t="n">
        <f aca="false">IF(B341&lt;=Parametros!$B$17,C341,Parametros!$B$5/(1+Parametros!$B$7*Parametros!$B$6*Parametros!$B$17)^(1/Parametros!$B$7)*EXP(-Parametros!$B$8*(B341-Parametros!$B$17)))</f>
        <v>57.5071334697618</v>
      </c>
      <c r="E341" s="12" t="n">
        <f aca="false">D341*30.4*IF(B341&lt;Parametros!$B$15,1,0)</f>
        <v>1748.21685748076</v>
      </c>
      <c r="F341" s="12" t="n">
        <f aca="false">C341*30.4*IF(B341&lt;Parametros!$B$15,1,0)</f>
        <v>2686.54334795088</v>
      </c>
      <c r="G341" s="12" t="n">
        <f aca="false">(E341*(Parametros!$B$9*(1-Parametros!$B$10)-Parametros!$B$11)-Parametros!$B$12*IF(B341&lt;Parametros!$B$15,1,0))/(1+Parametros!$B$14)^B341</f>
        <v>4806.88897635631</v>
      </c>
    </row>
    <row r="342" customFormat="false" ht="15" hidden="false" customHeight="false" outlineLevel="0" collapsed="false">
      <c r="A342" s="0" t="n">
        <v>338</v>
      </c>
      <c r="B342" s="10" t="n">
        <f aca="false">(A342-1)/12</f>
        <v>28.0833333333333</v>
      </c>
      <c r="C342" s="11" t="n">
        <f aca="false">Parametros!$B$5/(1+Parametros!$B$7*Parametros!$B$6*B342)^(1/Parametros!$B$7)</f>
        <v>88.2035955913461</v>
      </c>
      <c r="D342" s="11" t="n">
        <f aca="false">IF(B342&lt;=Parametros!$B$17,C342,Parametros!$B$5/(1+Parametros!$B$7*Parametros!$B$6*Parametros!$B$17)^(1/Parametros!$B$7)*EXP(-Parametros!$B$8*(B342-Parametros!$B$17)))</f>
        <v>57.2203154450122</v>
      </c>
      <c r="E342" s="12" t="n">
        <f aca="false">D342*30.4*IF(B342&lt;Parametros!$B$15,1,0)</f>
        <v>1739.49758952837</v>
      </c>
      <c r="F342" s="12" t="n">
        <f aca="false">C342*30.4*IF(B342&lt;Parametros!$B$15,1,0)</f>
        <v>2681.38930597692</v>
      </c>
      <c r="G342" s="12" t="n">
        <f aca="false">(E342*(Parametros!$B$9*(1-Parametros!$B$10)-Parametros!$B$11)-Parametros!$B$12*IF(B342&lt;Parametros!$B$15,1,0))/(1+Parametros!$B$14)^B342</f>
        <v>4741.98857219525</v>
      </c>
    </row>
    <row r="343" customFormat="false" ht="15" hidden="false" customHeight="false" outlineLevel="0" collapsed="false">
      <c r="A343" s="0" t="n">
        <v>339</v>
      </c>
      <c r="B343" s="10" t="n">
        <f aca="false">(A343-1)/12</f>
        <v>28.1666666666667</v>
      </c>
      <c r="C343" s="11" t="n">
        <f aca="false">Parametros!$B$5/(1+Parametros!$B$7*Parametros!$B$6*B343)^(1/Parametros!$B$7)</f>
        <v>88.0348655497472</v>
      </c>
      <c r="D343" s="11" t="n">
        <f aca="false">IF(B343&lt;=Parametros!$B$17,C343,Parametros!$B$5/(1+Parametros!$B$7*Parametros!$B$6*Parametros!$B$17)^(1/Parametros!$B$7)*EXP(-Parametros!$B$8*(B343-Parametros!$B$17)))</f>
        <v>56.9349279311289</v>
      </c>
      <c r="E343" s="12" t="n">
        <f aca="false">D343*30.4*IF(B343&lt;Parametros!$B$15,1,0)</f>
        <v>1730.82180910632</v>
      </c>
      <c r="F343" s="12" t="n">
        <f aca="false">C343*30.4*IF(B343&lt;Parametros!$B$15,1,0)</f>
        <v>2676.25991271232</v>
      </c>
      <c r="G343" s="12" t="n">
        <f aca="false">(E343*(Parametros!$B$9*(1-Parametros!$B$10)-Parametros!$B$11)-Parametros!$B$12*IF(B343&lt;Parametros!$B$15,1,0))/(1+Parametros!$B$14)^B343</f>
        <v>4677.94715981568</v>
      </c>
    </row>
    <row r="344" customFormat="false" ht="15" hidden="false" customHeight="false" outlineLevel="0" collapsed="false">
      <c r="A344" s="0" t="n">
        <v>340</v>
      </c>
      <c r="B344" s="10" t="n">
        <f aca="false">(A344-1)/12</f>
        <v>28.25</v>
      </c>
      <c r="C344" s="11" t="n">
        <f aca="false">Parametros!$B$5/(1+Parametros!$B$7*Parametros!$B$6*B344)^(1/Parametros!$B$7)</f>
        <v>87.8669401344915</v>
      </c>
      <c r="D344" s="11" t="n">
        <f aca="false">IF(B344&lt;=Parametros!$B$17,C344,Parametros!$B$5/(1+Parametros!$B$7*Parametros!$B$6*Parametros!$B$17)^(1/Parametros!$B$7)*EXP(-Parametros!$B$8*(B344-Parametros!$B$17)))</f>
        <v>56.6509637934093</v>
      </c>
      <c r="E344" s="12" t="n">
        <f aca="false">D344*30.4*IF(B344&lt;Parametros!$B$15,1,0)</f>
        <v>1722.18929931964</v>
      </c>
      <c r="F344" s="12" t="n">
        <f aca="false">C344*30.4*IF(B344&lt;Parametros!$B$15,1,0)</f>
        <v>2671.15498008854</v>
      </c>
      <c r="G344" s="12" t="n">
        <f aca="false">(E344*(Parametros!$B$9*(1-Parametros!$B$10)-Parametros!$B$11)-Parametros!$B$12*IF(B344&lt;Parametros!$B$15,1,0))/(1+Parametros!$B$14)^B344</f>
        <v>4614.75350007421</v>
      </c>
    </row>
    <row r="345" customFormat="false" ht="15" hidden="false" customHeight="false" outlineLevel="0" collapsed="false">
      <c r="A345" s="0" t="n">
        <v>341</v>
      </c>
      <c r="B345" s="10" t="n">
        <f aca="false">(A345-1)/12</f>
        <v>28.3333333333333</v>
      </c>
      <c r="C345" s="11" t="n">
        <f aca="false">Parametros!$B$5/(1+Parametros!$B$7*Parametros!$B$6*B345)^(1/Parametros!$B$7)</f>
        <v>87.6998132238328</v>
      </c>
      <c r="D345" s="11" t="n">
        <f aca="false">IF(B345&lt;=Parametros!$B$17,C345,Parametros!$B$5/(1+Parametros!$B$7*Parametros!$B$6*Parametros!$B$17)^(1/Parametros!$B$7)*EXP(-Parametros!$B$8*(B345-Parametros!$B$17)))</f>
        <v>56.368415932735</v>
      </c>
      <c r="E345" s="12" t="n">
        <f aca="false">D345*30.4*IF(B345&lt;Parametros!$B$15,1,0)</f>
        <v>1713.59984435515</v>
      </c>
      <c r="F345" s="12" t="n">
        <f aca="false">C345*30.4*IF(B345&lt;Parametros!$B$15,1,0)</f>
        <v>2666.07432200452</v>
      </c>
      <c r="G345" s="12" t="n">
        <f aca="false">(E345*(Parametros!$B$9*(1-Parametros!$B$10)-Parametros!$B$11)-Parametros!$B$12*IF(B345&lt;Parametros!$B$15,1,0))/(1+Parametros!$B$14)^B345</f>
        <v>4552.39649988189</v>
      </c>
    </row>
    <row r="346" customFormat="false" ht="15" hidden="false" customHeight="false" outlineLevel="0" collapsed="false">
      <c r="A346" s="0" t="n">
        <v>342</v>
      </c>
      <c r="B346" s="10" t="n">
        <f aca="false">(A346-1)/12</f>
        <v>28.4166666666667</v>
      </c>
      <c r="C346" s="11" t="n">
        <f aca="false">Parametros!$B$5/(1+Parametros!$B$7*Parametros!$B$6*B346)^(1/Parametros!$B$7)</f>
        <v>87.5334787598838</v>
      </c>
      <c r="D346" s="11" t="n">
        <f aca="false">IF(B346&lt;=Parametros!$B$17,C346,Parametros!$B$5/(1+Parametros!$B$7*Parametros!$B$6*Parametros!$B$17)^(1/Parametros!$B$7)*EXP(-Parametros!$B$8*(B346-Parametros!$B$17)))</f>
        <v>56.087277285395</v>
      </c>
      <c r="E346" s="12" t="n">
        <f aca="false">D346*30.4*IF(B346&lt;Parametros!$B$15,1,0)</f>
        <v>1705.05322947601</v>
      </c>
      <c r="F346" s="12" t="n">
        <f aca="false">C346*30.4*IF(B346&lt;Parametros!$B$15,1,0)</f>
        <v>2661.01775430047</v>
      </c>
      <c r="G346" s="12" t="n">
        <f aca="false">(E346*(Parametros!$B$9*(1-Parametros!$B$10)-Parametros!$B$11)-Parametros!$B$12*IF(B346&lt;Parametros!$B$15,1,0))/(1+Parametros!$B$14)^B346</f>
        <v>4490.86521031395</v>
      </c>
    </row>
    <row r="347" customFormat="false" ht="15" hidden="false" customHeight="false" outlineLevel="0" collapsed="false">
      <c r="A347" s="0" t="n">
        <v>343</v>
      </c>
      <c r="B347" s="10" t="n">
        <f aca="false">(A347-1)/12</f>
        <v>28.5</v>
      </c>
      <c r="C347" s="11" t="n">
        <f aca="false">Parametros!$B$5/(1+Parametros!$B$7*Parametros!$B$6*B347)^(1/Parametros!$B$7)</f>
        <v>87.367930747771</v>
      </c>
      <c r="D347" s="11" t="n">
        <f aca="false">IF(B347&lt;=Parametros!$B$17,C347,Parametros!$B$5/(1+Parametros!$B$7*Parametros!$B$6*Parametros!$B$17)^(1/Parametros!$B$7)*EXP(-Parametros!$B$8*(B347-Parametros!$B$17)))</f>
        <v>55.8075408229083</v>
      </c>
      <c r="E347" s="12" t="n">
        <f aca="false">D347*30.4*IF(B347&lt;Parametros!$B$15,1,0)</f>
        <v>1696.54924101641</v>
      </c>
      <c r="F347" s="12" t="n">
        <f aca="false">C347*30.4*IF(B347&lt;Parametros!$B$15,1,0)</f>
        <v>2655.98509473224</v>
      </c>
      <c r="G347" s="12" t="n">
        <f aca="false">(E347*(Parametros!$B$9*(1-Parametros!$B$10)-Parametros!$B$11)-Parametros!$B$12*IF(B347&lt;Parametros!$B$15,1,0))/(1+Parametros!$B$14)^B347</f>
        <v>4430.14882474403</v>
      </c>
    </row>
    <row r="348" customFormat="false" ht="15" hidden="false" customHeight="false" outlineLevel="0" collapsed="false">
      <c r="A348" s="0" t="n">
        <v>344</v>
      </c>
      <c r="B348" s="10" t="n">
        <f aca="false">(A348-1)/12</f>
        <v>28.5833333333333</v>
      </c>
      <c r="C348" s="11" t="n">
        <f aca="false">Parametros!$B$5/(1+Parametros!$B$7*Parametros!$B$6*B348)^(1/Parametros!$B$7)</f>
        <v>87.2031632548024</v>
      </c>
      <c r="D348" s="11" t="n">
        <f aca="false">IF(B348&lt;=Parametros!$B$17,C348,Parametros!$B$5/(1+Parametros!$B$7*Parametros!$B$6*Parametros!$B$17)^(1/Parametros!$B$7)*EXP(-Parametros!$B$8*(B348-Parametros!$B$17)))</f>
        <v>55.5291995518488</v>
      </c>
      <c r="E348" s="12" t="n">
        <f aca="false">D348*30.4*IF(B348&lt;Parametros!$B$15,1,0)</f>
        <v>1688.0876663762</v>
      </c>
      <c r="F348" s="12" t="n">
        <f aca="false">C348*30.4*IF(B348&lt;Parametros!$B$15,1,0)</f>
        <v>2650.97616294599</v>
      </c>
      <c r="G348" s="12" t="n">
        <f aca="false">(E348*(Parametros!$B$9*(1-Parametros!$B$10)-Parametros!$B$11)-Parametros!$B$12*IF(B348&lt;Parametros!$B$15,1,0))/(1+Parametros!$B$14)^B348</f>
        <v>4370.23667700238</v>
      </c>
    </row>
    <row r="349" customFormat="false" ht="15" hidden="false" customHeight="false" outlineLevel="0" collapsed="false">
      <c r="A349" s="0" t="n">
        <v>345</v>
      </c>
      <c r="B349" s="10" t="n">
        <f aca="false">(A349-1)/12</f>
        <v>28.6666666666667</v>
      </c>
      <c r="C349" s="11" t="n">
        <f aca="false">Parametros!$B$5/(1+Parametros!$B$7*Parametros!$B$6*B349)^(1/Parametros!$B$7)</f>
        <v>87.0391704096491</v>
      </c>
      <c r="D349" s="11" t="n">
        <f aca="false">IF(B349&lt;=Parametros!$B$17,C349,Parametros!$B$5/(1+Parametros!$B$7*Parametros!$B$6*Parametros!$B$17)^(1/Parametros!$B$7)*EXP(-Parametros!$B$8*(B349-Parametros!$B$17)))</f>
        <v>55.2522465136703</v>
      </c>
      <c r="E349" s="12" t="n">
        <f aca="false">D349*30.4*IF(B349&lt;Parametros!$B$15,1,0)</f>
        <v>1679.66829401558</v>
      </c>
      <c r="F349" s="12" t="n">
        <f aca="false">C349*30.4*IF(B349&lt;Parametros!$B$15,1,0)</f>
        <v>2645.99078045333</v>
      </c>
      <c r="G349" s="12" t="n">
        <f aca="false">(E349*(Parametros!$B$9*(1-Parametros!$B$10)-Parametros!$B$11)-Parametros!$B$12*IF(B349&lt;Parametros!$B$15,1,0))/(1+Parametros!$B$14)^B349</f>
        <v>4311.11823955794</v>
      </c>
    </row>
    <row r="350" customFormat="false" ht="15" hidden="false" customHeight="false" outlineLevel="0" collapsed="false">
      <c r="A350" s="0" t="n">
        <v>346</v>
      </c>
      <c r="B350" s="10" t="n">
        <f aca="false">(A350-1)/12</f>
        <v>28.75</v>
      </c>
      <c r="C350" s="11" t="n">
        <f aca="false">Parametros!$B$5/(1+Parametros!$B$7*Parametros!$B$6*B350)^(1/Parametros!$B$7)</f>
        <v>86.8759464015398</v>
      </c>
      <c r="D350" s="11" t="n">
        <f aca="false">IF(B350&lt;=Parametros!$B$17,C350,Parametros!$B$5/(1+Parametros!$B$7*Parametros!$B$6*Parametros!$B$17)^(1/Parametros!$B$7)*EXP(-Parametros!$B$8*(B350-Parametros!$B$17)))</f>
        <v>54.9766747845323</v>
      </c>
      <c r="E350" s="12" t="n">
        <f aca="false">D350*30.4*IF(B350&lt;Parametros!$B$15,1,0)</f>
        <v>1671.29091344978</v>
      </c>
      <c r="F350" s="12" t="n">
        <f aca="false">C350*30.4*IF(B350&lt;Parametros!$B$15,1,0)</f>
        <v>2641.02877060681</v>
      </c>
      <c r="G350" s="12" t="n">
        <f aca="false">(E350*(Parametros!$B$9*(1-Parametros!$B$10)-Parametros!$B$11)-Parametros!$B$12*IF(B350&lt;Parametros!$B$15,1,0))/(1+Parametros!$B$14)^B350</f>
        <v>4252.78312172383</v>
      </c>
    </row>
    <row r="351" customFormat="false" ht="15" hidden="false" customHeight="false" outlineLevel="0" collapsed="false">
      <c r="A351" s="0" t="n">
        <v>347</v>
      </c>
      <c r="B351" s="10" t="n">
        <f aca="false">(A351-1)/12</f>
        <v>28.8333333333333</v>
      </c>
      <c r="C351" s="11" t="n">
        <f aca="false">Parametros!$B$5/(1+Parametros!$B$7*Parametros!$B$6*B351)^(1/Parametros!$B$7)</f>
        <v>86.7134854794683</v>
      </c>
      <c r="D351" s="11" t="n">
        <f aca="false">IF(B351&lt;=Parametros!$B$17,C351,Parametros!$B$5/(1+Parametros!$B$7*Parametros!$B$6*Parametros!$B$17)^(1/Parametros!$B$7)*EXP(-Parametros!$B$8*(B351-Parametros!$B$17)))</f>
        <v>54.7024774751273</v>
      </c>
      <c r="E351" s="12" t="n">
        <f aca="false">D351*30.4*IF(B351&lt;Parametros!$B$15,1,0)</f>
        <v>1662.95531524387</v>
      </c>
      <c r="F351" s="12" t="n">
        <f aca="false">C351*30.4*IF(B351&lt;Parametros!$B$15,1,0)</f>
        <v>2636.08995857584</v>
      </c>
      <c r="G351" s="12" t="n">
        <f aca="false">(E351*(Parametros!$B$9*(1-Parametros!$B$10)-Parametros!$B$11)-Parametros!$B$12*IF(B351&lt;Parametros!$B$15,1,0))/(1+Parametros!$B$14)^B351</f>
        <v>4195.22106788606</v>
      </c>
    </row>
    <row r="352" customFormat="false" ht="15" hidden="false" customHeight="false" outlineLevel="0" collapsed="false">
      <c r="A352" s="0" t="n">
        <v>348</v>
      </c>
      <c r="B352" s="10" t="n">
        <f aca="false">(A352-1)/12</f>
        <v>28.9166666666667</v>
      </c>
      <c r="C352" s="11" t="n">
        <f aca="false">Parametros!$B$5/(1+Parametros!$B$7*Parametros!$B$6*B352)^(1/Parametros!$B$7)</f>
        <v>86.5517819514128</v>
      </c>
      <c r="D352" s="11" t="n">
        <f aca="false">IF(B352&lt;=Parametros!$B$17,C352,Parametros!$B$5/(1+Parametros!$B$7*Parametros!$B$6*Parametros!$B$17)^(1/Parametros!$B$7)*EXP(-Parametros!$B$8*(B352-Parametros!$B$17)))</f>
        <v>54.4296477305083</v>
      </c>
      <c r="E352" s="12" t="n">
        <f aca="false">D352*30.4*IF(B352&lt;Parametros!$B$15,1,0)</f>
        <v>1654.66129100745</v>
      </c>
      <c r="F352" s="12" t="n">
        <f aca="false">C352*30.4*IF(B352&lt;Parametros!$B$15,1,0)</f>
        <v>2631.17417132295</v>
      </c>
      <c r="G352" s="12" t="n">
        <f aca="false">(E352*(Parametros!$B$9*(1-Parametros!$B$10)-Parametros!$B$11)-Parametros!$B$12*IF(B352&lt;Parametros!$B$15,1,0))/(1+Parametros!$B$14)^B352</f>
        <v>4138.42195575505</v>
      </c>
    </row>
    <row r="353" customFormat="false" ht="15" hidden="false" customHeight="false" outlineLevel="0" collapsed="false">
      <c r="A353" s="0" t="n">
        <v>349</v>
      </c>
      <c r="B353" s="10" t="n">
        <f aca="false">(A353-1)/12</f>
        <v>29</v>
      </c>
      <c r="C353" s="11" t="n">
        <f aca="false">Parametros!$B$5/(1+Parametros!$B$7*Parametros!$B$6*B353)^(1/Parametros!$B$7)</f>
        <v>86.3908301835688</v>
      </c>
      <c r="D353" s="11" t="n">
        <f aca="false">IF(B353&lt;=Parametros!$B$17,C353,Parametros!$B$5/(1+Parametros!$B$7*Parametros!$B$6*Parametros!$B$17)^(1/Parametros!$B$7)*EXP(-Parametros!$B$8*(B353-Parametros!$B$17)))</f>
        <v>54.1581787299174</v>
      </c>
      <c r="E353" s="12" t="n">
        <f aca="false">D353*30.4*IF(B353&lt;Parametros!$B$15,1,0)</f>
        <v>1646.40863338949</v>
      </c>
      <c r="F353" s="12" t="n">
        <f aca="false">C353*30.4*IF(B353&lt;Parametros!$B$15,1,0)</f>
        <v>2626.28123758049</v>
      </c>
      <c r="G353" s="12" t="n">
        <f aca="false">(E353*(Parametros!$B$9*(1-Parametros!$B$10)-Parametros!$B$11)-Parametros!$B$12*IF(B353&lt;Parametros!$B$15,1,0))/(1+Parametros!$B$14)^B353</f>
        <v>4082.37579463975</v>
      </c>
    </row>
    <row r="354" customFormat="false" ht="15" hidden="false" customHeight="false" outlineLevel="0" collapsed="false">
      <c r="A354" s="0" t="n">
        <v>350</v>
      </c>
      <c r="B354" s="10" t="n">
        <f aca="false">(A354-1)/12</f>
        <v>29.0833333333333</v>
      </c>
      <c r="C354" s="11" t="n">
        <f aca="false">Parametros!$B$5/(1+Parametros!$B$7*Parametros!$B$6*B354)^(1/Parametros!$B$7)</f>
        <v>86.2306245995926</v>
      </c>
      <c r="D354" s="11" t="n">
        <f aca="false">IF(B354&lt;=Parametros!$B$17,C354,Parametros!$B$5/(1+Parametros!$B$7*Parametros!$B$6*Parametros!$B$17)^(1/Parametros!$B$7)*EXP(-Parametros!$B$8*(B354-Parametros!$B$17)))</f>
        <v>53.8880636866155</v>
      </c>
      <c r="E354" s="12" t="n">
        <f aca="false">D354*30.4*IF(B354&lt;Parametros!$B$15,1,0)</f>
        <v>1638.19713607311</v>
      </c>
      <c r="F354" s="12" t="n">
        <f aca="false">C354*30.4*IF(B354&lt;Parametros!$B$15,1,0)</f>
        <v>2621.41098782762</v>
      </c>
      <c r="G354" s="12" t="n">
        <f aca="false">(E354*(Parametros!$B$9*(1-Parametros!$B$10)-Parametros!$B$11)-Parametros!$B$12*IF(B354&lt;Parametros!$B$15,1,0))/(1+Parametros!$B$14)^B354</f>
        <v>4027.07272374409</v>
      </c>
    </row>
    <row r="355" customFormat="false" ht="15" hidden="false" customHeight="false" outlineLevel="0" collapsed="false">
      <c r="A355" s="0" t="n">
        <v>351</v>
      </c>
      <c r="B355" s="10" t="n">
        <f aca="false">(A355-1)/12</f>
        <v>29.1666666666667</v>
      </c>
      <c r="C355" s="11" t="n">
        <f aca="false">Parametros!$B$5/(1+Parametros!$B$7*Parametros!$B$6*B355)^(1/Parametros!$B$7)</f>
        <v>86.0711596798582</v>
      </c>
      <c r="D355" s="11" t="n">
        <f aca="false">IF(B355&lt;=Parametros!$B$17,C355,Parametros!$B$5/(1+Parametros!$B$7*Parametros!$B$6*Parametros!$B$17)^(1/Parametros!$B$7)*EXP(-Parametros!$B$8*(B355-Parametros!$B$17)))</f>
        <v>53.6192958477124</v>
      </c>
      <c r="E355" s="12" t="n">
        <f aca="false">D355*30.4*IF(B355&lt;Parametros!$B$15,1,0)</f>
        <v>1630.02659377046</v>
      </c>
      <c r="F355" s="12" t="n">
        <f aca="false">C355*30.4*IF(B355&lt;Parametros!$B$15,1,0)</f>
        <v>2616.56325426769</v>
      </c>
      <c r="G355" s="12" t="n">
        <f aca="false">(E355*(Parametros!$B$9*(1-Parametros!$B$10)-Parametros!$B$11)-Parametros!$B$12*IF(B355&lt;Parametros!$B$15,1,0))/(1+Parametros!$B$14)^B355</f>
        <v>3972.50301048532</v>
      </c>
    </row>
    <row r="356" customFormat="false" ht="15" hidden="false" customHeight="false" outlineLevel="0" collapsed="false">
      <c r="A356" s="0" t="n">
        <v>352</v>
      </c>
      <c r="B356" s="10" t="n">
        <f aca="false">(A356-1)/12</f>
        <v>29.25</v>
      </c>
      <c r="C356" s="11" t="n">
        <f aca="false">Parametros!$B$5/(1+Parametros!$B$7*Parametros!$B$6*B356)^(1/Parametros!$B$7)</f>
        <v>85.9124299607248</v>
      </c>
      <c r="D356" s="11" t="n">
        <f aca="false">IF(B356&lt;=Parametros!$B$17,C356,Parametros!$B$5/(1+Parametros!$B$7*Parametros!$B$6*Parametros!$B$17)^(1/Parametros!$B$7)*EXP(-Parametros!$B$8*(B356-Parametros!$B$17)))</f>
        <v>53.3518684939982</v>
      </c>
      <c r="E356" s="12" t="n">
        <f aca="false">D356*30.4*IF(B356&lt;Parametros!$B$15,1,0)</f>
        <v>1621.89680221755</v>
      </c>
      <c r="F356" s="12" t="n">
        <f aca="false">C356*30.4*IF(B356&lt;Parametros!$B$15,1,0)</f>
        <v>2611.73787080603</v>
      </c>
      <c r="G356" s="12" t="n">
        <f aca="false">(E356*(Parametros!$B$9*(1-Parametros!$B$10)-Parametros!$B$11)-Parametros!$B$12*IF(B356&lt;Parametros!$B$15,1,0))/(1+Parametros!$B$14)^B356</f>
        <v>3918.65704883419</v>
      </c>
    </row>
    <row r="357" customFormat="false" ht="15" hidden="false" customHeight="false" outlineLevel="0" collapsed="false">
      <c r="A357" s="0" t="n">
        <v>353</v>
      </c>
      <c r="B357" s="10" t="n">
        <f aca="false">(A357-1)/12</f>
        <v>29.3333333333333</v>
      </c>
      <c r="C357" s="11" t="n">
        <f aca="false">Parametros!$B$5/(1+Parametros!$B$7*Parametros!$B$6*B357)^(1/Parametros!$B$7)</f>
        <v>85.7544300338158</v>
      </c>
      <c r="D357" s="11" t="n">
        <f aca="false">IF(B357&lt;=Parametros!$B$17,C357,Parametros!$B$5/(1+Parametros!$B$7*Parametros!$B$6*Parametros!$B$17)^(1/Parametros!$B$7)*EXP(-Parametros!$B$8*(B357-Parametros!$B$17)))</f>
        <v>53.0857749397752</v>
      </c>
      <c r="E357" s="12" t="n">
        <f aca="false">D357*30.4*IF(B357&lt;Parametros!$B$15,1,0)</f>
        <v>1613.80755816916</v>
      </c>
      <c r="F357" s="12" t="n">
        <f aca="false">C357*30.4*IF(B357&lt;Parametros!$B$15,1,0)</f>
        <v>2606.934673028</v>
      </c>
      <c r="G357" s="12" t="n">
        <f aca="false">(E357*(Parametros!$B$9*(1-Parametros!$B$10)-Parametros!$B$11)-Parametros!$B$12*IF(B357&lt;Parametros!$B$15,1,0))/(1+Parametros!$B$14)^B357</f>
        <v>3865.52535767647</v>
      </c>
    </row>
    <row r="358" customFormat="false" ht="15" hidden="false" customHeight="false" outlineLevel="0" collapsed="false">
      <c r="A358" s="0" t="n">
        <v>354</v>
      </c>
      <c r="B358" s="10" t="n">
        <f aca="false">(A358-1)/12</f>
        <v>29.4166666666667</v>
      </c>
      <c r="C358" s="11" t="n">
        <f aca="false">Parametros!$B$5/(1+Parametros!$B$7*Parametros!$B$6*B358)^(1/Parametros!$B$7)</f>
        <v>85.5971545453097</v>
      </c>
      <c r="D358" s="11" t="n">
        <f aca="false">IF(B358&lt;=Parametros!$B$17,C358,Parametros!$B$5/(1+Parametros!$B$7*Parametros!$B$6*Parametros!$B$17)^(1/Parametros!$B$7)*EXP(-Parametros!$B$8*(B358-Parametros!$B$17)))</f>
        <v>52.8210085326904</v>
      </c>
      <c r="E358" s="12" t="n">
        <f aca="false">D358*30.4*IF(B358&lt;Parametros!$B$15,1,0)</f>
        <v>1605.75865939379</v>
      </c>
      <c r="F358" s="12" t="n">
        <f aca="false">C358*30.4*IF(B358&lt;Parametros!$B$15,1,0)</f>
        <v>2602.15349817741</v>
      </c>
      <c r="G358" s="12" t="n">
        <f aca="false">(E358*(Parametros!$B$9*(1-Parametros!$B$10)-Parametros!$B$11)-Parametros!$B$12*IF(B358&lt;Parametros!$B$15,1,0))/(1+Parametros!$B$14)^B358</f>
        <v>3813.09857919564</v>
      </c>
    </row>
    <row r="359" customFormat="false" ht="15" hidden="false" customHeight="false" outlineLevel="0" collapsed="false">
      <c r="A359" s="0" t="n">
        <v>355</v>
      </c>
      <c r="B359" s="10" t="n">
        <f aca="false">(A359-1)/12</f>
        <v>29.5</v>
      </c>
      <c r="C359" s="11" t="n">
        <f aca="false">Parametros!$B$5/(1+Parametros!$B$7*Parametros!$B$6*B359)^(1/Parametros!$B$7)</f>
        <v>85.4405981952417</v>
      </c>
      <c r="D359" s="11" t="n">
        <f aca="false">IF(B359&lt;=Parametros!$B$17,C359,Parametros!$B$5/(1+Parametros!$B$7*Parametros!$B$6*Parametros!$B$17)^(1/Parametros!$B$7)*EXP(-Parametros!$B$8*(B359-Parametros!$B$17)))</f>
        <v>52.5575626535701</v>
      </c>
      <c r="E359" s="12" t="n">
        <f aca="false">D359*30.4*IF(B359&lt;Parametros!$B$15,1,0)</f>
        <v>1597.74990466853</v>
      </c>
      <c r="F359" s="12" t="n">
        <f aca="false">C359*30.4*IF(B359&lt;Parametros!$B$15,1,0)</f>
        <v>2597.39418513535</v>
      </c>
      <c r="G359" s="12" t="n">
        <f aca="false">(E359*(Parametros!$B$9*(1-Parametros!$B$10)-Parametros!$B$11)-Parametros!$B$12*IF(B359&lt;Parametros!$B$15,1,0))/(1+Parametros!$B$14)^B359</f>
        <v>3761.36747727652</v>
      </c>
    </row>
    <row r="360" customFormat="false" ht="15" hidden="false" customHeight="false" outlineLevel="0" collapsed="false">
      <c r="A360" s="0" t="n">
        <v>356</v>
      </c>
      <c r="B360" s="10" t="n">
        <f aca="false">(A360-1)/12</f>
        <v>29.5833333333333</v>
      </c>
      <c r="C360" s="11" t="n">
        <f aca="false">Parametros!$B$5/(1+Parametros!$B$7*Parametros!$B$6*B360)^(1/Parametros!$B$7)</f>
        <v>85.2847557368155</v>
      </c>
      <c r="D360" s="11" t="n">
        <f aca="false">IF(B360&lt;=Parametros!$B$17,C360,Parametros!$B$5/(1+Parametros!$B$7*Parametros!$B$6*Parametros!$B$17)^(1/Parametros!$B$7)*EXP(-Parametros!$B$8*(B360-Parametros!$B$17)))</f>
        <v>52.2954307162536</v>
      </c>
      <c r="E360" s="12" t="n">
        <f aca="false">D360*30.4*IF(B360&lt;Parametros!$B$15,1,0)</f>
        <v>1589.78109377411</v>
      </c>
      <c r="F360" s="12" t="n">
        <f aca="false">C360*30.4*IF(B360&lt;Parametros!$B$15,1,0)</f>
        <v>2592.65657439919</v>
      </c>
      <c r="G360" s="12" t="n">
        <f aca="false">(E360*(Parametros!$B$9*(1-Parametros!$B$10)-Parametros!$B$11)-Parametros!$B$12*IF(B360&lt;Parametros!$B$15,1,0))/(1+Parametros!$B$14)^B360</f>
        <v>3710.32293592943</v>
      </c>
    </row>
    <row r="361" customFormat="false" ht="15" hidden="false" customHeight="false" outlineLevel="0" collapsed="false">
      <c r="A361" s="0" t="n">
        <v>357</v>
      </c>
      <c r="B361" s="10" t="n">
        <f aca="false">(A361-1)/12</f>
        <v>29.6666666666667</v>
      </c>
      <c r="C361" s="11" t="n">
        <f aca="false">Parametros!$B$5/(1+Parametros!$B$7*Parametros!$B$6*B361)^(1/Parametros!$B$7)</f>
        <v>85.1296219757272</v>
      </c>
      <c r="D361" s="11" t="n">
        <f aca="false">IF(B361&lt;=Parametros!$B$17,C361,Parametros!$B$5/(1+Parametros!$B$7*Parametros!$B$6*Parametros!$B$17)^(1/Parametros!$B$7)*EXP(-Parametros!$B$8*(B361-Parametros!$B$17)))</f>
        <v>52.0346061674286</v>
      </c>
      <c r="E361" s="12" t="n">
        <f aca="false">D361*30.4*IF(B361&lt;Parametros!$B$15,1,0)</f>
        <v>1581.85202748983</v>
      </c>
      <c r="F361" s="12" t="n">
        <f aca="false">C361*30.4*IF(B361&lt;Parametros!$B$15,1,0)</f>
        <v>2587.94050806211</v>
      </c>
      <c r="G361" s="12" t="n">
        <f aca="false">(E361*(Parametros!$B$9*(1-Parametros!$B$10)-Parametros!$B$11)-Parametros!$B$12*IF(B361&lt;Parametros!$B$15,1,0))/(1+Parametros!$B$14)^B361</f>
        <v>3659.95595773481</v>
      </c>
    </row>
    <row r="362" customFormat="false" ht="15" hidden="false" customHeight="false" outlineLevel="0" collapsed="false">
      <c r="A362" s="0" t="n">
        <v>358</v>
      </c>
      <c r="B362" s="10" t="n">
        <f aca="false">(A362-1)/12</f>
        <v>29.75</v>
      </c>
      <c r="C362" s="11" t="n">
        <f aca="false">Parametros!$B$5/(1+Parametros!$B$7*Parametros!$B$6*B362)^(1/Parametros!$B$7)</f>
        <v>84.9751917694976</v>
      </c>
      <c r="D362" s="11" t="n">
        <f aca="false">IF(B362&lt;=Parametros!$B$17,C362,Parametros!$B$5/(1+Parametros!$B$7*Parametros!$B$6*Parametros!$B$17)^(1/Parametros!$B$7)*EXP(-Parametros!$B$8*(B362-Parametros!$B$17)))</f>
        <v>51.775082486468</v>
      </c>
      <c r="E362" s="12" t="n">
        <f aca="false">D362*30.4*IF(B362&lt;Parametros!$B$15,1,0)</f>
        <v>1573.96250758863</v>
      </c>
      <c r="F362" s="12" t="n">
        <f aca="false">C362*30.4*IF(B362&lt;Parametros!$B$15,1,0)</f>
        <v>2583.24582979273</v>
      </c>
      <c r="G362" s="12" t="n">
        <f aca="false">(E362*(Parametros!$B$9*(1-Parametros!$B$10)-Parametros!$B$11)-Parametros!$B$12*IF(B362&lt;Parametros!$B$15,1,0))/(1+Parametros!$B$14)^B362</f>
        <v>3610.25766230779</v>
      </c>
    </row>
    <row r="363" customFormat="false" ht="15" hidden="false" customHeight="false" outlineLevel="0" collapsed="false">
      <c r="A363" s="0" t="n">
        <v>359</v>
      </c>
      <c r="B363" s="10" t="n">
        <f aca="false">(A363-1)/12</f>
        <v>29.8333333333333</v>
      </c>
      <c r="C363" s="11" t="n">
        <f aca="false">Parametros!$B$5/(1+Parametros!$B$7*Parametros!$B$6*B363)^(1/Parametros!$B$7)</f>
        <v>84.8214600268169</v>
      </c>
      <c r="D363" s="11" t="n">
        <f aca="false">IF(B363&lt;=Parametros!$B$17,C363,Parametros!$B$5/(1+Parametros!$B$7*Parametros!$B$6*Parametros!$B$17)^(1/Parametros!$B$7)*EXP(-Parametros!$B$8*(B363-Parametros!$B$17)))</f>
        <v>51.5168531852661</v>
      </c>
      <c r="E363" s="12" t="n">
        <f aca="false">D363*30.4*IF(B363&lt;Parametros!$B$15,1,0)</f>
        <v>1566.11233683209</v>
      </c>
      <c r="F363" s="12" t="n">
        <f aca="false">C363*30.4*IF(B363&lt;Parametros!$B$15,1,0)</f>
        <v>2578.57238481523</v>
      </c>
      <c r="G363" s="12" t="n">
        <f aca="false">(E363*(Parametros!$B$9*(1-Parametros!$B$10)-Parametros!$B$11)-Parametros!$B$12*IF(B363&lt;Parametros!$B$15,1,0))/(1+Parametros!$B$14)^B363</f>
        <v>3561.21928478269</v>
      </c>
    </row>
    <row r="364" customFormat="false" ht="15" hidden="false" customHeight="false" outlineLevel="0" collapsed="false">
      <c r="A364" s="0" t="n">
        <v>360</v>
      </c>
      <c r="B364" s="10" t="n">
        <f aca="false">(A364-1)/12</f>
        <v>29.9166666666667</v>
      </c>
      <c r="C364" s="11" t="n">
        <f aca="false">Parametros!$B$5/(1+Parametros!$B$7*Parametros!$B$6*B364)^(1/Parametros!$B$7)</f>
        <v>84.668421706898</v>
      </c>
      <c r="D364" s="11" t="n">
        <f aca="false">IF(B364&lt;=Parametros!$B$17,C364,Parametros!$B$5/(1+Parametros!$B$7*Parametros!$B$6*Parametros!$B$17)^(1/Parametros!$B$7)*EXP(-Parametros!$B$8*(B364-Parametros!$B$17)))</f>
        <v>51.2599118080771</v>
      </c>
      <c r="E364" s="12" t="n">
        <f aca="false">D364*30.4*IF(B364&lt;Parametros!$B$15,1,0)</f>
        <v>1558.30131896554</v>
      </c>
      <c r="F364" s="12" t="n">
        <f aca="false">C364*30.4*IF(B364&lt;Parametros!$B$15,1,0)</f>
        <v>2573.9200198897</v>
      </c>
      <c r="G364" s="12" t="n">
        <f aca="false">(E364*(Parametros!$B$9*(1-Parametros!$B$10)-Parametros!$B$11)-Parametros!$B$12*IF(B364&lt;Parametros!$B$15,1,0))/(1+Parametros!$B$14)^B364</f>
        <v>3512.83217431707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10"/>
  </cols>
  <sheetData>
    <row r="1" customFormat="false" ht="17.35" hidden="false" customHeight="false" outlineLevel="0" collapsed="false">
      <c r="A1" s="1" t="s">
        <v>34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35</v>
      </c>
      <c r="B4" s="3" t="s">
        <v>3</v>
      </c>
      <c r="C4" s="3" t="s">
        <v>4</v>
      </c>
    </row>
    <row r="5" customFormat="false" ht="15" hidden="false" customHeight="false" outlineLevel="0" collapsed="false">
      <c r="A5" s="0" t="s">
        <v>36</v>
      </c>
      <c r="B5" s="13" t="n">
        <f aca="false">SUM(Pronostico!E5:E364)/1000</f>
        <v>1875.27353800598</v>
      </c>
      <c r="C5" s="2" t="s">
        <v>37</v>
      </c>
    </row>
    <row r="6" customFormat="false" ht="15" hidden="false" customHeight="false" outlineLevel="0" collapsed="false">
      <c r="A6" s="0" t="s">
        <v>38</v>
      </c>
      <c r="B6" s="13" t="n">
        <f aca="false">SUM(Pronostico!F5:F364)/1000</f>
        <v>1994.0662828009</v>
      </c>
      <c r="C6" s="2" t="s">
        <v>37</v>
      </c>
    </row>
    <row r="7" customFormat="false" ht="15" hidden="false" customHeight="false" outlineLevel="0" collapsed="false">
      <c r="A7" s="0" t="s">
        <v>39</v>
      </c>
      <c r="B7" s="14" t="n">
        <f aca="false">B6/B5-1</f>
        <v>0.0633468890737057</v>
      </c>
      <c r="C7" s="2"/>
    </row>
    <row r="8" customFormat="false" ht="15" hidden="false" customHeight="false" outlineLevel="0" collapsed="false">
      <c r="A8" s="0" t="s">
        <v>40</v>
      </c>
      <c r="B8" s="8" t="n">
        <f aca="false">(SUM(Pronostico!G5:G364)-Parametros!B13)/1000000</f>
        <v>30.2284950159816</v>
      </c>
      <c r="C8" s="2" t="s">
        <v>41</v>
      </c>
    </row>
    <row r="9" customFormat="false" ht="15" hidden="false" customHeight="false" outlineLevel="0" collapsed="false">
      <c r="A9" s="0" t="s">
        <v>42</v>
      </c>
      <c r="B9" s="15" t="n">
        <f aca="false">Parametros!B13/(B5*1000)</f>
        <v>6.93232199811403</v>
      </c>
      <c r="C9" s="2" t="s">
        <v>12</v>
      </c>
    </row>
    <row r="11" customFormat="false" ht="15" hidden="false" customHeight="false" outlineLevel="0" collapsed="false">
      <c r="A11" s="2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8" min="7" style="0" width="24"/>
  </cols>
  <sheetData>
    <row r="1" customFormat="false" ht="17.35" hidden="false" customHeight="false" outlineLevel="0" collapsed="false">
      <c r="A1" s="1" t="s">
        <v>44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16" t="s">
        <v>2</v>
      </c>
    </row>
    <row r="4" customFormat="false" ht="15" hidden="false" customHeight="false" outlineLevel="0" collapsed="false">
      <c r="A4" s="0" t="s">
        <v>45</v>
      </c>
      <c r="B4" s="7" t="n">
        <v>90000</v>
      </c>
    </row>
    <row r="5" customFormat="false" ht="15" hidden="false" customHeight="false" outlineLevel="0" collapsed="false">
      <c r="A5" s="0" t="s">
        <v>46</v>
      </c>
      <c r="B5" s="7" t="n">
        <v>230</v>
      </c>
    </row>
    <row r="6" customFormat="false" ht="15" hidden="false" customHeight="false" outlineLevel="0" collapsed="false">
      <c r="A6" s="0" t="s">
        <v>47</v>
      </c>
      <c r="B6" s="6" t="n">
        <v>14</v>
      </c>
    </row>
    <row r="7" customFormat="false" ht="15" hidden="false" customHeight="false" outlineLevel="0" collapsed="false">
      <c r="A7" s="0" t="s">
        <v>48</v>
      </c>
      <c r="B7" s="7" t="n">
        <v>9000</v>
      </c>
    </row>
    <row r="8" customFormat="false" ht="15" hidden="false" customHeight="false" outlineLevel="0" collapsed="false">
      <c r="A8" s="0" t="s">
        <v>49</v>
      </c>
      <c r="B8" s="7" t="n">
        <v>6000</v>
      </c>
    </row>
    <row r="10" customFormat="false" ht="28.35" hidden="false" customHeight="false" outlineLevel="0" collapsed="false">
      <c r="A10" s="3" t="s">
        <v>50</v>
      </c>
      <c r="B10" s="3" t="s">
        <v>51</v>
      </c>
      <c r="C10" s="3" t="s">
        <v>52</v>
      </c>
      <c r="D10" s="3" t="s">
        <v>53</v>
      </c>
      <c r="E10" s="3" t="s">
        <v>54</v>
      </c>
      <c r="F10" s="3" t="s">
        <v>55</v>
      </c>
      <c r="G10" s="3" t="s">
        <v>56</v>
      </c>
      <c r="H10" s="3" t="s">
        <v>57</v>
      </c>
    </row>
    <row r="11" customFormat="false" ht="15" hidden="false" customHeight="false" outlineLevel="0" collapsed="false">
      <c r="A11" s="0" t="n">
        <v>1</v>
      </c>
      <c r="B11" s="4" t="n">
        <v>60</v>
      </c>
      <c r="C11" s="4" t="n">
        <v>5</v>
      </c>
      <c r="D11" s="11" t="n">
        <f aca="false">B11/C11</f>
        <v>12</v>
      </c>
      <c r="E11" s="4" t="n">
        <v>202</v>
      </c>
      <c r="F11" s="4" t="n">
        <v>1501</v>
      </c>
      <c r="G11" s="12" t="n">
        <f aca="false">$B$4+E11*$B$5+F11*$B$6+C11*$B$7+$B$8</f>
        <v>208474</v>
      </c>
      <c r="H11" s="17" t="n">
        <f aca="false">E11/B11</f>
        <v>3.36666666666667</v>
      </c>
    </row>
    <row r="12" customFormat="false" ht="15" hidden="false" customHeight="false" outlineLevel="0" collapsed="false">
      <c r="A12" s="0" t="n">
        <v>2</v>
      </c>
      <c r="B12" s="4" t="n">
        <v>60</v>
      </c>
      <c r="C12" s="4" t="n">
        <v>4</v>
      </c>
      <c r="D12" s="11" t="n">
        <f aca="false">B12/C12</f>
        <v>15</v>
      </c>
      <c r="E12" s="4" t="n">
        <v>163</v>
      </c>
      <c r="F12" s="4" t="n">
        <v>1829</v>
      </c>
      <c r="G12" s="12" t="n">
        <f aca="false">$B$4+E12*$B$5+F12*$B$6+C12*$B$7+$B$8</f>
        <v>195096</v>
      </c>
      <c r="H12" s="17" t="n">
        <f aca="false">E12/B12</f>
        <v>2.71666666666667</v>
      </c>
    </row>
    <row r="13" customFormat="false" ht="15" hidden="false" customHeight="false" outlineLevel="0" collapsed="false">
      <c r="A13" s="0" t="n">
        <v>3</v>
      </c>
      <c r="B13" s="4" t="n">
        <v>60</v>
      </c>
      <c r="C13" s="4" t="n">
        <v>6</v>
      </c>
      <c r="D13" s="11" t="n">
        <f aca="false">B13/C13</f>
        <v>10</v>
      </c>
      <c r="E13" s="4" t="n">
        <v>187</v>
      </c>
      <c r="F13" s="4" t="n">
        <v>1660</v>
      </c>
      <c r="G13" s="12" t="n">
        <f aca="false">$B$4+E13*$B$5+F13*$B$6+C13*$B$7+$B$8</f>
        <v>216250</v>
      </c>
      <c r="H13" s="17" t="n">
        <f aca="false">E13/B13</f>
        <v>3.11666666666667</v>
      </c>
    </row>
    <row r="14" customFormat="false" ht="15" hidden="false" customHeight="false" outlineLevel="0" collapsed="false">
      <c r="A14" s="0" t="n">
        <v>4</v>
      </c>
      <c r="B14" s="4" t="n">
        <v>70</v>
      </c>
      <c r="C14" s="4" t="n">
        <v>6</v>
      </c>
      <c r="D14" s="11" t="n">
        <f aca="false">B14/C14</f>
        <v>11.6666666666667</v>
      </c>
      <c r="E14" s="4" t="n">
        <v>210</v>
      </c>
      <c r="F14" s="4" t="n">
        <v>1788</v>
      </c>
      <c r="G14" s="12" t="n">
        <f aca="false">$B$4+E14*$B$5+F14*$B$6+C14*$B$7+$B$8</f>
        <v>223332</v>
      </c>
      <c r="H14" s="17" t="n">
        <f aca="false">E14/B14</f>
        <v>3</v>
      </c>
    </row>
    <row r="15" customFormat="false" ht="15" hidden="false" customHeight="false" outlineLevel="0" collapsed="false">
      <c r="A15" s="0" t="n">
        <v>5</v>
      </c>
      <c r="B15" s="4" t="n">
        <v>70</v>
      </c>
      <c r="C15" s="4" t="n">
        <v>4</v>
      </c>
      <c r="D15" s="11" t="n">
        <f aca="false">B15/C15</f>
        <v>17.5</v>
      </c>
      <c r="E15" s="4" t="n">
        <v>209</v>
      </c>
      <c r="F15" s="4" t="n">
        <v>2105</v>
      </c>
      <c r="G15" s="12" t="n">
        <f aca="false">$B$4+E15*$B$5+F15*$B$6+C15*$B$7+$B$8</f>
        <v>209540</v>
      </c>
      <c r="H15" s="17" t="n">
        <f aca="false">E15/B15</f>
        <v>2.98571428571429</v>
      </c>
    </row>
    <row r="16" customFormat="false" ht="15" hidden="false" customHeight="false" outlineLevel="0" collapsed="false">
      <c r="A16" s="0" t="n">
        <v>6</v>
      </c>
      <c r="B16" s="4" t="n">
        <v>65</v>
      </c>
      <c r="C16" s="4" t="n">
        <v>6</v>
      </c>
      <c r="D16" s="11" t="n">
        <f aca="false">B16/C16</f>
        <v>10.8333333333333</v>
      </c>
      <c r="E16" s="4" t="n">
        <v>194</v>
      </c>
      <c r="F16" s="4" t="n">
        <v>2034</v>
      </c>
      <c r="G16" s="12" t="n">
        <f aca="false">$B$4+E16*$B$5+F16*$B$6+C16*$B$7+$B$8</f>
        <v>223096</v>
      </c>
      <c r="H16" s="17" t="n">
        <f aca="false">E16/B16</f>
        <v>2.98461538461538</v>
      </c>
    </row>
    <row r="17" customFormat="false" ht="15" hidden="false" customHeight="false" outlineLevel="0" collapsed="false">
      <c r="A17" s="0" t="n">
        <v>7</v>
      </c>
      <c r="B17" s="4" t="n">
        <v>60</v>
      </c>
      <c r="C17" s="4" t="n">
        <v>5</v>
      </c>
      <c r="D17" s="11" t="n">
        <f aca="false">B17/C17</f>
        <v>12</v>
      </c>
      <c r="E17" s="4" t="n">
        <v>161</v>
      </c>
      <c r="F17" s="4" t="n">
        <v>1831</v>
      </c>
      <c r="G17" s="12" t="n">
        <f aca="false">$B$4+E17*$B$5+F17*$B$6+C17*$B$7+$B$8</f>
        <v>203664</v>
      </c>
      <c r="H17" s="17" t="n">
        <f aca="false">E17/B17</f>
        <v>2.68333333333333</v>
      </c>
    </row>
    <row r="18" customFormat="false" ht="15" hidden="false" customHeight="false" outlineLevel="0" collapsed="false">
      <c r="A18" s="0" t="n">
        <v>8</v>
      </c>
      <c r="B18" s="4" t="n">
        <v>70</v>
      </c>
      <c r="C18" s="4" t="n">
        <v>6</v>
      </c>
      <c r="D18" s="11" t="n">
        <f aca="false">B18/C18</f>
        <v>11.6666666666667</v>
      </c>
      <c r="E18" s="4" t="n">
        <v>188</v>
      </c>
      <c r="F18" s="4" t="n">
        <v>1713</v>
      </c>
      <c r="G18" s="12" t="n">
        <f aca="false">$B$4+E18*$B$5+F18*$B$6+C18*$B$7+$B$8</f>
        <v>217222</v>
      </c>
      <c r="H18" s="17" t="n">
        <f aca="false">E18/B18</f>
        <v>2.68571428571429</v>
      </c>
    </row>
    <row r="19" customFormat="false" ht="15" hidden="false" customHeight="false" outlineLevel="0" collapsed="false">
      <c r="A19" s="0" t="n">
        <v>9</v>
      </c>
      <c r="B19" s="4" t="n">
        <v>60</v>
      </c>
      <c r="C19" s="4" t="n">
        <v>4</v>
      </c>
      <c r="D19" s="11" t="n">
        <f aca="false">B19/C19</f>
        <v>15</v>
      </c>
      <c r="E19" s="4" t="n">
        <v>180</v>
      </c>
      <c r="F19" s="4" t="n">
        <v>1752</v>
      </c>
      <c r="G19" s="12" t="n">
        <f aca="false">$B$4+E19*$B$5+F19*$B$6+C19*$B$7+$B$8</f>
        <v>197928</v>
      </c>
      <c r="H19" s="17" t="n">
        <f aca="false">E19/B19</f>
        <v>3</v>
      </c>
    </row>
    <row r="20" customFormat="false" ht="15" hidden="false" customHeight="false" outlineLevel="0" collapsed="false">
      <c r="A20" s="0" t="n">
        <v>10</v>
      </c>
      <c r="B20" s="4" t="n">
        <v>60</v>
      </c>
      <c r="C20" s="4" t="n">
        <v>5</v>
      </c>
      <c r="D20" s="11" t="n">
        <f aca="false">B20/C20</f>
        <v>12</v>
      </c>
      <c r="E20" s="4" t="n">
        <v>185</v>
      </c>
      <c r="F20" s="4" t="n">
        <v>1699</v>
      </c>
      <c r="G20" s="12" t="n">
        <f aca="false">$B$4+E20*$B$5+F20*$B$6+C20*$B$7+$B$8</f>
        <v>207336</v>
      </c>
      <c r="H20" s="17" t="n">
        <f aca="false">E20/B20</f>
        <v>3.08333333333333</v>
      </c>
    </row>
    <row r="21" customFormat="false" ht="15" hidden="false" customHeight="false" outlineLevel="0" collapsed="false">
      <c r="A21" s="0" t="n">
        <v>11</v>
      </c>
      <c r="B21" s="4" t="n">
        <v>60</v>
      </c>
      <c r="C21" s="4" t="n">
        <v>6</v>
      </c>
      <c r="D21" s="11" t="n">
        <f aca="false">B21/C21</f>
        <v>10</v>
      </c>
      <c r="E21" s="4" t="n">
        <v>190</v>
      </c>
      <c r="F21" s="4" t="n">
        <v>1511</v>
      </c>
      <c r="G21" s="12" t="n">
        <f aca="false">$B$4+E21*$B$5+F21*$B$6+C21*$B$7+$B$8</f>
        <v>214854</v>
      </c>
      <c r="H21" s="17" t="n">
        <f aca="false">E21/B21</f>
        <v>3.16666666666667</v>
      </c>
    </row>
    <row r="22" customFormat="false" ht="15" hidden="false" customHeight="false" outlineLevel="0" collapsed="false">
      <c r="A22" s="0" t="n">
        <v>12</v>
      </c>
      <c r="B22" s="4" t="n">
        <v>70</v>
      </c>
      <c r="C22" s="4" t="n">
        <v>6</v>
      </c>
      <c r="D22" s="11" t="n">
        <f aca="false">B22/C22</f>
        <v>11.6666666666667</v>
      </c>
      <c r="E22" s="4" t="n">
        <v>198</v>
      </c>
      <c r="F22" s="4" t="n">
        <v>1880</v>
      </c>
      <c r="G22" s="12" t="n">
        <f aca="false">$B$4+E22*$B$5+F22*$B$6+C22*$B$7+$B$8</f>
        <v>221860</v>
      </c>
      <c r="H22" s="17" t="n">
        <f aca="false">E22/B22</f>
        <v>2.82857142857143</v>
      </c>
    </row>
    <row r="23" customFormat="false" ht="15" hidden="false" customHeight="false" outlineLevel="0" collapsed="false">
      <c r="A23" s="0" t="n">
        <v>13</v>
      </c>
      <c r="B23" s="4" t="n">
        <v>70</v>
      </c>
      <c r="C23" s="4" t="n">
        <v>5</v>
      </c>
      <c r="D23" s="11" t="n">
        <f aca="false">B23/C23</f>
        <v>14</v>
      </c>
      <c r="E23" s="4" t="n">
        <v>191</v>
      </c>
      <c r="F23" s="4" t="n">
        <v>2017</v>
      </c>
      <c r="G23" s="12" t="n">
        <f aca="false">$B$4+E23*$B$5+F23*$B$6+C23*$B$7+$B$8</f>
        <v>213168</v>
      </c>
      <c r="H23" s="17" t="n">
        <f aca="false">E23/B23</f>
        <v>2.72857142857143</v>
      </c>
    </row>
    <row r="24" customFormat="false" ht="15" hidden="false" customHeight="false" outlineLevel="0" collapsed="false">
      <c r="A24" s="0" t="n">
        <v>14</v>
      </c>
      <c r="B24" s="4" t="n">
        <v>65</v>
      </c>
      <c r="C24" s="4" t="n">
        <v>5</v>
      </c>
      <c r="D24" s="11" t="n">
        <f aca="false">B24/C24</f>
        <v>13</v>
      </c>
      <c r="E24" s="4" t="n">
        <v>218</v>
      </c>
      <c r="F24" s="4" t="n">
        <v>1999</v>
      </c>
      <c r="G24" s="12" t="n">
        <f aca="false">$B$4+E24*$B$5+F24*$B$6+C24*$B$7+$B$8</f>
        <v>219126</v>
      </c>
      <c r="H24" s="17" t="n">
        <f aca="false">E24/B24</f>
        <v>3.35384615384615</v>
      </c>
    </row>
    <row r="25" customFormat="false" ht="15" hidden="false" customHeight="false" outlineLevel="0" collapsed="false">
      <c r="A25" s="0" t="n">
        <v>15</v>
      </c>
      <c r="B25" s="4" t="n">
        <v>60</v>
      </c>
      <c r="C25" s="4" t="n">
        <v>5</v>
      </c>
      <c r="D25" s="11" t="n">
        <f aca="false">B25/C25</f>
        <v>12</v>
      </c>
      <c r="E25" s="4" t="n">
        <v>163</v>
      </c>
      <c r="F25" s="4" t="n">
        <v>1694</v>
      </c>
      <c r="G25" s="12" t="n">
        <f aca="false">$B$4+E25*$B$5+F25*$B$6+C25*$B$7+$B$8</f>
        <v>202206</v>
      </c>
      <c r="H25" s="17" t="n">
        <f aca="false">E25/B25</f>
        <v>2.71666666666667</v>
      </c>
    </row>
    <row r="26" customFormat="false" ht="15" hidden="false" customHeight="false" outlineLevel="0" collapsed="false">
      <c r="A26" s="0" t="n">
        <v>16</v>
      </c>
      <c r="B26" s="4" t="n">
        <v>60</v>
      </c>
      <c r="C26" s="4" t="n">
        <v>5</v>
      </c>
      <c r="D26" s="11" t="n">
        <f aca="false">B26/C26</f>
        <v>12</v>
      </c>
      <c r="E26" s="4" t="n">
        <v>173</v>
      </c>
      <c r="F26" s="4" t="n">
        <v>1876</v>
      </c>
      <c r="G26" s="12" t="n">
        <f aca="false">$B$4+E26*$B$5+F26*$B$6+C26*$B$7+$B$8</f>
        <v>207054</v>
      </c>
      <c r="H26" s="17" t="n">
        <f aca="false">E26/B26</f>
        <v>2.88333333333333</v>
      </c>
    </row>
    <row r="27" customFormat="false" ht="15" hidden="false" customHeight="false" outlineLevel="0" collapsed="false">
      <c r="A27" s="0" t="n">
        <v>17</v>
      </c>
      <c r="B27" s="4" t="n">
        <v>65</v>
      </c>
      <c r="C27" s="4" t="n">
        <v>5</v>
      </c>
      <c r="D27" s="11" t="n">
        <f aca="false">B27/C27</f>
        <v>13</v>
      </c>
      <c r="E27" s="4" t="n">
        <v>180</v>
      </c>
      <c r="F27" s="4" t="n">
        <v>1577</v>
      </c>
      <c r="G27" s="12" t="n">
        <f aca="false">$B$4+E27*$B$5+F27*$B$6+C27*$B$7+$B$8</f>
        <v>204478</v>
      </c>
      <c r="H27" s="17" t="n">
        <f aca="false">E27/B27</f>
        <v>2.76923076923077</v>
      </c>
    </row>
    <row r="28" customFormat="false" ht="15" hidden="false" customHeight="false" outlineLevel="0" collapsed="false">
      <c r="A28" s="0" t="n">
        <v>18</v>
      </c>
      <c r="B28" s="4" t="n">
        <v>65</v>
      </c>
      <c r="C28" s="4" t="n">
        <v>6</v>
      </c>
      <c r="D28" s="11" t="n">
        <f aca="false">B28/C28</f>
        <v>10.8333333333333</v>
      </c>
      <c r="E28" s="4" t="n">
        <v>185</v>
      </c>
      <c r="F28" s="4" t="n">
        <v>1927</v>
      </c>
      <c r="G28" s="12" t="n">
        <f aca="false">$B$4+E28*$B$5+F28*$B$6+C28*$B$7+$B$8</f>
        <v>219528</v>
      </c>
      <c r="H28" s="17" t="n">
        <f aca="false">E28/B28</f>
        <v>2.84615384615385</v>
      </c>
    </row>
    <row r="29" customFormat="false" ht="15" hidden="false" customHeight="false" outlineLevel="0" collapsed="false">
      <c r="A29" s="0" t="n">
        <v>19</v>
      </c>
      <c r="B29" s="4" t="n">
        <v>70</v>
      </c>
      <c r="C29" s="4" t="n">
        <v>5</v>
      </c>
      <c r="D29" s="11" t="n">
        <f aca="false">B29/C29</f>
        <v>14</v>
      </c>
      <c r="E29" s="4" t="n">
        <v>219</v>
      </c>
      <c r="F29" s="4" t="n">
        <v>1745</v>
      </c>
      <c r="G29" s="12" t="n">
        <f aca="false">$B$4+E29*$B$5+F29*$B$6+C29*$B$7+$B$8</f>
        <v>215800</v>
      </c>
      <c r="H29" s="17" t="n">
        <f aca="false">E29/B29</f>
        <v>3.12857142857143</v>
      </c>
    </row>
    <row r="30" customFormat="false" ht="15" hidden="false" customHeight="false" outlineLevel="0" collapsed="false">
      <c r="A30" s="0" t="n">
        <v>20</v>
      </c>
      <c r="B30" s="4" t="n">
        <v>60</v>
      </c>
      <c r="C30" s="4" t="n">
        <v>5</v>
      </c>
      <c r="D30" s="11" t="n">
        <f aca="false">B30/C30</f>
        <v>12</v>
      </c>
      <c r="E30" s="4" t="n">
        <v>203</v>
      </c>
      <c r="F30" s="4" t="n">
        <v>1517</v>
      </c>
      <c r="G30" s="12" t="n">
        <f aca="false">$B$4+E30*$B$5+F30*$B$6+C30*$B$7+$B$8</f>
        <v>208928</v>
      </c>
      <c r="H30" s="17" t="n">
        <f aca="false">E30/B30</f>
        <v>3.38333333333333</v>
      </c>
    </row>
    <row r="31" customFormat="false" ht="15" hidden="false" customHeight="false" outlineLevel="0" collapsed="false">
      <c r="A31" s="0" t="n">
        <v>21</v>
      </c>
      <c r="B31" s="4" t="n">
        <v>60</v>
      </c>
      <c r="C31" s="4" t="n">
        <v>4</v>
      </c>
      <c r="D31" s="11" t="n">
        <f aca="false">B31/C31</f>
        <v>15</v>
      </c>
      <c r="E31" s="4" t="n">
        <v>194</v>
      </c>
      <c r="F31" s="4" t="n">
        <v>1623</v>
      </c>
      <c r="G31" s="12" t="n">
        <f aca="false">$B$4+E31*$B$5+F31*$B$6+C31*$B$7+$B$8</f>
        <v>199342</v>
      </c>
      <c r="H31" s="17" t="n">
        <f aca="false">E31/B31</f>
        <v>3.23333333333333</v>
      </c>
    </row>
    <row r="32" customFormat="false" ht="15" hidden="false" customHeight="false" outlineLevel="0" collapsed="false">
      <c r="A32" s="0" t="n">
        <v>22</v>
      </c>
      <c r="B32" s="4" t="n">
        <v>60</v>
      </c>
      <c r="C32" s="4" t="n">
        <v>6</v>
      </c>
      <c r="D32" s="11" t="n">
        <f aca="false">B32/C32</f>
        <v>10</v>
      </c>
      <c r="E32" s="4" t="n">
        <v>199</v>
      </c>
      <c r="F32" s="4" t="n">
        <v>1507</v>
      </c>
      <c r="G32" s="12" t="n">
        <f aca="false">$B$4+E32*$B$5+F32*$B$6+C32*$B$7+$B$8</f>
        <v>216868</v>
      </c>
      <c r="H32" s="17" t="n">
        <f aca="false">E32/B32</f>
        <v>3.31666666666667</v>
      </c>
    </row>
    <row r="33" customFormat="false" ht="15" hidden="false" customHeight="false" outlineLevel="0" collapsed="false">
      <c r="A33" s="0" t="n">
        <v>23</v>
      </c>
      <c r="B33" s="4" t="n">
        <v>70</v>
      </c>
      <c r="C33" s="4" t="n">
        <v>6</v>
      </c>
      <c r="D33" s="11" t="n">
        <f aca="false">B33/C33</f>
        <v>11.6666666666667</v>
      </c>
      <c r="E33" s="4" t="n">
        <v>205</v>
      </c>
      <c r="F33" s="4" t="n">
        <v>2010</v>
      </c>
      <c r="G33" s="12" t="n">
        <f aca="false">$B$4+E33*$B$5+F33*$B$6+C33*$B$7+$B$8</f>
        <v>225290</v>
      </c>
      <c r="H33" s="17" t="n">
        <f aca="false">E33/B33</f>
        <v>2.92857142857143</v>
      </c>
    </row>
    <row r="34" customFormat="false" ht="15" hidden="false" customHeight="false" outlineLevel="0" collapsed="false">
      <c r="A34" s="0" t="n">
        <v>24</v>
      </c>
      <c r="B34" s="4" t="n">
        <v>65</v>
      </c>
      <c r="C34" s="4" t="n">
        <v>4</v>
      </c>
      <c r="D34" s="11" t="n">
        <f aca="false">B34/C34</f>
        <v>16.25</v>
      </c>
      <c r="E34" s="4" t="n">
        <v>171</v>
      </c>
      <c r="F34" s="4" t="n">
        <v>1905</v>
      </c>
      <c r="G34" s="12" t="n">
        <f aca="false">$B$4+E34*$B$5+F34*$B$6+C34*$B$7+$B$8</f>
        <v>198000</v>
      </c>
      <c r="H34" s="17" t="n">
        <f aca="false">E34/B34</f>
        <v>2.63076923076923</v>
      </c>
    </row>
    <row r="35" customFormat="false" ht="15" hidden="false" customHeight="false" outlineLevel="0" collapsed="false">
      <c r="A35" s="0" t="n">
        <v>25</v>
      </c>
      <c r="B35" s="4" t="n">
        <v>65</v>
      </c>
      <c r="C35" s="4" t="n">
        <v>5</v>
      </c>
      <c r="D35" s="11" t="n">
        <f aca="false">B35/C35</f>
        <v>13</v>
      </c>
      <c r="E35" s="4" t="n">
        <v>211</v>
      </c>
      <c r="F35" s="4" t="n">
        <v>1823</v>
      </c>
      <c r="G35" s="12" t="n">
        <f aca="false">$B$4+E35*$B$5+F35*$B$6+C35*$B$7+$B$8</f>
        <v>215052</v>
      </c>
      <c r="H35" s="17" t="n">
        <f aca="false">E35/B35</f>
        <v>3.24615384615385</v>
      </c>
    </row>
    <row r="36" customFormat="false" ht="15" hidden="false" customHeight="false" outlineLevel="0" collapsed="false">
      <c r="A36" s="0" t="n">
        <v>26</v>
      </c>
      <c r="B36" s="4" t="n">
        <v>60</v>
      </c>
      <c r="C36" s="4" t="n">
        <v>4</v>
      </c>
      <c r="D36" s="11" t="n">
        <f aca="false">B36/C36</f>
        <v>15</v>
      </c>
      <c r="E36" s="4" t="n">
        <v>165</v>
      </c>
      <c r="F36" s="4" t="n">
        <v>1878</v>
      </c>
      <c r="G36" s="12" t="n">
        <f aca="false">$B$4+E36*$B$5+F36*$B$6+C36*$B$7+$B$8</f>
        <v>196242</v>
      </c>
      <c r="H36" s="17" t="n">
        <f aca="false">E36/B36</f>
        <v>2.75</v>
      </c>
    </row>
    <row r="37" customFormat="false" ht="15" hidden="false" customHeight="false" outlineLevel="0" collapsed="false">
      <c r="A37" s="0" t="n">
        <v>27</v>
      </c>
      <c r="B37" s="4" t="n">
        <v>65</v>
      </c>
      <c r="C37" s="4" t="n">
        <v>6</v>
      </c>
      <c r="D37" s="11" t="n">
        <f aca="false">B37/C37</f>
        <v>10.8333333333333</v>
      </c>
      <c r="E37" s="4" t="n">
        <v>203</v>
      </c>
      <c r="F37" s="4" t="n">
        <v>1623</v>
      </c>
      <c r="G37" s="12" t="n">
        <f aca="false">$B$4+E37*$B$5+F37*$B$6+C37*$B$7+$B$8</f>
        <v>219412</v>
      </c>
      <c r="H37" s="17" t="n">
        <f aca="false">E37/B37</f>
        <v>3.12307692307692</v>
      </c>
    </row>
    <row r="38" customFormat="false" ht="15" hidden="false" customHeight="false" outlineLevel="0" collapsed="false">
      <c r="A38" s="0" t="n">
        <v>28</v>
      </c>
      <c r="B38" s="4" t="n">
        <v>65</v>
      </c>
      <c r="C38" s="4" t="n">
        <v>5</v>
      </c>
      <c r="D38" s="11" t="n">
        <f aca="false">B38/C38</f>
        <v>13</v>
      </c>
      <c r="E38" s="4" t="n">
        <v>186</v>
      </c>
      <c r="F38" s="4" t="n">
        <v>1750</v>
      </c>
      <c r="G38" s="12" t="n">
        <f aca="false">$B$4+E38*$B$5+F38*$B$6+C38*$B$7+$B$8</f>
        <v>208280</v>
      </c>
      <c r="H38" s="17" t="n">
        <f aca="false">E38/B38</f>
        <v>2.86153846153846</v>
      </c>
    </row>
    <row r="39" customFormat="false" ht="15" hidden="false" customHeight="false" outlineLevel="0" collapsed="false">
      <c r="A39" s="0" t="n">
        <v>29</v>
      </c>
      <c r="B39" s="4" t="n">
        <v>70</v>
      </c>
      <c r="C39" s="4" t="n">
        <v>5</v>
      </c>
      <c r="D39" s="11" t="n">
        <f aca="false">B39/C39</f>
        <v>14</v>
      </c>
      <c r="E39" s="4" t="n">
        <v>185</v>
      </c>
      <c r="F39" s="4" t="n">
        <v>2026</v>
      </c>
      <c r="G39" s="12" t="n">
        <f aca="false">$B$4+E39*$B$5+F39*$B$6+C39*$B$7+$B$8</f>
        <v>211914</v>
      </c>
      <c r="H39" s="17" t="n">
        <f aca="false">E39/B39</f>
        <v>2.64285714285714</v>
      </c>
    </row>
    <row r="40" customFormat="false" ht="15" hidden="false" customHeight="false" outlineLevel="0" collapsed="false">
      <c r="A40" s="0" t="n">
        <v>30</v>
      </c>
      <c r="B40" s="4" t="n">
        <v>60</v>
      </c>
      <c r="C40" s="4" t="n">
        <v>5</v>
      </c>
      <c r="D40" s="11" t="n">
        <f aca="false">B40/C40</f>
        <v>12</v>
      </c>
      <c r="E40" s="4" t="n">
        <v>172</v>
      </c>
      <c r="F40" s="4" t="n">
        <v>1647</v>
      </c>
      <c r="G40" s="12" t="n">
        <f aca="false">$B$4+E40*$B$5+F40*$B$6+C40*$B$7+$B$8</f>
        <v>203618</v>
      </c>
      <c r="H40" s="17" t="n">
        <f aca="false">E40/B40</f>
        <v>2.86666666666667</v>
      </c>
    </row>
    <row r="41" customFormat="false" ht="15" hidden="false" customHeight="false" outlineLevel="0" collapsed="false">
      <c r="A41" s="0" t="n">
        <v>31</v>
      </c>
      <c r="B41" s="4" t="n">
        <v>60</v>
      </c>
      <c r="C41" s="4" t="n">
        <v>4</v>
      </c>
      <c r="D41" s="11" t="n">
        <f aca="false">B41/C41</f>
        <v>15</v>
      </c>
      <c r="E41" s="4" t="n">
        <v>166</v>
      </c>
      <c r="F41" s="4" t="n">
        <v>1548</v>
      </c>
      <c r="G41" s="12" t="n">
        <f aca="false">$B$4+E41*$B$5+F41*$B$6+C41*$B$7+$B$8</f>
        <v>191852</v>
      </c>
      <c r="H41" s="17" t="n">
        <f aca="false">E41/B41</f>
        <v>2.76666666666667</v>
      </c>
    </row>
    <row r="42" customFormat="false" ht="15" hidden="false" customHeight="false" outlineLevel="0" collapsed="false">
      <c r="A42" s="0" t="n">
        <v>32</v>
      </c>
      <c r="B42" s="4" t="n">
        <v>70</v>
      </c>
      <c r="C42" s="4" t="n">
        <v>5</v>
      </c>
      <c r="D42" s="11" t="n">
        <f aca="false">B42/C42</f>
        <v>14</v>
      </c>
      <c r="E42" s="4" t="n">
        <v>203</v>
      </c>
      <c r="F42" s="4" t="n">
        <v>1741</v>
      </c>
      <c r="G42" s="12" t="n">
        <f aca="false">$B$4+E42*$B$5+F42*$B$6+C42*$B$7+$B$8</f>
        <v>212064</v>
      </c>
      <c r="H42" s="17" t="n">
        <f aca="false">E42/B42</f>
        <v>2.9</v>
      </c>
    </row>
    <row r="43" customFormat="false" ht="15" hidden="false" customHeight="false" outlineLevel="0" collapsed="false">
      <c r="A43" s="0" t="n">
        <v>33</v>
      </c>
      <c r="B43" s="4" t="n">
        <v>70</v>
      </c>
      <c r="C43" s="4" t="n">
        <v>5</v>
      </c>
      <c r="D43" s="11" t="n">
        <f aca="false">B43/C43</f>
        <v>14</v>
      </c>
      <c r="E43" s="4" t="n">
        <v>222</v>
      </c>
      <c r="F43" s="4" t="n">
        <v>1968</v>
      </c>
      <c r="G43" s="12" t="n">
        <f aca="false">$B$4+E43*$B$5+F43*$B$6+C43*$B$7+$B$8</f>
        <v>219612</v>
      </c>
      <c r="H43" s="17" t="n">
        <f aca="false">E43/B43</f>
        <v>3.17142857142857</v>
      </c>
    </row>
    <row r="44" customFormat="false" ht="15" hidden="false" customHeight="false" outlineLevel="0" collapsed="false">
      <c r="A44" s="0" t="n">
        <v>34</v>
      </c>
      <c r="B44" s="4" t="n">
        <v>60</v>
      </c>
      <c r="C44" s="4" t="n">
        <v>6</v>
      </c>
      <c r="D44" s="11" t="n">
        <f aca="false">B44/C44</f>
        <v>10</v>
      </c>
      <c r="E44" s="4" t="n">
        <v>183</v>
      </c>
      <c r="F44" s="4" t="n">
        <v>1832</v>
      </c>
      <c r="G44" s="12" t="n">
        <f aca="false">$B$4+E44*$B$5+F44*$B$6+C44*$B$7+$B$8</f>
        <v>217738</v>
      </c>
      <c r="H44" s="17" t="n">
        <f aca="false">E44/B44</f>
        <v>3.05</v>
      </c>
    </row>
    <row r="45" customFormat="false" ht="15" hidden="false" customHeight="false" outlineLevel="0" collapsed="false">
      <c r="A45" s="0" t="n">
        <v>35</v>
      </c>
      <c r="B45" s="4" t="n">
        <v>70</v>
      </c>
      <c r="C45" s="4" t="n">
        <v>5</v>
      </c>
      <c r="D45" s="11" t="n">
        <f aca="false">B45/C45</f>
        <v>14</v>
      </c>
      <c r="E45" s="4" t="n">
        <v>185</v>
      </c>
      <c r="F45" s="4" t="n">
        <v>1707</v>
      </c>
      <c r="G45" s="12" t="n">
        <f aca="false">$B$4+E45*$B$5+F45*$B$6+C45*$B$7+$B$8</f>
        <v>207448</v>
      </c>
      <c r="H45" s="17" t="n">
        <f aca="false">E45/B45</f>
        <v>2.64285714285714</v>
      </c>
    </row>
    <row r="46" customFormat="false" ht="15" hidden="false" customHeight="false" outlineLevel="0" collapsed="false">
      <c r="A46" s="0" t="n">
        <v>36</v>
      </c>
      <c r="B46" s="4" t="n">
        <v>60</v>
      </c>
      <c r="C46" s="4" t="n">
        <v>4</v>
      </c>
      <c r="D46" s="11" t="n">
        <f aca="false">B46/C46</f>
        <v>15</v>
      </c>
      <c r="E46" s="4" t="n">
        <v>166</v>
      </c>
      <c r="F46" s="4" t="n">
        <v>1442</v>
      </c>
      <c r="G46" s="12" t="n">
        <f aca="false">$B$4+E46*$B$5+F46*$B$6+C46*$B$7+$B$8</f>
        <v>190368</v>
      </c>
      <c r="H46" s="17" t="n">
        <f aca="false">E46/B46</f>
        <v>2.76666666666667</v>
      </c>
    </row>
    <row r="48" customFormat="false" ht="15" hidden="false" customHeight="false" outlineLevel="0" collapsed="false">
      <c r="A48" s="16" t="s">
        <v>58</v>
      </c>
    </row>
    <row r="49" customFormat="false" ht="15" hidden="false" customHeight="false" outlineLevel="0" collapsed="false">
      <c r="A49" s="0" t="s">
        <v>59</v>
      </c>
      <c r="B49" s="13" t="n">
        <f aca="false">SUM(B11:B46)</f>
        <v>2310</v>
      </c>
    </row>
    <row r="50" customFormat="false" ht="15" hidden="false" customHeight="false" outlineLevel="0" collapsed="false">
      <c r="A50" s="0" t="s">
        <v>60</v>
      </c>
      <c r="B50" s="18" t="n">
        <f aca="false">COUNT(A11:A46)</f>
        <v>36</v>
      </c>
    </row>
    <row r="51" customFormat="false" ht="15" hidden="false" customHeight="false" outlineLevel="0" collapsed="false">
      <c r="A51" s="0" t="s">
        <v>61</v>
      </c>
      <c r="B51" s="13" t="n">
        <f aca="false">SUM(G11:G46)</f>
        <v>7562040</v>
      </c>
    </row>
    <row r="52" customFormat="false" ht="15" hidden="false" customHeight="false" outlineLevel="0" collapsed="false">
      <c r="A52" s="0" t="s">
        <v>62</v>
      </c>
      <c r="B52" s="13" t="n">
        <f aca="false">B51/B49</f>
        <v>3273.61038961039</v>
      </c>
    </row>
    <row r="53" customFormat="false" ht="15" hidden="false" customHeight="false" outlineLevel="0" collapsed="false">
      <c r="A53" s="0" t="s">
        <v>63</v>
      </c>
      <c r="B53" s="13" t="n">
        <f aca="false">SUM(E11:E46)</f>
        <v>6815</v>
      </c>
    </row>
    <row r="54" customFormat="false" ht="15" hidden="false" customHeight="false" outlineLevel="0" collapsed="false">
      <c r="A54" s="0" t="s">
        <v>64</v>
      </c>
      <c r="B54" s="15" t="n">
        <f aca="false">SUM(B11:B46)/SUM(C11:C46)</f>
        <v>12.6229508196721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8"/>
    <col collapsed="false" customWidth="true" hidden="false" outlineLevel="0" max="4" min="4" style="0" width="34"/>
  </cols>
  <sheetData>
    <row r="1" customFormat="false" ht="17.35" hidden="false" customHeight="false" outlineLevel="0" collapsed="false">
      <c r="A1" s="1" t="s">
        <v>65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66</v>
      </c>
      <c r="B4" s="3" t="s">
        <v>67</v>
      </c>
      <c r="C4" s="3" t="s">
        <v>68</v>
      </c>
      <c r="D4" s="3" t="s">
        <v>69</v>
      </c>
      <c r="F4" s="16" t="s">
        <v>70</v>
      </c>
    </row>
    <row r="5" customFormat="false" ht="15" hidden="false" customHeight="false" outlineLevel="0" collapsed="false">
      <c r="A5" s="6" t="n">
        <v>5</v>
      </c>
      <c r="B5" s="19" t="n">
        <v>900.1</v>
      </c>
      <c r="F5" s="2" t="s">
        <v>71</v>
      </c>
    </row>
    <row r="6" customFormat="false" ht="15" hidden="false" customHeight="false" outlineLevel="0" collapsed="false">
      <c r="A6" s="6" t="n">
        <v>5.4</v>
      </c>
      <c r="B6" s="19" t="n">
        <v>913.3</v>
      </c>
      <c r="C6" s="17" t="n">
        <f aca="false">(LN(B6)-LN(B5))/(LN(A6)-LN(A5))</f>
        <v>0.189167729797761</v>
      </c>
      <c r="D6" s="20" t="str">
        <f aca="false">IF(C6&lt;-0.05,"IV: altura sin control",IF(C6&lt;0.05,"II: altura o filtrado",IF(C6&lt;0.6,"I: propagación estable","III: restricción, arenamiento")))</f>
        <v>I: propagación estable</v>
      </c>
    </row>
    <row r="7" customFormat="false" ht="15" hidden="false" customHeight="false" outlineLevel="0" collapsed="false">
      <c r="A7" s="6" t="n">
        <v>5.9</v>
      </c>
      <c r="B7" s="19" t="n">
        <v>921.7</v>
      </c>
      <c r="C7" s="17" t="n">
        <f aca="false">(LN(B7)-LN(B6))/(LN(A7)-LN(A6))</f>
        <v>0.103388210693764</v>
      </c>
      <c r="D7" s="20" t="str">
        <f aca="false">IF(C7&lt;-0.05,"IV: altura sin control",IF(C7&lt;0.05,"II: altura o filtrado",IF(C7&lt;0.6,"I: propagación estable","III: restricción, arenamiento")))</f>
        <v>I: propagación estable</v>
      </c>
    </row>
    <row r="8" customFormat="false" ht="15" hidden="false" customHeight="false" outlineLevel="0" collapsed="false">
      <c r="A8" s="6" t="n">
        <v>6.5</v>
      </c>
      <c r="B8" s="19" t="n">
        <v>936.7</v>
      </c>
      <c r="C8" s="17" t="n">
        <f aca="false">(LN(B8)-LN(B7))/(LN(A8)-LN(A7))</f>
        <v>0.166683512855738</v>
      </c>
      <c r="D8" s="20" t="str">
        <f aca="false">IF(C8&lt;-0.05,"IV: altura sin control",IF(C8&lt;0.05,"II: altura o filtrado",IF(C8&lt;0.6,"I: propagación estable","III: restricción, arenamiento")))</f>
        <v>I: propagación estable</v>
      </c>
    </row>
    <row r="9" customFormat="false" ht="15" hidden="false" customHeight="false" outlineLevel="0" collapsed="false">
      <c r="A9" s="6" t="n">
        <v>7</v>
      </c>
      <c r="B9" s="19" t="n">
        <v>950.9</v>
      </c>
      <c r="C9" s="17" t="n">
        <f aca="false">(LN(B9)-LN(B8))/(LN(A9)-LN(A8))</f>
        <v>0.203025988878826</v>
      </c>
      <c r="D9" s="20" t="str">
        <f aca="false">IF(C9&lt;-0.05,"IV: altura sin control",IF(C9&lt;0.05,"II: altura o filtrado",IF(C9&lt;0.6,"I: propagación estable","III: restricción, arenamiento")))</f>
        <v>I: propagación estable</v>
      </c>
    </row>
    <row r="10" customFormat="false" ht="15" hidden="false" customHeight="false" outlineLevel="0" collapsed="false">
      <c r="A10" s="6" t="n">
        <v>7.7</v>
      </c>
      <c r="B10" s="19" t="n">
        <v>961.2</v>
      </c>
      <c r="C10" s="17" t="n">
        <f aca="false">(LN(B10)-LN(B9))/(LN(A10)-LN(A9))</f>
        <v>0.113037236306061</v>
      </c>
      <c r="D10" s="20" t="str">
        <f aca="false">IF(C10&lt;-0.05,"IV: altura sin control",IF(C10&lt;0.05,"II: altura o filtrado",IF(C10&lt;0.6,"I: propagación estable","III: restricción, arenamiento")))</f>
        <v>I: propagación estable</v>
      </c>
    </row>
    <row r="11" customFormat="false" ht="15" hidden="false" customHeight="false" outlineLevel="0" collapsed="false">
      <c r="A11" s="6" t="n">
        <v>8.4</v>
      </c>
      <c r="B11" s="19" t="n">
        <v>978.1</v>
      </c>
      <c r="C11" s="17" t="n">
        <f aca="false">(LN(B11)-LN(B10))/(LN(A11)-LN(A10))</f>
        <v>0.200311856186473</v>
      </c>
      <c r="D11" s="20" t="str">
        <f aca="false">IF(C11&lt;-0.05,"IV: altura sin control",IF(C11&lt;0.05,"II: altura o filtrado",IF(C11&lt;0.6,"I: propagación estable","III: restricción, arenamiento")))</f>
        <v>I: propagación estable</v>
      </c>
    </row>
    <row r="12" customFormat="false" ht="15" hidden="false" customHeight="false" outlineLevel="0" collapsed="false">
      <c r="A12" s="6" t="n">
        <v>9.1</v>
      </c>
      <c r="B12" s="19" t="n">
        <v>981.1</v>
      </c>
      <c r="C12" s="17" t="n">
        <f aca="false">(LN(B12)-LN(B11))/(LN(A12)-LN(A11))</f>
        <v>0.0382605356803794</v>
      </c>
      <c r="D12" s="20" t="str">
        <f aca="false">IF(C12&lt;-0.05,"IV: altura sin control",IF(C12&lt;0.05,"II: altura o filtrado",IF(C12&lt;0.6,"I: propagación estable","III: restricción, arenamiento")))</f>
        <v>II: altura o filtrado</v>
      </c>
    </row>
    <row r="13" customFormat="false" ht="15" hidden="false" customHeight="false" outlineLevel="0" collapsed="false">
      <c r="A13" s="6" t="n">
        <v>9.9</v>
      </c>
      <c r="B13" s="19" t="n">
        <v>997.6</v>
      </c>
      <c r="C13" s="17" t="n">
        <f aca="false">(LN(B13)-LN(B12))/(LN(A13)-LN(A12))</f>
        <v>0.197934193956581</v>
      </c>
      <c r="D13" s="20" t="str">
        <f aca="false">IF(C13&lt;-0.05,"IV: altura sin control",IF(C13&lt;0.05,"II: altura o filtrado",IF(C13&lt;0.6,"I: propagación estable","III: restricción, arenamiento")))</f>
        <v>I: propagación estable</v>
      </c>
    </row>
    <row r="14" customFormat="false" ht="15" hidden="false" customHeight="false" outlineLevel="0" collapsed="false">
      <c r="A14" s="6" t="n">
        <v>10.8</v>
      </c>
      <c r="B14" s="19" t="n">
        <v>1007.4</v>
      </c>
      <c r="C14" s="17" t="n">
        <f aca="false">(LN(B14)-LN(B13))/(LN(A14)-LN(A13))</f>
        <v>0.112348974167923</v>
      </c>
      <c r="D14" s="20" t="str">
        <f aca="false">IF(C14&lt;-0.05,"IV: altura sin control",IF(C14&lt;0.05,"II: altura o filtrado",IF(C14&lt;0.6,"I: propagación estable","III: restricción, arenamiento")))</f>
        <v>I: propagación estable</v>
      </c>
    </row>
    <row r="15" customFormat="false" ht="15" hidden="false" customHeight="false" outlineLevel="0" collapsed="false">
      <c r="A15" s="6" t="n">
        <v>11.8</v>
      </c>
      <c r="B15" s="19" t="n">
        <v>1020.1</v>
      </c>
      <c r="C15" s="17" t="n">
        <f aca="false">(LN(B15)-LN(B14))/(LN(A15)-LN(A14))</f>
        <v>0.141472916376298</v>
      </c>
      <c r="D15" s="20" t="str">
        <f aca="false">IF(C15&lt;-0.05,"IV: altura sin control",IF(C15&lt;0.05,"II: altura o filtrado",IF(C15&lt;0.6,"I: propagación estable","III: restricción, arenamiento")))</f>
        <v>I: propagación estable</v>
      </c>
    </row>
    <row r="16" customFormat="false" ht="15" hidden="false" customHeight="false" outlineLevel="0" collapsed="false">
      <c r="A16" s="6" t="n">
        <v>12.8</v>
      </c>
      <c r="B16" s="19" t="n">
        <v>1035.8</v>
      </c>
      <c r="C16" s="17" t="n">
        <f aca="false">(LN(B16)-LN(B15))/(LN(A16)-LN(A15))</f>
        <v>0.187759459558532</v>
      </c>
      <c r="D16" s="20" t="str">
        <f aca="false">IF(C16&lt;-0.05,"IV: altura sin control",IF(C16&lt;0.05,"II: altura o filtrado",IF(C16&lt;0.6,"I: propagación estable","III: restricción, arenamiento")))</f>
        <v>I: propagación estable</v>
      </c>
    </row>
    <row r="17" customFormat="false" ht="15" hidden="false" customHeight="false" outlineLevel="0" collapsed="false">
      <c r="A17" s="6" t="n">
        <v>14</v>
      </c>
      <c r="B17" s="19" t="n">
        <v>1050.8</v>
      </c>
      <c r="C17" s="17" t="n">
        <f aca="false">(LN(B17)-LN(B16))/(LN(A17)-LN(A16))</f>
        <v>0.160443672285389</v>
      </c>
      <c r="D17" s="20" t="str">
        <f aca="false">IF(C17&lt;-0.05,"IV: altura sin control",IF(C17&lt;0.05,"II: altura o filtrado",IF(C17&lt;0.6,"I: propagación estable","III: restricción, arenamiento")))</f>
        <v>I: propagación estable</v>
      </c>
    </row>
    <row r="18" customFormat="false" ht="15" hidden="false" customHeight="false" outlineLevel="0" collapsed="false">
      <c r="A18" s="6" t="n">
        <v>15.2</v>
      </c>
      <c r="B18" s="19" t="n">
        <v>1065.3</v>
      </c>
      <c r="C18" s="17" t="n">
        <f aca="false">(LN(B18)-LN(B17))/(LN(A18)-LN(A17))</f>
        <v>0.166646251549696</v>
      </c>
      <c r="D18" s="20" t="str">
        <f aca="false">IF(C18&lt;-0.05,"IV: altura sin control",IF(C18&lt;0.05,"II: altura o filtrado",IF(C18&lt;0.6,"I: propagación estable","III: restricción, arenamiento")))</f>
        <v>I: propagación estable</v>
      </c>
    </row>
    <row r="19" customFormat="false" ht="15" hidden="false" customHeight="false" outlineLevel="0" collapsed="false">
      <c r="A19" s="6" t="n">
        <v>16.6</v>
      </c>
      <c r="B19" s="19" t="n">
        <v>1079.4</v>
      </c>
      <c r="C19" s="17" t="n">
        <f aca="false">(LN(B19)-LN(B18))/(LN(A19)-LN(A18))</f>
        <v>0.149237196192217</v>
      </c>
      <c r="D19" s="20" t="str">
        <f aca="false">IF(C19&lt;-0.05,"IV: altura sin control",IF(C19&lt;0.05,"II: altura o filtrado",IF(C19&lt;0.6,"I: propagación estable","III: restricción, arenamiento")))</f>
        <v>I: propagación estable</v>
      </c>
    </row>
    <row r="20" customFormat="false" ht="15" hidden="false" customHeight="false" outlineLevel="0" collapsed="false">
      <c r="A20" s="6" t="n">
        <v>18.1</v>
      </c>
      <c r="B20" s="19" t="n">
        <v>1100.9</v>
      </c>
      <c r="C20" s="17" t="n">
        <f aca="false">(LN(B20)-LN(B19))/(LN(A20)-LN(A19))</f>
        <v>0.227983683922621</v>
      </c>
      <c r="D20" s="20" t="str">
        <f aca="false">IF(C20&lt;-0.05,"IV: altura sin control",IF(C20&lt;0.05,"II: altura o filtrado",IF(C20&lt;0.6,"I: propagación estable","III: restricción, arenamiento")))</f>
        <v>I: propagación estable</v>
      </c>
    </row>
    <row r="21" customFormat="false" ht="15" hidden="false" customHeight="false" outlineLevel="0" collapsed="false">
      <c r="A21" s="6" t="n">
        <v>19.7</v>
      </c>
      <c r="B21" s="19" t="n">
        <v>1109.1</v>
      </c>
      <c r="C21" s="17" t="n">
        <f aca="false">(LN(B21)-LN(B20))/(LN(A21)-LN(A20))</f>
        <v>0.0876063966108147</v>
      </c>
      <c r="D21" s="20" t="str">
        <f aca="false">IF(C21&lt;-0.05,"IV: altura sin control",IF(C21&lt;0.05,"II: altura o filtrado",IF(C21&lt;0.6,"I: propagación estable","III: restricción, arenamiento")))</f>
        <v>I: propagación estable</v>
      </c>
    </row>
    <row r="22" customFormat="false" ht="15" hidden="false" customHeight="false" outlineLevel="0" collapsed="false">
      <c r="A22" s="6" t="n">
        <v>21.4</v>
      </c>
      <c r="B22" s="19" t="n">
        <v>1112.4</v>
      </c>
      <c r="C22" s="17" t="n">
        <f aca="false">(LN(B22)-LN(B21))/(LN(A22)-LN(A21))</f>
        <v>0.0358932667260793</v>
      </c>
      <c r="D22" s="20" t="str">
        <f aca="false">IF(C22&lt;-0.05,"IV: altura sin control",IF(C22&lt;0.05,"II: altura o filtrado",IF(C22&lt;0.6,"I: propagación estable","III: restricción, arenamiento")))</f>
        <v>II: altura o filtrado</v>
      </c>
    </row>
    <row r="23" customFormat="false" ht="15" hidden="false" customHeight="false" outlineLevel="0" collapsed="false">
      <c r="A23" s="6" t="n">
        <v>23.3</v>
      </c>
      <c r="B23" s="19" t="n">
        <v>1134.9</v>
      </c>
      <c r="C23" s="17" t="n">
        <f aca="false">(LN(B23)-LN(B22))/(LN(A23)-LN(A22))</f>
        <v>0.235411755059911</v>
      </c>
      <c r="D23" s="20" t="str">
        <f aca="false">IF(C23&lt;-0.05,"IV: altura sin control",IF(C23&lt;0.05,"II: altura o filtrado",IF(C23&lt;0.6,"I: propagación estable","III: restricción, arenamiento")))</f>
        <v>I: propagación estable</v>
      </c>
    </row>
    <row r="24" customFormat="false" ht="15" hidden="false" customHeight="false" outlineLevel="0" collapsed="false">
      <c r="A24" s="6" t="n">
        <v>25.4</v>
      </c>
      <c r="B24" s="19" t="n">
        <v>1145.8</v>
      </c>
      <c r="C24" s="17" t="n">
        <f aca="false">(LN(B24)-LN(B23))/(LN(A24)-LN(A23))</f>
        <v>0.110764836495899</v>
      </c>
      <c r="D24" s="20" t="str">
        <f aca="false">IF(C24&lt;-0.05,"IV: altura sin control",IF(C24&lt;0.05,"II: altura o filtrado",IF(C24&lt;0.6,"I: propagación estable","III: restricción, arenamiento")))</f>
        <v>I: propagación estable</v>
      </c>
    </row>
    <row r="25" customFormat="false" ht="15" hidden="false" customHeight="false" outlineLevel="0" collapsed="false">
      <c r="A25" s="6" t="n">
        <v>27.7</v>
      </c>
      <c r="B25" s="19" t="n">
        <v>1161.1</v>
      </c>
      <c r="C25" s="17" t="n">
        <f aca="false">(LN(B25)-LN(B24))/(LN(A25)-LN(A24))</f>
        <v>0.153025530490989</v>
      </c>
      <c r="D25" s="20" t="str">
        <f aca="false">IF(C25&lt;-0.05,"IV: altura sin control",IF(C25&lt;0.05,"II: altura o filtrado",IF(C25&lt;0.6,"I: propagación estable","III: restricción, arenamiento")))</f>
        <v>I: propagación estable</v>
      </c>
    </row>
    <row r="26" customFormat="false" ht="15" hidden="false" customHeight="false" outlineLevel="0" collapsed="false">
      <c r="A26" s="6" t="n">
        <v>30.2</v>
      </c>
      <c r="B26" s="19" t="n">
        <v>1184.7</v>
      </c>
      <c r="C26" s="17" t="n">
        <f aca="false">(LN(B26)-LN(B25))/(LN(A26)-LN(A25))</f>
        <v>0.232864947981057</v>
      </c>
      <c r="D26" s="20" t="str">
        <f aca="false">IF(C26&lt;-0.05,"IV: altura sin control",IF(C26&lt;0.05,"II: altura o filtrado",IF(C26&lt;0.6,"I: propagación estable","III: restricción, arenamiento")))</f>
        <v>I: propagación estable</v>
      </c>
    </row>
    <row r="27" customFormat="false" ht="15" hidden="false" customHeight="false" outlineLevel="0" collapsed="false">
      <c r="A27" s="6" t="n">
        <v>32.9</v>
      </c>
      <c r="B27" s="19" t="n">
        <v>1192.7</v>
      </c>
      <c r="C27" s="17" t="n">
        <f aca="false">(LN(B27)-LN(B26))/(LN(A27)-LN(A26))</f>
        <v>0.0785940556320932</v>
      </c>
      <c r="D27" s="20" t="str">
        <f aca="false">IF(C27&lt;-0.05,"IV: altura sin control",IF(C27&lt;0.05,"II: altura o filtrado",IF(C27&lt;0.6,"I: propagación estable","III: restricción, arenamiento")))</f>
        <v>I: propagación estable</v>
      </c>
    </row>
    <row r="28" customFormat="false" ht="15" hidden="false" customHeight="false" outlineLevel="0" collapsed="false">
      <c r="A28" s="6" t="n">
        <v>35.8</v>
      </c>
      <c r="B28" s="19" t="n">
        <v>1199.7</v>
      </c>
      <c r="C28" s="17" t="n">
        <f aca="false">(LN(B28)-LN(B27))/(LN(A28)-LN(A27))</f>
        <v>0.0692733307252423</v>
      </c>
      <c r="D28" s="20" t="str">
        <f aca="false">IF(C28&lt;-0.05,"IV: altura sin control",IF(C28&lt;0.05,"II: altura o filtrado",IF(C28&lt;0.6,"I: propagación estable","III: restricción, arenamiento")))</f>
        <v>I: propagación estable</v>
      </c>
    </row>
    <row r="29" customFormat="false" ht="15" hidden="false" customHeight="false" outlineLevel="0" collapsed="false">
      <c r="A29" s="6" t="n">
        <v>39</v>
      </c>
      <c r="B29" s="19" t="n">
        <v>1226.3</v>
      </c>
      <c r="C29" s="17" t="n">
        <f aca="false">(LN(B29)-LN(B28))/(LN(A29)-LN(A28))</f>
        <v>0.256150204255775</v>
      </c>
      <c r="D29" s="20" t="str">
        <f aca="false">IF(C29&lt;-0.05,"IV: altura sin control",IF(C29&lt;0.05,"II: altura o filtrado",IF(C29&lt;0.6,"I: propagación estable","III: restricción, arenamiento")))</f>
        <v>I: propagación estable</v>
      </c>
    </row>
    <row r="30" customFormat="false" ht="15" hidden="false" customHeight="false" outlineLevel="0" collapsed="false">
      <c r="A30" s="6" t="n">
        <v>42.5</v>
      </c>
      <c r="B30" s="19" t="n">
        <v>1223.4</v>
      </c>
      <c r="C30" s="17" t="n">
        <f aca="false">(LN(B30)-LN(B29))/(LN(A30)-LN(A29))</f>
        <v>-0.0275491159024214</v>
      </c>
      <c r="D30" s="20" t="str">
        <f aca="false">IF(C30&lt;-0.05,"IV: altura sin control",IF(C30&lt;0.05,"II: altura o filtrado",IF(C30&lt;0.6,"I: propagación estable","III: restricción, arenamiento")))</f>
        <v>II: altura o filtrado</v>
      </c>
    </row>
    <row r="31" customFormat="false" ht="15" hidden="false" customHeight="false" outlineLevel="0" collapsed="false">
      <c r="A31" s="6" t="n">
        <v>46.3</v>
      </c>
      <c r="B31" s="19" t="n">
        <v>1219</v>
      </c>
      <c r="C31" s="17" t="n">
        <f aca="false">(LN(B31)-LN(B30))/(LN(A31)-LN(A30))</f>
        <v>-0.0420727032245712</v>
      </c>
      <c r="D31" s="20" t="str">
        <f aca="false">IF(C31&lt;-0.05,"IV: altura sin control",IF(C31&lt;0.05,"II: altura o filtrado",IF(C31&lt;0.6,"I: propagación estable","III: restricción, arenamiento")))</f>
        <v>II: altura o filtrado</v>
      </c>
    </row>
    <row r="32" customFormat="false" ht="15" hidden="false" customHeight="false" outlineLevel="0" collapsed="false">
      <c r="A32" s="6" t="n">
        <v>50.4</v>
      </c>
      <c r="B32" s="19" t="n">
        <v>1220.3</v>
      </c>
      <c r="C32" s="17" t="n">
        <f aca="false">(LN(B32)-LN(B31))/(LN(A32)-LN(A31))</f>
        <v>0.0125620451440967</v>
      </c>
      <c r="D32" s="20" t="str">
        <f aca="false">IF(C32&lt;-0.05,"IV: altura sin control",IF(C32&lt;0.05,"II: altura o filtrado",IF(C32&lt;0.6,"I: propagación estable","III: restricción, arenamiento")))</f>
        <v>II: altura o filtrado</v>
      </c>
    </row>
    <row r="33" customFormat="false" ht="15" hidden="false" customHeight="false" outlineLevel="0" collapsed="false">
      <c r="A33" s="6" t="n">
        <v>54.9</v>
      </c>
      <c r="B33" s="19" t="n">
        <v>1221.7</v>
      </c>
      <c r="C33" s="17" t="n">
        <f aca="false">(LN(B33)-LN(B32))/(LN(A33)-LN(A32))</f>
        <v>0.0134070642282009</v>
      </c>
      <c r="D33" s="20" t="str">
        <f aca="false">IF(C33&lt;-0.05,"IV: altura sin control",IF(C33&lt;0.05,"II: altura o filtrado",IF(C33&lt;0.6,"I: propagación estable","III: restricción, arenamiento")))</f>
        <v>II: altura o filtrado</v>
      </c>
    </row>
    <row r="34" customFormat="false" ht="15" hidden="false" customHeight="false" outlineLevel="0" collapsed="false">
      <c r="A34" s="6" t="n">
        <v>59.8</v>
      </c>
      <c r="B34" s="19" t="n">
        <v>1224.7</v>
      </c>
      <c r="C34" s="17" t="n">
        <f aca="false">(LN(B34)-LN(B33))/(LN(A34)-LN(A33))</f>
        <v>0.0286877796049449</v>
      </c>
      <c r="D34" s="20" t="str">
        <f aca="false">IF(C34&lt;-0.05,"IV: altura sin control",IF(C34&lt;0.05,"II: altura o filtrado",IF(C34&lt;0.6,"I: propagación estable","III: restricción, arenamiento")))</f>
        <v>II: altura o filtrado</v>
      </c>
    </row>
    <row r="35" customFormat="false" ht="15" hidden="false" customHeight="false" outlineLevel="0" collapsed="false">
      <c r="A35" s="6" t="n">
        <v>65.2</v>
      </c>
      <c r="B35" s="19" t="n">
        <v>1222.7</v>
      </c>
      <c r="C35" s="17" t="n">
        <f aca="false">(LN(B35)-LN(B34))/(LN(A35)-LN(A34))</f>
        <v>-0.0189047529005432</v>
      </c>
      <c r="D35" s="20" t="str">
        <f aca="false">IF(C35&lt;-0.05,"IV: altura sin control",IF(C35&lt;0.05,"II: altura o filtrado",IF(C35&lt;0.6,"I: propagación estable","III: restricción, arenamiento")))</f>
        <v>II: altura o filtrado</v>
      </c>
    </row>
    <row r="36" customFormat="false" ht="15" hidden="false" customHeight="false" outlineLevel="0" collapsed="false">
      <c r="A36" s="6" t="n">
        <v>71</v>
      </c>
      <c r="B36" s="19" t="n">
        <v>1334.6</v>
      </c>
      <c r="C36" s="17" t="n">
        <f aca="false">(LN(B36)-LN(B35))/(LN(A36)-LN(A35))</f>
        <v>1.0275718605766</v>
      </c>
      <c r="D36" s="20" t="str">
        <f aca="false">IF(C36&lt;-0.05,"IV: altura sin control",IF(C36&lt;0.05,"II: altura o filtrado",IF(C36&lt;0.6,"I: propagación estable","III: restricción, arenamiento")))</f>
        <v>III: restricción, arenamiento</v>
      </c>
    </row>
    <row r="37" customFormat="false" ht="15" hidden="false" customHeight="false" outlineLevel="0" collapsed="false">
      <c r="A37" s="6" t="n">
        <v>77.4</v>
      </c>
      <c r="B37" s="19" t="n">
        <v>1464.1</v>
      </c>
      <c r="C37" s="17" t="n">
        <f aca="false">(LN(B37)-LN(B36))/(LN(A37)-LN(A36))</f>
        <v>1.07302074244379</v>
      </c>
      <c r="D37" s="20" t="str">
        <f aca="false">IF(C37&lt;-0.05,"IV: altura sin control",IF(C37&lt;0.05,"II: altura o filtrado",IF(C37&lt;0.6,"I: propagación estable","III: restricción, arenamiento")))</f>
        <v>III: restricción, arenamiento</v>
      </c>
    </row>
    <row r="38" customFormat="false" ht="15" hidden="false" customHeight="false" outlineLevel="0" collapsed="false">
      <c r="A38" s="6" t="n">
        <v>84.3</v>
      </c>
      <c r="B38" s="19" t="n">
        <v>1578.3</v>
      </c>
      <c r="C38" s="17" t="n">
        <f aca="false">(LN(B38)-LN(B37))/(LN(A38)-LN(A37))</f>
        <v>0.879530709788345</v>
      </c>
      <c r="D38" s="20" t="str">
        <f aca="false">IF(C38&lt;-0.05,"IV: altura sin control",IF(C38&lt;0.05,"II: altura o filtrado",IF(C38&lt;0.6,"I: propagación estable","III: restricción, arenamiento")))</f>
        <v>III: restricción, arenamiento</v>
      </c>
    </row>
    <row r="39" customFormat="false" ht="15" hidden="false" customHeight="false" outlineLevel="0" collapsed="false">
      <c r="A39" s="6" t="n">
        <v>91.8</v>
      </c>
      <c r="B39" s="19" t="n">
        <v>1719.3</v>
      </c>
      <c r="C39" s="17" t="n">
        <f aca="false">(LN(B39)-LN(B38))/(LN(A39)-LN(A38))</f>
        <v>1.00397135379811</v>
      </c>
      <c r="D39" s="20" t="str">
        <f aca="false">IF(C39&lt;-0.05,"IV: altura sin control",IF(C39&lt;0.05,"II: altura o filtrado",IF(C39&lt;0.6,"I: propagación estable","III: restricción, arenamiento")))</f>
        <v>III: restricción, arenamiento</v>
      </c>
    </row>
    <row r="40" customFormat="false" ht="15" hidden="false" customHeight="false" outlineLevel="0" collapsed="false">
      <c r="A40" s="6" t="n">
        <v>100</v>
      </c>
      <c r="B40" s="19" t="n">
        <v>1877.1</v>
      </c>
      <c r="C40" s="17" t="n">
        <f aca="false">(LN(B40)-LN(B39))/(LN(A40)-LN(A39))</f>
        <v>1.02633203235984</v>
      </c>
      <c r="D40" s="20" t="str">
        <f aca="false">IF(C40&lt;-0.05,"IV: altura sin control",IF(C40&lt;0.05,"II: altura o filtrado",IF(C40&lt;0.6,"I: propagación estable","III: restricción, arenamiento")))</f>
        <v>III: restricción, arenamiento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2026-10-31T08:03:48Z</dcterms:created>
  <dc:creator>openpyxl</dc:creator>
  <dc:description/>
  <dc:language>en-US</dc:language>
  <cp:lastModifiedBy/>
  <dcterms:modified xsi:type="dcterms:W3CDTF">2026-10-31T08:03:48Z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