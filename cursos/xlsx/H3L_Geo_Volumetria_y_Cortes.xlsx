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Perfil" sheetId="2" state="visible" r:id="rId4"/>
    <sheet name="Resumen" sheetId="3" state="visible" r:id="rId5"/>
    <sheet name="E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<sst xmlns="http://schemas.openxmlformats.org/spreadsheetml/2006/main" count="73" uniqueCount="54">
  <si>
    <t xml:space="preserve">Volumetría y cortes de petrofísica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</si>
  <si>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</si>
  <si>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</si>
  <si>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</si>
  <si>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Unidad</t>
  </si>
  <si>
    <t xml:space="preserve">Corte Vsh máximo</t>
  </si>
  <si>
    <t xml:space="preserve">fracción</t>
  </si>
  <si>
    <t xml:space="preserve">Corte porosidad mínima (PHIE)</t>
  </si>
  <si>
    <t xml:space="preserve">Corte Sw máxima</t>
  </si>
  <si>
    <t xml:space="preserve">Paso de muestreo</t>
  </si>
  <si>
    <t xml:space="preserve">m</t>
  </si>
  <si>
    <t xml:space="preserve">Área</t>
  </si>
  <si>
    <t xml:space="preserve">km²</t>
  </si>
  <si>
    <t xml:space="preserve">Bo</t>
  </si>
  <si>
    <t xml:space="preserve">rb/stb</t>
  </si>
  <si>
    <t xml:space="preserve">Factor de recuperación</t>
  </si>
  <si>
    <t xml:space="preserve">Perfil sintético de pozo (datos de ejemplo)</t>
  </si>
  <si>
    <t xml:space="preserve">Profundidad (m)</t>
  </si>
  <si>
    <t xml:space="preserve">Vsh</t>
  </si>
  <si>
    <t xml:space="preserve">PHIE</t>
  </si>
  <si>
    <t xml:space="preserve">Sw</t>
  </si>
  <si>
    <t xml:space="preserve">Pasa cortes (1/0)</t>
  </si>
  <si>
    <t xml:space="preserve">Espesor neto (m)</t>
  </si>
  <si>
    <t xml:space="preserve">Resultados determinísticos</t>
  </si>
  <si>
    <t xml:space="preserve">Indicador</t>
  </si>
  <si>
    <t xml:space="preserve">Espesor bruto</t>
  </si>
  <si>
    <t xml:space="preserve">Espesor neto (net pay)</t>
  </si>
  <si>
    <t xml:space="preserve">Net-to-gross</t>
  </si>
  <si>
    <t xml:space="preserve">PHIE media neta</t>
  </si>
  <si>
    <t xml:space="preserve">Sw media neta</t>
  </si>
  <si>
    <t xml:space="preserve">STOIIP</t>
  </si>
  <si>
    <t xml:space="preserve">MMstb</t>
  </si>
  <si>
    <t xml:space="preserve">Recursos recuperables</t>
  </si>
  <si>
    <t xml:space="preserve">STOIIP = 7758 · A(acres) · h · φ · (1−Sw) / Bo. 1 km² = 247,105 acres. Net pay = espesor que cumple los tres cortes.</t>
  </si>
  <si>
    <t xml:space="preserve">Escenarios de cortes y rango P90 / P50 / P10</t>
  </si>
  <si>
    <t xml:space="preserve">Escenario</t>
  </si>
  <si>
    <t xml:space="preserve">Vsh máx</t>
  </si>
  <si>
    <t xml:space="preserve">PHIE mín</t>
  </si>
  <si>
    <t xml:space="preserve">Sw máx</t>
  </si>
  <si>
    <t xml:space="preserve">Net pay (m)</t>
  </si>
  <si>
    <t xml:space="preserve">PHIE neta</t>
  </si>
  <si>
    <t xml:space="preserve">Sw neta</t>
  </si>
  <si>
    <t xml:space="preserve">STOIIP (MMstb)</t>
  </si>
  <si>
    <t xml:space="preserve">Δ vs. base</t>
  </si>
  <si>
    <t xml:space="preserve">Base (Parametros)</t>
  </si>
  <si>
    <t xml:space="preserve">Conservador</t>
  </si>
  <si>
    <t xml:space="preserve">Optimista</t>
  </si>
  <si>
    <t xml:space="preserve">Rango por incertidumbre de parámetros (extremos = P90/P10, centro = P50 aproximado)</t>
  </si>
  <si>
    <t xml:space="preserve">Caso</t>
  </si>
  <si>
    <t xml:space="preserve">Área (km²)</t>
  </si>
  <si>
    <t xml:space="preserve">P90 (bajo)</t>
  </si>
  <si>
    <t xml:space="preserve">P50 (medio)</t>
  </si>
  <si>
    <t xml:space="preserve">P10 (alto)</t>
  </si>
  <si>
    <t xml:space="preserve">Los P90/P50/P10 de este bloque son escenarios determinísticos para practicar; un P90/P50/P10 estadístico sale de una simulación Monte Carlo (ver la lección del curso).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</si>
</sst>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.000"/>
    <numFmt numFmtId="168" formatCode="General"/>
    <numFmt numFmtId="169" formatCode="#,##0.0"/>
    <numFmt numFmtId="170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0.4</v>
      </c>
      <c r="C5" s="2" t="s">
        <v>6</v>
      </c>
    </row>
    <row r="6" customFormat="false" ht="15" hidden="false" customHeight="false" outlineLevel="0" collapsed="false">
      <c r="A6" s="0" t="s">
        <v>7</v>
      </c>
      <c r="B6" s="4" t="n">
        <v>0.06</v>
      </c>
      <c r="C6" s="2" t="s">
        <v>6</v>
      </c>
    </row>
    <row r="7" customFormat="false" ht="15" hidden="false" customHeight="false" outlineLevel="0" collapsed="false">
      <c r="A7" s="0" t="s">
        <v>8</v>
      </c>
      <c r="B7" s="4" t="n">
        <v>0.6</v>
      </c>
      <c r="C7" s="2" t="s">
        <v>6</v>
      </c>
    </row>
    <row r="8" customFormat="false" ht="15" hidden="false" customHeight="false" outlineLevel="0" collapsed="false">
      <c r="A8" s="0" t="s">
        <v>9</v>
      </c>
      <c r="B8" s="5" t="n">
        <v>0.5</v>
      </c>
      <c r="C8" s="2" t="s">
        <v>10</v>
      </c>
    </row>
    <row r="9" customFormat="false" ht="15" hidden="false" customHeight="false" outlineLevel="0" collapsed="false">
      <c r="A9" s="0" t="s">
        <v>11</v>
      </c>
      <c r="B9" s="5" t="n">
        <v>40</v>
      </c>
      <c r="C9" s="2" t="s">
        <v>12</v>
      </c>
    </row>
    <row r="10" customFormat="false" ht="15" hidden="false" customHeight="false" outlineLevel="0" collapsed="false">
      <c r="A10" s="0" t="s">
        <v>13</v>
      </c>
      <c r="B10" s="4" t="n">
        <v>1.35</v>
      </c>
      <c r="C10" s="2" t="s">
        <v>14</v>
      </c>
    </row>
    <row r="11" customFormat="false" ht="15" hidden="false" customHeight="false" outlineLevel="0" collapsed="false">
      <c r="A11" s="0" t="s">
        <v>15</v>
      </c>
      <c r="B11" s="4" t="n">
        <v>0.08</v>
      </c>
      <c r="C1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customFormat="false" ht="15" hidden="false" customHeight="false" outlineLevel="0" collapsed="false">
      <c r="A5" s="0" t="n">
        <v>2400</v>
      </c>
      <c r="B5" s="6" t="n">
        <v>0.215</v>
      </c>
      <c r="C5" s="6" t="n">
        <v>0.074</v>
      </c>
      <c r="D5" s="6" t="n">
        <v>0.429</v>
      </c>
      <c r="E5" s="7" t="n">
        <f aca="false">IF(AND(B5&lt;=Parametros!$B$5,C5&gt;=Parametros!$B$6,D5&lt;=Parametros!$B$7),1,0)</f>
        <v>1</v>
      </c>
      <c r="F5" s="8" t="n">
        <f aca="false">E5*Parametros!$B$8</f>
        <v>0.5</v>
      </c>
    </row>
    <row r="6" customFormat="false" ht="15" hidden="false" customHeight="false" outlineLevel="0" collapsed="false">
      <c r="A6" s="0" t="n">
        <v>2400.5</v>
      </c>
      <c r="B6" s="6" t="n">
        <v>0.198</v>
      </c>
      <c r="C6" s="6" t="n">
        <v>0.087</v>
      </c>
      <c r="D6" s="6" t="n">
        <v>0.349</v>
      </c>
      <c r="E6" s="7" t="n">
        <f aca="false">IF(AND(B6&lt;=Parametros!$B$5,C6&gt;=Parametros!$B$6,D6&lt;=Parametros!$B$7),1,0)</f>
        <v>1</v>
      </c>
      <c r="F6" s="8" t="n">
        <f aca="false">E6*Parametros!$B$8</f>
        <v>0.5</v>
      </c>
    </row>
    <row r="7" customFormat="false" ht="15" hidden="false" customHeight="false" outlineLevel="0" collapsed="false">
      <c r="A7" s="0" t="n">
        <v>2401</v>
      </c>
      <c r="B7" s="6" t="n">
        <v>0.228</v>
      </c>
      <c r="C7" s="6" t="n">
        <v>0.083</v>
      </c>
      <c r="D7" s="6" t="n">
        <v>0.313</v>
      </c>
      <c r="E7" s="7" t="n">
        <f aca="false">IF(AND(B7&lt;=Parametros!$B$5,C7&gt;=Parametros!$B$6,D7&lt;=Parametros!$B$7),1,0)</f>
        <v>1</v>
      </c>
      <c r="F7" s="8" t="n">
        <f aca="false">E7*Parametros!$B$8</f>
        <v>0.5</v>
      </c>
    </row>
    <row r="8" customFormat="false" ht="15" hidden="false" customHeight="false" outlineLevel="0" collapsed="false">
      <c r="A8" s="0" t="n">
        <v>2401.5</v>
      </c>
      <c r="B8" s="6" t="n">
        <v>0.335</v>
      </c>
      <c r="C8" s="6" t="n">
        <v>0.057</v>
      </c>
      <c r="D8" s="6" t="n">
        <v>0.435</v>
      </c>
      <c r="E8" s="7" t="n">
        <f aca="false">IF(AND(B8&lt;=Parametros!$B$5,C8&gt;=Parametros!$B$6,D8&lt;=Parametros!$B$7),1,0)</f>
        <v>0</v>
      </c>
      <c r="F8" s="8" t="n">
        <f aca="false">E8*Parametros!$B$8</f>
        <v>0</v>
      </c>
    </row>
    <row r="9" customFormat="false" ht="15" hidden="false" customHeight="false" outlineLevel="0" collapsed="false">
      <c r="A9" s="0" t="n">
        <v>2402</v>
      </c>
      <c r="B9" s="6" t="n">
        <v>0.364</v>
      </c>
      <c r="C9" s="6" t="n">
        <v>0.076</v>
      </c>
      <c r="D9" s="6" t="n">
        <v>0.457</v>
      </c>
      <c r="E9" s="7" t="n">
        <f aca="false">IF(AND(B9&lt;=Parametros!$B$5,C9&gt;=Parametros!$B$6,D9&lt;=Parametros!$B$7),1,0)</f>
        <v>1</v>
      </c>
      <c r="F9" s="8" t="n">
        <f aca="false">E9*Parametros!$B$8</f>
        <v>0.5</v>
      </c>
    </row>
    <row r="10" customFormat="false" ht="15" hidden="false" customHeight="false" outlineLevel="0" collapsed="false">
      <c r="A10" s="0" t="n">
        <v>2402.5</v>
      </c>
      <c r="B10" s="6" t="n">
        <v>0.353</v>
      </c>
      <c r="C10" s="6" t="n">
        <v>0.071</v>
      </c>
      <c r="D10" s="6" t="n">
        <v>0.614</v>
      </c>
      <c r="E10" s="7" t="n">
        <f aca="false">IF(AND(B10&lt;=Parametros!$B$5,C10&gt;=Parametros!$B$6,D10&lt;=Parametros!$B$7),1,0)</f>
        <v>0</v>
      </c>
      <c r="F10" s="8" t="n">
        <f aca="false">E10*Parametros!$B$8</f>
        <v>0</v>
      </c>
    </row>
    <row r="11" customFormat="false" ht="15" hidden="false" customHeight="false" outlineLevel="0" collapsed="false">
      <c r="A11" s="0" t="n">
        <v>2403</v>
      </c>
      <c r="B11" s="6" t="n">
        <v>0.451</v>
      </c>
      <c r="C11" s="6" t="n">
        <v>0.053</v>
      </c>
      <c r="D11" s="6" t="n">
        <v>0.719</v>
      </c>
      <c r="E11" s="7" t="n">
        <f aca="false">IF(AND(B11&lt;=Parametros!$B$5,C11&gt;=Parametros!$B$6,D11&lt;=Parametros!$B$7),1,0)</f>
        <v>0</v>
      </c>
      <c r="F11" s="8" t="n">
        <f aca="false">E11*Parametros!$B$8</f>
        <v>0</v>
      </c>
    </row>
    <row r="12" customFormat="false" ht="15" hidden="false" customHeight="false" outlineLevel="0" collapsed="false">
      <c r="A12" s="0" t="n">
        <v>2403.5</v>
      </c>
      <c r="B12" s="6" t="n">
        <v>0.37</v>
      </c>
      <c r="C12" s="6" t="n">
        <v>0.076</v>
      </c>
      <c r="D12" s="6" t="n">
        <v>0.495</v>
      </c>
      <c r="E12" s="7" t="n">
        <f aca="false">IF(AND(B12&lt;=Parametros!$B$5,C12&gt;=Parametros!$B$6,D12&lt;=Parametros!$B$7),1,0)</f>
        <v>1</v>
      </c>
      <c r="F12" s="8" t="n">
        <f aca="false">E12*Parametros!$B$8</f>
        <v>0.5</v>
      </c>
    </row>
    <row r="13" customFormat="false" ht="15" hidden="false" customHeight="false" outlineLevel="0" collapsed="false">
      <c r="A13" s="0" t="n">
        <v>2404</v>
      </c>
      <c r="B13" s="6" t="n">
        <v>0.412</v>
      </c>
      <c r="C13" s="6" t="n">
        <v>0.049</v>
      </c>
      <c r="D13" s="6" t="n">
        <v>0.553</v>
      </c>
      <c r="E13" s="7" t="n">
        <f aca="false">IF(AND(B13&lt;=Parametros!$B$5,C13&gt;=Parametros!$B$6,D13&lt;=Parametros!$B$7),1,0)</f>
        <v>0</v>
      </c>
      <c r="F13" s="8" t="n">
        <f aca="false">E13*Parametros!$B$8</f>
        <v>0</v>
      </c>
    </row>
    <row r="14" customFormat="false" ht="15" hidden="false" customHeight="false" outlineLevel="0" collapsed="false">
      <c r="A14" s="0" t="n">
        <v>2404.5</v>
      </c>
      <c r="B14" s="6" t="n">
        <v>0.566</v>
      </c>
      <c r="C14" s="6" t="n">
        <v>0.033</v>
      </c>
      <c r="D14" s="6" t="n">
        <v>0.756</v>
      </c>
      <c r="E14" s="7" t="n">
        <f aca="false">IF(AND(B14&lt;=Parametros!$B$5,C14&gt;=Parametros!$B$6,D14&lt;=Parametros!$B$7),1,0)</f>
        <v>0</v>
      </c>
      <c r="F14" s="8" t="n">
        <f aca="false">E14*Parametros!$B$8</f>
        <v>0</v>
      </c>
    </row>
    <row r="15" customFormat="false" ht="15" hidden="false" customHeight="false" outlineLevel="0" collapsed="false">
      <c r="A15" s="0" t="n">
        <v>2405</v>
      </c>
      <c r="B15" s="6" t="n">
        <v>0.547</v>
      </c>
      <c r="C15" s="6" t="n">
        <v>0.041</v>
      </c>
      <c r="D15" s="6" t="n">
        <v>0.727</v>
      </c>
      <c r="E15" s="7" t="n">
        <f aca="false">IF(AND(B15&lt;=Parametros!$B$5,C15&gt;=Parametros!$B$6,D15&lt;=Parametros!$B$7),1,0)</f>
        <v>0</v>
      </c>
      <c r="F15" s="8" t="n">
        <f aca="false">E15*Parametros!$B$8</f>
        <v>0</v>
      </c>
    </row>
    <row r="16" customFormat="false" ht="15" hidden="false" customHeight="false" outlineLevel="0" collapsed="false">
      <c r="A16" s="0" t="n">
        <v>2405.5</v>
      </c>
      <c r="B16" s="6" t="n">
        <v>0.445</v>
      </c>
      <c r="C16" s="6" t="n">
        <v>0.043</v>
      </c>
      <c r="D16" s="6" t="n">
        <v>0.565</v>
      </c>
      <c r="E16" s="7" t="n">
        <f aca="false">IF(AND(B16&lt;=Parametros!$B$5,C16&gt;=Parametros!$B$6,D16&lt;=Parametros!$B$7),1,0)</f>
        <v>0</v>
      </c>
      <c r="F16" s="8" t="n">
        <f aca="false">E16*Parametros!$B$8</f>
        <v>0</v>
      </c>
    </row>
    <row r="17" customFormat="false" ht="15" hidden="false" customHeight="false" outlineLevel="0" collapsed="false">
      <c r="A17" s="0" t="n">
        <v>2406</v>
      </c>
      <c r="B17" s="6" t="n">
        <v>0.578</v>
      </c>
      <c r="C17" s="6" t="n">
        <v>0.039</v>
      </c>
      <c r="D17" s="6" t="n">
        <v>0.71</v>
      </c>
      <c r="E17" s="7" t="n">
        <f aca="false">IF(AND(B17&lt;=Parametros!$B$5,C17&gt;=Parametros!$B$6,D17&lt;=Parametros!$B$7),1,0)</f>
        <v>0</v>
      </c>
      <c r="F17" s="8" t="n">
        <f aca="false">E17*Parametros!$B$8</f>
        <v>0</v>
      </c>
    </row>
    <row r="18" customFormat="false" ht="15" hidden="false" customHeight="false" outlineLevel="0" collapsed="false">
      <c r="A18" s="0" t="n">
        <v>2406.5</v>
      </c>
      <c r="B18" s="6" t="n">
        <v>0.565</v>
      </c>
      <c r="C18" s="6" t="n">
        <v>0.041</v>
      </c>
      <c r="D18" s="6" t="n">
        <v>0.694</v>
      </c>
      <c r="E18" s="7" t="n">
        <f aca="false">IF(AND(B18&lt;=Parametros!$B$5,C18&gt;=Parametros!$B$6,D18&lt;=Parametros!$B$7),1,0)</f>
        <v>0</v>
      </c>
      <c r="F18" s="8" t="n">
        <f aca="false">E18*Parametros!$B$8</f>
        <v>0</v>
      </c>
    </row>
    <row r="19" customFormat="false" ht="15" hidden="false" customHeight="false" outlineLevel="0" collapsed="false">
      <c r="A19" s="0" t="n">
        <v>2407</v>
      </c>
      <c r="B19" s="6" t="n">
        <v>0.609</v>
      </c>
      <c r="C19" s="6" t="n">
        <v>0.043</v>
      </c>
      <c r="D19" s="6" t="n">
        <v>0.721</v>
      </c>
      <c r="E19" s="7" t="n">
        <f aca="false">IF(AND(B19&lt;=Parametros!$B$5,C19&gt;=Parametros!$B$6,D19&lt;=Parametros!$B$7),1,0)</f>
        <v>0</v>
      </c>
      <c r="F19" s="8" t="n">
        <f aca="false">E19*Parametros!$B$8</f>
        <v>0</v>
      </c>
    </row>
    <row r="20" customFormat="false" ht="15" hidden="false" customHeight="false" outlineLevel="0" collapsed="false">
      <c r="A20" s="0" t="n">
        <v>2407.5</v>
      </c>
      <c r="B20" s="6" t="n">
        <v>0.564</v>
      </c>
      <c r="C20" s="6" t="n">
        <v>0.043</v>
      </c>
      <c r="D20" s="6" t="n">
        <v>0.806</v>
      </c>
      <c r="E20" s="7" t="n">
        <f aca="false">IF(AND(B20&lt;=Parametros!$B$5,C20&gt;=Parametros!$B$6,D20&lt;=Parametros!$B$7),1,0)</f>
        <v>0</v>
      </c>
      <c r="F20" s="8" t="n">
        <f aca="false">E20*Parametros!$B$8</f>
        <v>0</v>
      </c>
    </row>
    <row r="21" customFormat="false" ht="15" hidden="false" customHeight="false" outlineLevel="0" collapsed="false">
      <c r="A21" s="0" t="n">
        <v>2408</v>
      </c>
      <c r="B21" s="6" t="n">
        <v>0.589</v>
      </c>
      <c r="C21" s="6" t="n">
        <v>0.033</v>
      </c>
      <c r="D21" s="6" t="n">
        <v>0.857</v>
      </c>
      <c r="E21" s="7" t="n">
        <f aca="false">IF(AND(B21&lt;=Parametros!$B$5,C21&gt;=Parametros!$B$6,D21&lt;=Parametros!$B$7),1,0)</f>
        <v>0</v>
      </c>
      <c r="F21" s="8" t="n">
        <f aca="false">E21*Parametros!$B$8</f>
        <v>0</v>
      </c>
    </row>
    <row r="22" customFormat="false" ht="15" hidden="false" customHeight="false" outlineLevel="0" collapsed="false">
      <c r="A22" s="0" t="n">
        <v>2408.5</v>
      </c>
      <c r="B22" s="6" t="n">
        <v>0.459</v>
      </c>
      <c r="C22" s="6" t="n">
        <v>0.053</v>
      </c>
      <c r="D22" s="6" t="n">
        <v>0.683</v>
      </c>
      <c r="E22" s="7" t="n">
        <f aca="false">IF(AND(B22&lt;=Parametros!$B$5,C22&gt;=Parametros!$B$6,D22&lt;=Parametros!$B$7),1,0)</f>
        <v>0</v>
      </c>
      <c r="F22" s="8" t="n">
        <f aca="false">E22*Parametros!$B$8</f>
        <v>0</v>
      </c>
    </row>
    <row r="23" customFormat="false" ht="15" hidden="false" customHeight="false" outlineLevel="0" collapsed="false">
      <c r="A23" s="0" t="n">
        <v>2409</v>
      </c>
      <c r="B23" s="6" t="n">
        <v>0.453</v>
      </c>
      <c r="C23" s="6" t="n">
        <v>0.055</v>
      </c>
      <c r="D23" s="6" t="n">
        <v>0.533</v>
      </c>
      <c r="E23" s="7" t="n">
        <f aca="false">IF(AND(B23&lt;=Parametros!$B$5,C23&gt;=Parametros!$B$6,D23&lt;=Parametros!$B$7),1,0)</f>
        <v>0</v>
      </c>
      <c r="F23" s="8" t="n">
        <f aca="false">E23*Parametros!$B$8</f>
        <v>0</v>
      </c>
    </row>
    <row r="24" customFormat="false" ht="15" hidden="false" customHeight="false" outlineLevel="0" collapsed="false">
      <c r="A24" s="0" t="n">
        <v>2409.5</v>
      </c>
      <c r="B24" s="6" t="n">
        <v>0.541</v>
      </c>
      <c r="C24" s="6" t="n">
        <v>0.053</v>
      </c>
      <c r="D24" s="6" t="n">
        <v>0.72</v>
      </c>
      <c r="E24" s="7" t="n">
        <f aca="false">IF(AND(B24&lt;=Parametros!$B$5,C24&gt;=Parametros!$B$6,D24&lt;=Parametros!$B$7),1,0)</f>
        <v>0</v>
      </c>
      <c r="F24" s="8" t="n">
        <f aca="false">E24*Parametros!$B$8</f>
        <v>0</v>
      </c>
    </row>
    <row r="25" customFormat="false" ht="15" hidden="false" customHeight="false" outlineLevel="0" collapsed="false">
      <c r="A25" s="0" t="n">
        <v>2410</v>
      </c>
      <c r="B25" s="6" t="n">
        <v>0.564</v>
      </c>
      <c r="C25" s="6" t="n">
        <v>0.037</v>
      </c>
      <c r="D25" s="6" t="n">
        <v>0.774</v>
      </c>
      <c r="E25" s="7" t="n">
        <f aca="false">IF(AND(B25&lt;=Parametros!$B$5,C25&gt;=Parametros!$B$6,D25&lt;=Parametros!$B$7),1,0)</f>
        <v>0</v>
      </c>
      <c r="F25" s="8" t="n">
        <f aca="false">E25*Parametros!$B$8</f>
        <v>0</v>
      </c>
    </row>
    <row r="26" customFormat="false" ht="15" hidden="false" customHeight="false" outlineLevel="0" collapsed="false">
      <c r="A26" s="0" t="n">
        <v>2410.5</v>
      </c>
      <c r="B26" s="6" t="n">
        <v>0.486</v>
      </c>
      <c r="C26" s="6" t="n">
        <v>0.054</v>
      </c>
      <c r="D26" s="6" t="n">
        <v>0.646</v>
      </c>
      <c r="E26" s="7" t="n">
        <f aca="false">IF(AND(B26&lt;=Parametros!$B$5,C26&gt;=Parametros!$B$6,D26&lt;=Parametros!$B$7),1,0)</f>
        <v>0</v>
      </c>
      <c r="F26" s="8" t="n">
        <f aca="false">E26*Parametros!$B$8</f>
        <v>0</v>
      </c>
    </row>
    <row r="27" customFormat="false" ht="15" hidden="false" customHeight="false" outlineLevel="0" collapsed="false">
      <c r="A27" s="0" t="n">
        <v>2411</v>
      </c>
      <c r="B27" s="6" t="n">
        <v>0.511</v>
      </c>
      <c r="C27" s="6" t="n">
        <v>0.062</v>
      </c>
      <c r="D27" s="6" t="n">
        <v>0.667</v>
      </c>
      <c r="E27" s="7" t="n">
        <f aca="false">IF(AND(B27&lt;=Parametros!$B$5,C27&gt;=Parametros!$B$6,D27&lt;=Parametros!$B$7),1,0)</f>
        <v>0</v>
      </c>
      <c r="F27" s="8" t="n">
        <f aca="false">E27*Parametros!$B$8</f>
        <v>0</v>
      </c>
    </row>
    <row r="28" customFormat="false" ht="15" hidden="false" customHeight="false" outlineLevel="0" collapsed="false">
      <c r="A28" s="0" t="n">
        <v>2411.5</v>
      </c>
      <c r="B28" s="6" t="n">
        <v>0.449</v>
      </c>
      <c r="C28" s="6" t="n">
        <v>0.043</v>
      </c>
      <c r="D28" s="6" t="n">
        <v>0.668</v>
      </c>
      <c r="E28" s="7" t="n">
        <f aca="false">IF(AND(B28&lt;=Parametros!$B$5,C28&gt;=Parametros!$B$6,D28&lt;=Parametros!$B$7),1,0)</f>
        <v>0</v>
      </c>
      <c r="F28" s="8" t="n">
        <f aca="false">E28*Parametros!$B$8</f>
        <v>0</v>
      </c>
    </row>
    <row r="29" customFormat="false" ht="15" hidden="false" customHeight="false" outlineLevel="0" collapsed="false">
      <c r="A29" s="0" t="n">
        <v>2412</v>
      </c>
      <c r="B29" s="6" t="n">
        <v>0.417</v>
      </c>
      <c r="C29" s="6" t="n">
        <v>0.075</v>
      </c>
      <c r="D29" s="6" t="n">
        <v>0.644</v>
      </c>
      <c r="E29" s="7" t="n">
        <f aca="false">IF(AND(B29&lt;=Parametros!$B$5,C29&gt;=Parametros!$B$6,D29&lt;=Parametros!$B$7),1,0)</f>
        <v>0</v>
      </c>
      <c r="F29" s="8" t="n">
        <f aca="false">E29*Parametros!$B$8</f>
        <v>0</v>
      </c>
    </row>
    <row r="30" customFormat="false" ht="15" hidden="false" customHeight="false" outlineLevel="0" collapsed="false">
      <c r="A30" s="0" t="n">
        <v>2412.5</v>
      </c>
      <c r="B30" s="6" t="n">
        <v>0.314</v>
      </c>
      <c r="C30" s="6" t="n">
        <v>0.069</v>
      </c>
      <c r="D30" s="6" t="n">
        <v>0.525</v>
      </c>
      <c r="E30" s="7" t="n">
        <f aca="false">IF(AND(B30&lt;=Parametros!$B$5,C30&gt;=Parametros!$B$6,D30&lt;=Parametros!$B$7),1,0)</f>
        <v>1</v>
      </c>
      <c r="F30" s="8" t="n">
        <f aca="false">E30*Parametros!$B$8</f>
        <v>0.5</v>
      </c>
    </row>
    <row r="31" customFormat="false" ht="15" hidden="false" customHeight="false" outlineLevel="0" collapsed="false">
      <c r="A31" s="0" t="n">
        <v>2413</v>
      </c>
      <c r="B31" s="6" t="n">
        <v>0.23</v>
      </c>
      <c r="C31" s="6" t="n">
        <v>0.081</v>
      </c>
      <c r="D31" s="6" t="n">
        <v>0.341</v>
      </c>
      <c r="E31" s="7" t="n">
        <f aca="false">IF(AND(B31&lt;=Parametros!$B$5,C31&gt;=Parametros!$B$6,D31&lt;=Parametros!$B$7),1,0)</f>
        <v>1</v>
      </c>
      <c r="F31" s="8" t="n">
        <f aca="false">E31*Parametros!$B$8</f>
        <v>0.5</v>
      </c>
    </row>
    <row r="32" customFormat="false" ht="15" hidden="false" customHeight="false" outlineLevel="0" collapsed="false">
      <c r="A32" s="0" t="n">
        <v>2413.5</v>
      </c>
      <c r="B32" s="6" t="n">
        <v>0.216</v>
      </c>
      <c r="C32" s="6" t="n">
        <v>0.071</v>
      </c>
      <c r="D32" s="6" t="n">
        <v>0.455</v>
      </c>
      <c r="E32" s="7" t="n">
        <f aca="false">IF(AND(B32&lt;=Parametros!$B$5,C32&gt;=Parametros!$B$6,D32&lt;=Parametros!$B$7),1,0)</f>
        <v>1</v>
      </c>
      <c r="F32" s="8" t="n">
        <f aca="false">E32*Parametros!$B$8</f>
        <v>0.5</v>
      </c>
    </row>
    <row r="33" customFormat="false" ht="15" hidden="false" customHeight="false" outlineLevel="0" collapsed="false">
      <c r="A33" s="0" t="n">
        <v>2414</v>
      </c>
      <c r="B33" s="6" t="n">
        <v>0.185</v>
      </c>
      <c r="C33" s="6" t="n">
        <v>0.08</v>
      </c>
      <c r="D33" s="6" t="n">
        <v>0.347</v>
      </c>
      <c r="E33" s="7" t="n">
        <f aca="false">IF(AND(B33&lt;=Parametros!$B$5,C33&gt;=Parametros!$B$6,D33&lt;=Parametros!$B$7),1,0)</f>
        <v>1</v>
      </c>
      <c r="F33" s="8" t="n">
        <f aca="false">E33*Parametros!$B$8</f>
        <v>0.5</v>
      </c>
    </row>
    <row r="34" customFormat="false" ht="15" hidden="false" customHeight="false" outlineLevel="0" collapsed="false">
      <c r="A34" s="0" t="n">
        <v>2414.5</v>
      </c>
      <c r="B34" s="6" t="n">
        <v>0.3</v>
      </c>
      <c r="C34" s="6" t="n">
        <v>0.061</v>
      </c>
      <c r="D34" s="6" t="n">
        <v>0.473</v>
      </c>
      <c r="E34" s="7" t="n">
        <f aca="false">IF(AND(B34&lt;=Parametros!$B$5,C34&gt;=Parametros!$B$6,D34&lt;=Parametros!$B$7),1,0)</f>
        <v>1</v>
      </c>
      <c r="F34" s="8" t="n">
        <f aca="false">E34*Parametros!$B$8</f>
        <v>0.5</v>
      </c>
    </row>
    <row r="35" customFormat="false" ht="15" hidden="false" customHeight="false" outlineLevel="0" collapsed="false">
      <c r="A35" s="0" t="n">
        <v>2415</v>
      </c>
      <c r="B35" s="6" t="n">
        <v>0.203</v>
      </c>
      <c r="C35" s="6" t="n">
        <v>0.097</v>
      </c>
      <c r="D35" s="6" t="n">
        <v>0.438</v>
      </c>
      <c r="E35" s="7" t="n">
        <f aca="false">IF(AND(B35&lt;=Parametros!$B$5,C35&gt;=Parametros!$B$6,D35&lt;=Parametros!$B$7),1,0)</f>
        <v>1</v>
      </c>
      <c r="F35" s="8" t="n">
        <f aca="false">E35*Parametros!$B$8</f>
        <v>0.5</v>
      </c>
    </row>
    <row r="36" customFormat="false" ht="15" hidden="false" customHeight="false" outlineLevel="0" collapsed="false">
      <c r="A36" s="0" t="n">
        <v>2415.5</v>
      </c>
      <c r="B36" s="6" t="n">
        <v>0.233</v>
      </c>
      <c r="C36" s="6" t="n">
        <v>0.075</v>
      </c>
      <c r="D36" s="6" t="n">
        <v>0.398</v>
      </c>
      <c r="E36" s="7" t="n">
        <f aca="false">IF(AND(B36&lt;=Parametros!$B$5,C36&gt;=Parametros!$B$6,D36&lt;=Parametros!$B$7),1,0)</f>
        <v>1</v>
      </c>
      <c r="F36" s="8" t="n">
        <f aca="false">E36*Parametros!$B$8</f>
        <v>0.5</v>
      </c>
    </row>
    <row r="37" customFormat="false" ht="15" hidden="false" customHeight="false" outlineLevel="0" collapsed="false">
      <c r="A37" s="0" t="n">
        <v>2416</v>
      </c>
      <c r="B37" s="6" t="n">
        <v>0.101</v>
      </c>
      <c r="C37" s="6" t="n">
        <v>0.109</v>
      </c>
      <c r="D37" s="6" t="n">
        <v>0.367</v>
      </c>
      <c r="E37" s="7" t="n">
        <f aca="false">IF(AND(B37&lt;=Parametros!$B$5,C37&gt;=Parametros!$B$6,D37&lt;=Parametros!$B$7),1,0)</f>
        <v>1</v>
      </c>
      <c r="F37" s="8" t="n">
        <f aca="false">E37*Parametros!$B$8</f>
        <v>0.5</v>
      </c>
    </row>
    <row r="38" customFormat="false" ht="15" hidden="false" customHeight="false" outlineLevel="0" collapsed="false">
      <c r="A38" s="0" t="n">
        <v>2416.5</v>
      </c>
      <c r="B38" s="6" t="n">
        <v>0.03</v>
      </c>
      <c r="C38" s="6" t="n">
        <v>0.097</v>
      </c>
      <c r="D38" s="6" t="n">
        <v>0.165</v>
      </c>
      <c r="E38" s="7" t="n">
        <f aca="false">IF(AND(B38&lt;=Parametros!$B$5,C38&gt;=Parametros!$B$6,D38&lt;=Parametros!$B$7),1,0)</f>
        <v>1</v>
      </c>
      <c r="F38" s="8" t="n">
        <f aca="false">E38*Parametros!$B$8</f>
        <v>0.5</v>
      </c>
    </row>
    <row r="39" customFormat="false" ht="15" hidden="false" customHeight="false" outlineLevel="0" collapsed="false">
      <c r="A39" s="0" t="n">
        <v>2417</v>
      </c>
      <c r="B39" s="6" t="n">
        <v>0.03</v>
      </c>
      <c r="C39" s="6" t="n">
        <v>0.106</v>
      </c>
      <c r="D39" s="6" t="n">
        <v>0.231</v>
      </c>
      <c r="E39" s="7" t="n">
        <f aca="false">IF(AND(B39&lt;=Parametros!$B$5,C39&gt;=Parametros!$B$6,D39&lt;=Parametros!$B$7),1,0)</f>
        <v>1</v>
      </c>
      <c r="F39" s="8" t="n">
        <f aca="false">E39*Parametros!$B$8</f>
        <v>0.5</v>
      </c>
    </row>
    <row r="40" customFormat="false" ht="15" hidden="false" customHeight="false" outlineLevel="0" collapsed="false">
      <c r="A40" s="0" t="n">
        <v>2417.5</v>
      </c>
      <c r="B40" s="6" t="n">
        <v>0.03</v>
      </c>
      <c r="C40" s="6" t="n">
        <v>0.092</v>
      </c>
      <c r="D40" s="6" t="n">
        <v>0.206</v>
      </c>
      <c r="E40" s="7" t="n">
        <f aca="false">IF(AND(B40&lt;=Parametros!$B$5,C40&gt;=Parametros!$B$6,D40&lt;=Parametros!$B$7),1,0)</f>
        <v>1</v>
      </c>
      <c r="F40" s="8" t="n">
        <f aca="false">E40*Parametros!$B$8</f>
        <v>0.5</v>
      </c>
    </row>
    <row r="41" customFormat="false" ht="15" hidden="false" customHeight="false" outlineLevel="0" collapsed="false">
      <c r="A41" s="0" t="n">
        <v>2418</v>
      </c>
      <c r="B41" s="6" t="n">
        <v>0.03</v>
      </c>
      <c r="C41" s="6" t="n">
        <v>0.108</v>
      </c>
      <c r="D41" s="6" t="n">
        <v>0.303</v>
      </c>
      <c r="E41" s="7" t="n">
        <f aca="false">IF(AND(B41&lt;=Parametros!$B$5,C41&gt;=Parametros!$B$6,D41&lt;=Parametros!$B$7),1,0)</f>
        <v>1</v>
      </c>
      <c r="F41" s="8" t="n">
        <f aca="false">E41*Parametros!$B$8</f>
        <v>0.5</v>
      </c>
    </row>
    <row r="42" customFormat="false" ht="15" hidden="false" customHeight="false" outlineLevel="0" collapsed="false">
      <c r="A42" s="0" t="n">
        <v>2418.5</v>
      </c>
      <c r="B42" s="6" t="n">
        <v>0.041</v>
      </c>
      <c r="C42" s="6" t="n">
        <v>0.106</v>
      </c>
      <c r="D42" s="6" t="n">
        <v>0.247</v>
      </c>
      <c r="E42" s="7" t="n">
        <f aca="false">IF(AND(B42&lt;=Parametros!$B$5,C42&gt;=Parametros!$B$6,D42&lt;=Parametros!$B$7),1,0)</f>
        <v>1</v>
      </c>
      <c r="F42" s="8" t="n">
        <f aca="false">E42*Parametros!$B$8</f>
        <v>0.5</v>
      </c>
    </row>
    <row r="43" customFormat="false" ht="15" hidden="false" customHeight="false" outlineLevel="0" collapsed="false">
      <c r="A43" s="0" t="n">
        <v>2419</v>
      </c>
      <c r="B43" s="6" t="n">
        <v>0.03</v>
      </c>
      <c r="C43" s="6" t="n">
        <v>0.093</v>
      </c>
      <c r="D43" s="6" t="n">
        <v>0.301</v>
      </c>
      <c r="E43" s="7" t="n">
        <f aca="false">IF(AND(B43&lt;=Parametros!$B$5,C43&gt;=Parametros!$B$6,D43&lt;=Parametros!$B$7),1,0)</f>
        <v>1</v>
      </c>
      <c r="F43" s="8" t="n">
        <f aca="false">E43*Parametros!$B$8</f>
        <v>0.5</v>
      </c>
    </row>
    <row r="44" customFormat="false" ht="15" hidden="false" customHeight="false" outlineLevel="0" collapsed="false">
      <c r="A44" s="0" t="n">
        <v>2419.5</v>
      </c>
      <c r="B44" s="6" t="n">
        <v>0.03</v>
      </c>
      <c r="C44" s="6" t="n">
        <v>0.118</v>
      </c>
      <c r="D44" s="6" t="n">
        <v>0.266</v>
      </c>
      <c r="E44" s="7" t="n">
        <f aca="false">IF(AND(B44&lt;=Parametros!$B$5,C44&gt;=Parametros!$B$6,D44&lt;=Parametros!$B$7),1,0)</f>
        <v>1</v>
      </c>
      <c r="F44" s="8" t="n">
        <f aca="false">E44*Parametros!$B$8</f>
        <v>0.5</v>
      </c>
    </row>
    <row r="45" customFormat="false" ht="15" hidden="false" customHeight="false" outlineLevel="0" collapsed="false">
      <c r="A45" s="0" t="n">
        <v>2420</v>
      </c>
      <c r="B45" s="6" t="n">
        <v>0.03</v>
      </c>
      <c r="C45" s="6" t="n">
        <v>0.103</v>
      </c>
      <c r="D45" s="6" t="n">
        <v>0.15</v>
      </c>
      <c r="E45" s="7" t="n">
        <f aca="false">IF(AND(B45&lt;=Parametros!$B$5,C45&gt;=Parametros!$B$6,D45&lt;=Parametros!$B$7),1,0)</f>
        <v>1</v>
      </c>
      <c r="F45" s="8" t="n">
        <f aca="false">E45*Parametros!$B$8</f>
        <v>0.5</v>
      </c>
    </row>
    <row r="46" customFormat="false" ht="15" hidden="false" customHeight="false" outlineLevel="0" collapsed="false">
      <c r="A46" s="0" t="n">
        <v>2420.5</v>
      </c>
      <c r="B46" s="6" t="n">
        <v>0.03</v>
      </c>
      <c r="C46" s="6" t="n">
        <v>0.093</v>
      </c>
      <c r="D46" s="6" t="n">
        <v>0.15</v>
      </c>
      <c r="E46" s="7" t="n">
        <f aca="false">IF(AND(B46&lt;=Parametros!$B$5,C46&gt;=Parametros!$B$6,D46&lt;=Parametros!$B$7),1,0)</f>
        <v>1</v>
      </c>
      <c r="F46" s="8" t="n">
        <f aca="false">E46*Parametros!$B$8</f>
        <v>0.5</v>
      </c>
    </row>
    <row r="47" customFormat="false" ht="15" hidden="false" customHeight="false" outlineLevel="0" collapsed="false">
      <c r="A47" s="0" t="n">
        <v>2421</v>
      </c>
      <c r="B47" s="6" t="n">
        <v>0.03</v>
      </c>
      <c r="C47" s="6" t="n">
        <v>0.096</v>
      </c>
      <c r="D47" s="6" t="n">
        <v>0.187</v>
      </c>
      <c r="E47" s="7" t="n">
        <f aca="false">IF(AND(B47&lt;=Parametros!$B$5,C47&gt;=Parametros!$B$6,D47&lt;=Parametros!$B$7),1,0)</f>
        <v>1</v>
      </c>
      <c r="F47" s="8" t="n">
        <f aca="false">E47*Parametros!$B$8</f>
        <v>0.5</v>
      </c>
    </row>
    <row r="48" customFormat="false" ht="15" hidden="false" customHeight="false" outlineLevel="0" collapsed="false">
      <c r="A48" s="0" t="n">
        <v>2421.5</v>
      </c>
      <c r="B48" s="6" t="n">
        <v>0.03</v>
      </c>
      <c r="C48" s="6" t="n">
        <v>0.091</v>
      </c>
      <c r="D48" s="6" t="n">
        <v>0.152</v>
      </c>
      <c r="E48" s="7" t="n">
        <f aca="false">IF(AND(B48&lt;=Parametros!$B$5,C48&gt;=Parametros!$B$6,D48&lt;=Parametros!$B$7),1,0)</f>
        <v>1</v>
      </c>
      <c r="F48" s="8" t="n">
        <f aca="false">E48*Parametros!$B$8</f>
        <v>0.5</v>
      </c>
    </row>
    <row r="49" customFormat="false" ht="15" hidden="false" customHeight="false" outlineLevel="0" collapsed="false">
      <c r="A49" s="0" t="n">
        <v>2422</v>
      </c>
      <c r="B49" s="6" t="n">
        <v>0.03</v>
      </c>
      <c r="C49" s="6" t="n">
        <v>0.102</v>
      </c>
      <c r="D49" s="6" t="n">
        <v>0.15</v>
      </c>
      <c r="E49" s="7" t="n">
        <f aca="false">IF(AND(B49&lt;=Parametros!$B$5,C49&gt;=Parametros!$B$6,D49&lt;=Parametros!$B$7),1,0)</f>
        <v>1</v>
      </c>
      <c r="F49" s="8" t="n">
        <f aca="false">E49*Parametros!$B$8</f>
        <v>0.5</v>
      </c>
    </row>
    <row r="50" customFormat="false" ht="15" hidden="false" customHeight="false" outlineLevel="0" collapsed="false">
      <c r="A50" s="0" t="n">
        <v>2422.5</v>
      </c>
      <c r="B50" s="6" t="n">
        <v>0.037</v>
      </c>
      <c r="C50" s="6" t="n">
        <v>0.109</v>
      </c>
      <c r="D50" s="6" t="n">
        <v>0.15</v>
      </c>
      <c r="E50" s="7" t="n">
        <f aca="false">IF(AND(B50&lt;=Parametros!$B$5,C50&gt;=Parametros!$B$6,D50&lt;=Parametros!$B$7),1,0)</f>
        <v>1</v>
      </c>
      <c r="F50" s="8" t="n">
        <f aca="false">E50*Parametros!$B$8</f>
        <v>0.5</v>
      </c>
    </row>
    <row r="51" customFormat="false" ht="15" hidden="false" customHeight="false" outlineLevel="0" collapsed="false">
      <c r="A51" s="0" t="n">
        <v>2423</v>
      </c>
      <c r="B51" s="6" t="n">
        <v>0.03</v>
      </c>
      <c r="C51" s="6" t="n">
        <v>0.102</v>
      </c>
      <c r="D51" s="6" t="n">
        <v>0.189</v>
      </c>
      <c r="E51" s="7" t="n">
        <f aca="false">IF(AND(B51&lt;=Parametros!$B$5,C51&gt;=Parametros!$B$6,D51&lt;=Parametros!$B$7),1,0)</f>
        <v>1</v>
      </c>
      <c r="F51" s="8" t="n">
        <f aca="false">E51*Parametros!$B$8</f>
        <v>0.5</v>
      </c>
    </row>
    <row r="52" customFormat="false" ht="15" hidden="false" customHeight="false" outlineLevel="0" collapsed="false">
      <c r="A52" s="0" t="n">
        <v>2423.5</v>
      </c>
      <c r="B52" s="6" t="n">
        <v>0.03</v>
      </c>
      <c r="C52" s="6" t="n">
        <v>0.117</v>
      </c>
      <c r="D52" s="6" t="n">
        <v>0.305</v>
      </c>
      <c r="E52" s="7" t="n">
        <f aca="false">IF(AND(B52&lt;=Parametros!$B$5,C52&gt;=Parametros!$B$6,D52&lt;=Parametros!$B$7),1,0)</f>
        <v>1</v>
      </c>
      <c r="F52" s="8" t="n">
        <f aca="false">E52*Parametros!$B$8</f>
        <v>0.5</v>
      </c>
    </row>
    <row r="53" customFormat="false" ht="15" hidden="false" customHeight="false" outlineLevel="0" collapsed="false">
      <c r="A53" s="0" t="n">
        <v>2424</v>
      </c>
      <c r="B53" s="6" t="n">
        <v>0.03</v>
      </c>
      <c r="C53" s="6" t="n">
        <v>0.106</v>
      </c>
      <c r="D53" s="6" t="n">
        <v>0.15</v>
      </c>
      <c r="E53" s="7" t="n">
        <f aca="false">IF(AND(B53&lt;=Parametros!$B$5,C53&gt;=Parametros!$B$6,D53&lt;=Parametros!$B$7),1,0)</f>
        <v>1</v>
      </c>
      <c r="F53" s="8" t="n">
        <f aca="false">E53*Parametros!$B$8</f>
        <v>0.5</v>
      </c>
    </row>
    <row r="54" customFormat="false" ht="15" hidden="false" customHeight="false" outlineLevel="0" collapsed="false">
      <c r="A54" s="0" t="n">
        <v>2424.5</v>
      </c>
      <c r="B54" s="6" t="n">
        <v>0.03</v>
      </c>
      <c r="C54" s="6" t="n">
        <v>0.102</v>
      </c>
      <c r="D54" s="6" t="n">
        <v>0.169</v>
      </c>
      <c r="E54" s="7" t="n">
        <f aca="false">IF(AND(B54&lt;=Parametros!$B$5,C54&gt;=Parametros!$B$6,D54&lt;=Parametros!$B$7),1,0)</f>
        <v>1</v>
      </c>
      <c r="F54" s="8" t="n">
        <f aca="false">E54*Parametros!$B$8</f>
        <v>0.5</v>
      </c>
    </row>
    <row r="55" customFormat="false" ht="15" hidden="false" customHeight="false" outlineLevel="0" collapsed="false">
      <c r="A55" s="0" t="n">
        <v>2425</v>
      </c>
      <c r="B55" s="6" t="n">
        <v>0.116</v>
      </c>
      <c r="C55" s="6" t="n">
        <v>0.086</v>
      </c>
      <c r="D55" s="6" t="n">
        <v>0.208</v>
      </c>
      <c r="E55" s="7" t="n">
        <f aca="false">IF(AND(B55&lt;=Parametros!$B$5,C55&gt;=Parametros!$B$6,D55&lt;=Parametros!$B$7),1,0)</f>
        <v>1</v>
      </c>
      <c r="F55" s="8" t="n">
        <f aca="false">E55*Parametros!$B$8</f>
        <v>0.5</v>
      </c>
    </row>
    <row r="56" customFormat="false" ht="15" hidden="false" customHeight="false" outlineLevel="0" collapsed="false">
      <c r="A56" s="0" t="n">
        <v>2425.5</v>
      </c>
      <c r="B56" s="6" t="n">
        <v>0.167</v>
      </c>
      <c r="C56" s="6" t="n">
        <v>0.091</v>
      </c>
      <c r="D56" s="6" t="n">
        <v>0.275</v>
      </c>
      <c r="E56" s="7" t="n">
        <f aca="false">IF(AND(B56&lt;=Parametros!$B$5,C56&gt;=Parametros!$B$6,D56&lt;=Parametros!$B$7),1,0)</f>
        <v>1</v>
      </c>
      <c r="F56" s="8" t="n">
        <f aca="false">E56*Parametros!$B$8</f>
        <v>0.5</v>
      </c>
    </row>
    <row r="57" customFormat="false" ht="15" hidden="false" customHeight="false" outlineLevel="0" collapsed="false">
      <c r="A57" s="0" t="n">
        <v>2426</v>
      </c>
      <c r="B57" s="6" t="n">
        <v>0.113</v>
      </c>
      <c r="C57" s="6" t="n">
        <v>0.082</v>
      </c>
      <c r="D57" s="6" t="n">
        <v>0.308</v>
      </c>
      <c r="E57" s="7" t="n">
        <f aca="false">IF(AND(B57&lt;=Parametros!$B$5,C57&gt;=Parametros!$B$6,D57&lt;=Parametros!$B$7),1,0)</f>
        <v>1</v>
      </c>
      <c r="F57" s="8" t="n">
        <f aca="false">E57*Parametros!$B$8</f>
        <v>0.5</v>
      </c>
    </row>
    <row r="58" customFormat="false" ht="15" hidden="false" customHeight="false" outlineLevel="0" collapsed="false">
      <c r="A58" s="0" t="n">
        <v>2426.5</v>
      </c>
      <c r="B58" s="6" t="n">
        <v>0.23</v>
      </c>
      <c r="C58" s="6" t="n">
        <v>0.093</v>
      </c>
      <c r="D58" s="6" t="n">
        <v>0.441</v>
      </c>
      <c r="E58" s="7" t="n">
        <f aca="false">IF(AND(B58&lt;=Parametros!$B$5,C58&gt;=Parametros!$B$6,D58&lt;=Parametros!$B$7),1,0)</f>
        <v>1</v>
      </c>
      <c r="F58" s="8" t="n">
        <f aca="false">E58*Parametros!$B$8</f>
        <v>0.5</v>
      </c>
    </row>
    <row r="59" customFormat="false" ht="15" hidden="false" customHeight="false" outlineLevel="0" collapsed="false">
      <c r="A59" s="0" t="n">
        <v>2427</v>
      </c>
      <c r="B59" s="6" t="n">
        <v>0.118</v>
      </c>
      <c r="C59" s="6" t="n">
        <v>0.092</v>
      </c>
      <c r="D59" s="6" t="n">
        <v>0.235</v>
      </c>
      <c r="E59" s="7" t="n">
        <f aca="false">IF(AND(B59&lt;=Parametros!$B$5,C59&gt;=Parametros!$B$6,D59&lt;=Parametros!$B$7),1,0)</f>
        <v>1</v>
      </c>
      <c r="F59" s="8" t="n">
        <f aca="false">E59*Parametros!$B$8</f>
        <v>0.5</v>
      </c>
    </row>
    <row r="60" customFormat="false" ht="15" hidden="false" customHeight="false" outlineLevel="0" collapsed="false">
      <c r="A60" s="0" t="n">
        <v>2427.5</v>
      </c>
      <c r="B60" s="6" t="n">
        <v>0.253</v>
      </c>
      <c r="C60" s="6" t="n">
        <v>0.081</v>
      </c>
      <c r="D60" s="6" t="n">
        <v>0.485</v>
      </c>
      <c r="E60" s="7" t="n">
        <f aca="false">IF(AND(B60&lt;=Parametros!$B$5,C60&gt;=Parametros!$B$6,D60&lt;=Parametros!$B$7),1,0)</f>
        <v>1</v>
      </c>
      <c r="F60" s="8" t="n">
        <f aca="false">E60*Parametros!$B$8</f>
        <v>0.5</v>
      </c>
    </row>
    <row r="61" customFormat="false" ht="15" hidden="false" customHeight="false" outlineLevel="0" collapsed="false">
      <c r="A61" s="0" t="n">
        <v>2428</v>
      </c>
      <c r="B61" s="6" t="n">
        <v>0.198</v>
      </c>
      <c r="C61" s="6" t="n">
        <v>0.078</v>
      </c>
      <c r="D61" s="6" t="n">
        <v>0.443</v>
      </c>
      <c r="E61" s="7" t="n">
        <f aca="false">IF(AND(B61&lt;=Parametros!$B$5,C61&gt;=Parametros!$B$6,D61&lt;=Parametros!$B$7),1,0)</f>
        <v>1</v>
      </c>
      <c r="F61" s="8" t="n">
        <f aca="false">E61*Parametros!$B$8</f>
        <v>0.5</v>
      </c>
    </row>
    <row r="62" customFormat="false" ht="15" hidden="false" customHeight="false" outlineLevel="0" collapsed="false">
      <c r="A62" s="0" t="n">
        <v>2428.5</v>
      </c>
      <c r="B62" s="6" t="n">
        <v>0.362</v>
      </c>
      <c r="C62" s="6" t="n">
        <v>0.077</v>
      </c>
      <c r="D62" s="6" t="n">
        <v>0.591</v>
      </c>
      <c r="E62" s="7" t="n">
        <f aca="false">IF(AND(B62&lt;=Parametros!$B$5,C62&gt;=Parametros!$B$6,D62&lt;=Parametros!$B$7),1,0)</f>
        <v>1</v>
      </c>
      <c r="F62" s="8" t="n">
        <f aca="false">E62*Parametros!$B$8</f>
        <v>0.5</v>
      </c>
    </row>
    <row r="63" customFormat="false" ht="15" hidden="false" customHeight="false" outlineLevel="0" collapsed="false">
      <c r="A63" s="0" t="n">
        <v>2429</v>
      </c>
      <c r="B63" s="6" t="n">
        <v>0.362</v>
      </c>
      <c r="C63" s="6" t="n">
        <v>0.074</v>
      </c>
      <c r="D63" s="6" t="n">
        <v>0.477</v>
      </c>
      <c r="E63" s="7" t="n">
        <f aca="false">IF(AND(B63&lt;=Parametros!$B$5,C63&gt;=Parametros!$B$6,D63&lt;=Parametros!$B$7),1,0)</f>
        <v>1</v>
      </c>
      <c r="F63" s="8" t="n">
        <f aca="false">E63*Parametros!$B$8</f>
        <v>0.5</v>
      </c>
    </row>
    <row r="64" customFormat="false" ht="15" hidden="false" customHeight="false" outlineLevel="0" collapsed="false">
      <c r="A64" s="0" t="n">
        <v>2429.5</v>
      </c>
      <c r="B64" s="6" t="n">
        <v>0.334</v>
      </c>
      <c r="C64" s="6" t="n">
        <v>0.066</v>
      </c>
      <c r="D64" s="6" t="n">
        <v>0.417</v>
      </c>
      <c r="E64" s="7" t="n">
        <f aca="false">IF(AND(B64&lt;=Parametros!$B$5,C64&gt;=Parametros!$B$6,D64&lt;=Parametros!$B$7),1,0)</f>
        <v>1</v>
      </c>
      <c r="F64" s="8" t="n">
        <f aca="false">E64*Parametros!$B$8</f>
        <v>0.5</v>
      </c>
    </row>
    <row r="65" customFormat="false" ht="15" hidden="false" customHeight="false" outlineLevel="0" collapsed="false">
      <c r="A65" s="0" t="n">
        <v>2430</v>
      </c>
      <c r="B65" s="6" t="n">
        <v>0.268</v>
      </c>
      <c r="C65" s="6" t="n">
        <v>0.071</v>
      </c>
      <c r="D65" s="6" t="n">
        <v>0.4</v>
      </c>
      <c r="E65" s="7" t="n">
        <f aca="false">IF(AND(B65&lt;=Parametros!$B$5,C65&gt;=Parametros!$B$6,D65&lt;=Parametros!$B$7),1,0)</f>
        <v>1</v>
      </c>
      <c r="F65" s="8" t="n">
        <f aca="false">E65*Parametros!$B$8</f>
        <v>0.5</v>
      </c>
    </row>
    <row r="66" customFormat="false" ht="15" hidden="false" customHeight="false" outlineLevel="0" collapsed="false">
      <c r="A66" s="0" t="n">
        <v>2430.5</v>
      </c>
      <c r="B66" s="6" t="n">
        <v>0.431</v>
      </c>
      <c r="C66" s="6" t="n">
        <v>0.072</v>
      </c>
      <c r="D66" s="6" t="n">
        <v>0.584</v>
      </c>
      <c r="E66" s="7" t="n">
        <f aca="false">IF(AND(B66&lt;=Parametros!$B$5,C66&gt;=Parametros!$B$6,D66&lt;=Parametros!$B$7),1,0)</f>
        <v>0</v>
      </c>
      <c r="F66" s="8" t="n">
        <f aca="false">E66*Parametros!$B$8</f>
        <v>0</v>
      </c>
    </row>
    <row r="67" customFormat="false" ht="15" hidden="false" customHeight="false" outlineLevel="0" collapsed="false">
      <c r="A67" s="0" t="n">
        <v>2431</v>
      </c>
      <c r="B67" s="6" t="n">
        <v>0.508</v>
      </c>
      <c r="C67" s="6" t="n">
        <v>0.064</v>
      </c>
      <c r="D67" s="6" t="n">
        <v>0.76</v>
      </c>
      <c r="E67" s="7" t="n">
        <f aca="false">IF(AND(B67&lt;=Parametros!$B$5,C67&gt;=Parametros!$B$6,D67&lt;=Parametros!$B$7),1,0)</f>
        <v>0</v>
      </c>
      <c r="F67" s="8" t="n">
        <f aca="false">E67*Parametros!$B$8</f>
        <v>0</v>
      </c>
    </row>
    <row r="68" customFormat="false" ht="15" hidden="false" customHeight="false" outlineLevel="0" collapsed="false">
      <c r="A68" s="0" t="n">
        <v>2431.5</v>
      </c>
      <c r="B68" s="6" t="n">
        <v>0.42</v>
      </c>
      <c r="C68" s="6" t="n">
        <v>0.051</v>
      </c>
      <c r="D68" s="6" t="n">
        <v>0.543</v>
      </c>
      <c r="E68" s="7" t="n">
        <f aca="false">IF(AND(B68&lt;=Parametros!$B$5,C68&gt;=Parametros!$B$6,D68&lt;=Parametros!$B$7),1,0)</f>
        <v>0</v>
      </c>
      <c r="F68" s="8" t="n">
        <f aca="false">E68*Parametros!$B$8</f>
        <v>0</v>
      </c>
    </row>
    <row r="69" customFormat="false" ht="15" hidden="false" customHeight="false" outlineLevel="0" collapsed="false">
      <c r="A69" s="0" t="n">
        <v>2432</v>
      </c>
      <c r="B69" s="6" t="n">
        <v>0.41</v>
      </c>
      <c r="C69" s="6" t="n">
        <v>0.052</v>
      </c>
      <c r="D69" s="6" t="n">
        <v>0.613</v>
      </c>
      <c r="E69" s="7" t="n">
        <f aca="false">IF(AND(B69&lt;=Parametros!$B$5,C69&gt;=Parametros!$B$6,D69&lt;=Parametros!$B$7),1,0)</f>
        <v>0</v>
      </c>
      <c r="F69" s="8" t="n">
        <f aca="false">E69*Parametros!$B$8</f>
        <v>0</v>
      </c>
    </row>
    <row r="70" customFormat="false" ht="15" hidden="false" customHeight="false" outlineLevel="0" collapsed="false">
      <c r="A70" s="0" t="n">
        <v>2432.5</v>
      </c>
      <c r="B70" s="6" t="n">
        <v>0.572</v>
      </c>
      <c r="C70" s="6" t="n">
        <v>0.052</v>
      </c>
      <c r="D70" s="6" t="n">
        <v>0.73</v>
      </c>
      <c r="E70" s="7" t="n">
        <f aca="false">IF(AND(B70&lt;=Parametros!$B$5,C70&gt;=Parametros!$B$6,D70&lt;=Parametros!$B$7),1,0)</f>
        <v>0</v>
      </c>
      <c r="F70" s="8" t="n">
        <f aca="false">E70*Parametros!$B$8</f>
        <v>0</v>
      </c>
    </row>
    <row r="71" customFormat="false" ht="15" hidden="false" customHeight="false" outlineLevel="0" collapsed="false">
      <c r="A71" s="0" t="n">
        <v>2433</v>
      </c>
      <c r="B71" s="6" t="n">
        <v>0.541</v>
      </c>
      <c r="C71" s="6" t="n">
        <v>0.054</v>
      </c>
      <c r="D71" s="6" t="n">
        <v>0.621</v>
      </c>
      <c r="E71" s="7" t="n">
        <f aca="false">IF(AND(B71&lt;=Parametros!$B$5,C71&gt;=Parametros!$B$6,D71&lt;=Parametros!$B$7),1,0)</f>
        <v>0</v>
      </c>
      <c r="F71" s="8" t="n">
        <f aca="false">E71*Parametros!$B$8</f>
        <v>0</v>
      </c>
    </row>
    <row r="72" customFormat="false" ht="15" hidden="false" customHeight="false" outlineLevel="0" collapsed="false">
      <c r="A72" s="0" t="n">
        <v>2433.5</v>
      </c>
      <c r="B72" s="6" t="n">
        <v>0.557</v>
      </c>
      <c r="C72" s="6" t="n">
        <v>0.055</v>
      </c>
      <c r="D72" s="6" t="n">
        <v>0.775</v>
      </c>
      <c r="E72" s="7" t="n">
        <f aca="false">IF(AND(B72&lt;=Parametros!$B$5,C72&gt;=Parametros!$B$6,D72&lt;=Parametros!$B$7),1,0)</f>
        <v>0</v>
      </c>
      <c r="F72" s="8" t="n">
        <f aca="false">E72*Parametros!$B$8</f>
        <v>0</v>
      </c>
    </row>
    <row r="73" customFormat="false" ht="15" hidden="false" customHeight="false" outlineLevel="0" collapsed="false">
      <c r="A73" s="0" t="n">
        <v>2434</v>
      </c>
      <c r="B73" s="6" t="n">
        <v>0.587</v>
      </c>
      <c r="C73" s="6" t="n">
        <v>0.039</v>
      </c>
      <c r="D73" s="6" t="n">
        <v>0.69</v>
      </c>
      <c r="E73" s="7" t="n">
        <f aca="false">IF(AND(B73&lt;=Parametros!$B$5,C73&gt;=Parametros!$B$6,D73&lt;=Parametros!$B$7),1,0)</f>
        <v>0</v>
      </c>
      <c r="F73" s="8" t="n">
        <f aca="false">E73*Parametros!$B$8</f>
        <v>0</v>
      </c>
    </row>
    <row r="74" customFormat="false" ht="15" hidden="false" customHeight="false" outlineLevel="0" collapsed="false">
      <c r="A74" s="0" t="n">
        <v>2434.5</v>
      </c>
      <c r="B74" s="6" t="n">
        <v>0.603</v>
      </c>
      <c r="C74" s="6" t="n">
        <v>0.033</v>
      </c>
      <c r="D74" s="6" t="n">
        <v>0.833</v>
      </c>
      <c r="E74" s="7" t="n">
        <f aca="false">IF(AND(B74&lt;=Parametros!$B$5,C74&gt;=Parametros!$B$6,D74&lt;=Parametros!$B$7),1,0)</f>
        <v>0</v>
      </c>
      <c r="F74" s="8" t="n">
        <f aca="false">E74*Parametros!$B$8</f>
        <v>0</v>
      </c>
    </row>
    <row r="75" customFormat="false" ht="15" hidden="false" customHeight="false" outlineLevel="0" collapsed="false">
      <c r="A75" s="0" t="n">
        <v>2435</v>
      </c>
      <c r="B75" s="6" t="n">
        <v>0.643</v>
      </c>
      <c r="C75" s="6" t="n">
        <v>0.03</v>
      </c>
      <c r="D75" s="6" t="n">
        <v>0.792</v>
      </c>
      <c r="E75" s="7" t="n">
        <f aca="false">IF(AND(B75&lt;=Parametros!$B$5,C75&gt;=Parametros!$B$6,D75&lt;=Parametros!$B$7),1,0)</f>
        <v>0</v>
      </c>
      <c r="F75" s="8" t="n">
        <f aca="false">E75*Parametros!$B$8</f>
        <v>0</v>
      </c>
    </row>
    <row r="76" customFormat="false" ht="15" hidden="false" customHeight="false" outlineLevel="0" collapsed="false">
      <c r="A76" s="0" t="n">
        <v>2435.5</v>
      </c>
      <c r="B76" s="6" t="n">
        <v>0.639</v>
      </c>
      <c r="C76" s="6" t="n">
        <v>0.04</v>
      </c>
      <c r="D76" s="6" t="n">
        <v>0.735</v>
      </c>
      <c r="E76" s="7" t="n">
        <f aca="false">IF(AND(B76&lt;=Parametros!$B$5,C76&gt;=Parametros!$B$6,D76&lt;=Parametros!$B$7),1,0)</f>
        <v>0</v>
      </c>
      <c r="F76" s="8" t="n">
        <f aca="false">E76*Parametros!$B$8</f>
        <v>0</v>
      </c>
    </row>
    <row r="77" customFormat="false" ht="15" hidden="false" customHeight="false" outlineLevel="0" collapsed="false">
      <c r="A77" s="0" t="n">
        <v>2436</v>
      </c>
      <c r="B77" s="6" t="n">
        <v>0.472</v>
      </c>
      <c r="C77" s="6" t="n">
        <v>0.043</v>
      </c>
      <c r="D77" s="6" t="n">
        <v>0.73</v>
      </c>
      <c r="E77" s="7" t="n">
        <f aca="false">IF(AND(B77&lt;=Parametros!$B$5,C77&gt;=Parametros!$B$6,D77&lt;=Parametros!$B$7),1,0)</f>
        <v>0</v>
      </c>
      <c r="F77" s="8" t="n">
        <f aca="false">E77*Parametros!$B$8</f>
        <v>0</v>
      </c>
    </row>
    <row r="78" customFormat="false" ht="15" hidden="false" customHeight="false" outlineLevel="0" collapsed="false">
      <c r="A78" s="0" t="n">
        <v>2436.5</v>
      </c>
      <c r="B78" s="6" t="n">
        <v>0.601</v>
      </c>
      <c r="C78" s="6" t="n">
        <v>0.027</v>
      </c>
      <c r="D78" s="6" t="n">
        <v>0.84</v>
      </c>
      <c r="E78" s="7" t="n">
        <f aca="false">IF(AND(B78&lt;=Parametros!$B$5,C78&gt;=Parametros!$B$6,D78&lt;=Parametros!$B$7),1,0)</f>
        <v>0</v>
      </c>
      <c r="F78" s="8" t="n">
        <f aca="false">E78*Parametros!$B$8</f>
        <v>0</v>
      </c>
    </row>
    <row r="79" customFormat="false" ht="15" hidden="false" customHeight="false" outlineLevel="0" collapsed="false">
      <c r="A79" s="0" t="n">
        <v>2437</v>
      </c>
      <c r="B79" s="6" t="n">
        <v>0.626</v>
      </c>
      <c r="C79" s="6" t="n">
        <v>0.04</v>
      </c>
      <c r="D79" s="6" t="n">
        <v>0.76</v>
      </c>
      <c r="E79" s="7" t="n">
        <f aca="false">IF(AND(B79&lt;=Parametros!$B$5,C79&gt;=Parametros!$B$6,D79&lt;=Parametros!$B$7),1,0)</f>
        <v>0</v>
      </c>
      <c r="F79" s="8" t="n">
        <f aca="false">E79*Parametros!$B$8</f>
        <v>0</v>
      </c>
    </row>
    <row r="80" customFormat="false" ht="15" hidden="false" customHeight="false" outlineLevel="0" collapsed="false">
      <c r="A80" s="0" t="n">
        <v>2437.5</v>
      </c>
      <c r="B80" s="6" t="n">
        <v>0.526</v>
      </c>
      <c r="C80" s="6" t="n">
        <v>0.036</v>
      </c>
      <c r="D80" s="6" t="n">
        <v>0.605</v>
      </c>
      <c r="E80" s="7" t="n">
        <f aca="false">IF(AND(B80&lt;=Parametros!$B$5,C80&gt;=Parametros!$B$6,D80&lt;=Parametros!$B$7),1,0)</f>
        <v>0</v>
      </c>
      <c r="F80" s="8" t="n">
        <f aca="false">E80*Parametros!$B$8</f>
        <v>0</v>
      </c>
    </row>
    <row r="81" customFormat="false" ht="15" hidden="false" customHeight="false" outlineLevel="0" collapsed="false">
      <c r="A81" s="0" t="n">
        <v>2438</v>
      </c>
      <c r="B81" s="6" t="n">
        <v>0.593</v>
      </c>
      <c r="C81" s="6" t="n">
        <v>0.043</v>
      </c>
      <c r="D81" s="6" t="n">
        <v>0.763</v>
      </c>
      <c r="E81" s="7" t="n">
        <f aca="false">IF(AND(B81&lt;=Parametros!$B$5,C81&gt;=Parametros!$B$6,D81&lt;=Parametros!$B$7),1,0)</f>
        <v>0</v>
      </c>
      <c r="F81" s="8" t="n">
        <f aca="false">E81*Parametros!$B$8</f>
        <v>0</v>
      </c>
    </row>
    <row r="82" customFormat="false" ht="15" hidden="false" customHeight="false" outlineLevel="0" collapsed="false">
      <c r="A82" s="0" t="n">
        <v>2438.5</v>
      </c>
      <c r="B82" s="6" t="n">
        <v>0.566</v>
      </c>
      <c r="C82" s="6" t="n">
        <v>0.04</v>
      </c>
      <c r="D82" s="6" t="n">
        <v>0.81</v>
      </c>
      <c r="E82" s="7" t="n">
        <f aca="false">IF(AND(B82&lt;=Parametros!$B$5,C82&gt;=Parametros!$B$6,D82&lt;=Parametros!$B$7),1,0)</f>
        <v>0</v>
      </c>
      <c r="F82" s="8" t="n">
        <f aca="false">E82*Parametros!$B$8</f>
        <v>0</v>
      </c>
    </row>
    <row r="83" customFormat="false" ht="15" hidden="false" customHeight="false" outlineLevel="0" collapsed="false">
      <c r="A83" s="0" t="n">
        <v>2439</v>
      </c>
      <c r="B83" s="6" t="n">
        <v>0.521</v>
      </c>
      <c r="C83" s="6" t="n">
        <v>0.039</v>
      </c>
      <c r="D83" s="6" t="n">
        <v>0.646</v>
      </c>
      <c r="E83" s="7" t="n">
        <f aca="false">IF(AND(B83&lt;=Parametros!$B$5,C83&gt;=Parametros!$B$6,D83&lt;=Parametros!$B$7),1,0)</f>
        <v>0</v>
      </c>
      <c r="F83" s="8" t="n">
        <f aca="false">E83*Parametros!$B$8</f>
        <v>0</v>
      </c>
    </row>
    <row r="84" customFormat="false" ht="15" hidden="false" customHeight="false" outlineLevel="0" collapsed="false">
      <c r="A84" s="0" t="n">
        <v>2439.5</v>
      </c>
      <c r="B84" s="6" t="n">
        <v>0.389</v>
      </c>
      <c r="C84" s="6" t="n">
        <v>0.055</v>
      </c>
      <c r="D84" s="6" t="n">
        <v>0.584</v>
      </c>
      <c r="E84" s="7" t="n">
        <f aca="false">IF(AND(B84&lt;=Parametros!$B$5,C84&gt;=Parametros!$B$6,D84&lt;=Parametros!$B$7),1,0)</f>
        <v>0</v>
      </c>
      <c r="F84" s="8" t="n">
        <f aca="false">E84*Parametros!$B$8</f>
        <v>0</v>
      </c>
    </row>
    <row r="85" customFormat="false" ht="15" hidden="false" customHeight="false" outlineLevel="0" collapsed="false">
      <c r="A85" s="0" t="n">
        <v>2440</v>
      </c>
      <c r="B85" s="6" t="n">
        <v>0.355</v>
      </c>
      <c r="C85" s="6" t="n">
        <v>0.065</v>
      </c>
      <c r="D85" s="6" t="n">
        <v>0.457</v>
      </c>
      <c r="E85" s="7" t="n">
        <f aca="false">IF(AND(B85&lt;=Parametros!$B$5,C85&gt;=Parametros!$B$6,D85&lt;=Parametros!$B$7),1,0)</f>
        <v>1</v>
      </c>
      <c r="F85" s="8" t="n">
        <f aca="false">E85*Parametros!$B$8</f>
        <v>0.5</v>
      </c>
    </row>
    <row r="86" customFormat="false" ht="15" hidden="false" customHeight="false" outlineLevel="0" collapsed="false">
      <c r="A86" s="0" t="n">
        <v>2440.5</v>
      </c>
      <c r="B86" s="6" t="n">
        <v>0.456</v>
      </c>
      <c r="C86" s="6" t="n">
        <v>0.051</v>
      </c>
      <c r="D86" s="6" t="n">
        <v>0.621</v>
      </c>
      <c r="E86" s="7" t="n">
        <f aca="false">IF(AND(B86&lt;=Parametros!$B$5,C86&gt;=Parametros!$B$6,D86&lt;=Parametros!$B$7),1,0)</f>
        <v>0</v>
      </c>
      <c r="F86" s="8" t="n">
        <f aca="false">E86*Parametros!$B$8</f>
        <v>0</v>
      </c>
    </row>
    <row r="87" customFormat="false" ht="15" hidden="false" customHeight="false" outlineLevel="0" collapsed="false">
      <c r="A87" s="0" t="n">
        <v>2441</v>
      </c>
      <c r="B87" s="6" t="n">
        <v>0.359</v>
      </c>
      <c r="C87" s="6" t="n">
        <v>0.079</v>
      </c>
      <c r="D87" s="6" t="n">
        <v>0.51</v>
      </c>
      <c r="E87" s="7" t="n">
        <f aca="false">IF(AND(B87&lt;=Parametros!$B$5,C87&gt;=Parametros!$B$6,D87&lt;=Parametros!$B$7),1,0)</f>
        <v>1</v>
      </c>
      <c r="F87" s="8" t="n">
        <f aca="false">E87*Parametros!$B$8</f>
        <v>0.5</v>
      </c>
    </row>
    <row r="88" customFormat="false" ht="15" hidden="false" customHeight="false" outlineLevel="0" collapsed="false">
      <c r="A88" s="0" t="n">
        <v>2441.5</v>
      </c>
      <c r="B88" s="6" t="n">
        <v>0.394</v>
      </c>
      <c r="C88" s="6" t="n">
        <v>0.063</v>
      </c>
      <c r="D88" s="6" t="n">
        <v>0.573</v>
      </c>
      <c r="E88" s="7" t="n">
        <f aca="false">IF(AND(B88&lt;=Parametros!$B$5,C88&gt;=Parametros!$B$6,D88&lt;=Parametros!$B$7),1,0)</f>
        <v>1</v>
      </c>
      <c r="F88" s="8" t="n">
        <f aca="false">E88*Parametros!$B$8</f>
        <v>0.5</v>
      </c>
    </row>
    <row r="89" customFormat="false" ht="15" hidden="false" customHeight="false" outlineLevel="0" collapsed="false">
      <c r="A89" s="0" t="n">
        <v>2442</v>
      </c>
      <c r="B89" s="6" t="n">
        <v>0.282</v>
      </c>
      <c r="C89" s="6" t="n">
        <v>0.062</v>
      </c>
      <c r="D89" s="6" t="n">
        <v>0.455</v>
      </c>
      <c r="E89" s="7" t="n">
        <f aca="false">IF(AND(B89&lt;=Parametros!$B$5,C89&gt;=Parametros!$B$6,D89&lt;=Parametros!$B$7),1,0)</f>
        <v>1</v>
      </c>
      <c r="F89" s="8" t="n">
        <f aca="false">E89*Parametros!$B$8</f>
        <v>0.5</v>
      </c>
    </row>
    <row r="90" customFormat="false" ht="15" hidden="false" customHeight="false" outlineLevel="0" collapsed="false">
      <c r="A90" s="0" t="n">
        <v>2442.5</v>
      </c>
      <c r="B90" s="6" t="n">
        <v>0.181</v>
      </c>
      <c r="C90" s="6" t="n">
        <v>0.073</v>
      </c>
      <c r="D90" s="6" t="n">
        <v>0.428</v>
      </c>
      <c r="E90" s="7" t="n">
        <f aca="false">IF(AND(B90&lt;=Parametros!$B$5,C90&gt;=Parametros!$B$6,D90&lt;=Parametros!$B$7),1,0)</f>
        <v>1</v>
      </c>
      <c r="F90" s="8" t="n">
        <f aca="false">E90*Parametros!$B$8</f>
        <v>0.5</v>
      </c>
    </row>
    <row r="91" customFormat="false" ht="15" hidden="false" customHeight="false" outlineLevel="0" collapsed="false">
      <c r="A91" s="0" t="n">
        <v>2443</v>
      </c>
      <c r="B91" s="6" t="n">
        <v>0.145</v>
      </c>
      <c r="C91" s="6" t="n">
        <v>0.092</v>
      </c>
      <c r="D91" s="6" t="n">
        <v>0.371</v>
      </c>
      <c r="E91" s="7" t="n">
        <f aca="false">IF(AND(B91&lt;=Parametros!$B$5,C91&gt;=Parametros!$B$6,D91&lt;=Parametros!$B$7),1,0)</f>
        <v>1</v>
      </c>
      <c r="F91" s="8" t="n">
        <f aca="false">E91*Parametros!$B$8</f>
        <v>0.5</v>
      </c>
    </row>
    <row r="92" customFormat="false" ht="15" hidden="false" customHeight="false" outlineLevel="0" collapsed="false">
      <c r="A92" s="0" t="n">
        <v>2443.5</v>
      </c>
      <c r="B92" s="6" t="n">
        <v>0.189</v>
      </c>
      <c r="C92" s="6" t="n">
        <v>0.082</v>
      </c>
      <c r="D92" s="6" t="n">
        <v>0.375</v>
      </c>
      <c r="E92" s="7" t="n">
        <f aca="false">IF(AND(B92&lt;=Parametros!$B$5,C92&gt;=Parametros!$B$6,D92&lt;=Parametros!$B$7),1,0)</f>
        <v>1</v>
      </c>
      <c r="F92" s="8" t="n">
        <f aca="false">E92*Parametros!$B$8</f>
        <v>0.5</v>
      </c>
    </row>
    <row r="93" customFormat="false" ht="15" hidden="false" customHeight="false" outlineLevel="0" collapsed="false">
      <c r="A93" s="0" t="n">
        <v>2444</v>
      </c>
      <c r="B93" s="6" t="n">
        <v>0.157</v>
      </c>
      <c r="C93" s="6" t="n">
        <v>0.1</v>
      </c>
      <c r="D93" s="6" t="n">
        <v>0.253</v>
      </c>
      <c r="E93" s="7" t="n">
        <f aca="false">IF(AND(B93&lt;=Parametros!$B$5,C93&gt;=Parametros!$B$6,D93&lt;=Parametros!$B$7),1,0)</f>
        <v>1</v>
      </c>
      <c r="F93" s="8" t="n">
        <f aca="false">E93*Parametros!$B$8</f>
        <v>0.5</v>
      </c>
    </row>
    <row r="94" customFormat="false" ht="15" hidden="false" customHeight="false" outlineLevel="0" collapsed="false">
      <c r="A94" s="0" t="n">
        <v>2444.5</v>
      </c>
      <c r="B94" s="6" t="n">
        <v>0.128</v>
      </c>
      <c r="C94" s="6" t="n">
        <v>0.087</v>
      </c>
      <c r="D94" s="6" t="n">
        <v>0.268</v>
      </c>
      <c r="E94" s="7" t="n">
        <f aca="false">IF(AND(B94&lt;=Parametros!$B$5,C94&gt;=Parametros!$B$6,D94&lt;=Parametros!$B$7),1,0)</f>
        <v>1</v>
      </c>
      <c r="F94" s="8" t="n">
        <f aca="false">E94*Parametros!$B$8</f>
        <v>0.5</v>
      </c>
    </row>
    <row r="95" customFormat="false" ht="15" hidden="false" customHeight="false" outlineLevel="0" collapsed="false">
      <c r="A95" s="0" t="n">
        <v>2445</v>
      </c>
      <c r="B95" s="6" t="n">
        <v>0.141</v>
      </c>
      <c r="C95" s="6" t="n">
        <v>0.093</v>
      </c>
      <c r="D95" s="6" t="n">
        <v>0.333</v>
      </c>
      <c r="E95" s="7" t="n">
        <f aca="false">IF(AND(B95&lt;=Parametros!$B$5,C95&gt;=Parametros!$B$6,D95&lt;=Parametros!$B$7),1,0)</f>
        <v>1</v>
      </c>
      <c r="F95" s="8" t="n">
        <f aca="false">E95*Parametros!$B$8</f>
        <v>0.5</v>
      </c>
    </row>
    <row r="96" customFormat="false" ht="15" hidden="false" customHeight="false" outlineLevel="0" collapsed="false">
      <c r="A96" s="0" t="n">
        <v>2445.5</v>
      </c>
      <c r="B96" s="6" t="n">
        <v>0.112</v>
      </c>
      <c r="C96" s="6" t="n">
        <v>0.109</v>
      </c>
      <c r="D96" s="6" t="n">
        <v>0.274</v>
      </c>
      <c r="E96" s="7" t="n">
        <f aca="false">IF(AND(B96&lt;=Parametros!$B$5,C96&gt;=Parametros!$B$6,D96&lt;=Parametros!$B$7),1,0)</f>
        <v>1</v>
      </c>
      <c r="F96" s="8" t="n">
        <f aca="false">E96*Parametros!$B$8</f>
        <v>0.5</v>
      </c>
    </row>
    <row r="97" customFormat="false" ht="15" hidden="false" customHeight="false" outlineLevel="0" collapsed="false">
      <c r="A97" s="0" t="n">
        <v>2446</v>
      </c>
      <c r="B97" s="6" t="n">
        <v>0.058</v>
      </c>
      <c r="C97" s="6" t="n">
        <v>0.103</v>
      </c>
      <c r="D97" s="6" t="n">
        <v>0.243</v>
      </c>
      <c r="E97" s="7" t="n">
        <f aca="false">IF(AND(B97&lt;=Parametros!$B$5,C97&gt;=Parametros!$B$6,D97&lt;=Parametros!$B$7),1,0)</f>
        <v>1</v>
      </c>
      <c r="F97" s="8" t="n">
        <f aca="false">E97*Parametros!$B$8</f>
        <v>0.5</v>
      </c>
    </row>
    <row r="98" customFormat="false" ht="15" hidden="false" customHeight="false" outlineLevel="0" collapsed="false">
      <c r="A98" s="0" t="n">
        <v>2446.5</v>
      </c>
      <c r="B98" s="6" t="n">
        <v>0.052</v>
      </c>
      <c r="C98" s="6" t="n">
        <v>0.102</v>
      </c>
      <c r="D98" s="6" t="n">
        <v>0.242</v>
      </c>
      <c r="E98" s="7" t="n">
        <f aca="false">IF(AND(B98&lt;=Parametros!$B$5,C98&gt;=Parametros!$B$6,D98&lt;=Parametros!$B$7),1,0)</f>
        <v>1</v>
      </c>
      <c r="F98" s="8" t="n">
        <f aca="false">E98*Parametros!$B$8</f>
        <v>0.5</v>
      </c>
    </row>
    <row r="99" customFormat="false" ht="15" hidden="false" customHeight="false" outlineLevel="0" collapsed="false">
      <c r="A99" s="0" t="n">
        <v>2447</v>
      </c>
      <c r="B99" s="6" t="n">
        <v>0.03</v>
      </c>
      <c r="C99" s="6" t="n">
        <v>0.12</v>
      </c>
      <c r="D99" s="6" t="n">
        <v>0.245</v>
      </c>
      <c r="E99" s="7" t="n">
        <f aca="false">IF(AND(B99&lt;=Parametros!$B$5,C99&gt;=Parametros!$B$6,D99&lt;=Parametros!$B$7),1,0)</f>
        <v>1</v>
      </c>
      <c r="F99" s="8" t="n">
        <f aca="false">E99*Parametros!$B$8</f>
        <v>0.5</v>
      </c>
    </row>
    <row r="100" customFormat="false" ht="15" hidden="false" customHeight="false" outlineLevel="0" collapsed="false">
      <c r="A100" s="0" t="n">
        <v>2447.5</v>
      </c>
      <c r="B100" s="6" t="n">
        <v>0.054</v>
      </c>
      <c r="C100" s="6" t="n">
        <v>0.117</v>
      </c>
      <c r="D100" s="6" t="n">
        <v>0.18</v>
      </c>
      <c r="E100" s="7" t="n">
        <f aca="false">IF(AND(B100&lt;=Parametros!$B$5,C100&gt;=Parametros!$B$6,D100&lt;=Parametros!$B$7),1,0)</f>
        <v>1</v>
      </c>
      <c r="F100" s="8" t="n">
        <f aca="false">E100*Parametros!$B$8</f>
        <v>0.5</v>
      </c>
    </row>
    <row r="101" customFormat="false" ht="15" hidden="false" customHeight="false" outlineLevel="0" collapsed="false">
      <c r="A101" s="0" t="n">
        <v>2448</v>
      </c>
      <c r="B101" s="6" t="n">
        <v>0.03</v>
      </c>
      <c r="C101" s="6" t="n">
        <v>0.12</v>
      </c>
      <c r="D101" s="6" t="n">
        <v>0.273</v>
      </c>
      <c r="E101" s="7" t="n">
        <f aca="false">IF(AND(B101&lt;=Parametros!$B$5,C101&gt;=Parametros!$B$6,D101&lt;=Parametros!$B$7),1,0)</f>
        <v>1</v>
      </c>
      <c r="F101" s="8" t="n">
        <f aca="false">E101*Parametros!$B$8</f>
        <v>0.5</v>
      </c>
    </row>
    <row r="102" customFormat="false" ht="15" hidden="false" customHeight="false" outlineLevel="0" collapsed="false">
      <c r="A102" s="0" t="n">
        <v>2448.5</v>
      </c>
      <c r="B102" s="6" t="n">
        <v>0.03</v>
      </c>
      <c r="C102" s="6" t="n">
        <v>0.095</v>
      </c>
      <c r="D102" s="6" t="n">
        <v>0.208</v>
      </c>
      <c r="E102" s="7" t="n">
        <f aca="false">IF(AND(B102&lt;=Parametros!$B$5,C102&gt;=Parametros!$B$6,D102&lt;=Parametros!$B$7),1,0)</f>
        <v>1</v>
      </c>
      <c r="F102" s="8" t="n">
        <f aca="false">E102*Parametros!$B$8</f>
        <v>0.5</v>
      </c>
    </row>
    <row r="103" customFormat="false" ht="15" hidden="false" customHeight="false" outlineLevel="0" collapsed="false">
      <c r="A103" s="0" t="n">
        <v>2449</v>
      </c>
      <c r="B103" s="6" t="n">
        <v>0.03</v>
      </c>
      <c r="C103" s="6" t="n">
        <v>0.099</v>
      </c>
      <c r="D103" s="6" t="n">
        <v>0.15</v>
      </c>
      <c r="E103" s="7" t="n">
        <f aca="false">IF(AND(B103&lt;=Parametros!$B$5,C103&gt;=Parametros!$B$6,D103&lt;=Parametros!$B$7),1,0)</f>
        <v>1</v>
      </c>
      <c r="F103" s="8" t="n">
        <f aca="false">E103*Parametros!$B$8</f>
        <v>0.5</v>
      </c>
    </row>
    <row r="104" customFormat="false" ht="15" hidden="false" customHeight="false" outlineLevel="0" collapsed="false">
      <c r="A104" s="0" t="n">
        <v>2449.5</v>
      </c>
      <c r="B104" s="6" t="n">
        <v>0.03</v>
      </c>
      <c r="C104" s="6" t="n">
        <v>0.115</v>
      </c>
      <c r="D104" s="6" t="n">
        <v>0.287</v>
      </c>
      <c r="E104" s="7" t="n">
        <f aca="false">IF(AND(B104&lt;=Parametros!$B$5,C104&gt;=Parametros!$B$6,D104&lt;=Parametros!$B$7),1,0)</f>
        <v>1</v>
      </c>
      <c r="F104" s="8" t="n">
        <f aca="false">E104*Parametros!$B$8</f>
        <v>0.5</v>
      </c>
    </row>
    <row r="105" customFormat="false" ht="15" hidden="false" customHeight="false" outlineLevel="0" collapsed="false">
      <c r="A105" s="0" t="n">
        <v>2450</v>
      </c>
      <c r="B105" s="6" t="n">
        <v>0.03</v>
      </c>
      <c r="C105" s="6" t="n">
        <v>0.113</v>
      </c>
      <c r="D105" s="6" t="n">
        <v>0.241</v>
      </c>
      <c r="E105" s="7" t="n">
        <f aca="false">IF(AND(B105&lt;=Parametros!$B$5,C105&gt;=Parametros!$B$6,D105&lt;=Parametros!$B$7),1,0)</f>
        <v>1</v>
      </c>
      <c r="F105" s="8" t="n">
        <f aca="false">E105*Parametros!$B$8</f>
        <v>0.5</v>
      </c>
    </row>
    <row r="106" customFormat="false" ht="15" hidden="false" customHeight="false" outlineLevel="0" collapsed="false">
      <c r="A106" s="0" t="n">
        <v>2450.5</v>
      </c>
      <c r="B106" s="6" t="n">
        <v>0.03</v>
      </c>
      <c r="C106" s="6" t="n">
        <v>0.118</v>
      </c>
      <c r="D106" s="6" t="n">
        <v>0.3</v>
      </c>
      <c r="E106" s="7" t="n">
        <f aca="false">IF(AND(B106&lt;=Parametros!$B$5,C106&gt;=Parametros!$B$6,D106&lt;=Parametros!$B$7),1,0)</f>
        <v>1</v>
      </c>
      <c r="F106" s="8" t="n">
        <f aca="false">E106*Parametros!$B$8</f>
        <v>0.5</v>
      </c>
    </row>
    <row r="107" customFormat="false" ht="15" hidden="false" customHeight="false" outlineLevel="0" collapsed="false">
      <c r="A107" s="0" t="n">
        <v>2451</v>
      </c>
      <c r="B107" s="6" t="n">
        <v>0.03</v>
      </c>
      <c r="C107" s="6" t="n">
        <v>0.12</v>
      </c>
      <c r="D107" s="6" t="n">
        <v>0.185</v>
      </c>
      <c r="E107" s="7" t="n">
        <f aca="false">IF(AND(B107&lt;=Parametros!$B$5,C107&gt;=Parametros!$B$6,D107&lt;=Parametros!$B$7),1,0)</f>
        <v>1</v>
      </c>
      <c r="F107" s="8" t="n">
        <f aca="false">E107*Parametros!$B$8</f>
        <v>0.5</v>
      </c>
    </row>
    <row r="108" customFormat="false" ht="15" hidden="false" customHeight="false" outlineLevel="0" collapsed="false">
      <c r="A108" s="0" t="n">
        <v>2451.5</v>
      </c>
      <c r="B108" s="6" t="n">
        <v>0.03</v>
      </c>
      <c r="C108" s="6" t="n">
        <v>0.121</v>
      </c>
      <c r="D108" s="6" t="n">
        <v>0.271</v>
      </c>
      <c r="E108" s="7" t="n">
        <f aca="false">IF(AND(B108&lt;=Parametros!$B$5,C108&gt;=Parametros!$B$6,D108&lt;=Parametros!$B$7),1,0)</f>
        <v>1</v>
      </c>
      <c r="F108" s="8" t="n">
        <f aca="false">E108*Parametros!$B$8</f>
        <v>0.5</v>
      </c>
    </row>
    <row r="109" customFormat="false" ht="15" hidden="false" customHeight="false" outlineLevel="0" collapsed="false">
      <c r="A109" s="0" t="n">
        <v>2452</v>
      </c>
      <c r="B109" s="6" t="n">
        <v>0.03</v>
      </c>
      <c r="C109" s="6" t="n">
        <v>0.104</v>
      </c>
      <c r="D109" s="6" t="n">
        <v>0.218</v>
      </c>
      <c r="E109" s="7" t="n">
        <f aca="false">IF(AND(B109&lt;=Parametros!$B$5,C109&gt;=Parametros!$B$6,D109&lt;=Parametros!$B$7),1,0)</f>
        <v>1</v>
      </c>
      <c r="F109" s="8" t="n">
        <f aca="false">E109*Parametros!$B$8</f>
        <v>0.5</v>
      </c>
    </row>
    <row r="110" customFormat="false" ht="15" hidden="false" customHeight="false" outlineLevel="0" collapsed="false">
      <c r="A110" s="0" t="n">
        <v>2452.5</v>
      </c>
      <c r="B110" s="6" t="n">
        <v>0.03</v>
      </c>
      <c r="C110" s="6" t="n">
        <v>0.097</v>
      </c>
      <c r="D110" s="6" t="n">
        <v>0.182</v>
      </c>
      <c r="E110" s="7" t="n">
        <f aca="false">IF(AND(B110&lt;=Parametros!$B$5,C110&gt;=Parametros!$B$6,D110&lt;=Parametros!$B$7),1,0)</f>
        <v>1</v>
      </c>
      <c r="F110" s="8" t="n">
        <f aca="false">E110*Parametros!$B$8</f>
        <v>0.5</v>
      </c>
    </row>
    <row r="111" customFormat="false" ht="15" hidden="false" customHeight="false" outlineLevel="0" collapsed="false">
      <c r="A111" s="0" t="n">
        <v>2453</v>
      </c>
      <c r="B111" s="6" t="n">
        <v>0.082</v>
      </c>
      <c r="C111" s="6" t="n">
        <v>0.086</v>
      </c>
      <c r="D111" s="6" t="n">
        <v>0.283</v>
      </c>
      <c r="E111" s="7" t="n">
        <f aca="false">IF(AND(B111&lt;=Parametros!$B$5,C111&gt;=Parametros!$B$6,D111&lt;=Parametros!$B$7),1,0)</f>
        <v>1</v>
      </c>
      <c r="F111" s="8" t="n">
        <f aca="false">E111*Parametros!$B$8</f>
        <v>0.5</v>
      </c>
    </row>
    <row r="112" customFormat="false" ht="15" hidden="false" customHeight="false" outlineLevel="0" collapsed="false">
      <c r="A112" s="0" t="n">
        <v>2453.5</v>
      </c>
      <c r="B112" s="6" t="n">
        <v>0.05</v>
      </c>
      <c r="C112" s="6" t="n">
        <v>0.09</v>
      </c>
      <c r="D112" s="6" t="n">
        <v>0.208</v>
      </c>
      <c r="E112" s="7" t="n">
        <f aca="false">IF(AND(B112&lt;=Parametros!$B$5,C112&gt;=Parametros!$B$6,D112&lt;=Parametros!$B$7),1,0)</f>
        <v>1</v>
      </c>
      <c r="F112" s="8" t="n">
        <f aca="false">E112*Parametros!$B$8</f>
        <v>0.5</v>
      </c>
    </row>
    <row r="113" customFormat="false" ht="15" hidden="false" customHeight="false" outlineLevel="0" collapsed="false">
      <c r="A113" s="0" t="n">
        <v>2454</v>
      </c>
      <c r="B113" s="6" t="n">
        <v>0.114</v>
      </c>
      <c r="C113" s="6" t="n">
        <v>0.097</v>
      </c>
      <c r="D113" s="6" t="n">
        <v>0.207</v>
      </c>
      <c r="E113" s="7" t="n">
        <f aca="false">IF(AND(B113&lt;=Parametros!$B$5,C113&gt;=Parametros!$B$6,D113&lt;=Parametros!$B$7),1,0)</f>
        <v>1</v>
      </c>
      <c r="F113" s="8" t="n">
        <f aca="false">E113*Parametros!$B$8</f>
        <v>0.5</v>
      </c>
    </row>
    <row r="114" customFormat="false" ht="15" hidden="false" customHeight="false" outlineLevel="0" collapsed="false">
      <c r="A114" s="0" t="n">
        <v>2454.5</v>
      </c>
      <c r="B114" s="6" t="n">
        <v>0.215</v>
      </c>
      <c r="C114" s="6" t="n">
        <v>0.093</v>
      </c>
      <c r="D114" s="6" t="n">
        <v>0.482</v>
      </c>
      <c r="E114" s="7" t="n">
        <f aca="false">IF(AND(B114&lt;=Parametros!$B$5,C114&gt;=Parametros!$B$6,D114&lt;=Parametros!$B$7),1,0)</f>
        <v>1</v>
      </c>
      <c r="F114" s="8" t="n">
        <f aca="false">E114*Parametros!$B$8</f>
        <v>0.5</v>
      </c>
    </row>
    <row r="115" customFormat="false" ht="15" hidden="false" customHeight="false" outlineLevel="0" collapsed="false">
      <c r="A115" s="0" t="n">
        <v>2455</v>
      </c>
      <c r="B115" s="6" t="n">
        <v>0.07</v>
      </c>
      <c r="C115" s="6" t="n">
        <v>0.095</v>
      </c>
      <c r="D115" s="6" t="n">
        <v>0.164</v>
      </c>
      <c r="E115" s="7" t="n">
        <f aca="false">IF(AND(B115&lt;=Parametros!$B$5,C115&gt;=Parametros!$B$6,D115&lt;=Parametros!$B$7),1,0)</f>
        <v>1</v>
      </c>
      <c r="F115" s="8" t="n">
        <f aca="false">E115*Parametros!$B$8</f>
        <v>0.5</v>
      </c>
    </row>
    <row r="116" customFormat="false" ht="15" hidden="false" customHeight="false" outlineLevel="0" collapsed="false">
      <c r="A116" s="0" t="n">
        <v>2455.5</v>
      </c>
      <c r="B116" s="6" t="n">
        <v>0.237</v>
      </c>
      <c r="C116" s="6" t="n">
        <v>0.075</v>
      </c>
      <c r="D116" s="6" t="n">
        <v>0.344</v>
      </c>
      <c r="E116" s="7" t="n">
        <f aca="false">IF(AND(B116&lt;=Parametros!$B$5,C116&gt;=Parametros!$B$6,D116&lt;=Parametros!$B$7),1,0)</f>
        <v>1</v>
      </c>
      <c r="F116" s="8" t="n">
        <f aca="false">E116*Parametros!$B$8</f>
        <v>0.5</v>
      </c>
    </row>
    <row r="117" customFormat="false" ht="15" hidden="false" customHeight="false" outlineLevel="0" collapsed="false">
      <c r="A117" s="0" t="n">
        <v>2456</v>
      </c>
      <c r="B117" s="6" t="n">
        <v>0.198</v>
      </c>
      <c r="C117" s="6" t="n">
        <v>0.099</v>
      </c>
      <c r="D117" s="6" t="n">
        <v>0.433</v>
      </c>
      <c r="E117" s="7" t="n">
        <f aca="false">IF(AND(B117&lt;=Parametros!$B$5,C117&gt;=Parametros!$B$6,D117&lt;=Parametros!$B$7),1,0)</f>
        <v>1</v>
      </c>
      <c r="F117" s="8" t="n">
        <f aca="false">E117*Parametros!$B$8</f>
        <v>0.5</v>
      </c>
    </row>
    <row r="118" customFormat="false" ht="15" hidden="false" customHeight="false" outlineLevel="0" collapsed="false">
      <c r="A118" s="0" t="n">
        <v>2456.5</v>
      </c>
      <c r="B118" s="6" t="n">
        <v>0.198</v>
      </c>
      <c r="C118" s="6" t="n">
        <v>0.076</v>
      </c>
      <c r="D118" s="6" t="n">
        <v>0.467</v>
      </c>
      <c r="E118" s="7" t="n">
        <f aca="false">IF(AND(B118&lt;=Parametros!$B$5,C118&gt;=Parametros!$B$6,D118&lt;=Parametros!$B$7),1,0)</f>
        <v>1</v>
      </c>
      <c r="F118" s="8" t="n">
        <f aca="false">E118*Parametros!$B$8</f>
        <v>0.5</v>
      </c>
    </row>
    <row r="119" customFormat="false" ht="15" hidden="false" customHeight="false" outlineLevel="0" collapsed="false">
      <c r="A119" s="0" t="n">
        <v>2457</v>
      </c>
      <c r="B119" s="6" t="n">
        <v>0.294</v>
      </c>
      <c r="C119" s="6" t="n">
        <v>0.081</v>
      </c>
      <c r="D119" s="6" t="n">
        <v>0.384</v>
      </c>
      <c r="E119" s="7" t="n">
        <f aca="false">IF(AND(B119&lt;=Parametros!$B$5,C119&gt;=Parametros!$B$6,D119&lt;=Parametros!$B$7),1,0)</f>
        <v>1</v>
      </c>
      <c r="F119" s="8" t="n">
        <f aca="false">E119*Parametros!$B$8</f>
        <v>0.5</v>
      </c>
    </row>
    <row r="120" customFormat="false" ht="15" hidden="false" customHeight="false" outlineLevel="0" collapsed="false">
      <c r="A120" s="0" t="n">
        <v>2457.5</v>
      </c>
      <c r="B120" s="6" t="n">
        <v>0.224</v>
      </c>
      <c r="C120" s="6" t="n">
        <v>0.089</v>
      </c>
      <c r="D120" s="6" t="n">
        <v>0.384</v>
      </c>
      <c r="E120" s="7" t="n">
        <f aca="false">IF(AND(B120&lt;=Parametros!$B$5,C120&gt;=Parametros!$B$6,D120&lt;=Parametros!$B$7),1,0)</f>
        <v>1</v>
      </c>
      <c r="F120" s="8" t="n">
        <f aca="false">E120*Parametros!$B$8</f>
        <v>0.5</v>
      </c>
    </row>
    <row r="121" customFormat="false" ht="15" hidden="false" customHeight="false" outlineLevel="0" collapsed="false">
      <c r="A121" s="0" t="n">
        <v>2458</v>
      </c>
      <c r="B121" s="6" t="n">
        <v>0.26</v>
      </c>
      <c r="C121" s="6" t="n">
        <v>0.092</v>
      </c>
      <c r="D121" s="6" t="n">
        <v>0.455</v>
      </c>
      <c r="E121" s="7" t="n">
        <f aca="false">IF(AND(B121&lt;=Parametros!$B$5,C121&gt;=Parametros!$B$6,D121&lt;=Parametros!$B$7),1,0)</f>
        <v>1</v>
      </c>
      <c r="F121" s="8" t="n">
        <f aca="false">E121*Parametros!$B$8</f>
        <v>0.5</v>
      </c>
    </row>
    <row r="122" customFormat="false" ht="15" hidden="false" customHeight="false" outlineLevel="0" collapsed="false">
      <c r="A122" s="0" t="n">
        <v>2458.5</v>
      </c>
      <c r="B122" s="6" t="n">
        <v>0.436</v>
      </c>
      <c r="C122" s="6" t="n">
        <v>0.045</v>
      </c>
      <c r="D122" s="6" t="n">
        <v>0.687</v>
      </c>
      <c r="E122" s="7" t="n">
        <f aca="false">IF(AND(B122&lt;=Parametros!$B$5,C122&gt;=Parametros!$B$6,D122&lt;=Parametros!$B$7),1,0)</f>
        <v>0</v>
      </c>
      <c r="F122" s="8" t="n">
        <f aca="false">E122*Parametros!$B$8</f>
        <v>0</v>
      </c>
    </row>
    <row r="123" customFormat="false" ht="15" hidden="false" customHeight="false" outlineLevel="0" collapsed="false">
      <c r="A123" s="0" t="n">
        <v>2459</v>
      </c>
      <c r="B123" s="6" t="n">
        <v>0.319</v>
      </c>
      <c r="C123" s="6" t="n">
        <v>0.083</v>
      </c>
      <c r="D123" s="6" t="n">
        <v>0.478</v>
      </c>
      <c r="E123" s="7" t="n">
        <f aca="false">IF(AND(B123&lt;=Parametros!$B$5,C123&gt;=Parametros!$B$6,D123&lt;=Parametros!$B$7),1,0)</f>
        <v>1</v>
      </c>
      <c r="F123" s="8" t="n">
        <f aca="false">E123*Parametros!$B$8</f>
        <v>0.5</v>
      </c>
    </row>
    <row r="124" customFormat="false" ht="15" hidden="false" customHeight="false" outlineLevel="0" collapsed="false">
      <c r="A124" s="0" t="n">
        <v>2459.5</v>
      </c>
      <c r="B124" s="6" t="n">
        <v>0.401</v>
      </c>
      <c r="C124" s="6" t="n">
        <v>0.063</v>
      </c>
      <c r="D124" s="6" t="n">
        <v>0.658</v>
      </c>
      <c r="E124" s="7" t="n">
        <f aca="false">IF(AND(B124&lt;=Parametros!$B$5,C124&gt;=Parametros!$B$6,D124&lt;=Parametros!$B$7),1,0)</f>
        <v>0</v>
      </c>
      <c r="F124" s="8" t="n">
        <f aca="false">E124*Parametros!$B$8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24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25</v>
      </c>
      <c r="B5" s="9" t="n">
        <f aca="false">COUNT(Perfil!$B$5:$B$124)*Parametros!B8</f>
        <v>60</v>
      </c>
      <c r="C5" s="2" t="s">
        <v>10</v>
      </c>
    </row>
    <row r="6" customFormat="false" ht="15" hidden="false" customHeight="false" outlineLevel="0" collapsed="false">
      <c r="A6" s="0" t="s">
        <v>26</v>
      </c>
      <c r="B6" s="9" t="n">
        <f aca="false">SUM(Perfil!F5:F124)</f>
        <v>39</v>
      </c>
      <c r="C6" s="2" t="s">
        <v>10</v>
      </c>
    </row>
    <row r="7" customFormat="false" ht="15" hidden="false" customHeight="false" outlineLevel="0" collapsed="false">
      <c r="A7" s="0" t="s">
        <v>27</v>
      </c>
      <c r="B7" s="10" t="n">
        <f aca="false">IF(B5=0,0,B6/B5)</f>
        <v>0.65</v>
      </c>
      <c r="C7" s="2" t="s">
        <v>6</v>
      </c>
    </row>
    <row r="8" customFormat="false" ht="15" hidden="false" customHeight="false" outlineLevel="0" collapsed="false">
      <c r="A8" s="0" t="s">
        <v>28</v>
      </c>
      <c r="B8" s="11" t="n">
        <f aca="false">IF(SUM(Perfil!$E$5:$E$124)=0,0,SUMPRODUCT(Perfil!$E$5:$E$124,Perfil!$C$5:$C$124)/SUM(Perfil!$E$5:$E$124))</f>
        <v>0.092</v>
      </c>
      <c r="C8" s="2" t="s">
        <v>6</v>
      </c>
    </row>
    <row r="9" customFormat="false" ht="15" hidden="false" customHeight="false" outlineLevel="0" collapsed="false">
      <c r="A9" s="0" t="s">
        <v>29</v>
      </c>
      <c r="B9" s="11" t="n">
        <f aca="false">IF(SUM(Perfil!$E$5:$E$124)=0,0,SUMPRODUCT(Perfil!$E$5:$E$124,Perfil!$D$5:$D$124)/SUM(Perfil!$E$5:$E$124))</f>
        <v>0.319858974358974</v>
      </c>
      <c r="C9" s="2" t="s">
        <v>6</v>
      </c>
    </row>
    <row r="10" customFormat="false" ht="15" hidden="false" customHeight="false" outlineLevel="0" collapsed="false">
      <c r="A10" s="0" t="s">
        <v>30</v>
      </c>
      <c r="B10" s="12" t="n">
        <f aca="false">7758*Parametros!B9*247.105*B6*B8*(1-B9)/Parametros!B10/1000000</f>
        <v>138.614587722789</v>
      </c>
      <c r="C10" s="2" t="s">
        <v>31</v>
      </c>
    </row>
    <row r="11" customFormat="false" ht="15" hidden="false" customHeight="false" outlineLevel="0" collapsed="false">
      <c r="A11" s="0" t="s">
        <v>32</v>
      </c>
      <c r="B11" s="12" t="n">
        <f aca="false">B10*Parametros!B11</f>
        <v>11.0891670178231</v>
      </c>
      <c r="C11" s="2" t="s">
        <v>31</v>
      </c>
    </row>
    <row r="13" customFormat="false" ht="15" hidden="false" customHeight="false" outlineLevel="0" collapsed="false">
      <c r="A13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</row>
    <row r="5" customFormat="false" ht="15" hidden="false" customHeight="false" outlineLevel="0" collapsed="false">
      <c r="A5" s="0" t="s">
        <v>44</v>
      </c>
      <c r="B5" s="13" t="n">
        <f aca="false">Parametros!B5</f>
        <v>0.4</v>
      </c>
      <c r="C5" s="13" t="n">
        <f aca="false">Parametros!B6</f>
        <v>0.06</v>
      </c>
      <c r="D5" s="13" t="n">
        <f aca="false">Parametros!B7</f>
        <v>0.6</v>
      </c>
      <c r="E5" s="8" t="n">
        <f aca="false">SUMPRODUCT((Perfil!$B$5:$B$124&lt;=B5)*(Perfil!$C$5:$C$124&gt;=C5)*(Perfil!$D$5:$D$124&lt;=D5))*Parametros!$B$8</f>
        <v>39</v>
      </c>
      <c r="F5" s="14" t="n">
        <f aca="false">IF(E5=0,0,SUMPRODUCT((Perfil!$B$5:$B$124&lt;=B5)*(Perfil!$C$5:$C$124&gt;=C5)*(Perfil!$D$5:$D$124&lt;=D5)*Perfil!$C$5:$C$124)*Parametros!$B$8/E5)</f>
        <v>0.092</v>
      </c>
      <c r="G5" s="14" t="n">
        <f aca="false">IF(E5=0,0,SUMPRODUCT((Perfil!$B$5:$B$124&lt;=B5)*(Perfil!$C$5:$C$124&gt;=C5)*(Perfil!$D$5:$D$124&lt;=D5)*Perfil!$D$5:$D$124)*Parametros!$B$8/E5)</f>
        <v>0.319858974358974</v>
      </c>
      <c r="H5" s="12" t="n">
        <f aca="false">7758*Parametros!$B$9*247.105*E5*F5*(1-G5)/Parametros!$B$10/1000000</f>
        <v>138.614587722789</v>
      </c>
      <c r="I5" s="15" t="n">
        <f aca="false">IF($H$5=0,0,H5/$H$5-1)</f>
        <v>0</v>
      </c>
    </row>
    <row r="6" customFormat="false" ht="15" hidden="false" customHeight="false" outlineLevel="0" collapsed="false">
      <c r="A6" s="0" t="s">
        <v>45</v>
      </c>
      <c r="B6" s="4" t="n">
        <v>0.3</v>
      </c>
      <c r="C6" s="4" t="n">
        <v>0.08</v>
      </c>
      <c r="D6" s="4" t="n">
        <v>0.45</v>
      </c>
      <c r="E6" s="8" t="n">
        <f aca="false">SUMPRODUCT((Perfil!$B$5:$B$124&lt;=B6)*(Perfil!$C$5:$C$124&gt;=C6)*(Perfil!$D$5:$D$124&lt;=D6))*Parametros!$B$8</f>
        <v>27.5</v>
      </c>
      <c r="F6" s="14" t="n">
        <f aca="false">IF(E6=0,0,SUMPRODUCT((Perfil!$B$5:$B$124&lt;=B6)*(Perfil!$C$5:$C$124&gt;=C6)*(Perfil!$D$5:$D$124&lt;=D6)*Perfil!$C$5:$C$124)*Parametros!$B$8/E6)</f>
        <v>0.0993818181818182</v>
      </c>
      <c r="G6" s="14" t="n">
        <f aca="false">IF(E6=0,0,SUMPRODUCT((Perfil!$B$5:$B$124&lt;=B6)*(Perfil!$C$5:$C$124&gt;=C6)*(Perfil!$D$5:$D$124&lt;=D6)*Perfil!$D$5:$D$124)*Parametros!$B$8/E6)</f>
        <v>0.259181818181818</v>
      </c>
      <c r="H6" s="12" t="n">
        <f aca="false">7758*Parametros!$B$9*247.105*E6*F6*(1-G6)/Parametros!$B$10/1000000</f>
        <v>115.002900950028</v>
      </c>
      <c r="I6" s="15" t="n">
        <f aca="false">IF($H$5=0,0,H6/$H$5-1)</f>
        <v>-0.170340561990353</v>
      </c>
    </row>
    <row r="7" customFormat="false" ht="15" hidden="false" customHeight="false" outlineLevel="0" collapsed="false">
      <c r="A7" s="0" t="s">
        <v>46</v>
      </c>
      <c r="B7" s="4" t="n">
        <v>0.5</v>
      </c>
      <c r="C7" s="4" t="n">
        <v>0.04</v>
      </c>
      <c r="D7" s="4" t="n">
        <v>0.7</v>
      </c>
      <c r="E7" s="8" t="n">
        <f aca="false">SUMPRODUCT((Perfil!$B$5:$B$124&lt;=B7)*(Perfil!$C$5:$C$124&gt;=C7)*(Perfil!$D$5:$D$124&lt;=D7))*Parametros!$B$8</f>
        <v>47</v>
      </c>
      <c r="F7" s="14" t="n">
        <f aca="false">IF(E7=0,0,SUMPRODUCT((Perfil!$B$5:$B$124&lt;=B7)*(Perfil!$C$5:$C$124&gt;=C7)*(Perfil!$D$5:$D$124&lt;=D7)*Perfil!$C$5:$C$124)*Parametros!$B$8/E7)</f>
        <v>0.0857978723404255</v>
      </c>
      <c r="G7" s="14" t="n">
        <f aca="false">IF(E7=0,0,SUMPRODUCT((Perfil!$B$5:$B$124&lt;=B7)*(Perfil!$C$5:$C$124&gt;=C7)*(Perfil!$D$5:$D$124&lt;=D7)*Perfil!$D$5:$D$124)*Parametros!$B$8/E7)</f>
        <v>0.367872340425532</v>
      </c>
      <c r="H7" s="12" t="n">
        <f aca="false">7758*Parametros!$B$9*247.105*E7*F7*(1-G7)/Parametros!$B$10/1000000</f>
        <v>144.789377578118</v>
      </c>
      <c r="I7" s="15" t="n">
        <f aca="false">IF($H$5=0,0,H7/$H$5-1)</f>
        <v>0.0445464648185308</v>
      </c>
    </row>
    <row r="10" customFormat="false" ht="15" hidden="false" customHeight="false" outlineLevel="0" collapsed="false">
      <c r="A10" s="16" t="s">
        <v>47</v>
      </c>
    </row>
    <row r="11" customFormat="false" ht="28.35" hidden="false" customHeight="false" outlineLevel="0" collapsed="false">
      <c r="A11" s="3" t="s">
        <v>48</v>
      </c>
      <c r="B11" s="3" t="s">
        <v>49</v>
      </c>
      <c r="C11" s="3" t="s">
        <v>22</v>
      </c>
      <c r="D11" s="3" t="s">
        <v>19</v>
      </c>
      <c r="E11" s="3" t="s">
        <v>20</v>
      </c>
      <c r="F11" s="3" t="s">
        <v>13</v>
      </c>
      <c r="G11" s="3" t="s">
        <v>42</v>
      </c>
    </row>
    <row r="12" customFormat="false" ht="15" hidden="false" customHeight="false" outlineLevel="0" collapsed="false">
      <c r="A12" s="0" t="s">
        <v>50</v>
      </c>
      <c r="B12" s="5" t="n">
        <v>32</v>
      </c>
      <c r="C12" s="8" t="n">
        <f aca="false">0.8*Resumen!B6</f>
        <v>31.2</v>
      </c>
      <c r="D12" s="14" t="n">
        <f aca="false">0.9*Resumen!B8</f>
        <v>0.0828</v>
      </c>
      <c r="E12" s="14" t="n">
        <f aca="false">Resumen!B9+0.05</f>
        <v>0.369858974358974</v>
      </c>
      <c r="F12" s="4" t="n">
        <v>1.4</v>
      </c>
      <c r="G12" s="12" t="n">
        <f aca="false">7758*B12*247.105*C12*D12*(1-E12)/F12/1000000</f>
        <v>71.330609891078</v>
      </c>
    </row>
    <row r="13" customFormat="false" ht="15" hidden="false" customHeight="false" outlineLevel="0" collapsed="false">
      <c r="A13" s="0" t="s">
        <v>51</v>
      </c>
      <c r="B13" s="5" t="n">
        <v>40</v>
      </c>
      <c r="C13" s="8" t="n">
        <f aca="false">Resumen!B6</f>
        <v>39</v>
      </c>
      <c r="D13" s="14" t="n">
        <f aca="false">Resumen!B8</f>
        <v>0.092</v>
      </c>
      <c r="E13" s="14" t="n">
        <f aca="false">Resumen!B9</f>
        <v>0.319858974358974</v>
      </c>
      <c r="F13" s="4" t="n">
        <v>1.35</v>
      </c>
      <c r="G13" s="12" t="n">
        <f aca="false">7758*B13*247.105*C13*D13*(1-E13)/F13/1000000</f>
        <v>138.614587722789</v>
      </c>
    </row>
    <row r="14" customFormat="false" ht="15" hidden="false" customHeight="false" outlineLevel="0" collapsed="false">
      <c r="A14" s="0" t="s">
        <v>52</v>
      </c>
      <c r="B14" s="5" t="n">
        <v>48</v>
      </c>
      <c r="C14" s="8" t="n">
        <f aca="false">1.2*Resumen!B6</f>
        <v>46.8</v>
      </c>
      <c r="D14" s="14" t="n">
        <f aca="false">1.1*Resumen!B8</f>
        <v>0.1012</v>
      </c>
      <c r="E14" s="14" t="n">
        <f aca="false">Resumen!B9-0.05</f>
        <v>0.269858974358974</v>
      </c>
      <c r="F14" s="4" t="n">
        <v>1.3</v>
      </c>
      <c r="G14" s="12" t="n">
        <f aca="false">7758*B14*247.105*C14*D14*(1-E14)/F14/1000000</f>
        <v>244.772323609366</v>
      </c>
    </row>
    <row r="16" customFormat="false" ht="15" hidden="false" customHeight="false" outlineLevel="0" collapsed="false">
      <c r="A16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2026-10-31T04:45:50Z</dcterms:created>
  <dc:creator>openpyxl</dc:creator>
  <dc:description/>
  <dc:language>en-US</dc:language>
  <cp:lastModifiedBy/>
  <dcterms:modified xsi:type="dcterms:W3CDTF">2026-10-31T04:45:50Z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