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Pronostico" sheetId="2" state="visible" r:id="rId4"/>
    <sheet name="Result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<sst xmlns="http://schemas.openxmlformats.org/spreadsheetml/2006/main" count="60" uniqueCount="52">
  <si>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Declinación de Arps, EUR y límite económico</t>
  </si>
  <si>
    <t xml:space="preserve">Datos de ejemplo (sintéticos) con fines didácticos. Celdas azules sobre fondo crema = entradas editables; el resto son fórmulas.</t>
  </si>
  <si>
    <t xml:space="preserve">Escenario</t>
  </si>
  <si>
    <t xml:space="preserve">qi (bbl/d)</t>
  </si>
  <si>
    <t xml:space="preserve">Di nominal (1/año)</t>
  </si>
  <si>
    <t xml:space="preserve">b</t>
  </si>
  <si>
    <t xml:space="preserve">Descripción</t>
  </si>
  <si>
    <t xml:space="preserve">Bajo (1P)</t>
  </si>
  <si>
    <t xml:space="preserve">Estimación baja</t>
  </si>
  <si>
    <t xml:space="preserve">Mejor (2P)</t>
  </si>
  <si>
    <t xml:space="preserve">Estimación mejor</t>
  </si>
  <si>
    <t xml:space="preserve">Alto (3P)</t>
  </si>
  <si>
    <t xml:space="preserve">Estimación alta</t>
  </si>
  <si>
    <t xml:space="preserve">Economía</t>
  </si>
  <si>
    <t xml:space="preserve">Valor</t>
  </si>
  <si>
    <t xml:space="preserve">Unidad</t>
  </si>
  <si>
    <t xml:space="preserve">Precio del crudo</t>
  </si>
  <si>
    <t xml:space="preserve">USD/bbl</t>
  </si>
  <si>
    <t xml:space="preserve">Regalías</t>
  </si>
  <si>
    <t xml:space="preserve">fracción</t>
  </si>
  <si>
    <t xml:space="preserve">Opex variable</t>
  </si>
  <si>
    <t xml:space="preserve">Opex fijo</t>
  </si>
  <si>
    <t xml:space="preserve">USD/mes</t>
  </si>
  <si>
    <t xml:space="preserve">CAPEX (pozo)</t>
  </si>
  <si>
    <t xml:space="preserve">USD</t>
  </si>
  <si>
    <t xml:space="preserve">Tasa de descuento</t>
  </si>
  <si>
    <t xml:space="preserve">anual</t>
  </si>
  <si>
    <t xml:space="preserve">Margen neto por barril</t>
  </si>
  <si>
    <t xml:space="preserve">Caudal límite económico (aprox.)</t>
  </si>
  <si>
    <t xml:space="preserve">bbl/d</t>
  </si>
  <si>
    <t xml:space="preserve">q(t) = qi / (1 + b·Di·t)^(1/b), t en años. Mes económico si margen·volumen − opex fijo &gt; 0. Para b=0 usar exponencial (no cubierto aquí; usar b&gt;0).</t>
  </si>
  <si>
    <t xml:space="preserve">Pronóstico mensual (240 meses)</t>
  </si>
  <si>
    <t xml:space="preserve">Mes</t>
  </si>
  <si>
    <t xml:space="preserve">q Bajo (bbl/d)</t>
  </si>
  <si>
    <t xml:space="preserve">Vol Bajo (bbl)</t>
  </si>
  <si>
    <t xml:space="preserve">Econ. Bajo</t>
  </si>
  <si>
    <t xml:space="preserve">Flujo Bajo (USD)</t>
  </si>
  <si>
    <t xml:space="preserve">q Mejor (bbl/d)</t>
  </si>
  <si>
    <t xml:space="preserve">Vol Mejor (bbl)</t>
  </si>
  <si>
    <t xml:space="preserve">Econ. Mejor</t>
  </si>
  <si>
    <t xml:space="preserve">Flujo Mejor (USD)</t>
  </si>
  <si>
    <t xml:space="preserve">q Alto (bbl/d)</t>
  </si>
  <si>
    <t xml:space="preserve">Vol Alto (bbl)</t>
  </si>
  <si>
    <t xml:space="preserve">Econ. Alto</t>
  </si>
  <si>
    <t xml:space="preserve">Flujo Alto (USD)</t>
  </si>
  <si>
    <t xml:space="preserve">EUR, VPN y clasificación (ejemplo)</t>
  </si>
  <si>
    <t xml:space="preserve">EUR económico (Mbbl)</t>
  </si>
  <si>
    <t xml:space="preserve">VPN10 (MUSD)</t>
  </si>
  <si>
    <t xml:space="preserve">¿Económico?</t>
  </si>
  <si>
    <t xml:space="preserve">Vida económica (meses)</t>
  </si>
  <si>
    <t xml:space="preserve">Cum. 240 m sin límite (Mbbl)</t>
  </si>
  <si>
    <t xml:space="preserve">Lectura PRMS: 1P/2P/3P se asocian a P90/P50/P10 cuando hay un conjunto probabilístico; acá son tres casos determinísticos. Reservas = económicas bajo el precio supuesto.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</si>
</sst>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"/>
    <numFmt numFmtId="168" formatCode="#,##0"/>
    <numFmt numFmtId="169" formatCode="#,##0.0"/>
    <numFmt numFmtId="170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4" t="n">
        <v>380</v>
      </c>
      <c r="C5" s="5" t="n">
        <v>0.95</v>
      </c>
      <c r="D5" s="5" t="n">
        <v>0.4</v>
      </c>
      <c r="E5" s="2" t="s">
        <v>8</v>
      </c>
    </row>
    <row r="6" customFormat="false" ht="15" hidden="false" customHeight="false" outlineLevel="0" collapsed="false">
      <c r="A6" s="0" t="s">
        <v>9</v>
      </c>
      <c r="B6" s="4" t="n">
        <v>450</v>
      </c>
      <c r="C6" s="5" t="n">
        <v>0.8</v>
      </c>
      <c r="D6" s="5" t="n">
        <v>0.8</v>
      </c>
      <c r="E6" s="2" t="s">
        <v>10</v>
      </c>
    </row>
    <row r="7" customFormat="false" ht="15" hidden="false" customHeight="false" outlineLevel="0" collapsed="false">
      <c r="A7" s="0" t="s">
        <v>11</v>
      </c>
      <c r="B7" s="4" t="n">
        <v>520</v>
      </c>
      <c r="C7" s="5" t="n">
        <v>0.65</v>
      </c>
      <c r="D7" s="5" t="n">
        <v>1.2</v>
      </c>
      <c r="E7" s="2" t="s">
        <v>12</v>
      </c>
    </row>
    <row r="10" customFormat="false" ht="15" hidden="false" customHeight="false" outlineLevel="0" collapsed="false">
      <c r="A10" s="3" t="s">
        <v>13</v>
      </c>
      <c r="B10" s="3" t="s">
        <v>14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6" t="n">
        <v>65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5" t="n">
        <v>0.12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6" t="n">
        <v>9</v>
      </c>
      <c r="C13" s="2" t="s">
        <v>17</v>
      </c>
    </row>
    <row r="14" customFormat="false" ht="15" hidden="false" customHeight="false" outlineLevel="0" collapsed="false">
      <c r="A14" s="0" t="s">
        <v>21</v>
      </c>
      <c r="B14" s="7" t="n">
        <v>9000</v>
      </c>
      <c r="C14" s="2" t="s">
        <v>22</v>
      </c>
    </row>
    <row r="15" customFormat="false" ht="15" hidden="false" customHeight="false" outlineLevel="0" collapsed="false">
      <c r="A15" s="0" t="s">
        <v>23</v>
      </c>
      <c r="B15" s="7" t="n">
        <v>6500000</v>
      </c>
      <c r="C15" s="2" t="s">
        <v>24</v>
      </c>
    </row>
    <row r="16" customFormat="false" ht="15" hidden="false" customHeight="false" outlineLevel="0" collapsed="false">
      <c r="A16" s="0" t="s">
        <v>25</v>
      </c>
      <c r="B16" s="5" t="n">
        <v>0.1</v>
      </c>
      <c r="C16" s="2" t="s">
        <v>26</v>
      </c>
    </row>
    <row r="18" customFormat="false" ht="15" hidden="false" customHeight="false" outlineLevel="0" collapsed="false">
      <c r="A18" s="0" t="s">
        <v>27</v>
      </c>
      <c r="B18" s="8" t="n">
        <f aca="false">B11*(1-B12)-B13</f>
        <v>48.2</v>
      </c>
      <c r="C18" s="9" t="s">
        <v>17</v>
      </c>
    </row>
    <row r="19" customFormat="false" ht="15" hidden="false" customHeight="false" outlineLevel="0" collapsed="false">
      <c r="A19" s="0" t="s">
        <v>28</v>
      </c>
      <c r="B19" s="10" t="n">
        <f aca="false">B14/(B18*30.4)</f>
        <v>6.14217077964621</v>
      </c>
      <c r="C19" s="9" t="s">
        <v>29</v>
      </c>
    </row>
    <row r="21" customFormat="false" ht="15" hidden="false" customHeight="false" outlineLevel="0" collapsed="false">
      <c r="A2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</row>
    <row r="5" customFormat="false" ht="15" hidden="false" customHeight="false" outlineLevel="0" collapsed="false">
      <c r="A5" s="0" t="n">
        <v>1</v>
      </c>
      <c r="B5" s="11" t="n">
        <f aca="false">Parametros!$B$5/(1+Parametros!$D$5*Parametros!$C$5*A5/12)^(1/Parametros!$D$5)</f>
        <v>351.50790806516</v>
      </c>
      <c r="C5" s="12" t="n">
        <f aca="false">B5*30.4</f>
        <v>10685.8404051809</v>
      </c>
      <c r="D5" s="13" t="n">
        <f aca="false">IF(Parametros!$B$18*C5-Parametros!$B$14&gt;0,1,0)</f>
        <v>1</v>
      </c>
      <c r="E5" s="12" t="n">
        <f aca="false">(C5*Parametros!$B$18-Parametros!$B$14)*D5/(1+Parametros!$B$16)^(A5/12)</f>
        <v>502054.057968575</v>
      </c>
      <c r="F5" s="11" t="n">
        <f aca="false">Parametros!$B$6/(1+Parametros!$D$6*Parametros!$C$6*A5/12)^(1/Parametros!$D$6)</f>
        <v>421.701580681509</v>
      </c>
      <c r="G5" s="12" t="n">
        <f aca="false">F5*30.4</f>
        <v>12819.7280527179</v>
      </c>
      <c r="H5" s="13" t="n">
        <f aca="false">IF(Parametros!$B$18*G5-Parametros!$B$14&gt;0,1,0)</f>
        <v>1</v>
      </c>
      <c r="I5" s="12" t="n">
        <f aca="false">(G5*Parametros!$B$18-Parametros!$B$14)*H5/(1+Parametros!$B$16)^(A5/12)</f>
        <v>604093.763637531</v>
      </c>
      <c r="J5" s="11" t="n">
        <f aca="false">Parametros!$B$7/(1+Parametros!$D$7*Parametros!$C$7*A5/12)^(1/Parametros!$D$7)</f>
        <v>493.414608891818</v>
      </c>
      <c r="K5" s="12" t="n">
        <f aca="false">J5*30.4</f>
        <v>14999.8041103113</v>
      </c>
      <c r="L5" s="13" t="n">
        <f aca="false">IF(Parametros!$B$18*K5-Parametros!$B$14&gt;0,1,0)</f>
        <v>1</v>
      </c>
      <c r="M5" s="12" t="n">
        <f aca="false">(K5*Parametros!$B$18-Parametros!$B$14)*L5/(1+Parametros!$B$16)^(A5/12)</f>
        <v>708342.138433426</v>
      </c>
    </row>
    <row r="6" customFormat="false" ht="15" hidden="false" customHeight="false" outlineLevel="0" collapsed="false">
      <c r="A6" s="0" t="n">
        <v>2</v>
      </c>
      <c r="B6" s="11" t="n">
        <f aca="false">Parametros!$B$5/(1+Parametros!$D$5*Parametros!$C$5*A6/12)^(1/Parametros!$D$5)</f>
        <v>325.919260136473</v>
      </c>
      <c r="C6" s="12" t="n">
        <f aca="false">B6*30.4</f>
        <v>9907.94550814877</v>
      </c>
      <c r="D6" s="13" t="n">
        <f aca="false">IF(Parametros!$B$18*C6-Parametros!$B$14&gt;0,1,0)</f>
        <v>1</v>
      </c>
      <c r="E6" s="12" t="n">
        <f aca="false">(C6*Parametros!$B$18-Parametros!$B$14)*D6/(1+Parametros!$B$16)^(A6/12)</f>
        <v>461178.642056256</v>
      </c>
      <c r="F6" s="11" t="n">
        <f aca="false">Parametros!$B$6/(1+Parametros!$D$6*Parametros!$C$6*A6/12)^(1/Parametros!$D$6)</f>
        <v>396.452789123017</v>
      </c>
      <c r="G6" s="12" t="n">
        <f aca="false">F6*30.4</f>
        <v>12052.1647893397</v>
      </c>
      <c r="H6" s="13" t="n">
        <f aca="false">IF(Parametros!$B$18*G6-Parametros!$B$14&gt;0,1,0)</f>
        <v>1</v>
      </c>
      <c r="I6" s="12" t="n">
        <f aca="false">(G6*Parametros!$B$18-Parametros!$B$14)*H6/(1+Parametros!$B$16)^(A6/12)</f>
        <v>562901.2425805</v>
      </c>
      <c r="J6" s="11" t="n">
        <f aca="false">Parametros!$B$7/(1+Parametros!$D$7*Parametros!$C$7*A6/12)^(1/Parametros!$D$7)</f>
        <v>469.646734941025</v>
      </c>
      <c r="K6" s="12" t="n">
        <f aca="false">J6*30.4</f>
        <v>14277.2607422072</v>
      </c>
      <c r="L6" s="13" t="n">
        <f aca="false">IF(Parametros!$B$18*K6-Parametros!$B$14&gt;0,1,0)</f>
        <v>1</v>
      </c>
      <c r="M6" s="12" t="n">
        <f aca="false">(K6*Parametros!$B$18-Parametros!$B$14)*L6/(1+Parametros!$B$16)^(A6/12)</f>
        <v>668460.664010538</v>
      </c>
    </row>
    <row r="7" customFormat="false" ht="15" hidden="false" customHeight="false" outlineLevel="0" collapsed="false">
      <c r="A7" s="0" t="n">
        <v>3</v>
      </c>
      <c r="B7" s="11" t="n">
        <f aca="false">Parametros!$B$5/(1+Parametros!$D$5*Parametros!$C$5*A7/12)^(1/Parametros!$D$5)</f>
        <v>302.864449658095</v>
      </c>
      <c r="C7" s="12" t="n">
        <f aca="false">B7*30.4</f>
        <v>9207.07926960609</v>
      </c>
      <c r="D7" s="13" t="n">
        <f aca="false">IF(Parametros!$B$18*C7-Parametros!$B$14&gt;0,1,0)</f>
        <v>1</v>
      </c>
      <c r="E7" s="12" t="n">
        <f aca="false">(C7*Parametros!$B$18-Parametros!$B$14)*D7/(1+Parametros!$B$16)^(A7/12)</f>
        <v>424543.90115975</v>
      </c>
      <c r="F7" s="11" t="n">
        <f aca="false">Parametros!$B$6/(1+Parametros!$D$6*Parametros!$C$6*A7/12)^(1/Parametros!$D$6)</f>
        <v>373.800628487312</v>
      </c>
      <c r="G7" s="12" t="n">
        <f aca="false">F7*30.4</f>
        <v>11363.5391060143</v>
      </c>
      <c r="H7" s="13" t="n">
        <f aca="false">IF(Parametros!$B$18*G7-Parametros!$B$14&gt;0,1,0)</f>
        <v>1</v>
      </c>
      <c r="I7" s="12" t="n">
        <f aca="false">(G7*Parametros!$B$18-Parametros!$B$14)*H7/(1+Parametros!$B$16)^(A7/12)</f>
        <v>526037.871236255</v>
      </c>
      <c r="J7" s="11" t="n">
        <f aca="false">Parametros!$B$7/(1+Parametros!$D$7*Parametros!$C$7*A7/12)^(1/Parametros!$D$7)</f>
        <v>448.260105732659</v>
      </c>
      <c r="K7" s="12" t="n">
        <f aca="false">J7*30.4</f>
        <v>13627.1072142728</v>
      </c>
      <c r="L7" s="13" t="n">
        <f aca="false">IF(Parametros!$B$18*K7-Parametros!$B$14&gt;0,1,0)</f>
        <v>1</v>
      </c>
      <c r="M7" s="12" t="n">
        <f aca="false">(K7*Parametros!$B$18-Parametros!$B$14)*L7/(1+Parametros!$B$16)^(A7/12)</f>
        <v>632572.901458924</v>
      </c>
    </row>
    <row r="8" customFormat="false" ht="15" hidden="false" customHeight="false" outlineLevel="0" collapsed="false">
      <c r="A8" s="0" t="n">
        <v>4</v>
      </c>
      <c r="B8" s="11" t="n">
        <f aca="false">Parametros!$B$5/(1+Parametros!$D$5*Parametros!$C$5*A8/12)^(1/Parametros!$D$5)</f>
        <v>282.029789152989</v>
      </c>
      <c r="C8" s="12" t="n">
        <f aca="false">B8*30.4</f>
        <v>8573.70559025088</v>
      </c>
      <c r="D8" s="13" t="n">
        <f aca="false">IF(Parametros!$B$18*C8-Parametros!$B$14&gt;0,1,0)</f>
        <v>1</v>
      </c>
      <c r="E8" s="12" t="n">
        <f aca="false">(C8*Parametros!$B$18-Parametros!$B$14)*D8/(1+Parametros!$B$16)^(A8/12)</f>
        <v>391611.349862507</v>
      </c>
      <c r="F8" s="11" t="n">
        <f aca="false">Parametros!$B$6/(1+Parametros!$D$6*Parametros!$C$6*A8/12)^(1/Parametros!$D$6)</f>
        <v>353.376245834571</v>
      </c>
      <c r="G8" s="12" t="n">
        <f aca="false">F8*30.4</f>
        <v>10742.6378733709</v>
      </c>
      <c r="H8" s="13" t="n">
        <f aca="false">IF(Parametros!$B$18*G8-Parametros!$B$14&gt;0,1,0)</f>
        <v>1</v>
      </c>
      <c r="I8" s="12" t="n">
        <f aca="false">(G8*Parametros!$B$18-Parametros!$B$14)*H8/(1+Parametros!$B$16)^(A8/12)</f>
        <v>492884.768270038</v>
      </c>
      <c r="J8" s="11" t="n">
        <f aca="false">Parametros!$B$7/(1+Parametros!$D$7*Parametros!$C$7*A8/12)^(1/Parametros!$D$7)</f>
        <v>428.905112196713</v>
      </c>
      <c r="K8" s="12" t="n">
        <f aca="false">J8*30.4</f>
        <v>13038.7154107801</v>
      </c>
      <c r="L8" s="13" t="n">
        <f aca="false">IF(Parametros!$B$18*K8-Parametros!$B$14&gt;0,1,0)</f>
        <v>1</v>
      </c>
      <c r="M8" s="12" t="n">
        <f aca="false">(K8*Parametros!$B$18-Parametros!$B$14)*L8/(1+Parametros!$B$16)^(A8/12)</f>
        <v>600094.948574821</v>
      </c>
    </row>
    <row r="9" customFormat="false" ht="15" hidden="false" customHeight="false" outlineLevel="0" collapsed="false">
      <c r="A9" s="0" t="n">
        <v>5</v>
      </c>
      <c r="B9" s="11" t="n">
        <f aca="false">Parametros!$B$5/(1+Parametros!$D$5*Parametros!$C$5*A9/12)^(1/Parametros!$D$5)</f>
        <v>263.147780352013</v>
      </c>
      <c r="C9" s="12" t="n">
        <f aca="false">B9*30.4</f>
        <v>7999.69252270121</v>
      </c>
      <c r="D9" s="13" t="n">
        <f aca="false">IF(Parametros!$B$18*C9-Parametros!$B$14&gt;0,1,0)</f>
        <v>1</v>
      </c>
      <c r="E9" s="12" t="n">
        <f aca="false">(C9*Parametros!$B$18-Parametros!$B$14)*D9/(1+Parametros!$B$16)^(A9/12)</f>
        <v>361923.074316155</v>
      </c>
      <c r="F9" s="11" t="n">
        <f aca="false">Parametros!$B$6/(1+Parametros!$D$6*Parametros!$C$6*A9/12)^(1/Parametros!$D$6)</f>
        <v>334.876434044748</v>
      </c>
      <c r="G9" s="12" t="n">
        <f aca="false">F9*30.4</f>
        <v>10180.2435949603</v>
      </c>
      <c r="H9" s="13" t="n">
        <f aca="false">IF(Parametros!$B$18*G9-Parametros!$B$14&gt;0,1,0)</f>
        <v>1</v>
      </c>
      <c r="I9" s="12" t="n">
        <f aca="false">(G9*Parametros!$B$18-Parametros!$B$14)*H9/(1+Parametros!$B$16)^(A9/12)</f>
        <v>462933.534376651</v>
      </c>
      <c r="J9" s="11" t="n">
        <f aca="false">Parametros!$B$7/(1+Parametros!$D$7*Parametros!$C$7*A9/12)^(1/Parametros!$D$7)</f>
        <v>411.298171147898</v>
      </c>
      <c r="K9" s="12" t="n">
        <f aca="false">J9*30.4</f>
        <v>12503.4644028961</v>
      </c>
      <c r="L9" s="13" t="n">
        <f aca="false">IF(Parametros!$B$18*K9-Parametros!$B$14&gt;0,1,0)</f>
        <v>1</v>
      </c>
      <c r="M9" s="12" t="n">
        <f aca="false">(K9*Parametros!$B$18-Parametros!$B$14)*L9/(1+Parametros!$B$16)^(A9/12)</f>
        <v>570552.936470538</v>
      </c>
    </row>
    <row r="10" customFormat="false" ht="15" hidden="false" customHeight="false" outlineLevel="0" collapsed="false">
      <c r="A10" s="0" t="n">
        <v>6</v>
      </c>
      <c r="B10" s="11" t="n">
        <f aca="false">Parametros!$B$5/(1+Parametros!$D$5*Parametros!$C$5*A10/12)^(1/Parametros!$D$5)</f>
        <v>245.98928668224</v>
      </c>
      <c r="C10" s="12" t="n">
        <f aca="false">B10*30.4</f>
        <v>7478.0743151401</v>
      </c>
      <c r="D10" s="13" t="n">
        <f aca="false">IF(Parametros!$B$18*C10-Parametros!$B$14&gt;0,1,0)</f>
        <v>1</v>
      </c>
      <c r="E10" s="12" t="n">
        <f aca="false">(C10*Parametros!$B$18-Parametros!$B$14)*D10/(1+Parametros!$B$16)^(A10/12)</f>
        <v>335087.92627266</v>
      </c>
      <c r="F10" s="11" t="n">
        <f aca="false">Parametros!$B$6/(1+Parametros!$D$6*Parametros!$C$6*A10/12)^(1/Parametros!$D$6)</f>
        <v>318.049780193082</v>
      </c>
      <c r="G10" s="12" t="n">
        <f aca="false">F10*30.4</f>
        <v>9668.71331786969</v>
      </c>
      <c r="H10" s="13" t="n">
        <f aca="false">IF(Parametros!$B$18*G10-Parametros!$B$14&gt;0,1,0)</f>
        <v>1</v>
      </c>
      <c r="I10" s="12" t="n">
        <f aca="false">(G10*Parametros!$B$18-Parametros!$B$14)*H10/(1+Parametros!$B$16)^(A10/12)</f>
        <v>435762.896850746</v>
      </c>
      <c r="J10" s="11" t="n">
        <f aca="false">Parametros!$B$7/(1+Parametros!$D$7*Parametros!$C$7*A10/12)^(1/Parametros!$D$7)</f>
        <v>395.206740753192</v>
      </c>
      <c r="K10" s="12" t="n">
        <f aca="false">J10*30.4</f>
        <v>12014.284918897</v>
      </c>
      <c r="L10" s="13" t="n">
        <f aca="false">IF(Parametros!$B$18*K10-Parametros!$B$14&gt;0,1,0)</f>
        <v>1</v>
      </c>
      <c r="M10" s="12" t="n">
        <f aca="false">(K10*Parametros!$B$18-Parametros!$B$14)*L10/(1+Parametros!$B$16)^(A10/12)</f>
        <v>543558.088860012</v>
      </c>
    </row>
    <row r="11" customFormat="false" ht="15" hidden="false" customHeight="false" outlineLevel="0" collapsed="false">
      <c r="A11" s="0" t="n">
        <v>7</v>
      </c>
      <c r="B11" s="11" t="n">
        <f aca="false">Parametros!$B$5/(1+Parametros!$D$5*Parametros!$C$5*A11/12)^(1/Parametros!$D$5)</f>
        <v>230.357197320386</v>
      </c>
      <c r="C11" s="12" t="n">
        <f aca="false">B11*30.4</f>
        <v>7002.85879853973</v>
      </c>
      <c r="D11" s="13" t="n">
        <f aca="false">IF(Parametros!$B$18*C11-Parametros!$B$14&gt;0,1,0)</f>
        <v>1</v>
      </c>
      <c r="E11" s="12" t="n">
        <f aca="false">(C11*Parametros!$B$18-Parametros!$B$14)*D11/(1+Parametros!$B$16)^(A11/12)</f>
        <v>310770.369252161</v>
      </c>
      <c r="F11" s="11" t="n">
        <f aca="false">Parametros!$B$6/(1+Parametros!$D$6*Parametros!$C$6*A11/12)^(1/Parametros!$D$6)</f>
        <v>302.686158865567</v>
      </c>
      <c r="G11" s="12" t="n">
        <f aca="false">F11*30.4</f>
        <v>9201.65922951322</v>
      </c>
      <c r="H11" s="13" t="n">
        <f aca="false">IF(Parametros!$B$18*G11-Parametros!$B$14&gt;0,1,0)</f>
        <v>1</v>
      </c>
      <c r="I11" s="12" t="n">
        <f aca="false">(G11*Parametros!$B$18-Parametros!$B$14)*H11/(1+Parametros!$B$16)^(A11/12)</f>
        <v>411021.001129132</v>
      </c>
      <c r="J11" s="11" t="n">
        <f aca="false">Parametros!$B$7/(1+Parametros!$D$7*Parametros!$C$7*A11/12)^(1/Parametros!$D$7)</f>
        <v>380.438256361905</v>
      </c>
      <c r="K11" s="12" t="n">
        <f aca="false">J11*30.4</f>
        <v>11565.3229934019</v>
      </c>
      <c r="L11" s="13" t="n">
        <f aca="false">IF(Parametros!$B$18*K11-Parametros!$B$14&gt;0,1,0)</f>
        <v>1</v>
      </c>
      <c r="M11" s="12" t="n">
        <f aca="false">(K11*Parametros!$B$18-Parametros!$B$14)*L11/(1+Parametros!$B$16)^(A11/12)</f>
        <v>518788.301215404</v>
      </c>
    </row>
    <row r="12" customFormat="false" ht="15" hidden="false" customHeight="false" outlineLevel="0" collapsed="false">
      <c r="A12" s="0" t="n">
        <v>8</v>
      </c>
      <c r="B12" s="11" t="n">
        <f aca="false">Parametros!$B$5/(1+Parametros!$D$5*Parametros!$C$5*A12/12)^(1/Parametros!$D$5)</f>
        <v>216.081268696234</v>
      </c>
      <c r="C12" s="12" t="n">
        <f aca="false">B12*30.4</f>
        <v>6568.8705683655</v>
      </c>
      <c r="D12" s="13" t="n">
        <f aca="false">IF(Parametros!$B$18*C12-Parametros!$B$14&gt;0,1,0)</f>
        <v>1</v>
      </c>
      <c r="E12" s="12" t="n">
        <f aca="false">(C12*Parametros!$B$18-Parametros!$B$14)*D12/(1+Parametros!$B$16)^(A12/12)</f>
        <v>288681.414866992</v>
      </c>
      <c r="F12" s="11" t="n">
        <f aca="false">Parametros!$B$6/(1+Parametros!$D$6*Parametros!$C$6*A12/12)^(1/Parametros!$D$6)</f>
        <v>288.608668308406</v>
      </c>
      <c r="G12" s="12" t="n">
        <f aca="false">F12*30.4</f>
        <v>8773.70351657555</v>
      </c>
      <c r="H12" s="13" t="n">
        <f aca="false">IF(Parametros!$B$18*G12-Parametros!$B$14&gt;0,1,0)</f>
        <v>1</v>
      </c>
      <c r="I12" s="12" t="n">
        <f aca="false">(G12*Parametros!$B$18-Parametros!$B$14)*H12/(1+Parametros!$B$16)^(A12/12)</f>
        <v>388411.824992812</v>
      </c>
      <c r="J12" s="11" t="n">
        <f aca="false">Parametros!$B$7/(1+Parametros!$D$7*Parametros!$C$7*A12/12)^(1/Parametros!$D$7)</f>
        <v>366.831836740237</v>
      </c>
      <c r="K12" s="12" t="n">
        <f aca="false">J12*30.4</f>
        <v>11151.6878369032</v>
      </c>
      <c r="L12" s="13" t="n">
        <f aca="false">IF(Parametros!$B$18*K12-Parametros!$B$14&gt;0,1,0)</f>
        <v>1</v>
      </c>
      <c r="M12" s="12" t="n">
        <f aca="false">(K12*Parametros!$B$18-Parametros!$B$14)*L12/(1+Parametros!$B$16)^(A12/12)</f>
        <v>495974.328415837</v>
      </c>
    </row>
    <row r="13" customFormat="false" ht="15" hidden="false" customHeight="false" outlineLevel="0" collapsed="false">
      <c r="A13" s="0" t="n">
        <v>9</v>
      </c>
      <c r="B13" s="11" t="n">
        <f aca="false">Parametros!$B$5/(1+Parametros!$D$5*Parametros!$C$5*A13/12)^(1/Parametros!$D$5)</f>
        <v>203.013901471535</v>
      </c>
      <c r="C13" s="12" t="n">
        <f aca="false">B13*30.4</f>
        <v>6171.62260473467</v>
      </c>
      <c r="D13" s="13" t="n">
        <f aca="false">IF(Parametros!$B$18*C13-Parametros!$B$14&gt;0,1,0)</f>
        <v>1</v>
      </c>
      <c r="E13" s="12" t="n">
        <f aca="false">(C13*Parametros!$B$18-Parametros!$B$14)*D13/(1+Parametros!$B$16)^(A13/12)</f>
        <v>268571.217017054</v>
      </c>
      <c r="F13" s="11" t="n">
        <f aca="false">Parametros!$B$6/(1+Parametros!$D$6*Parametros!$C$6*A13/12)^(1/Parametros!$D$6)</f>
        <v>275.667374218108</v>
      </c>
      <c r="G13" s="12" t="n">
        <f aca="false">F13*30.4</f>
        <v>8380.28817623048</v>
      </c>
      <c r="H13" s="13" t="n">
        <f aca="false">IF(Parametros!$B$18*G13-Parametros!$B$14&gt;0,1,0)</f>
        <v>1</v>
      </c>
      <c r="I13" s="12" t="n">
        <f aca="false">(G13*Parametros!$B$18-Parametros!$B$14)*H13/(1+Parametros!$B$16)^(A13/12)</f>
        <v>367684.642431089</v>
      </c>
      <c r="J13" s="11" t="n">
        <f aca="false">Parametros!$B$7/(1+Parametros!$D$7*Parametros!$C$7*A13/12)^(1/Parametros!$D$7)</f>
        <v>354.251981525464</v>
      </c>
      <c r="K13" s="12" t="n">
        <f aca="false">J13*30.4</f>
        <v>10769.2602383741</v>
      </c>
      <c r="L13" s="13" t="n">
        <f aca="false">IF(Parametros!$B$18*K13-Parametros!$B$14&gt;0,1,0)</f>
        <v>1</v>
      </c>
      <c r="M13" s="12" t="n">
        <f aca="false">(K13*Parametros!$B$18-Parametros!$B$14)*L13/(1+Parametros!$B$16)^(A13/12)</f>
        <v>474889.285521136</v>
      </c>
    </row>
    <row r="14" customFormat="false" ht="15" hidden="false" customHeight="false" outlineLevel="0" collapsed="false">
      <c r="A14" s="0" t="n">
        <v>10</v>
      </c>
      <c r="B14" s="11" t="n">
        <f aca="false">Parametros!$B$5/(1+Parametros!$D$5*Parametros!$C$5*A14/12)^(1/Parametros!$D$5)</f>
        <v>191.026665281927</v>
      </c>
      <c r="C14" s="12" t="n">
        <f aca="false">B14*30.4</f>
        <v>5807.21062457059</v>
      </c>
      <c r="D14" s="13" t="n">
        <f aca="false">IF(Parametros!$B$18*C14-Parametros!$B$14&gt;0,1,0)</f>
        <v>1</v>
      </c>
      <c r="E14" s="12" t="n">
        <f aca="false">(C14*Parametros!$B$18-Parametros!$B$14)*D14/(1+Parametros!$B$16)^(A14/12)</f>
        <v>250222.989097644</v>
      </c>
      <c r="F14" s="11" t="n">
        <f aca="false">Parametros!$B$6/(1+Parametros!$D$6*Parametros!$C$6*A14/12)^(1/Parametros!$D$6)</f>
        <v>263.734407413335</v>
      </c>
      <c r="G14" s="12" t="n">
        <f aca="false">F14*30.4</f>
        <v>8017.52598536539</v>
      </c>
      <c r="H14" s="13" t="n">
        <f aca="false">IF(Parametros!$B$18*G14-Parametros!$B$14&gt;0,1,0)</f>
        <v>1</v>
      </c>
      <c r="I14" s="12" t="n">
        <f aca="false">(G14*Parametros!$B$18-Parametros!$B$14)*H14/(1+Parametros!$B$16)^(A14/12)</f>
        <v>348625.77087574</v>
      </c>
      <c r="J14" s="11" t="n">
        <f aca="false">Parametros!$B$7/(1+Parametros!$D$7*Parametros!$C$7*A14/12)^(1/Parametros!$D$7)</f>
        <v>342.583722007542</v>
      </c>
      <c r="K14" s="12" t="n">
        <f aca="false">J14*30.4</f>
        <v>10414.5451490293</v>
      </c>
      <c r="L14" s="13" t="n">
        <f aca="false">IF(Parametros!$B$18*K14-Parametros!$B$14&gt;0,1,0)</f>
        <v>1</v>
      </c>
      <c r="M14" s="12" t="n">
        <f aca="false">(K14*Parametros!$B$18-Parametros!$B$14)*L14/(1+Parametros!$B$16)^(A14/12)</f>
        <v>455340.56726349</v>
      </c>
    </row>
    <row r="15" customFormat="false" ht="15" hidden="false" customHeight="false" outlineLevel="0" collapsed="false">
      <c r="A15" s="0" t="n">
        <v>11</v>
      </c>
      <c r="B15" s="11" t="n">
        <f aca="false">Parametros!$B$5/(1+Parametros!$D$5*Parametros!$C$5*A15/12)^(1/Parametros!$D$5)</f>
        <v>180.007424653507</v>
      </c>
      <c r="C15" s="12" t="n">
        <f aca="false">B15*30.4</f>
        <v>5472.2257094666</v>
      </c>
      <c r="D15" s="13" t="n">
        <f aca="false">IF(Parametros!$B$18*C15-Parametros!$B$14&gt;0,1,0)</f>
        <v>1</v>
      </c>
      <c r="E15" s="12" t="n">
        <f aca="false">(C15*Parametros!$B$18-Parametros!$B$14)*D15/(1+Parametros!$B$16)^(A15/12)</f>
        <v>233447.983102226</v>
      </c>
      <c r="F15" s="11" t="n">
        <f aca="false">Parametros!$B$6/(1+Parametros!$D$6*Parametros!$C$6*A15/12)^(1/Parametros!$D$6)</f>
        <v>252.700086903846</v>
      </c>
      <c r="G15" s="12" t="n">
        <f aca="false">F15*30.4</f>
        <v>7682.08264187693</v>
      </c>
      <c r="H15" s="13" t="n">
        <f aca="false">IF(Parametros!$B$18*G15-Parametros!$B$14&gt;0,1,0)</f>
        <v>1</v>
      </c>
      <c r="I15" s="12" t="n">
        <f aca="false">(G15*Parametros!$B$18-Parametros!$B$14)*H15/(1+Parametros!$B$16)^(A15/12)</f>
        <v>331052.047229869</v>
      </c>
      <c r="J15" s="11" t="n">
        <f aca="false">Parametros!$B$7/(1+Parametros!$D$7*Parametros!$C$7*A15/12)^(1/Parametros!$D$7)</f>
        <v>331.728847580522</v>
      </c>
      <c r="K15" s="12" t="n">
        <f aca="false">J15*30.4</f>
        <v>10084.5569664479</v>
      </c>
      <c r="L15" s="13" t="n">
        <f aca="false">IF(Parametros!$B$18*K15-Parametros!$B$14&gt;0,1,0)</f>
        <v>1</v>
      </c>
      <c r="M15" s="12" t="n">
        <f aca="false">(K15*Parametros!$B$18-Parametros!$B$14)*L15/(1+Parametros!$B$16)^(A15/12)</f>
        <v>437163.558161335</v>
      </c>
    </row>
    <row r="16" customFormat="false" ht="15" hidden="false" customHeight="false" outlineLevel="0" collapsed="false">
      <c r="A16" s="0" t="n">
        <v>12</v>
      </c>
      <c r="B16" s="11" t="n">
        <f aca="false">Parametros!$B$5/(1+Parametros!$D$5*Parametros!$C$5*A16/12)^(1/Parametros!$D$5)</f>
        <v>169.857950897041</v>
      </c>
      <c r="C16" s="12" t="n">
        <f aca="false">B16*30.4</f>
        <v>5163.68170727004</v>
      </c>
      <c r="D16" s="13" t="n">
        <f aca="false">IF(Parametros!$B$18*C16-Parametros!$B$14&gt;0,1,0)</f>
        <v>1</v>
      </c>
      <c r="E16" s="12" t="n">
        <f aca="false">(C16*Parametros!$B$18-Parametros!$B$14)*D16/(1+Parametros!$B$16)^(A16/12)</f>
        <v>218081.32571856</v>
      </c>
      <c r="F16" s="11" t="n">
        <f aca="false">Parametros!$B$6/(1+Parametros!$D$6*Parametros!$C$6*A16/12)^(1/Parametros!$D$6)</f>
        <v>242.469827624448</v>
      </c>
      <c r="G16" s="12" t="n">
        <f aca="false">F16*30.4</f>
        <v>7371.08275978321</v>
      </c>
      <c r="H16" s="13" t="n">
        <f aca="false">IF(Parametros!$B$18*G16-Parametros!$B$14&gt;0,1,0)</f>
        <v>1</v>
      </c>
      <c r="I16" s="12" t="n">
        <f aca="false">(G16*Parametros!$B$18-Parametros!$B$14)*H16/(1+Parametros!$B$16)^(A16/12)</f>
        <v>314805.626383228</v>
      </c>
      <c r="J16" s="11" t="n">
        <f aca="false">Parametros!$B$7/(1+Parametros!$D$7*Parametros!$C$7*A16/12)^(1/Parametros!$D$7)</f>
        <v>321.6029385854</v>
      </c>
      <c r="K16" s="12" t="n">
        <f aca="false">J16*30.4</f>
        <v>9776.72933299616</v>
      </c>
      <c r="L16" s="13" t="n">
        <f aca="false">IF(Parametros!$B$18*K16-Parametros!$B$14&gt;0,1,0)</f>
        <v>1</v>
      </c>
      <c r="M16" s="12" t="n">
        <f aca="false">(K16*Parametros!$B$18-Parametros!$B$14)*L16/(1+Parametros!$B$16)^(A16/12)</f>
        <v>420216.685318559</v>
      </c>
    </row>
    <row r="17" customFormat="false" ht="15" hidden="false" customHeight="false" outlineLevel="0" collapsed="false">
      <c r="A17" s="0" t="n">
        <v>13</v>
      </c>
      <c r="B17" s="11" t="n">
        <f aca="false">Parametros!$B$5/(1+Parametros!$D$5*Parametros!$C$5*A17/12)^(1/Parametros!$D$5)</f>
        <v>160.491928908418</v>
      </c>
      <c r="C17" s="12" t="n">
        <f aca="false">B17*30.4</f>
        <v>4878.9546388159</v>
      </c>
      <c r="D17" s="13" t="n">
        <f aca="false">IF(Parametros!$B$18*C17-Parametros!$B$14&gt;0,1,0)</f>
        <v>1</v>
      </c>
      <c r="E17" s="12" t="n">
        <f aca="false">(C17*Parametros!$B$18-Parametros!$B$14)*D17/(1+Parametros!$B$16)^(A17/12)</f>
        <v>203978.549664966</v>
      </c>
      <c r="F17" s="11" t="n">
        <f aca="false">Parametros!$B$6/(1+Parametros!$D$6*Parametros!$C$6*A17/12)^(1/Parametros!$D$6)</f>
        <v>232.961654395354</v>
      </c>
      <c r="G17" s="12" t="n">
        <f aca="false">F17*30.4</f>
        <v>7082.03429361877</v>
      </c>
      <c r="H17" s="13" t="n">
        <f aca="false">IF(Parametros!$B$18*G17-Parametros!$B$14&gt;0,1,0)</f>
        <v>1</v>
      </c>
      <c r="I17" s="12" t="n">
        <f aca="false">(G17*Parametros!$B$18-Parametros!$B$14)*H17/(1+Parametros!$B$16)^(A17/12)</f>
        <v>299749.801130815</v>
      </c>
      <c r="J17" s="11" t="n">
        <f aca="false">Parametros!$B$7/(1+Parametros!$D$7*Parametros!$C$7*A17/12)^(1/Parametros!$D$7)</f>
        <v>312.133010811251</v>
      </c>
      <c r="K17" s="12" t="n">
        <f aca="false">J17*30.4</f>
        <v>9488.84352866204</v>
      </c>
      <c r="L17" s="13" t="n">
        <f aca="false">IF(Parametros!$B$18*K17-Parametros!$B$14&gt;0,1,0)</f>
        <v>1</v>
      </c>
      <c r="M17" s="12" t="n">
        <f aca="false">(K17*Parametros!$B$18-Parametros!$B$14)*L17/(1+Parametros!$B$16)^(A17/12)</f>
        <v>404377.489910539</v>
      </c>
    </row>
    <row r="18" customFormat="false" ht="15" hidden="false" customHeight="false" outlineLevel="0" collapsed="false">
      <c r="A18" s="0" t="n">
        <v>14</v>
      </c>
      <c r="B18" s="11" t="n">
        <f aca="false">Parametros!$B$5/(1+Parametros!$D$5*Parametros!$C$5*A18/12)^(1/Parametros!$D$5)</f>
        <v>151.833286465853</v>
      </c>
      <c r="C18" s="12" t="n">
        <f aca="false">B18*30.4</f>
        <v>4615.73190856194</v>
      </c>
      <c r="D18" s="13" t="n">
        <f aca="false">IF(Parametros!$B$18*C18-Parametros!$B$14&gt;0,1,0)</f>
        <v>1</v>
      </c>
      <c r="E18" s="12" t="n">
        <f aca="false">(C18*Parametros!$B$18-Parametros!$B$14)*D18/(1+Parametros!$B$16)^(A18/12)</f>
        <v>191012.691846645</v>
      </c>
      <c r="F18" s="11" t="n">
        <f aca="false">Parametros!$B$6/(1+Parametros!$D$6*Parametros!$C$6*A18/12)^(1/Parametros!$D$6)</f>
        <v>224.104188440449</v>
      </c>
      <c r="G18" s="12" t="n">
        <f aca="false">F18*30.4</f>
        <v>6812.76732858965</v>
      </c>
      <c r="H18" s="13" t="n">
        <f aca="false">IF(Parametros!$B$18*G18-Parametros!$B$14&gt;0,1,0)</f>
        <v>1</v>
      </c>
      <c r="I18" s="12" t="n">
        <f aca="false">(G18*Parametros!$B$18-Parametros!$B$14)*H18/(1+Parametros!$B$16)^(A18/12)</f>
        <v>285765.618017417</v>
      </c>
      <c r="J18" s="11" t="n">
        <f aca="false">Parametros!$B$7/(1+Parametros!$D$7*Parametros!$C$7*A18/12)^(1/Parametros!$D$7)</f>
        <v>303.255628989619</v>
      </c>
      <c r="K18" s="12" t="n">
        <f aca="false">J18*30.4</f>
        <v>9218.97112128441</v>
      </c>
      <c r="L18" s="13" t="n">
        <f aca="false">IF(Parametros!$B$18*K18-Parametros!$B$14&gt;0,1,0)</f>
        <v>1</v>
      </c>
      <c r="M18" s="12" t="n">
        <f aca="false">(K18*Parametros!$B$18-Parametros!$B$14)*L18/(1+Parametros!$B$16)^(A18/12)</f>
        <v>389539.479941846</v>
      </c>
    </row>
    <row r="19" customFormat="false" ht="15" hidden="false" customHeight="false" outlineLevel="0" collapsed="false">
      <c r="A19" s="0" t="n">
        <v>15</v>
      </c>
      <c r="B19" s="11" t="n">
        <f aca="false">Parametros!$B$5/(1+Parametros!$D$5*Parametros!$C$5*A19/12)^(1/Parametros!$D$5)</f>
        <v>143.81478813913</v>
      </c>
      <c r="C19" s="12" t="n">
        <f aca="false">B19*30.4</f>
        <v>4371.96955942955</v>
      </c>
      <c r="D19" s="13" t="n">
        <f aca="false">IF(Parametros!$B$18*C19-Parametros!$B$14&gt;0,1,0)</f>
        <v>1</v>
      </c>
      <c r="E19" s="12" t="n">
        <f aca="false">(C19*Parametros!$B$18-Parametros!$B$14)*D19/(1+Parametros!$B$16)^(A19/12)</f>
        <v>179071.855821762</v>
      </c>
      <c r="F19" s="11" t="n">
        <f aca="false">Parametros!$B$6/(1+Parametros!$D$6*Parametros!$C$6*A19/12)^(1/Parametros!$D$6)</f>
        <v>215.835005342613</v>
      </c>
      <c r="G19" s="12" t="n">
        <f aca="false">F19*30.4</f>
        <v>6561.38416241542</v>
      </c>
      <c r="H19" s="13" t="n">
        <f aca="false">IF(Parametros!$B$18*G19-Parametros!$B$14&gt;0,1,0)</f>
        <v>1</v>
      </c>
      <c r="I19" s="12" t="n">
        <f aca="false">(G19*Parametros!$B$18-Parametros!$B$14)*H19/(1+Parametros!$B$16)^(A19/12)</f>
        <v>272749.11858229</v>
      </c>
      <c r="J19" s="11" t="n">
        <f aca="false">Parametros!$B$7/(1+Parametros!$D$7*Parametros!$C$7*A19/12)^(1/Parametros!$D$7)</f>
        <v>294.915383503883</v>
      </c>
      <c r="K19" s="12" t="n">
        <f aca="false">J19*30.4</f>
        <v>8965.42765851804</v>
      </c>
      <c r="L19" s="13" t="n">
        <f aca="false">IF(Parametros!$B$18*K19-Parametros!$B$14&gt;0,1,0)</f>
        <v>1</v>
      </c>
      <c r="M19" s="12" t="n">
        <f aca="false">(K19*Parametros!$B$18-Parametros!$B$14)*L19/(1+Parametros!$B$16)^(A19/12)</f>
        <v>375609.588209657</v>
      </c>
    </row>
    <row r="20" customFormat="false" ht="15" hidden="false" customHeight="false" outlineLevel="0" collapsed="false">
      <c r="A20" s="0" t="n">
        <v>16</v>
      </c>
      <c r="B20" s="11" t="n">
        <f aca="false">Parametros!$B$5/(1+Parametros!$D$5*Parametros!$C$5*A20/12)^(1/Parametros!$D$5)</f>
        <v>136.37684729741</v>
      </c>
      <c r="C20" s="12" t="n">
        <f aca="false">B20*30.4</f>
        <v>4145.85615784126</v>
      </c>
      <c r="D20" s="13" t="n">
        <f aca="false">IF(Parametros!$B$18*C20-Parametros!$B$14&gt;0,1,0)</f>
        <v>1</v>
      </c>
      <c r="E20" s="12" t="n">
        <f aca="false">(C20*Parametros!$B$18-Parametros!$B$14)*D20/(1+Parametros!$B$16)^(A20/12)</f>
        <v>168057.156325057</v>
      </c>
      <c r="F20" s="11" t="n">
        <f aca="false">Parametros!$B$6/(1+Parametros!$D$6*Parametros!$C$6*A20/12)^(1/Parametros!$D$6)</f>
        <v>208.099287232042</v>
      </c>
      <c r="G20" s="12" t="n">
        <f aca="false">F20*30.4</f>
        <v>6326.21833185408</v>
      </c>
      <c r="H20" s="13" t="n">
        <f aca="false">IF(Parametros!$B$18*G20-Parametros!$B$14&gt;0,1,0)</f>
        <v>1</v>
      </c>
      <c r="I20" s="12" t="n">
        <f aca="false">(G20*Parametros!$B$18-Parametros!$B$14)*H20/(1+Parametros!$B$16)^(A20/12)</f>
        <v>260609.075847543</v>
      </c>
      <c r="J20" s="11" t="n">
        <f aca="false">Parametros!$B$7/(1+Parametros!$D$7*Parametros!$C$7*A20/12)^(1/Parametros!$D$7)</f>
        <v>287.063651010794</v>
      </c>
      <c r="K20" s="12" t="n">
        <f aca="false">J20*30.4</f>
        <v>8726.73499072812</v>
      </c>
      <c r="L20" s="13" t="n">
        <f aca="false">IF(Parametros!$B$18*K20-Parametros!$B$14&gt;0,1,0)</f>
        <v>1</v>
      </c>
      <c r="M20" s="12" t="n">
        <f aca="false">(K20*Parametros!$B$18-Parametros!$B$14)*L20/(1+Parametros!$B$16)^(A20/12)</f>
        <v>362506.103448055</v>
      </c>
    </row>
    <row r="21" customFormat="false" ht="15" hidden="false" customHeight="false" outlineLevel="0" collapsed="false">
      <c r="A21" s="0" t="n">
        <v>17</v>
      </c>
      <c r="B21" s="11" t="n">
        <f aca="false">Parametros!$B$5/(1+Parametros!$D$5*Parametros!$C$5*A21/12)^(1/Parametros!$D$5)</f>
        <v>129.466518654581</v>
      </c>
      <c r="C21" s="12" t="n">
        <f aca="false">B21*30.4</f>
        <v>3935.78216709926</v>
      </c>
      <c r="D21" s="13" t="n">
        <f aca="false">IF(Parametros!$B$18*C21-Parametros!$B$14&gt;0,1,0)</f>
        <v>1</v>
      </c>
      <c r="E21" s="12" t="n">
        <f aca="false">(C21*Parametros!$B$18-Parametros!$B$14)*D21/(1+Parametros!$B$16)^(A21/12)</f>
        <v>157880.979524844</v>
      </c>
      <c r="F21" s="11" t="n">
        <f aca="false">Parametros!$B$6/(1+Parametros!$D$6*Parametros!$C$6*A21/12)^(1/Parametros!$D$6)</f>
        <v>200.848709754706</v>
      </c>
      <c r="G21" s="12" t="n">
        <f aca="false">F21*30.4</f>
        <v>6105.80077654307</v>
      </c>
      <c r="H21" s="13" t="n">
        <f aca="false">IF(Parametros!$B$18*G21-Parametros!$B$14&gt;0,1,0)</f>
        <v>1</v>
      </c>
      <c r="I21" s="12" t="n">
        <f aca="false">(G21*Parametros!$B$18-Parametros!$B$14)*H21/(1+Parametros!$B$16)^(A21/12)</f>
        <v>249265.125848863</v>
      </c>
      <c r="J21" s="11" t="n">
        <f aca="false">Parametros!$B$7/(1+Parametros!$D$7*Parametros!$C$7*A21/12)^(1/Parametros!$D$7)</f>
        <v>279.657578905529</v>
      </c>
      <c r="K21" s="12" t="n">
        <f aca="false">J21*30.4</f>
        <v>8501.59039872808</v>
      </c>
      <c r="L21" s="13" t="n">
        <f aca="false">IF(Parametros!$B$18*K21-Parametros!$B$14&gt;0,1,0)</f>
        <v>1</v>
      </c>
      <c r="M21" s="12" t="n">
        <f aca="false">(K21*Parametros!$B$18-Parametros!$B$14)*L21/(1+Parametros!$B$16)^(A21/12)</f>
        <v>350156.974629569</v>
      </c>
    </row>
    <row r="22" customFormat="false" ht="15" hidden="false" customHeight="false" outlineLevel="0" collapsed="false">
      <c r="A22" s="0" t="n">
        <v>18</v>
      </c>
      <c r="B22" s="11" t="n">
        <f aca="false">Parametros!$B$5/(1+Parametros!$D$5*Parametros!$C$5*A22/12)^(1/Parametros!$D$5)</f>
        <v>123.036640876992</v>
      </c>
      <c r="C22" s="12" t="n">
        <f aca="false">B22*30.4</f>
        <v>3740.31388266054</v>
      </c>
      <c r="D22" s="13" t="n">
        <f aca="false">IF(Parametros!$B$18*C22-Parametros!$B$14&gt;0,1,0)</f>
        <v>1</v>
      </c>
      <c r="E22" s="12" t="n">
        <f aca="false">(C22*Parametros!$B$18-Parametros!$B$14)*D22/(1+Parametros!$B$16)^(A22/12)</f>
        <v>148465.505279957</v>
      </c>
      <c r="F22" s="11" t="n">
        <f aca="false">Parametros!$B$6/(1+Parametros!$D$6*Parametros!$C$6*A22/12)^(1/Parametros!$D$6)</f>
        <v>194.040517667261</v>
      </c>
      <c r="G22" s="12" t="n">
        <f aca="false">F22*30.4</f>
        <v>5898.83173708475</v>
      </c>
      <c r="H22" s="13" t="n">
        <f aca="false">IF(Parametros!$B$18*G22-Parametros!$B$14&gt;0,1,0)</f>
        <v>1</v>
      </c>
      <c r="I22" s="12" t="n">
        <f aca="false">(G22*Parametros!$B$18-Parametros!$B$14)*H22/(1+Parametros!$B$16)^(A22/12)</f>
        <v>238646.216443834</v>
      </c>
      <c r="J22" s="11" t="n">
        <f aca="false">Parametros!$B$7/(1+Parametros!$D$7*Parametros!$C$7*A22/12)^(1/Parametros!$D$7)</f>
        <v>272.659247693157</v>
      </c>
      <c r="K22" s="12" t="n">
        <f aca="false">J22*30.4</f>
        <v>8288.84112987198</v>
      </c>
      <c r="L22" s="13" t="n">
        <f aca="false">IF(Parametros!$B$18*K22-Parametros!$B$14&gt;0,1,0)</f>
        <v>1</v>
      </c>
      <c r="M22" s="12" t="n">
        <f aca="false">(K22*Parametros!$B$18-Parametros!$B$14)*L22/(1+Parametros!$B$16)^(A22/12)</f>
        <v>338498.411915895</v>
      </c>
    </row>
    <row r="23" customFormat="false" ht="15" hidden="false" customHeight="false" outlineLevel="0" collapsed="false">
      <c r="A23" s="0" t="n">
        <v>19</v>
      </c>
      <c r="B23" s="11" t="n">
        <f aca="false">Parametros!$B$5/(1+Parametros!$D$5*Parametros!$C$5*A23/12)^(1/Parametros!$D$5)</f>
        <v>117.045104415684</v>
      </c>
      <c r="C23" s="12" t="n">
        <f aca="false">B23*30.4</f>
        <v>3558.1711742368</v>
      </c>
      <c r="D23" s="13" t="n">
        <f aca="false">IF(Parametros!$B$18*C23-Parametros!$B$14&gt;0,1,0)</f>
        <v>1</v>
      </c>
      <c r="E23" s="12" t="n">
        <f aca="false">(C23*Parametros!$B$18-Parametros!$B$14)*D23/(1+Parametros!$B$16)^(A23/12)</f>
        <v>139741.447666886</v>
      </c>
      <c r="F23" s="11" t="n">
        <f aca="false">Parametros!$B$6/(1+Parametros!$D$6*Parametros!$C$6*A23/12)^(1/Parametros!$D$6)</f>
        <v>187.636752956519</v>
      </c>
      <c r="G23" s="12" t="n">
        <f aca="false">F23*30.4</f>
        <v>5704.15728987817</v>
      </c>
      <c r="H23" s="13" t="n">
        <f aca="false">IF(Parametros!$B$18*G23-Parametros!$B$14&gt;0,1,0)</f>
        <v>1</v>
      </c>
      <c r="I23" s="12" t="n">
        <f aca="false">(G23*Parametros!$B$18-Parametros!$B$14)*H23/(1+Parametros!$B$16)^(A23/12)</f>
        <v>228689.312586869</v>
      </c>
      <c r="J23" s="11" t="n">
        <f aca="false">Parametros!$B$7/(1+Parametros!$D$7*Parametros!$C$7*A23/12)^(1/Parametros!$D$7)</f>
        <v>266.034975821201</v>
      </c>
      <c r="K23" s="12" t="n">
        <f aca="false">J23*30.4</f>
        <v>8087.4632649645</v>
      </c>
      <c r="L23" s="13" t="n">
        <f aca="false">IF(Parametros!$B$18*K23-Parametros!$B$14&gt;0,1,0)</f>
        <v>1</v>
      </c>
      <c r="M23" s="12" t="n">
        <f aca="false">(K23*Parametros!$B$18-Parametros!$B$14)*L23/(1+Parametros!$B$16)^(A23/12)</f>
        <v>327473.725211837</v>
      </c>
    </row>
    <row r="24" customFormat="false" ht="15" hidden="false" customHeight="false" outlineLevel="0" collapsed="false">
      <c r="A24" s="0" t="n">
        <v>20</v>
      </c>
      <c r="B24" s="11" t="n">
        <f aca="false">Parametros!$B$5/(1+Parametros!$D$5*Parametros!$C$5*A24/12)^(1/Parametros!$D$5)</f>
        <v>111.454224232026</v>
      </c>
      <c r="C24" s="12" t="n">
        <f aca="false">B24*30.4</f>
        <v>3388.2084166536</v>
      </c>
      <c r="D24" s="13" t="n">
        <f aca="false">IF(Parametros!$B$18*C24-Parametros!$B$14&gt;0,1,0)</f>
        <v>1</v>
      </c>
      <c r="E24" s="12" t="n">
        <f aca="false">(C24*Parametros!$B$18-Parametros!$B$14)*D24/(1+Parametros!$B$16)^(A24/12)</f>
        <v>131646.978034383</v>
      </c>
      <c r="F24" s="11" t="n">
        <f aca="false">Parametros!$B$6/(1+Parametros!$D$6*Parametros!$C$6*A24/12)^(1/Parametros!$D$6)</f>
        <v>181.603607041942</v>
      </c>
      <c r="G24" s="12" t="n">
        <f aca="false">F24*30.4</f>
        <v>5520.74965407504</v>
      </c>
      <c r="H24" s="13" t="n">
        <f aca="false">IF(Parametros!$B$18*G24-Parametros!$B$14&gt;0,1,0)</f>
        <v>1</v>
      </c>
      <c r="I24" s="12" t="n">
        <f aca="false">(G24*Parametros!$B$18-Parametros!$B$14)*H24/(1+Parametros!$B$16)^(A24/12)</f>
        <v>219338.310176893</v>
      </c>
      <c r="J24" s="11" t="n">
        <f aca="false">Parametros!$B$7/(1+Parametros!$D$7*Parametros!$C$7*A24/12)^(1/Parametros!$D$7)</f>
        <v>259.754739394172</v>
      </c>
      <c r="K24" s="12" t="n">
        <f aca="false">J24*30.4</f>
        <v>7896.54407758284</v>
      </c>
      <c r="L24" s="13" t="n">
        <f aca="false">IF(Parametros!$B$18*K24-Parametros!$B$14&gt;0,1,0)</f>
        <v>1</v>
      </c>
      <c r="M24" s="12" t="n">
        <f aca="false">(K24*Parametros!$B$18-Parametros!$B$14)*L24/(1+Parametros!$B$16)^(A24/12)</f>
        <v>317032.354370879</v>
      </c>
    </row>
    <row r="25" customFormat="false" ht="15" hidden="false" customHeight="false" outlineLevel="0" collapsed="false">
      <c r="A25" s="0" t="n">
        <v>21</v>
      </c>
      <c r="B25" s="11" t="n">
        <f aca="false">Parametros!$B$5/(1+Parametros!$D$5*Parametros!$C$5*A25/12)^(1/Parametros!$D$5)</f>
        <v>106.230200705574</v>
      </c>
      <c r="C25" s="12" t="n">
        <f aca="false">B25*30.4</f>
        <v>3229.39810144944</v>
      </c>
      <c r="D25" s="13" t="n">
        <f aca="false">IF(Parametros!$B$18*C25-Parametros!$B$14&gt;0,1,0)</f>
        <v>1</v>
      </c>
      <c r="E25" s="12" t="n">
        <f aca="false">(C25*Parametros!$B$18-Parametros!$B$14)*D25/(1+Parametros!$B$16)^(A25/12)</f>
        <v>124126.801249891</v>
      </c>
      <c r="F25" s="11" t="n">
        <f aca="false">Parametros!$B$6/(1+Parametros!$D$6*Parametros!$C$6*A25/12)^(1/Parametros!$D$6)</f>
        <v>175.910874503319</v>
      </c>
      <c r="G25" s="12" t="n">
        <f aca="false">F25*30.4</f>
        <v>5347.6905849009</v>
      </c>
      <c r="H25" s="13" t="n">
        <f aca="false">IF(Parametros!$B$18*G25-Parametros!$B$14&gt;0,1,0)</f>
        <v>1</v>
      </c>
      <c r="I25" s="12" t="n">
        <f aca="false">(G25*Parametros!$B$18-Parametros!$B$14)*H25/(1+Parametros!$B$16)^(A25/12)</f>
        <v>210543.120502577</v>
      </c>
      <c r="J25" s="11" t="n">
        <f aca="false">Parametros!$B$7/(1+Parametros!$D$7*Parametros!$C$7*A25/12)^(1/Parametros!$D$7)</f>
        <v>253.79168514279</v>
      </c>
      <c r="K25" s="12" t="n">
        <f aca="false">J25*30.4</f>
        <v>7715.26722834083</v>
      </c>
      <c r="L25" s="13" t="n">
        <f aca="false">IF(Parametros!$B$18*K25-Parametros!$B$14&gt;0,1,0)</f>
        <v>1</v>
      </c>
      <c r="M25" s="12" t="n">
        <f aca="false">(K25*Parametros!$B$18-Parametros!$B$14)*L25/(1+Parametros!$B$16)^(A25/12)</f>
        <v>307129.055010234</v>
      </c>
    </row>
    <row r="26" customFormat="false" ht="15" hidden="false" customHeight="false" outlineLevel="0" collapsed="false">
      <c r="A26" s="0" t="n">
        <v>22</v>
      </c>
      <c r="B26" s="11" t="n">
        <f aca="false">Parametros!$B$5/(1+Parametros!$D$5*Parametros!$C$5*A26/12)^(1/Parametros!$D$5)</f>
        <v>101.342654933698</v>
      </c>
      <c r="C26" s="12" t="n">
        <f aca="false">B26*30.4</f>
        <v>3080.81670998443</v>
      </c>
      <c r="D26" s="13" t="n">
        <f aca="false">IF(Parametros!$B$18*C26-Parametros!$B$14&gt;0,1,0)</f>
        <v>1</v>
      </c>
      <c r="E26" s="12" t="n">
        <f aca="false">(C26*Parametros!$B$18-Parametros!$B$14)*D26/(1+Parametros!$B$16)^(A26/12)</f>
        <v>117131.360964773</v>
      </c>
      <c r="F26" s="11" t="n">
        <f aca="false">Parametros!$B$6/(1+Parametros!$D$6*Parametros!$C$6*A26/12)^(1/Parametros!$D$6)</f>
        <v>170.53149032812</v>
      </c>
      <c r="G26" s="12" t="n">
        <f aca="false">F26*30.4</f>
        <v>5184.15730597484</v>
      </c>
      <c r="H26" s="13" t="n">
        <f aca="false">IF(Parametros!$B$18*G26-Parametros!$B$14&gt;0,1,0)</f>
        <v>1</v>
      </c>
      <c r="I26" s="12" t="n">
        <f aca="false">(G26*Parametros!$B$18-Parametros!$B$14)*H26/(1+Parametros!$B$16)^(A26/12)</f>
        <v>202258.894982374</v>
      </c>
      <c r="J26" s="11" t="n">
        <f aca="false">Parametros!$B$7/(1+Parametros!$D$7*Parametros!$C$7*A26/12)^(1/Parametros!$D$7)</f>
        <v>248.12171956279</v>
      </c>
      <c r="K26" s="12" t="n">
        <f aca="false">J26*30.4</f>
        <v>7542.90027470881</v>
      </c>
      <c r="L26" s="13" t="n">
        <f aca="false">IF(Parametros!$B$18*K26-Parametros!$B$14&gt;0,1,0)</f>
        <v>1</v>
      </c>
      <c r="M26" s="12" t="n">
        <f aca="false">(K26*Parametros!$B$18-Parametros!$B$14)*L26/(1+Parametros!$B$16)^(A26/12)</f>
        <v>297723.211457059</v>
      </c>
    </row>
    <row r="27" customFormat="false" ht="15" hidden="false" customHeight="false" outlineLevel="0" collapsed="false">
      <c r="A27" s="0" t="n">
        <v>23</v>
      </c>
      <c r="B27" s="11" t="n">
        <f aca="false">Parametros!$B$5/(1+Parametros!$D$5*Parametros!$C$5*A27/12)^(1/Parametros!$D$5)</f>
        <v>96.7642269992393</v>
      </c>
      <c r="C27" s="12" t="n">
        <f aca="false">B27*30.4</f>
        <v>2941.63250077688</v>
      </c>
      <c r="D27" s="13" t="n">
        <f aca="false">IF(Parametros!$B$18*C27-Parametros!$B$14&gt;0,1,0)</f>
        <v>1</v>
      </c>
      <c r="E27" s="12" t="n">
        <f aca="false">(C27*Parametros!$B$18-Parametros!$B$14)*D27/(1+Parametros!$B$16)^(A27/12)</f>
        <v>110616.153903292</v>
      </c>
      <c r="F27" s="11" t="n">
        <f aca="false">Parametros!$B$6/(1+Parametros!$D$6*Parametros!$C$6*A27/12)^(1/Parametros!$D$6)</f>
        <v>165.441136219971</v>
      </c>
      <c r="G27" s="12" t="n">
        <f aca="false">F27*30.4</f>
        <v>5029.41054108712</v>
      </c>
      <c r="H27" s="13" t="n">
        <f aca="false">IF(Parametros!$B$18*G27-Parametros!$B$14&gt;0,1,0)</f>
        <v>1</v>
      </c>
      <c r="I27" s="12" t="n">
        <f aca="false">(G27*Parametros!$B$18-Parametros!$B$14)*H27/(1+Parametros!$B$16)^(A27/12)</f>
        <v>194445.365872998</v>
      </c>
      <c r="J27" s="11" t="n">
        <f aca="false">Parametros!$B$7/(1+Parametros!$D$7*Parametros!$C$7*A27/12)^(1/Parametros!$D$7)</f>
        <v>242.7231606328</v>
      </c>
      <c r="K27" s="12" t="n">
        <f aca="false">J27*30.4</f>
        <v>7378.78408323713</v>
      </c>
      <c r="L27" s="13" t="n">
        <f aca="false">IF(Parametros!$B$18*K27-Parametros!$B$14&gt;0,1,0)</f>
        <v>1</v>
      </c>
      <c r="M27" s="12" t="n">
        <f aca="false">(K27*Parametros!$B$18-Parametros!$B$14)*L27/(1+Parametros!$B$16)^(A27/12)</f>
        <v>288778.254167794</v>
      </c>
    </row>
    <row r="28" customFormat="false" ht="15" hidden="false" customHeight="false" outlineLevel="0" collapsed="false">
      <c r="A28" s="0" t="n">
        <v>24</v>
      </c>
      <c r="B28" s="11" t="n">
        <f aca="false">Parametros!$B$5/(1+Parametros!$D$5*Parametros!$C$5*A28/12)^(1/Parametros!$D$5)</f>
        <v>92.4702277081855</v>
      </c>
      <c r="C28" s="12" t="n">
        <f aca="false">B28*30.4</f>
        <v>2811.09492232884</v>
      </c>
      <c r="D28" s="13" t="n">
        <f aca="false">IF(Parametros!$B$18*C28-Parametros!$B$14&gt;0,1,0)</f>
        <v>1</v>
      </c>
      <c r="E28" s="12" t="n">
        <f aca="false">(C28*Parametros!$B$18-Parametros!$B$14)*D28/(1+Parametros!$B$16)^(A28/12)</f>
        <v>104541.136575413</v>
      </c>
      <c r="F28" s="11" t="n">
        <f aca="false">Parametros!$B$6/(1+Parametros!$D$6*Parametros!$C$6*A28/12)^(1/Parametros!$D$6)</f>
        <v>160.617904291474</v>
      </c>
      <c r="G28" s="12" t="n">
        <f aca="false">F28*30.4</f>
        <v>4882.7842904608</v>
      </c>
      <c r="H28" s="13" t="n">
        <f aca="false">IF(Parametros!$B$18*G28-Parametros!$B$14&gt;0,1,0)</f>
        <v>1</v>
      </c>
      <c r="I28" s="12" t="n">
        <f aca="false">(G28*Parametros!$B$18-Parametros!$B$14)*H28/(1+Parametros!$B$16)^(A28/12)</f>
        <v>187066.283305959</v>
      </c>
      <c r="J28" s="11" t="n">
        <f aca="false">Parametros!$B$7/(1+Parametros!$D$7*Parametros!$C$7*A28/12)^(1/Parametros!$D$7)</f>
        <v>237.576441229795</v>
      </c>
      <c r="K28" s="12" t="n">
        <f aca="false">J28*30.4</f>
        <v>7222.32381338578</v>
      </c>
      <c r="L28" s="13" t="n">
        <f aca="false">IF(Parametros!$B$18*K28-Parametros!$B$14&gt;0,1,0)</f>
        <v>1</v>
      </c>
      <c r="M28" s="12" t="n">
        <f aca="false">(K28*Parametros!$B$18-Parametros!$B$14)*L28/(1+Parametros!$B$16)^(A28/12)</f>
        <v>280261.163475367</v>
      </c>
    </row>
    <row r="29" customFormat="false" ht="15" hidden="false" customHeight="false" outlineLevel="0" collapsed="false">
      <c r="A29" s="0" t="n">
        <v>25</v>
      </c>
      <c r="B29" s="11" t="n">
        <f aca="false">Parametros!$B$5/(1+Parametros!$D$5*Parametros!$C$5*A29/12)^(1/Parametros!$D$5)</f>
        <v>88.4383358726469</v>
      </c>
      <c r="C29" s="12" t="n">
        <f aca="false">B29*30.4</f>
        <v>2688.52541052847</v>
      </c>
      <c r="D29" s="13" t="n">
        <f aca="false">IF(Parametros!$B$18*C29-Parametros!$B$14&gt;0,1,0)</f>
        <v>1</v>
      </c>
      <c r="E29" s="12" t="n">
        <f aca="false">(C29*Parametros!$B$18-Parametros!$B$14)*D29/(1+Parametros!$B$16)^(A29/12)</f>
        <v>98870.210583409</v>
      </c>
      <c r="F29" s="11" t="n">
        <f aca="false">Parametros!$B$6/(1+Parametros!$D$6*Parametros!$C$6*A29/12)^(1/Parametros!$D$6)</f>
        <v>156.042008659971</v>
      </c>
      <c r="G29" s="12" t="n">
        <f aca="false">F29*30.4</f>
        <v>4743.67706326312</v>
      </c>
      <c r="H29" s="13" t="n">
        <f aca="false">IF(Parametros!$B$18*G29-Parametros!$B$14&gt;0,1,0)</f>
        <v>1</v>
      </c>
      <c r="I29" s="12" t="n">
        <f aca="false">(G29*Parametros!$B$18-Parametros!$B$14)*H29/(1+Parametros!$B$16)^(A29/12)</f>
        <v>180088.932709054</v>
      </c>
      <c r="J29" s="11" t="n">
        <f aca="false">Parametros!$B$7/(1+Parametros!$D$7*Parametros!$C$7*A29/12)^(1/Parametros!$D$7)</f>
        <v>232.663855475827</v>
      </c>
      <c r="K29" s="12" t="n">
        <f aca="false">J29*30.4</f>
        <v>7072.98120646514</v>
      </c>
      <c r="L29" s="13" t="n">
        <f aca="false">IF(Parametros!$B$18*K29-Parametros!$B$14&gt;0,1,0)</f>
        <v>1</v>
      </c>
      <c r="M29" s="12" t="n">
        <f aca="false">(K29*Parametros!$B$18-Parametros!$B$14)*L29/(1+Parametros!$B$16)^(A29/12)</f>
        <v>272142.045043175</v>
      </c>
    </row>
    <row r="30" customFormat="false" ht="15" hidden="false" customHeight="false" outlineLevel="0" collapsed="false">
      <c r="A30" s="0" t="n">
        <v>26</v>
      </c>
      <c r="B30" s="11" t="n">
        <f aca="false">Parametros!$B$5/(1+Parametros!$D$5*Parametros!$C$5*A30/12)^(1/Parametros!$D$5)</f>
        <v>84.6483345045113</v>
      </c>
      <c r="C30" s="12" t="n">
        <f aca="false">B30*30.4</f>
        <v>2573.30936893714</v>
      </c>
      <c r="D30" s="13" t="n">
        <f aca="false">IF(Parametros!$B$18*C30-Parametros!$B$14&gt;0,1,0)</f>
        <v>1</v>
      </c>
      <c r="E30" s="12" t="n">
        <f aca="false">(C30*Parametros!$B$18-Parametros!$B$14)*D30/(1+Parametros!$B$16)^(A30/12)</f>
        <v>93570.7749608734</v>
      </c>
      <c r="F30" s="11" t="n">
        <f aca="false">Parametros!$B$6/(1+Parametros!$D$6*Parametros!$C$6*A30/12)^(1/Parametros!$D$6)</f>
        <v>151.695537207794</v>
      </c>
      <c r="G30" s="12" t="n">
        <f aca="false">F30*30.4</f>
        <v>4611.54433111694</v>
      </c>
      <c r="H30" s="13" t="n">
        <f aca="false">IF(Parametros!$B$18*G30-Parametros!$B$14&gt;0,1,0)</f>
        <v>1</v>
      </c>
      <c r="I30" s="12" t="n">
        <f aca="false">(G30*Parametros!$B$18-Parametros!$B$14)*H30/(1+Parametros!$B$16)^(A30/12)</f>
        <v>173483.719604198</v>
      </c>
      <c r="J30" s="11" t="n">
        <f aca="false">Parametros!$B$7/(1+Parametros!$D$7*Parametros!$C$7*A30/12)^(1/Parametros!$D$7)</f>
        <v>227.969340912527</v>
      </c>
      <c r="K30" s="12" t="n">
        <f aca="false">J30*30.4</f>
        <v>6930.26796374082</v>
      </c>
      <c r="L30" s="13" t="n">
        <f aca="false">IF(Parametros!$B$18*K30-Parametros!$B$14&gt;0,1,0)</f>
        <v>1</v>
      </c>
      <c r="M30" s="12" t="n">
        <f aca="false">(K30*Parametros!$B$18-Parametros!$B$14)*L30/(1+Parametros!$B$16)^(A30/12)</f>
        <v>264393.765175625</v>
      </c>
    </row>
    <row r="31" customFormat="false" ht="15" hidden="false" customHeight="false" outlineLevel="0" collapsed="false">
      <c r="A31" s="0" t="n">
        <v>27</v>
      </c>
      <c r="B31" s="11" t="n">
        <f aca="false">Parametros!$B$5/(1+Parametros!$D$5*Parametros!$C$5*A31/12)^(1/Parametros!$D$5)</f>
        <v>81.0818803471215</v>
      </c>
      <c r="C31" s="12" t="n">
        <f aca="false">B31*30.4</f>
        <v>2464.8891625525</v>
      </c>
      <c r="D31" s="13" t="n">
        <f aca="false">IF(Parametros!$B$18*C31-Parametros!$B$14&gt;0,1,0)</f>
        <v>1</v>
      </c>
      <c r="E31" s="12" t="n">
        <f aca="false">(C31*Parametros!$B$18-Parametros!$B$14)*D31/(1+Parametros!$B$16)^(A31/12)</f>
        <v>88613.3358475218</v>
      </c>
      <c r="F31" s="11" t="n">
        <f aca="false">Parametros!$B$6/(1+Parametros!$D$6*Parametros!$C$6*A31/12)^(1/Parametros!$D$6)</f>
        <v>147.562237160027</v>
      </c>
      <c r="G31" s="12" t="n">
        <f aca="false">F31*30.4</f>
        <v>4485.89200966482</v>
      </c>
      <c r="H31" s="13" t="n">
        <f aca="false">IF(Parametros!$B$18*G31-Parametros!$B$14&gt;0,1,0)</f>
        <v>1</v>
      </c>
      <c r="I31" s="12" t="n">
        <f aca="false">(G31*Parametros!$B$18-Parametros!$B$14)*H31/(1+Parametros!$B$16)^(A31/12)</f>
        <v>167223.811115254</v>
      </c>
      <c r="J31" s="11" t="n">
        <f aca="false">Parametros!$B$7/(1+Parametros!$D$7*Parametros!$C$7*A31/12)^(1/Parametros!$D$7)</f>
        <v>223.47829071539</v>
      </c>
      <c r="K31" s="12" t="n">
        <f aca="false">J31*30.4</f>
        <v>6793.74003774786</v>
      </c>
      <c r="L31" s="13" t="n">
        <f aca="false">IF(Parametros!$B$18*K31-Parametros!$B$14&gt;0,1,0)</f>
        <v>1</v>
      </c>
      <c r="M31" s="12" t="n">
        <f aca="false">(K31*Parametros!$B$18-Parametros!$B$14)*L31/(1+Parametros!$B$16)^(A31/12)</f>
        <v>256991.636327637</v>
      </c>
    </row>
    <row r="32" customFormat="false" ht="15" hidden="false" customHeight="false" outlineLevel="0" collapsed="false">
      <c r="A32" s="0" t="n">
        <v>28</v>
      </c>
      <c r="B32" s="11" t="n">
        <f aca="false">Parametros!$B$5/(1+Parametros!$D$5*Parametros!$C$5*A32/12)^(1/Parametros!$D$5)</f>
        <v>77.7223020494877</v>
      </c>
      <c r="C32" s="12" t="n">
        <f aca="false">B32*30.4</f>
        <v>2362.75798230443</v>
      </c>
      <c r="D32" s="13" t="n">
        <f aca="false">IF(Parametros!$B$18*C32-Parametros!$B$14&gt;0,1,0)</f>
        <v>1</v>
      </c>
      <c r="E32" s="12" t="n">
        <f aca="false">(C32*Parametros!$B$18-Parametros!$B$14)*D32/(1+Parametros!$B$16)^(A32/12)</f>
        <v>83971.1653415487</v>
      </c>
      <c r="F32" s="11" t="n">
        <f aca="false">Parametros!$B$6/(1+Parametros!$D$6*Parametros!$C$6*A32/12)^(1/Parametros!$D$6)</f>
        <v>143.627329249799</v>
      </c>
      <c r="G32" s="12" t="n">
        <f aca="false">F32*30.4</f>
        <v>4366.27080919388</v>
      </c>
      <c r="H32" s="13" t="n">
        <f aca="false">IF(Parametros!$B$18*G32-Parametros!$B$14&gt;0,1,0)</f>
        <v>1</v>
      </c>
      <c r="I32" s="12" t="n">
        <f aca="false">(G32*Parametros!$B$18-Parametros!$B$14)*H32/(1+Parametros!$B$16)^(A32/12)</f>
        <v>161284.825399172</v>
      </c>
      <c r="J32" s="11" t="n">
        <f aca="false">Parametros!$B$7/(1+Parametros!$D$7*Parametros!$C$7*A32/12)^(1/Parametros!$D$7)</f>
        <v>219.177391206991</v>
      </c>
      <c r="K32" s="12" t="n">
        <f aca="false">J32*30.4</f>
        <v>6662.99269269253</v>
      </c>
      <c r="L32" s="13" t="n">
        <f aca="false">IF(Parametros!$B$18*K32-Parametros!$B$14&gt;0,1,0)</f>
        <v>1</v>
      </c>
      <c r="M32" s="12" t="n">
        <f aca="false">(K32*Parametros!$B$18-Parametros!$B$14)*L32/(1+Parametros!$B$16)^(A32/12)</f>
        <v>249913.144901075</v>
      </c>
    </row>
    <row r="33" customFormat="false" ht="15" hidden="false" customHeight="false" outlineLevel="0" collapsed="false">
      <c r="A33" s="0" t="n">
        <v>29</v>
      </c>
      <c r="B33" s="11" t="n">
        <f aca="false">Parametros!$B$5/(1+Parametros!$D$5*Parametros!$C$5*A33/12)^(1/Parametros!$D$5)</f>
        <v>74.5544230146178</v>
      </c>
      <c r="C33" s="12" t="n">
        <f aca="false">B33*30.4</f>
        <v>2266.45445964438</v>
      </c>
      <c r="D33" s="13" t="n">
        <f aca="false">IF(Parametros!$B$18*C33-Parametros!$B$14&gt;0,1,0)</f>
        <v>1</v>
      </c>
      <c r="E33" s="12" t="n">
        <f aca="false">(C33*Parametros!$B$18-Parametros!$B$14)*D33/(1+Parametros!$B$16)^(A33/12)</f>
        <v>79620.0026447291</v>
      </c>
      <c r="F33" s="11" t="n">
        <f aca="false">Parametros!$B$6/(1+Parametros!$D$6*Parametros!$C$6*A33/12)^(1/Parametros!$D$6)</f>
        <v>139.877346142264</v>
      </c>
      <c r="G33" s="12" t="n">
        <f aca="false">F33*30.4</f>
        <v>4252.27132272484</v>
      </c>
      <c r="H33" s="13" t="n">
        <f aca="false">IF(Parametros!$B$18*G33-Parametros!$B$14&gt;0,1,0)</f>
        <v>1</v>
      </c>
      <c r="I33" s="12" t="n">
        <f aca="false">(G33*Parametros!$B$18-Parametros!$B$14)*H33/(1+Parametros!$B$16)^(A33/12)</f>
        <v>155644.561729863</v>
      </c>
      <c r="J33" s="11" t="n">
        <f aca="false">Parametros!$B$7/(1+Parametros!$D$7*Parametros!$C$7*A33/12)^(1/Parametros!$D$7)</f>
        <v>215.054480766619</v>
      </c>
      <c r="K33" s="12" t="n">
        <f aca="false">J33*30.4</f>
        <v>6537.65621530522</v>
      </c>
      <c r="L33" s="13" t="n">
        <f aca="false">IF(Parametros!$B$18*K33-Parametros!$B$14&gt;0,1,0)</f>
        <v>1</v>
      </c>
      <c r="M33" s="12" t="n">
        <f aca="false">(K33*Parametros!$B$18-Parametros!$B$14)*L33/(1+Parametros!$B$16)^(A33/12)</f>
        <v>243137.714813843</v>
      </c>
    </row>
    <row r="34" customFormat="false" ht="15" hidden="false" customHeight="false" outlineLevel="0" collapsed="false">
      <c r="A34" s="0" t="n">
        <v>30</v>
      </c>
      <c r="B34" s="11" t="n">
        <f aca="false">Parametros!$B$5/(1+Parametros!$D$5*Parametros!$C$5*A34/12)^(1/Parametros!$D$5)</f>
        <v>71.5644055581813</v>
      </c>
      <c r="C34" s="12" t="n">
        <f aca="false">B34*30.4</f>
        <v>2175.55792896871</v>
      </c>
      <c r="D34" s="13" t="n">
        <f aca="false">IF(Parametros!$B$18*C34-Parametros!$B$14&gt;0,1,0)</f>
        <v>1</v>
      </c>
      <c r="E34" s="12" t="n">
        <f aca="false">(C34*Parametros!$B$18-Parametros!$B$14)*D34/(1+Parametros!$B$16)^(A34/12)</f>
        <v>75537.7916730488</v>
      </c>
      <c r="F34" s="11" t="n">
        <f aca="false">Parametros!$B$6/(1+Parametros!$D$6*Parametros!$C$6*A34/12)^(1/Parametros!$D$6)</f>
        <v>136.299991519085</v>
      </c>
      <c r="G34" s="12" t="n">
        <f aca="false">F34*30.4</f>
        <v>4143.51974218018</v>
      </c>
      <c r="H34" s="13" t="n">
        <f aca="false">IF(Parametros!$B$18*G34-Parametros!$B$14&gt;0,1,0)</f>
        <v>1</v>
      </c>
      <c r="I34" s="12" t="n">
        <f aca="false">(G34*Parametros!$B$18-Parametros!$B$14)*H34/(1+Parametros!$B$16)^(A34/12)</f>
        <v>150282.76519315</v>
      </c>
      <c r="J34" s="11" t="n">
        <f aca="false">Parametros!$B$7/(1+Parametros!$D$7*Parametros!$C$7*A34/12)^(1/Parametros!$D$7)</f>
        <v>211.098426908665</v>
      </c>
      <c r="K34" s="12" t="n">
        <f aca="false">J34*30.4</f>
        <v>6417.39217802341</v>
      </c>
      <c r="L34" s="13" t="n">
        <f aca="false">IF(Parametros!$B$18*K34-Parametros!$B$14&gt;0,1,0)</f>
        <v>1</v>
      </c>
      <c r="M34" s="12" t="n">
        <f aca="false">(K34*Parametros!$B$18-Parametros!$B$14)*L34/(1+Parametros!$B$16)^(A34/12)</f>
        <v>236646.501452766</v>
      </c>
    </row>
    <row r="35" customFormat="false" ht="15" hidden="false" customHeight="false" outlineLevel="0" collapsed="false">
      <c r="A35" s="0" t="n">
        <v>31</v>
      </c>
      <c r="B35" s="11" t="n">
        <f aca="false">Parametros!$B$5/(1+Parametros!$D$5*Parametros!$C$5*A35/12)^(1/Parametros!$D$5)</f>
        <v>68.739613518146</v>
      </c>
      <c r="C35" s="12" t="n">
        <f aca="false">B35*30.4</f>
        <v>2089.68425095164</v>
      </c>
      <c r="D35" s="13" t="n">
        <f aca="false">IF(Parametros!$B$18*C35-Parametros!$B$14&gt;0,1,0)</f>
        <v>1</v>
      </c>
      <c r="E35" s="12" t="n">
        <f aca="false">(C35*Parametros!$B$18-Parametros!$B$14)*D35/(1+Parametros!$B$16)^(A35/12)</f>
        <v>71704.4501868012</v>
      </c>
      <c r="F35" s="11" t="n">
        <f aca="false">Parametros!$B$6/(1+Parametros!$D$6*Parametros!$C$6*A35/12)^(1/Parametros!$D$6)</f>
        <v>132.884016820349</v>
      </c>
      <c r="G35" s="12" t="n">
        <f aca="false">F35*30.4</f>
        <v>4039.67411133861</v>
      </c>
      <c r="H35" s="13" t="n">
        <f aca="false">IF(Parametros!$B$18*G35-Parametros!$B$14&gt;0,1,0)</f>
        <v>1</v>
      </c>
      <c r="I35" s="12" t="n">
        <f aca="false">(G35*Parametros!$B$18-Parametros!$B$14)*H35/(1+Parametros!$B$16)^(A35/12)</f>
        <v>145180.920951893</v>
      </c>
      <c r="J35" s="11" t="n">
        <f aca="false">Parametros!$B$7/(1+Parametros!$D$7*Parametros!$C$7*A35/12)^(1/Parametros!$D$7)</f>
        <v>207.299018848198</v>
      </c>
      <c r="K35" s="12" t="n">
        <f aca="false">J35*30.4</f>
        <v>6301.89017298522</v>
      </c>
      <c r="L35" s="13" t="n">
        <f aca="false">IF(Parametros!$B$18*K35-Parametros!$B$14&gt;0,1,0)</f>
        <v>1</v>
      </c>
      <c r="M35" s="12" t="n">
        <f aca="false">(K35*Parametros!$B$18-Parametros!$B$14)*L35/(1+Parametros!$B$16)^(A35/12)</f>
        <v>230422.211532201</v>
      </c>
    </row>
    <row r="36" customFormat="false" ht="15" hidden="false" customHeight="false" outlineLevel="0" collapsed="false">
      <c r="A36" s="0" t="n">
        <v>32</v>
      </c>
      <c r="B36" s="11" t="n">
        <f aca="false">Parametros!$B$5/(1+Parametros!$D$5*Parametros!$C$5*A36/12)^(1/Parametros!$D$5)</f>
        <v>66.0684908781479</v>
      </c>
      <c r="C36" s="12" t="n">
        <f aca="false">B36*30.4</f>
        <v>2008.4821226957</v>
      </c>
      <c r="D36" s="13" t="n">
        <f aca="false">IF(Parametros!$B$18*C36-Parametros!$B$14&gt;0,1,0)</f>
        <v>1</v>
      </c>
      <c r="E36" s="12" t="n">
        <f aca="false">(C36*Parametros!$B$18-Parametros!$B$14)*D36/(1+Parametros!$B$16)^(A36/12)</f>
        <v>68101.6662305002</v>
      </c>
      <c r="F36" s="11" t="n">
        <f aca="false">Parametros!$B$6/(1+Parametros!$D$6*Parametros!$C$6*A36/12)^(1/Parametros!$D$6)</f>
        <v>129.619113127822</v>
      </c>
      <c r="G36" s="12" t="n">
        <f aca="false">F36*30.4</f>
        <v>3940.42103908579</v>
      </c>
      <c r="H36" s="13" t="n">
        <f aca="false">IF(Parametros!$B$18*G36-Parametros!$B$14&gt;0,1,0)</f>
        <v>1</v>
      </c>
      <c r="I36" s="12" t="n">
        <f aca="false">(G36*Parametros!$B$18-Parametros!$B$14)*H36/(1+Parametros!$B$16)^(A36/12)</f>
        <v>140322.073858969</v>
      </c>
      <c r="J36" s="11" t="n">
        <f aca="false">Parametros!$B$7/(1+Parametros!$D$7*Parametros!$C$7*A36/12)^(1/Parametros!$D$7)</f>
        <v>203.646873316274</v>
      </c>
      <c r="K36" s="12" t="n">
        <f aca="false">J36*30.4</f>
        <v>6190.86494881473</v>
      </c>
      <c r="L36" s="13" t="n">
        <f aca="false">IF(Parametros!$B$18*K36-Parametros!$B$14&gt;0,1,0)</f>
        <v>1</v>
      </c>
      <c r="M36" s="12" t="n">
        <f aca="false">(K36*Parametros!$B$18-Parametros!$B$14)*L36/(1+Parametros!$B$16)^(A36/12)</f>
        <v>224448.945121193</v>
      </c>
    </row>
    <row r="37" customFormat="false" ht="15" hidden="false" customHeight="false" outlineLevel="0" collapsed="false">
      <c r="A37" s="0" t="n">
        <v>33</v>
      </c>
      <c r="B37" s="11" t="n">
        <f aca="false">Parametros!$B$5/(1+Parametros!$D$5*Parametros!$C$5*A37/12)^(1/Parametros!$D$5)</f>
        <v>63.5404543216564</v>
      </c>
      <c r="C37" s="12" t="n">
        <f aca="false">B37*30.4</f>
        <v>1931.62981137835</v>
      </c>
      <c r="D37" s="13" t="n">
        <f aca="false">IF(Parametros!$B$18*C37-Parametros!$B$14&gt;0,1,0)</f>
        <v>1</v>
      </c>
      <c r="E37" s="12" t="n">
        <f aca="false">(C37*Parametros!$B$18-Parametros!$B$14)*D37/(1+Parametros!$B$16)^(A37/12)</f>
        <v>64712.7182902417</v>
      </c>
      <c r="F37" s="11" t="n">
        <f aca="false">Parametros!$B$6/(1+Parametros!$D$6*Parametros!$C$6*A37/12)^(1/Parametros!$D$6)</f>
        <v>126.495816073529</v>
      </c>
      <c r="G37" s="12" t="n">
        <f aca="false">F37*30.4</f>
        <v>3845.47280863527</v>
      </c>
      <c r="H37" s="13" t="n">
        <f aca="false">IF(Parametros!$B$18*G37-Parametros!$B$14&gt;0,1,0)</f>
        <v>1</v>
      </c>
      <c r="I37" s="12" t="n">
        <f aca="false">(G37*Parametros!$B$18-Parametros!$B$14)*H37/(1+Parametros!$B$16)^(A37/12)</f>
        <v>135690.669868312</v>
      </c>
      <c r="J37" s="11" t="n">
        <f aca="false">Parametros!$B$7/(1+Parametros!$D$7*Parametros!$C$7*A37/12)^(1/Parametros!$D$7)</f>
        <v>200.133351750392</v>
      </c>
      <c r="K37" s="12" t="n">
        <f aca="false">J37*30.4</f>
        <v>6084.05389321191</v>
      </c>
      <c r="L37" s="13" t="n">
        <f aca="false">IF(Parametros!$B$18*K37-Parametros!$B$14&gt;0,1,0)</f>
        <v>1</v>
      </c>
      <c r="M37" s="12" t="n">
        <f aca="false">(K37*Parametros!$B$18-Parametros!$B$14)*L37/(1+Parametros!$B$16)^(A37/12)</f>
        <v>218712.056707463</v>
      </c>
    </row>
    <row r="38" customFormat="false" ht="15" hidden="false" customHeight="false" outlineLevel="0" collapsed="false">
      <c r="A38" s="0" t="n">
        <v>34</v>
      </c>
      <c r="B38" s="11" t="n">
        <f aca="false">Parametros!$B$5/(1+Parametros!$D$5*Parametros!$C$5*A38/12)^(1/Parametros!$D$5)</f>
        <v>61.1457979322293</v>
      </c>
      <c r="C38" s="12" t="n">
        <f aca="false">B38*30.4</f>
        <v>1858.83225713977</v>
      </c>
      <c r="D38" s="13" t="n">
        <f aca="false">IF(Parametros!$B$18*C38-Parametros!$B$14&gt;0,1,0)</f>
        <v>1</v>
      </c>
      <c r="E38" s="12" t="n">
        <f aca="false">(C38*Parametros!$B$18-Parametros!$B$14)*D38/(1+Parametros!$B$16)^(A38/12)</f>
        <v>61522.3160950581</v>
      </c>
      <c r="F38" s="11" t="n">
        <f aca="false">Parametros!$B$6/(1+Parametros!$D$6*Parametros!$C$6*A38/12)^(1/Parametros!$D$6)</f>
        <v>123.505421987814</v>
      </c>
      <c r="G38" s="12" t="n">
        <f aca="false">F38*30.4</f>
        <v>3754.56482842954</v>
      </c>
      <c r="H38" s="13" t="n">
        <f aca="false">IF(Parametros!$B$18*G38-Parametros!$B$14&gt;0,1,0)</f>
        <v>1</v>
      </c>
      <c r="I38" s="12" t="n">
        <f aca="false">(G38*Parametros!$B$18-Parametros!$B$14)*H38/(1+Parametros!$B$16)^(A38/12)</f>
        <v>131272.416248889</v>
      </c>
      <c r="J38" s="11" t="n">
        <f aca="false">Parametros!$B$7/(1+Parametros!$D$7*Parametros!$C$7*A38/12)^(1/Parametros!$D$7)</f>
        <v>196.750487283397</v>
      </c>
      <c r="K38" s="12" t="n">
        <f aca="false">J38*30.4</f>
        <v>5981.21481341528</v>
      </c>
      <c r="L38" s="13" t="n">
        <f aca="false">IF(Parametros!$B$18*K38-Parametros!$B$14&gt;0,1,0)</f>
        <v>1</v>
      </c>
      <c r="M38" s="12" t="n">
        <f aca="false">(K38*Parametros!$B$18-Parametros!$B$14)*L38/(1+Parametros!$B$16)^(A38/12)</f>
        <v>213198.032663559</v>
      </c>
    </row>
    <row r="39" customFormat="false" ht="15" hidden="false" customHeight="false" outlineLevel="0" collapsed="false">
      <c r="A39" s="0" t="n">
        <v>35</v>
      </c>
      <c r="B39" s="11" t="n">
        <f aca="false">Parametros!$B$5/(1+Parametros!$D$5*Parametros!$C$5*A39/12)^(1/Parametros!$D$5)</f>
        <v>58.8756085068943</v>
      </c>
      <c r="C39" s="12" t="n">
        <f aca="false">B39*30.4</f>
        <v>1789.81849860959</v>
      </c>
      <c r="D39" s="13" t="n">
        <f aca="false">IF(Parametros!$B$18*C39-Parametros!$B$14&gt;0,1,0)</f>
        <v>1</v>
      </c>
      <c r="E39" s="12" t="n">
        <f aca="false">(C39*Parametros!$B$18-Parametros!$B$14)*D39/(1+Parametros!$B$16)^(A39/12)</f>
        <v>58516.4594262507</v>
      </c>
      <c r="F39" s="11" t="n">
        <f aca="false">Parametros!$B$6/(1+Parametros!$D$6*Parametros!$C$6*A39/12)^(1/Parametros!$D$6)</f>
        <v>120.639913774464</v>
      </c>
      <c r="G39" s="12" t="n">
        <f aca="false">F39*30.4</f>
        <v>3667.45337874371</v>
      </c>
      <c r="H39" s="13" t="n">
        <f aca="false">IF(Parametros!$B$18*G39-Parametros!$B$14&gt;0,1,0)</f>
        <v>1</v>
      </c>
      <c r="I39" s="12" t="n">
        <f aca="false">(G39*Parametros!$B$18-Parametros!$B$14)*H39/(1+Parametros!$B$16)^(A39/12)</f>
        <v>127054.158065852</v>
      </c>
      <c r="J39" s="11" t="n">
        <f aca="false">Parametros!$B$7/(1+Parametros!$D$7*Parametros!$C$7*A39/12)^(1/Parametros!$D$7)</f>
        <v>193.490920199664</v>
      </c>
      <c r="K39" s="12" t="n">
        <f aca="false">J39*30.4</f>
        <v>5882.1239740698</v>
      </c>
      <c r="L39" s="13" t="n">
        <f aca="false">IF(Parametros!$B$18*K39-Parametros!$B$14&gt;0,1,0)</f>
        <v>1</v>
      </c>
      <c r="M39" s="12" t="n">
        <f aca="false">(K39*Parametros!$B$18-Parametros!$B$14)*L39/(1+Parametros!$B$16)^(A39/12)</f>
        <v>207894.382890395</v>
      </c>
    </row>
    <row r="40" customFormat="false" ht="15" hidden="false" customHeight="false" outlineLevel="0" collapsed="false">
      <c r="A40" s="0" t="n">
        <v>36</v>
      </c>
      <c r="B40" s="11" t="n">
        <f aca="false">Parametros!$B$5/(1+Parametros!$D$5*Parametros!$C$5*A40/12)^(1/Parametros!$D$5)</f>
        <v>56.7216901627592</v>
      </c>
      <c r="C40" s="12" t="n">
        <f aca="false">B40*30.4</f>
        <v>1724.33938094788</v>
      </c>
      <c r="D40" s="13" t="n">
        <f aca="false">IF(Parametros!$B$18*C40-Parametros!$B$14&gt;0,1,0)</f>
        <v>1</v>
      </c>
      <c r="E40" s="12" t="n">
        <f aca="false">(C40*Parametros!$B$18-Parametros!$B$14)*D40/(1+Parametros!$B$16)^(A40/12)</f>
        <v>55682.3126684356</v>
      </c>
      <c r="F40" s="11" t="n">
        <f aca="false">Parametros!$B$6/(1+Parametros!$D$6*Parametros!$C$6*A40/12)^(1/Parametros!$D$6)</f>
        <v>117.891895227853</v>
      </c>
      <c r="G40" s="12" t="n">
        <f aca="false">F40*30.4</f>
        <v>3583.91361492672</v>
      </c>
      <c r="H40" s="13" t="n">
        <f aca="false">IF(Parametros!$B$18*G40-Parametros!$B$14&gt;0,1,0)</f>
        <v>1</v>
      </c>
      <c r="I40" s="12" t="n">
        <f aca="false">(G40*Parametros!$B$18-Parametros!$B$14)*H40/(1+Parametros!$B$16)^(A40/12)</f>
        <v>123023.768774957</v>
      </c>
      <c r="J40" s="11" t="n">
        <f aca="false">Parametros!$B$7/(1+Parametros!$D$7*Parametros!$C$7*A40/12)^(1/Parametros!$D$7)</f>
        <v>190.347840730664</v>
      </c>
      <c r="K40" s="12" t="n">
        <f aca="false">J40*30.4</f>
        <v>5786.57435821219</v>
      </c>
      <c r="L40" s="13" t="n">
        <f aca="false">IF(Parametros!$B$18*K40-Parametros!$B$14&gt;0,1,0)</f>
        <v>1</v>
      </c>
      <c r="M40" s="12" t="n">
        <f aca="false">(K40*Parametros!$B$18-Parametros!$B$14)*L40/(1+Parametros!$B$16)^(A40/12)</f>
        <v>202789.544752688</v>
      </c>
    </row>
    <row r="41" customFormat="false" ht="15" hidden="false" customHeight="false" outlineLevel="0" collapsed="false">
      <c r="A41" s="0" t="n">
        <v>37</v>
      </c>
      <c r="B41" s="11" t="n">
        <f aca="false">Parametros!$B$5/(1+Parametros!$D$5*Parametros!$C$5*A41/12)^(1/Parametros!$D$5)</f>
        <v>54.6764970977677</v>
      </c>
      <c r="C41" s="12" t="n">
        <f aca="false">B41*30.4</f>
        <v>1662.16551177214</v>
      </c>
      <c r="D41" s="13" t="n">
        <f aca="false">IF(Parametros!$B$18*C41-Parametros!$B$14&gt;0,1,0)</f>
        <v>1</v>
      </c>
      <c r="E41" s="12" t="n">
        <f aca="false">(C41*Parametros!$B$18-Parametros!$B$14)*D41/(1+Parametros!$B$16)^(A41/12)</f>
        <v>53008.0931493952</v>
      </c>
      <c r="F41" s="11" t="n">
        <f aca="false">Parametros!$B$6/(1+Parametros!$D$6*Parametros!$C$6*A41/12)^(1/Parametros!$D$6)</f>
        <v>115.25453269678</v>
      </c>
      <c r="G41" s="12" t="n">
        <f aca="false">F41*30.4</f>
        <v>3503.7377939821</v>
      </c>
      <c r="H41" s="13" t="n">
        <f aca="false">IF(Parametros!$B$18*G41-Parametros!$B$14&gt;0,1,0)</f>
        <v>1</v>
      </c>
      <c r="I41" s="12" t="n">
        <f aca="false">(G41*Parametros!$B$18-Parametros!$B$14)*H41/(1+Parametros!$B$16)^(A41/12)</f>
        <v>119170.053094863</v>
      </c>
      <c r="J41" s="11" t="n">
        <f aca="false">Parametros!$B$7/(1+Parametros!$D$7*Parametros!$C$7*A41/12)^(1/Parametros!$D$7)</f>
        <v>187.314938230968</v>
      </c>
      <c r="K41" s="12" t="n">
        <f aca="false">J41*30.4</f>
        <v>5694.37412222144</v>
      </c>
      <c r="L41" s="13" t="n">
        <f aca="false">IF(Parametros!$B$18*K41-Parametros!$B$14&gt;0,1,0)</f>
        <v>1</v>
      </c>
      <c r="M41" s="12" t="n">
        <f aca="false">(K41*Parametros!$B$18-Parametros!$B$14)*L41/(1+Parametros!$B$16)^(A41/12)</f>
        <v>197872.797702925</v>
      </c>
    </row>
    <row r="42" customFormat="false" ht="15" hidden="false" customHeight="false" outlineLevel="0" collapsed="false">
      <c r="A42" s="0" t="n">
        <v>38</v>
      </c>
      <c r="B42" s="11" t="n">
        <f aca="false">Parametros!$B$5/(1+Parametros!$D$5*Parametros!$C$5*A42/12)^(1/Parametros!$D$5)</f>
        <v>52.7330735203349</v>
      </c>
      <c r="C42" s="12" t="n">
        <f aca="false">B42*30.4</f>
        <v>1603.08543501818</v>
      </c>
      <c r="D42" s="13" t="n">
        <f aca="false">IF(Parametros!$B$18*C42-Parametros!$B$14&gt;0,1,0)</f>
        <v>1</v>
      </c>
      <c r="E42" s="12" t="n">
        <f aca="false">(C42*Parametros!$B$18-Parametros!$B$14)*D42/(1+Parametros!$B$16)^(A42/12)</f>
        <v>50482.9715820614</v>
      </c>
      <c r="F42" s="11" t="n">
        <f aca="false">Parametros!$B$6/(1+Parametros!$D$6*Parametros!$C$6*A42/12)^(1/Parametros!$D$6)</f>
        <v>112.721503158566</v>
      </c>
      <c r="G42" s="12" t="n">
        <f aca="false">F42*30.4</f>
        <v>3426.73369602039</v>
      </c>
      <c r="H42" s="13" t="n">
        <f aca="false">IF(Parametros!$B$18*G42-Parametros!$B$14&gt;0,1,0)</f>
        <v>1</v>
      </c>
      <c r="I42" s="12" t="n">
        <f aca="false">(G42*Parametros!$B$18-Parametros!$B$14)*H42/(1+Parametros!$B$16)^(A42/12)</f>
        <v>115482.660588613</v>
      </c>
      <c r="J42" s="11" t="n">
        <f aca="false">Parametros!$B$7/(1+Parametros!$D$7*Parametros!$C$7*A42/12)^(1/Parametros!$D$7)</f>
        <v>184.386355916665</v>
      </c>
      <c r="K42" s="12" t="n">
        <f aca="false">J42*30.4</f>
        <v>5605.34521986663</v>
      </c>
      <c r="L42" s="13" t="n">
        <f aca="false">IF(Parametros!$B$18*K42-Parametros!$B$14&gt;0,1,0)</f>
        <v>1</v>
      </c>
      <c r="M42" s="12" t="n">
        <f aca="false">(K42*Parametros!$B$18-Parametros!$B$14)*L42/(1+Parametros!$B$16)^(A42/12)</f>
        <v>193134.187225813</v>
      </c>
    </row>
    <row r="43" customFormat="false" ht="15" hidden="false" customHeight="false" outlineLevel="0" collapsed="false">
      <c r="A43" s="0" t="n">
        <v>39</v>
      </c>
      <c r="B43" s="11" t="n">
        <f aca="false">Parametros!$B$5/(1+Parametros!$D$5*Parametros!$C$5*A43/12)^(1/Parametros!$D$5)</f>
        <v>50.884999893788</v>
      </c>
      <c r="C43" s="12" t="n">
        <f aca="false">B43*30.4</f>
        <v>1546.90399677116</v>
      </c>
      <c r="D43" s="13" t="n">
        <f aca="false">IF(Parametros!$B$18*C43-Parametros!$B$14&gt;0,1,0)</f>
        <v>1</v>
      </c>
      <c r="E43" s="12" t="n">
        <f aca="false">(C43*Parametros!$B$18-Parametros!$B$14)*D43/(1+Parametros!$B$16)^(A43/12)</f>
        <v>48096.9831487104</v>
      </c>
      <c r="F43" s="11" t="n">
        <f aca="false">Parametros!$B$6/(1+Parametros!$D$6*Parametros!$C$6*A43/12)^(1/Parametros!$D$6)</f>
        <v>110.286947900424</v>
      </c>
      <c r="G43" s="12" t="n">
        <f aca="false">F43*30.4</f>
        <v>3352.72321617289</v>
      </c>
      <c r="H43" s="13" t="n">
        <f aca="false">IF(Parametros!$B$18*G43-Parametros!$B$14&gt;0,1,0)</f>
        <v>1</v>
      </c>
      <c r="I43" s="12" t="n">
        <f aca="false">(G43*Parametros!$B$18-Parametros!$B$14)*H43/(1+Parametros!$B$16)^(A43/12)</f>
        <v>111952.0086096</v>
      </c>
      <c r="J43" s="11" t="n">
        <f aca="false">Parametros!$B$7/(1+Parametros!$D$7*Parametros!$C$7*A43/12)^(1/Parametros!$D$7)</f>
        <v>181.556650466182</v>
      </c>
      <c r="K43" s="12" t="n">
        <f aca="false">J43*30.4</f>
        <v>5519.32217417192</v>
      </c>
      <c r="L43" s="13" t="n">
        <f aca="false">IF(Parametros!$B$18*K43-Parametros!$B$14&gt;0,1,0)</f>
        <v>1</v>
      </c>
      <c r="M43" s="12" t="n">
        <f aca="false">(K43*Parametros!$B$18-Parametros!$B$14)*L43/(1+Parametros!$B$16)^(A43/12)</f>
        <v>188564.456932305</v>
      </c>
    </row>
    <row r="44" customFormat="false" ht="15" hidden="false" customHeight="false" outlineLevel="0" collapsed="false">
      <c r="A44" s="0" t="n">
        <v>40</v>
      </c>
      <c r="B44" s="11" t="n">
        <f aca="false">Parametros!$B$5/(1+Parametros!$D$5*Parametros!$C$5*A44/12)^(1/Parametros!$D$5)</f>
        <v>49.1263447536839</v>
      </c>
      <c r="C44" s="12" t="n">
        <f aca="false">B44*30.4</f>
        <v>1493.44088051199</v>
      </c>
      <c r="D44" s="13" t="n">
        <f aca="false">IF(Parametros!$B$18*C44-Parametros!$B$14&gt;0,1,0)</f>
        <v>1</v>
      </c>
      <c r="E44" s="12" t="n">
        <f aca="false">(C44*Parametros!$B$18-Parametros!$B$14)*D44/(1+Parametros!$B$16)^(A44/12)</f>
        <v>45840.947961041</v>
      </c>
      <c r="F44" s="11" t="n">
        <f aca="false">Parametros!$B$6/(1+Parametros!$D$6*Parametros!$C$6*A44/12)^(1/Parametros!$D$6)</f>
        <v>107.945431117661</v>
      </c>
      <c r="G44" s="12" t="n">
        <f aca="false">F44*30.4</f>
        <v>3281.5411059769</v>
      </c>
      <c r="H44" s="13" t="n">
        <f aca="false">IF(Parametros!$B$18*G44-Parametros!$B$14&gt;0,1,0)</f>
        <v>1</v>
      </c>
      <c r="I44" s="12" t="n">
        <f aca="false">(G44*Parametros!$B$18-Parametros!$B$14)*H44/(1+Parametros!$B$16)^(A44/12)</f>
        <v>108569.213456049</v>
      </c>
      <c r="J44" s="11" t="n">
        <f aca="false">Parametros!$B$7/(1+Parametros!$D$7*Parametros!$C$7*A44/12)^(1/Parametros!$D$7)</f>
        <v>178.820755882663</v>
      </c>
      <c r="K44" s="12" t="n">
        <f aca="false">J44*30.4</f>
        <v>5436.15097883296</v>
      </c>
      <c r="L44" s="13" t="n">
        <f aca="false">IF(Parametros!$B$18*K44-Parametros!$B$14&gt;0,1,0)</f>
        <v>1</v>
      </c>
      <c r="M44" s="12" t="n">
        <f aca="false">(K44*Parametros!$B$18-Parametros!$B$14)*L44/(1+Parametros!$B$16)^(A44/12)</f>
        <v>184154.987797943</v>
      </c>
    </row>
    <row r="45" customFormat="false" ht="15" hidden="false" customHeight="false" outlineLevel="0" collapsed="false">
      <c r="A45" s="0" t="n">
        <v>41</v>
      </c>
      <c r="B45" s="11" t="n">
        <f aca="false">Parametros!$B$5/(1+Parametros!$D$5*Parametros!$C$5*A45/12)^(1/Parametros!$D$5)</f>
        <v>47.4516214521685</v>
      </c>
      <c r="C45" s="12" t="n">
        <f aca="false">B45*30.4</f>
        <v>1442.52929214592</v>
      </c>
      <c r="D45" s="13" t="n">
        <f aca="false">IF(Parametros!$B$18*C45-Parametros!$B$14&gt;0,1,0)</f>
        <v>1</v>
      </c>
      <c r="E45" s="12" t="n">
        <f aca="false">(C45*Parametros!$B$18-Parametros!$B$14)*D45/(1+Parametros!$B$16)^(A45/12)</f>
        <v>43706.3997954608</v>
      </c>
      <c r="F45" s="11" t="n">
        <f aca="false">Parametros!$B$6/(1+Parametros!$D$6*Parametros!$C$6*A45/12)^(1/Parametros!$D$6)</f>
        <v>105.691902833372</v>
      </c>
      <c r="G45" s="12" t="n">
        <f aca="false">F45*30.4</f>
        <v>3213.03384613452</v>
      </c>
      <c r="H45" s="13" t="n">
        <f aca="false">IF(Parametros!$B$18*G45-Parametros!$B$14&gt;0,1,0)</f>
        <v>1</v>
      </c>
      <c r="I45" s="12" t="n">
        <f aca="false">(G45*Parametros!$B$18-Parametros!$B$14)*H45/(1+Parametros!$B$16)^(A45/12)</f>
        <v>105326.028737663</v>
      </c>
      <c r="J45" s="11" t="n">
        <f aca="false">Parametros!$B$7/(1+Parametros!$D$7*Parametros!$C$7*A45/12)^(1/Parametros!$D$7)</f>
        <v>176.173951100666</v>
      </c>
      <c r="K45" s="12" t="n">
        <f aca="false">J45*30.4</f>
        <v>5355.68811346023</v>
      </c>
      <c r="L45" s="13" t="n">
        <f aca="false">IF(Parametros!$B$18*K45-Parametros!$B$14&gt;0,1,0)</f>
        <v>1</v>
      </c>
      <c r="M45" s="12" t="n">
        <f aca="false">(K45*Parametros!$B$18-Parametros!$B$14)*L45/(1+Parametros!$B$16)^(A45/12)</f>
        <v>179897.743679937</v>
      </c>
    </row>
    <row r="46" customFormat="false" ht="15" hidden="false" customHeight="false" outlineLevel="0" collapsed="false">
      <c r="A46" s="0" t="n">
        <v>42</v>
      </c>
      <c r="B46" s="11" t="n">
        <f aca="false">Parametros!$B$5/(1+Parametros!$D$5*Parametros!$C$5*A46/12)^(1/Parametros!$D$5)</f>
        <v>45.8557492660684</v>
      </c>
      <c r="C46" s="12" t="n">
        <f aca="false">B46*30.4</f>
        <v>1394.01477768848</v>
      </c>
      <c r="D46" s="13" t="n">
        <f aca="false">IF(Parametros!$B$18*C46-Parametros!$B$14&gt;0,1,0)</f>
        <v>1</v>
      </c>
      <c r="E46" s="12" t="n">
        <f aca="false">(C46*Parametros!$B$18-Parametros!$B$14)*D46/(1+Parametros!$B$16)^(A46/12)</f>
        <v>41685.5221449864</v>
      </c>
      <c r="F46" s="11" t="n">
        <f aca="false">Parametros!$B$6/(1+Parametros!$D$6*Parametros!$C$6*A46/12)^(1/Parametros!$D$6)</f>
        <v>103.52166562499</v>
      </c>
      <c r="G46" s="12" t="n">
        <f aca="false">F46*30.4</f>
        <v>3147.0586349997</v>
      </c>
      <c r="H46" s="13" t="n">
        <f aca="false">IF(Parametros!$B$18*G46-Parametros!$B$14&gt;0,1,0)</f>
        <v>1</v>
      </c>
      <c r="I46" s="12" t="n">
        <f aca="false">(G46*Parametros!$B$18-Parametros!$B$14)*H46/(1+Parametros!$B$16)^(A46/12)</f>
        <v>102214.790093293</v>
      </c>
      <c r="J46" s="11" t="n">
        <f aca="false">Parametros!$B$7/(1+Parametros!$D$7*Parametros!$C$7*A46/12)^(1/Parametros!$D$7)</f>
        <v>173.611830890618</v>
      </c>
      <c r="K46" s="12" t="n">
        <f aca="false">J46*30.4</f>
        <v>5277.79965907479</v>
      </c>
      <c r="L46" s="13" t="n">
        <f aca="false">IF(Parametros!$B$18*K46-Parametros!$B$14&gt;0,1,0)</f>
        <v>1</v>
      </c>
      <c r="M46" s="12" t="n">
        <f aca="false">(K46*Parametros!$B$18-Parametros!$B$14)*L46/(1+Parametros!$B$16)^(A46/12)</f>
        <v>175785.222365595</v>
      </c>
    </row>
    <row r="47" customFormat="false" ht="15" hidden="false" customHeight="false" outlineLevel="0" collapsed="false">
      <c r="A47" s="0" t="n">
        <v>43</v>
      </c>
      <c r="B47" s="11" t="n">
        <f aca="false">Parametros!$B$5/(1+Parametros!$D$5*Parametros!$C$5*A47/12)^(1/Parametros!$D$5)</f>
        <v>44.334018376426</v>
      </c>
      <c r="C47" s="12" t="n">
        <f aca="false">B47*30.4</f>
        <v>1347.75415864335</v>
      </c>
      <c r="D47" s="13" t="n">
        <f aca="false">IF(Parametros!$B$18*C47-Parametros!$B$14&gt;0,1,0)</f>
        <v>1</v>
      </c>
      <c r="E47" s="12" t="n">
        <f aca="false">(C47*Parametros!$B$18-Parametros!$B$14)*D47/(1+Parametros!$B$16)^(A47/12)</f>
        <v>39771.0907512681</v>
      </c>
      <c r="F47" s="11" t="n">
        <f aca="false">Parametros!$B$6/(1+Parametros!$D$6*Parametros!$C$6*A47/12)^(1/Parametros!$D$6)</f>
        <v>101.430344711645</v>
      </c>
      <c r="G47" s="12" t="n">
        <f aca="false">F47*30.4</f>
        <v>3083.48247923402</v>
      </c>
      <c r="H47" s="13" t="n">
        <f aca="false">IF(Parametros!$B$18*G47-Parametros!$B$14&gt;0,1,0)</f>
        <v>1</v>
      </c>
      <c r="I47" s="12" t="n">
        <f aca="false">(G47*Parametros!$B$18-Parametros!$B$14)*H47/(1+Parametros!$B$16)^(A47/12)</f>
        <v>99228.3655135787</v>
      </c>
      <c r="J47" s="11" t="n">
        <f aca="false">Parametros!$B$7/(1+Parametros!$D$7*Parametros!$C$7*A47/12)^(1/Parametros!$D$7)</f>
        <v>171.130279674528</v>
      </c>
      <c r="K47" s="12" t="n">
        <f aca="false">J47*30.4</f>
        <v>5202.36050210566</v>
      </c>
      <c r="L47" s="13" t="n">
        <f aca="false">IF(Parametros!$B$18*K47-Parametros!$B$14&gt;0,1,0)</f>
        <v>1</v>
      </c>
      <c r="M47" s="12" t="n">
        <f aca="false">(K47*Parametros!$B$18-Parametros!$B$14)*L47/(1+Parametros!$B$16)^(A47/12)</f>
        <v>171810.411504986</v>
      </c>
    </row>
    <row r="48" customFormat="false" ht="15" hidden="false" customHeight="false" outlineLevel="0" collapsed="false">
      <c r="A48" s="0" t="n">
        <v>44</v>
      </c>
      <c r="B48" s="11" t="n">
        <f aca="false">Parametros!$B$5/(1+Parametros!$D$5*Parametros!$C$5*A48/12)^(1/Parametros!$D$5)</f>
        <v>42.8820582884477</v>
      </c>
      <c r="C48" s="12" t="n">
        <f aca="false">B48*30.4</f>
        <v>1303.61457196881</v>
      </c>
      <c r="D48" s="13" t="n">
        <f aca="false">IF(Parametros!$B$18*C48-Parametros!$B$14&gt;0,1,0)</f>
        <v>1</v>
      </c>
      <c r="E48" s="12" t="n">
        <f aca="false">(C48*Parametros!$B$18-Parametros!$B$14)*D48/(1+Parametros!$B$16)^(A48/12)</f>
        <v>37956.4218854371</v>
      </c>
      <c r="F48" s="11" t="n">
        <f aca="false">Parametros!$B$6/(1+Parametros!$D$6*Parametros!$C$6*A48/12)^(1/Parametros!$D$6)</f>
        <v>99.4138610148325</v>
      </c>
      <c r="G48" s="12" t="n">
        <f aca="false">F48*30.4</f>
        <v>3022.18137485091</v>
      </c>
      <c r="H48" s="13" t="n">
        <f aca="false">IF(Parametros!$B$18*G48-Parametros!$B$14&gt;0,1,0)</f>
        <v>1</v>
      </c>
      <c r="I48" s="12" t="n">
        <f aca="false">(G48*Parametros!$B$18-Parametros!$B$14)*H48/(1+Parametros!$B$16)^(A48/12)</f>
        <v>96360.110620546</v>
      </c>
      <c r="J48" s="11" t="n">
        <f aca="false">Parametros!$B$7/(1+Parametros!$D$7*Parametros!$C$7*A48/12)^(1/Parametros!$D$7)</f>
        <v>168.725447917448</v>
      </c>
      <c r="K48" s="12" t="n">
        <f aca="false">J48*30.4</f>
        <v>5129.25361669042</v>
      </c>
      <c r="L48" s="13" t="n">
        <f aca="false">IF(Parametros!$B$18*K48-Parametros!$B$14&gt;0,1,0)</f>
        <v>1</v>
      </c>
      <c r="M48" s="12" t="n">
        <f aca="false">(K48*Parametros!$B$18-Parametros!$B$14)*L48/(1+Parametros!$B$16)^(A48/12)</f>
        <v>167966.748866092</v>
      </c>
    </row>
    <row r="49" customFormat="false" ht="15" hidden="false" customHeight="false" outlineLevel="0" collapsed="false">
      <c r="A49" s="0" t="n">
        <v>45</v>
      </c>
      <c r="B49" s="11" t="n">
        <f aca="false">Parametros!$B$5/(1+Parametros!$D$5*Parametros!$C$5*A49/12)^(1/Parametros!$D$5)</f>
        <v>41.4958093137746</v>
      </c>
      <c r="C49" s="12" t="n">
        <f aca="false">B49*30.4</f>
        <v>1261.47260313875</v>
      </c>
      <c r="D49" s="13" t="n">
        <f aca="false">IF(Parametros!$B$18*C49-Parametros!$B$14&gt;0,1,0)</f>
        <v>1</v>
      </c>
      <c r="E49" s="12" t="n">
        <f aca="false">(C49*Parametros!$B$18-Parametros!$B$14)*D49/(1+Parametros!$B$16)^(A49/12)</f>
        <v>36235.3257372489</v>
      </c>
      <c r="F49" s="11" t="n">
        <f aca="false">Parametros!$B$6/(1+Parametros!$D$6*Parametros!$C$6*A49/12)^(1/Parametros!$D$6)</f>
        <v>97.4684068549147</v>
      </c>
      <c r="G49" s="12" t="n">
        <f aca="false">F49*30.4</f>
        <v>2963.03956838941</v>
      </c>
      <c r="H49" s="13" t="n">
        <f aca="false">IF(Parametros!$B$18*G49-Parametros!$B$14&gt;0,1,0)</f>
        <v>1</v>
      </c>
      <c r="I49" s="12" t="n">
        <f aca="false">(G49*Parametros!$B$18-Parametros!$B$14)*H49/(1+Parametros!$B$16)^(A49/12)</f>
        <v>93603.8283400363</v>
      </c>
      <c r="J49" s="11" t="n">
        <f aca="false">Parametros!$B$7/(1+Parametros!$D$7*Parametros!$C$7*A49/12)^(1/Parametros!$D$7)</f>
        <v>166.393730802811</v>
      </c>
      <c r="K49" s="12" t="n">
        <f aca="false">J49*30.4</f>
        <v>5058.36941640547</v>
      </c>
      <c r="L49" s="13" t="n">
        <f aca="false">IF(Parametros!$B$18*K49-Parametros!$B$14&gt;0,1,0)</f>
        <v>1</v>
      </c>
      <c r="M49" s="12" t="n">
        <f aca="false">(K49*Parametros!$B$18-Parametros!$B$14)*L49/(1+Parametros!$B$16)^(A49/12)</f>
        <v>164248.086423585</v>
      </c>
    </row>
    <row r="50" customFormat="false" ht="15" hidden="false" customHeight="false" outlineLevel="0" collapsed="false">
      <c r="A50" s="0" t="n">
        <v>46</v>
      </c>
      <c r="B50" s="11" t="n">
        <f aca="false">Parametros!$B$5/(1+Parametros!$D$5*Parametros!$C$5*A50/12)^(1/Parametros!$D$5)</f>
        <v>40.1714967828291</v>
      </c>
      <c r="C50" s="12" t="n">
        <f aca="false">B50*30.4</f>
        <v>1221.21350219801</v>
      </c>
      <c r="D50" s="13" t="n">
        <f aca="false">IF(Parametros!$B$18*C50-Parametros!$B$14&gt;0,1,0)</f>
        <v>1</v>
      </c>
      <c r="E50" s="12" t="n">
        <f aca="false">(C50*Parametros!$B$18-Parametros!$B$14)*D50/(1+Parametros!$B$16)^(A50/12)</f>
        <v>34602.0643505091</v>
      </c>
      <c r="F50" s="11" t="n">
        <f aca="false">Parametros!$B$6/(1+Parametros!$D$6*Parametros!$C$6*A50/12)^(1/Parametros!$D$6)</f>
        <v>95.5904239889189</v>
      </c>
      <c r="G50" s="12" t="n">
        <f aca="false">F50*30.4</f>
        <v>2905.94888926314</v>
      </c>
      <c r="H50" s="13" t="n">
        <f aca="false">IF(Parametros!$B$18*G50-Parametros!$B$14&gt;0,1,0)</f>
        <v>1</v>
      </c>
      <c r="I50" s="12" t="n">
        <f aca="false">(G50*Parametros!$B$18-Parametros!$B$14)*H50/(1+Parametros!$B$16)^(A50/12)</f>
        <v>90953.732474701</v>
      </c>
      <c r="J50" s="11" t="n">
        <f aca="false">Parametros!$B$7/(1+Parametros!$D$7*Parametros!$C$7*A50/12)^(1/Parametros!$D$7)</f>
        <v>164.131748937043</v>
      </c>
      <c r="K50" s="12" t="n">
        <f aca="false">J50*30.4</f>
        <v>4989.60516768612</v>
      </c>
      <c r="L50" s="13" t="n">
        <f aca="false">IF(Parametros!$B$18*K50-Parametros!$B$14&gt;0,1,0)</f>
        <v>1</v>
      </c>
      <c r="M50" s="12" t="n">
        <f aca="false">(K50*Parametros!$B$18-Parametros!$B$14)*L50/(1+Parametros!$B$16)^(A50/12)</f>
        <v>160648.65785472</v>
      </c>
    </row>
    <row r="51" customFormat="false" ht="15" hidden="false" customHeight="false" outlineLevel="0" collapsed="false">
      <c r="A51" s="0" t="n">
        <v>47</v>
      </c>
      <c r="B51" s="11" t="n">
        <f aca="false">Parametros!$B$5/(1+Parametros!$D$5*Parametros!$C$5*A51/12)^(1/Parametros!$D$5)</f>
        <v>38.9056076947741</v>
      </c>
      <c r="C51" s="12" t="n">
        <f aca="false">B51*30.4</f>
        <v>1182.73047392113</v>
      </c>
      <c r="D51" s="13" t="n">
        <f aca="false">IF(Parametros!$B$18*C51-Parametros!$B$14&gt;0,1,0)</f>
        <v>1</v>
      </c>
      <c r="E51" s="12" t="n">
        <f aca="false">(C51*Parametros!$B$18-Parametros!$B$14)*D51/(1+Parametros!$B$16)^(A51/12)</f>
        <v>33051.3136107974</v>
      </c>
      <c r="F51" s="11" t="n">
        <f aca="false">Parametros!$B$6/(1+Parametros!$D$6*Parametros!$C$6*A51/12)^(1/Parametros!$D$6)</f>
        <v>93.7765837319542</v>
      </c>
      <c r="G51" s="12" t="n">
        <f aca="false">F51*30.4</f>
        <v>2850.80814545141</v>
      </c>
      <c r="H51" s="13" t="n">
        <f aca="false">IF(Parametros!$B$18*G51-Parametros!$B$14&gt;0,1,0)</f>
        <v>1</v>
      </c>
      <c r="I51" s="12" t="n">
        <f aca="false">(G51*Parametros!$B$18-Parametros!$B$14)*H51/(1+Parametros!$B$16)^(A51/12)</f>
        <v>88404.4147470831</v>
      </c>
      <c r="J51" s="11" t="n">
        <f aca="false">Parametros!$B$7/(1+Parametros!$D$7*Parametros!$C$7*A51/12)^(1/Parametros!$D$7)</f>
        <v>161.936330860867</v>
      </c>
      <c r="K51" s="12" t="n">
        <f aca="false">J51*30.4</f>
        <v>4922.86445817034</v>
      </c>
      <c r="L51" s="13" t="n">
        <f aca="false">IF(Parametros!$B$18*K51-Parametros!$B$14&gt;0,1,0)</f>
        <v>1</v>
      </c>
      <c r="M51" s="12" t="n">
        <f aca="false">(K51*Parametros!$B$18-Parametros!$B$14)*L51/(1+Parametros!$B$16)^(A51/12)</f>
        <v>157163.049069423</v>
      </c>
    </row>
    <row r="52" customFormat="false" ht="15" hidden="false" customHeight="false" outlineLevel="0" collapsed="false">
      <c r="A52" s="0" t="n">
        <v>48</v>
      </c>
      <c r="B52" s="11" t="n">
        <f aca="false">Parametros!$B$5/(1+Parametros!$D$5*Parametros!$C$5*A52/12)^(1/Parametros!$D$5)</f>
        <v>37.6948695471955</v>
      </c>
      <c r="C52" s="12" t="n">
        <f aca="false">B52*30.4</f>
        <v>1145.92403423474</v>
      </c>
      <c r="D52" s="13" t="n">
        <f aca="false">IF(Parametros!$B$18*C52-Parametros!$B$14&gt;0,1,0)</f>
        <v>1</v>
      </c>
      <c r="E52" s="12" t="n">
        <f aca="false">(C52*Parametros!$B$18-Parametros!$B$14)*D52/(1+Parametros!$B$16)^(A52/12)</f>
        <v>31578.1288505667</v>
      </c>
      <c r="F52" s="11" t="n">
        <f aca="false">Parametros!$B$6/(1+Parametros!$D$6*Parametros!$C$6*A52/12)^(1/Parametros!$D$6)</f>
        <v>92.0237689363757</v>
      </c>
      <c r="G52" s="12" t="n">
        <f aca="false">F52*30.4</f>
        <v>2797.52257566582</v>
      </c>
      <c r="H52" s="13" t="n">
        <f aca="false">IF(Parametros!$B$18*G52-Parametros!$B$14&gt;0,1,0)</f>
        <v>1</v>
      </c>
      <c r="I52" s="12" t="n">
        <f aca="false">(G52*Parametros!$B$18-Parametros!$B$14)*H52/(1+Parametros!$B$16)^(A52/12)</f>
        <v>85950.8149355184</v>
      </c>
      <c r="J52" s="11" t="n">
        <f aca="false">Parametros!$B$7/(1+Parametros!$D$7*Parametros!$C$7*A52/12)^(1/Parametros!$D$7)</f>
        <v>159.804497172261</v>
      </c>
      <c r="K52" s="12" t="n">
        <f aca="false">J52*30.4</f>
        <v>4858.05671403674</v>
      </c>
      <c r="L52" s="13" t="n">
        <f aca="false">IF(Parametros!$B$18*K52-Parametros!$B$14&gt;0,1,0)</f>
        <v>1</v>
      </c>
      <c r="M52" s="12" t="n">
        <f aca="false">(K52*Parametros!$B$18-Parametros!$B$14)*L52/(1+Parametros!$B$16)^(A52/12)</f>
        <v>153786.171447695</v>
      </c>
    </row>
    <row r="53" customFormat="false" ht="15" hidden="false" customHeight="false" outlineLevel="0" collapsed="false">
      <c r="A53" s="0" t="n">
        <v>49</v>
      </c>
      <c r="B53" s="11" t="n">
        <f aca="false">Parametros!$B$5/(1+Parametros!$D$5*Parametros!$C$5*A53/12)^(1/Parametros!$D$5)</f>
        <v>36.5362311177444</v>
      </c>
      <c r="C53" s="12" t="n">
        <f aca="false">B53*30.4</f>
        <v>1110.70142597943</v>
      </c>
      <c r="D53" s="13" t="n">
        <f aca="false">IF(Parametros!$B$18*C53-Parametros!$B$14&gt;0,1,0)</f>
        <v>1</v>
      </c>
      <c r="E53" s="12" t="n">
        <f aca="false">(C53*Parametros!$B$18-Parametros!$B$14)*D53/(1+Parametros!$B$16)^(A53/12)</f>
        <v>30177.9136880637</v>
      </c>
      <c r="F53" s="11" t="n">
        <f aca="false">Parametros!$B$6/(1+Parametros!$D$6*Parametros!$C$6*A53/12)^(1/Parametros!$D$6)</f>
        <v>90.3290576302692</v>
      </c>
      <c r="G53" s="12" t="n">
        <f aca="false">F53*30.4</f>
        <v>2746.00335196018</v>
      </c>
      <c r="H53" s="13" t="n">
        <f aca="false">IF(Parametros!$B$18*G53-Parametros!$B$14&gt;0,1,0)</f>
        <v>1</v>
      </c>
      <c r="I53" s="12" t="n">
        <f aca="false">(G53*Parametros!$B$18-Parametros!$B$14)*H53/(1+Parametros!$B$16)^(A53/12)</f>
        <v>83588.1937715417</v>
      </c>
      <c r="J53" s="11" t="n">
        <f aca="false">Parametros!$B$7/(1+Parametros!$D$7*Parametros!$C$7*A53/12)^(1/Parametros!$D$7)</f>
        <v>157.733446089807</v>
      </c>
      <c r="K53" s="12" t="n">
        <f aca="false">J53*30.4</f>
        <v>4795.09676113013</v>
      </c>
      <c r="L53" s="13" t="n">
        <f aca="false">IF(Parametros!$B$18*K53-Parametros!$B$14&gt;0,1,0)</f>
        <v>1</v>
      </c>
      <c r="M53" s="12" t="n">
        <f aca="false">(K53*Parametros!$B$18-Parametros!$B$14)*L53/(1+Parametros!$B$16)^(A53/12)</f>
        <v>150513.237497237</v>
      </c>
    </row>
    <row r="54" customFormat="false" ht="15" hidden="false" customHeight="false" outlineLevel="0" collapsed="false">
      <c r="A54" s="0" t="n">
        <v>50</v>
      </c>
      <c r="B54" s="11" t="n">
        <f aca="false">Parametros!$B$5/(1+Parametros!$D$5*Parametros!$C$5*A54/12)^(1/Parametros!$D$5)</f>
        <v>35.4268449962428</v>
      </c>
      <c r="C54" s="12" t="n">
        <f aca="false">B54*30.4</f>
        <v>1076.97608788578</v>
      </c>
      <c r="D54" s="13" t="n">
        <f aca="false">IF(Parametros!$B$18*C54-Parametros!$B$14&gt;0,1,0)</f>
        <v>1</v>
      </c>
      <c r="E54" s="12" t="n">
        <f aca="false">(C54*Parametros!$B$18-Parametros!$B$14)*D54/(1+Parametros!$B$16)^(A54/12)</f>
        <v>28846.3917612763</v>
      </c>
      <c r="F54" s="11" t="n">
        <f aca="false">Parametros!$B$6/(1+Parametros!$D$6*Parametros!$C$6*A54/12)^(1/Parametros!$D$6)</f>
        <v>88.689708140597</v>
      </c>
      <c r="G54" s="12" t="n">
        <f aca="false">F54*30.4</f>
        <v>2696.16712747415</v>
      </c>
      <c r="H54" s="13" t="n">
        <f aca="false">IF(Parametros!$B$18*G54-Parametros!$B$14&gt;0,1,0)</f>
        <v>1</v>
      </c>
      <c r="I54" s="12" t="n">
        <f aca="false">(G54*Parametros!$B$18-Parametros!$B$14)*H54/(1+Parametros!$B$16)^(A54/12)</f>
        <v>81312.1083072549</v>
      </c>
      <c r="J54" s="11" t="n">
        <f aca="false">Parametros!$B$7/(1+Parametros!$D$7*Parametros!$C$7*A54/12)^(1/Parametros!$D$7)</f>
        <v>155.720540305676</v>
      </c>
      <c r="K54" s="12" t="n">
        <f aca="false">J54*30.4</f>
        <v>4733.90442529254</v>
      </c>
      <c r="L54" s="13" t="n">
        <f aca="false">IF(Parametros!$B$18*K54-Parametros!$B$14&gt;0,1,0)</f>
        <v>1</v>
      </c>
      <c r="M54" s="12" t="n">
        <f aca="false">(K54*Parametros!$B$18-Parametros!$B$14)*L54/(1+Parametros!$B$16)^(A54/12)</f>
        <v>147339.738678583</v>
      </c>
    </row>
    <row r="55" customFormat="false" ht="15" hidden="false" customHeight="false" outlineLevel="0" collapsed="false">
      <c r="A55" s="0" t="n">
        <v>51</v>
      </c>
      <c r="B55" s="11" t="n">
        <f aca="false">Parametros!$B$5/(1+Parametros!$D$5*Parametros!$C$5*A55/12)^(1/Parametros!$D$5)</f>
        <v>34.3640516887321</v>
      </c>
      <c r="C55" s="12" t="n">
        <f aca="false">B55*30.4</f>
        <v>1044.66717133746</v>
      </c>
      <c r="D55" s="13" t="n">
        <f aca="false">IF(Parametros!$B$18*C55-Parametros!$B$14&gt;0,1,0)</f>
        <v>1</v>
      </c>
      <c r="E55" s="12" t="n">
        <f aca="false">(C55*Parametros!$B$18-Parametros!$B$14)*D55/(1+Parametros!$B$16)^(A55/12)</f>
        <v>27579.5810571818</v>
      </c>
      <c r="F55" s="11" t="n">
        <f aca="false">Parametros!$B$6/(1+Parametros!$D$6*Parametros!$C$6*A55/12)^(1/Parametros!$D$6)</f>
        <v>87.1031455469673</v>
      </c>
      <c r="G55" s="12" t="n">
        <f aca="false">F55*30.4</f>
        <v>2647.93562462781</v>
      </c>
      <c r="H55" s="13" t="n">
        <f aca="false">IF(Parametros!$B$18*G55-Parametros!$B$14&gt;0,1,0)</f>
        <v>1</v>
      </c>
      <c r="I55" s="12" t="n">
        <f aca="false">(G55*Parametros!$B$18-Parametros!$B$14)*H55/(1+Parametros!$B$16)^(A55/12)</f>
        <v>79118.38949561</v>
      </c>
      <c r="J55" s="11" t="n">
        <f aca="false">Parametros!$B$7/(1+Parametros!$D$7*Parametros!$C$7*A55/12)^(1/Parametros!$D$7)</f>
        <v>153.763294995349</v>
      </c>
      <c r="K55" s="12" t="n">
        <f aca="false">J55*30.4</f>
        <v>4674.40416785861</v>
      </c>
      <c r="L55" s="13" t="n">
        <f aca="false">IF(Parametros!$B$18*K55-Parametros!$B$14&gt;0,1,0)</f>
        <v>1</v>
      </c>
      <c r="M55" s="12" t="n">
        <f aca="false">(K55*Parametros!$B$18-Parametros!$B$14)*L55/(1+Parametros!$B$16)^(A55/12)</f>
        <v>144261.425174838</v>
      </c>
    </row>
    <row r="56" customFormat="false" ht="15" hidden="false" customHeight="false" outlineLevel="0" collapsed="false">
      <c r="A56" s="0" t="n">
        <v>52</v>
      </c>
      <c r="B56" s="11" t="n">
        <f aca="false">Parametros!$B$5/(1+Parametros!$D$5*Parametros!$C$5*A56/12)^(1/Parametros!$D$5)</f>
        <v>33.3453651350452</v>
      </c>
      <c r="C56" s="12" t="n">
        <f aca="false">B56*30.4</f>
        <v>1013.69910010537</v>
      </c>
      <c r="D56" s="13" t="n">
        <f aca="false">IF(Parametros!$B$18*C56-Parametros!$B$14&gt;0,1,0)</f>
        <v>1</v>
      </c>
      <c r="E56" s="12" t="n">
        <f aca="false">(C56*Parametros!$B$18-Parametros!$B$14)*D56/(1+Parametros!$B$16)^(A56/12)</f>
        <v>26373.770570729</v>
      </c>
      <c r="F56" s="11" t="n">
        <f aca="false">Parametros!$B$6/(1+Parametros!$D$6*Parametros!$C$6*A56/12)^(1/Parametros!$D$6)</f>
        <v>85.5669493299188</v>
      </c>
      <c r="G56" s="12" t="n">
        <f aca="false">F56*30.4</f>
        <v>2601.23525962953</v>
      </c>
      <c r="H56" s="13" t="n">
        <f aca="false">IF(Parametros!$B$18*G56-Parametros!$B$14&gt;0,1,0)</f>
        <v>1</v>
      </c>
      <c r="I56" s="12" t="n">
        <f aca="false">(G56*Parametros!$B$18-Parametros!$B$14)*H56/(1+Parametros!$B$16)^(A56/12)</f>
        <v>77003.1217565488</v>
      </c>
      <c r="J56" s="11" t="n">
        <f aca="false">Parametros!$B$7/(1+Parametros!$D$7*Parametros!$C$7*A56/12)^(1/Parametros!$D$7)</f>
        <v>151.859366866621</v>
      </c>
      <c r="K56" s="12" t="n">
        <f aca="false">J56*30.4</f>
        <v>4616.52475274529</v>
      </c>
      <c r="L56" s="13" t="n">
        <f aca="false">IF(Parametros!$B$18*K56-Parametros!$B$14&gt;0,1,0)</f>
        <v>1</v>
      </c>
      <c r="M56" s="12" t="n">
        <f aca="false">(K56*Parametros!$B$18-Parametros!$B$14)*L56/(1+Parametros!$B$16)^(A56/12)</f>
        <v>141274.287409011</v>
      </c>
    </row>
    <row r="57" customFormat="false" ht="15" hidden="false" customHeight="false" outlineLevel="0" collapsed="false">
      <c r="A57" s="0" t="n">
        <v>53</v>
      </c>
      <c r="B57" s="11" t="n">
        <f aca="false">Parametros!$B$5/(1+Parametros!$D$5*Parametros!$C$5*A57/12)^(1/Parametros!$D$5)</f>
        <v>32.3684594991185</v>
      </c>
      <c r="C57" s="12" t="n">
        <f aca="false">B57*30.4</f>
        <v>984.001168773201</v>
      </c>
      <c r="D57" s="13" t="n">
        <f aca="false">IF(Parametros!$B$18*C57-Parametros!$B$14&gt;0,1,0)</f>
        <v>1</v>
      </c>
      <c r="E57" s="12" t="n">
        <f aca="false">(C57*Parametros!$B$18-Parametros!$B$14)*D57/(1+Parametros!$B$16)^(A57/12)</f>
        <v>25225.4990579033</v>
      </c>
      <c r="F57" s="11" t="n">
        <f aca="false">Parametros!$B$6/(1+Parametros!$D$6*Parametros!$C$6*A57/12)^(1/Parametros!$D$6)</f>
        <v>84.0788420932351</v>
      </c>
      <c r="G57" s="12" t="n">
        <f aca="false">F57*30.4</f>
        <v>2555.99679963435</v>
      </c>
      <c r="H57" s="13" t="n">
        <f aca="false">IF(Parametros!$B$18*G57-Parametros!$B$14&gt;0,1,0)</f>
        <v>1</v>
      </c>
      <c r="I57" s="12" t="n">
        <f aca="false">(G57*Parametros!$B$18-Parametros!$B$14)*H57/(1+Parametros!$B$16)^(A57/12)</f>
        <v>74962.6243280608</v>
      </c>
      <c r="J57" s="11" t="n">
        <f aca="false">Parametros!$B$7/(1+Parametros!$D$7*Parametros!$C$7*A57/12)^(1/Parametros!$D$7)</f>
        <v>150.006544143898</v>
      </c>
      <c r="K57" s="12" t="n">
        <f aca="false">J57*30.4</f>
        <v>4560.19894197449</v>
      </c>
      <c r="L57" s="13" t="n">
        <f aca="false">IF(Parametros!$B$18*K57-Parametros!$B$14&gt;0,1,0)</f>
        <v>1</v>
      </c>
      <c r="M57" s="12" t="n">
        <f aca="false">(K57*Parametros!$B$18-Parametros!$B$14)*L57/(1+Parametros!$B$16)^(A57/12)</f>
        <v>138374.539134518</v>
      </c>
    </row>
    <row r="58" customFormat="false" ht="15" hidden="false" customHeight="false" outlineLevel="0" collapsed="false">
      <c r="A58" s="0" t="n">
        <v>54</v>
      </c>
      <c r="B58" s="11" t="n">
        <f aca="false">Parametros!$B$5/(1+Parametros!$D$5*Parametros!$C$5*A58/12)^(1/Parametros!$D$5)</f>
        <v>31.4311571067522</v>
      </c>
      <c r="C58" s="12" t="n">
        <f aca="false">B58*30.4</f>
        <v>955.507176045268</v>
      </c>
      <c r="D58" s="13" t="n">
        <f aca="false">IF(Parametros!$B$18*C58-Parametros!$B$14&gt;0,1,0)</f>
        <v>1</v>
      </c>
      <c r="E58" s="12" t="n">
        <f aca="false">(C58*Parametros!$B$18-Parametros!$B$14)*D58/(1+Parametros!$B$16)^(A58/12)</f>
        <v>24131.5356734691</v>
      </c>
      <c r="F58" s="11" t="n">
        <f aca="false">Parametros!$B$6/(1+Parametros!$D$6*Parametros!$C$6*A58/12)^(1/Parametros!$D$6)</f>
        <v>82.6366792534412</v>
      </c>
      <c r="G58" s="12" t="n">
        <f aca="false">F58*30.4</f>
        <v>2512.15504930461</v>
      </c>
      <c r="H58" s="13" t="n">
        <f aca="false">IF(Parametros!$B$18*G58-Parametros!$B$14&gt;0,1,0)</f>
        <v>1</v>
      </c>
      <c r="I58" s="12" t="n">
        <f aca="false">(G58*Parametros!$B$18-Parametros!$B$14)*H58/(1+Parametros!$B$16)^(A58/12)</f>
        <v>72993.4342240246</v>
      </c>
      <c r="J58" s="11" t="n">
        <f aca="false">Parametros!$B$7/(1+Parametros!$D$7*Parametros!$C$7*A58/12)^(1/Parametros!$D$7)</f>
        <v>148.202737395568</v>
      </c>
      <c r="K58" s="12" t="n">
        <f aca="false">J58*30.4</f>
        <v>4505.36321682527</v>
      </c>
      <c r="L58" s="13" t="n">
        <f aca="false">IF(Parametros!$B$18*K58-Parametros!$B$14&gt;0,1,0)</f>
        <v>1</v>
      </c>
      <c r="M58" s="12" t="n">
        <f aca="false">(K58*Parametros!$B$18-Parametros!$B$14)*L58/(1+Parametros!$B$16)^(A58/12)</f>
        <v>135558.601944076</v>
      </c>
    </row>
    <row r="59" customFormat="false" ht="15" hidden="false" customHeight="false" outlineLevel="0" collapsed="false">
      <c r="A59" s="0" t="n">
        <v>55</v>
      </c>
      <c r="B59" s="11" t="n">
        <f aca="false">Parametros!$B$5/(1+Parametros!$D$5*Parametros!$C$5*A59/12)^(1/Parametros!$D$5)</f>
        <v>30.5314174191504</v>
      </c>
      <c r="C59" s="12" t="n">
        <f aca="false">B59*30.4</f>
        <v>928.155089542171</v>
      </c>
      <c r="D59" s="13" t="n">
        <f aca="false">IF(Parametros!$B$18*C59-Parametros!$B$14&gt;0,1,0)</f>
        <v>1</v>
      </c>
      <c r="E59" s="12" t="n">
        <f aca="false">(C59*Parametros!$B$18-Parametros!$B$14)*D59/(1+Parametros!$B$16)^(A59/12)</f>
        <v>23088.8623070382</v>
      </c>
      <c r="F59" s="11" t="n">
        <f aca="false">Parametros!$B$6/(1+Parametros!$D$6*Parametros!$C$6*A59/12)^(1/Parametros!$D$6)</f>
        <v>81.2384396015685</v>
      </c>
      <c r="G59" s="12" t="n">
        <f aca="false">F59*30.4</f>
        <v>2469.64856388768</v>
      </c>
      <c r="H59" s="13" t="n">
        <f aca="false">IF(Parametros!$B$18*G59-Parametros!$B$14&gt;0,1,0)</f>
        <v>1</v>
      </c>
      <c r="I59" s="12" t="n">
        <f aca="false">(G59*Parametros!$B$18-Parametros!$B$14)*H59/(1+Parametros!$B$16)^(A59/12)</f>
        <v>71092.2906406321</v>
      </c>
      <c r="J59" s="11" t="n">
        <f aca="false">Parametros!$B$7/(1+Parametros!$D$7*Parametros!$C$7*A59/12)^(1/Parametros!$D$7)</f>
        <v>146.445971122507</v>
      </c>
      <c r="K59" s="12" t="n">
        <f aca="false">J59*30.4</f>
        <v>4451.95752212422</v>
      </c>
      <c r="L59" s="13" t="n">
        <f aca="false">IF(Parametros!$B$18*K59-Parametros!$B$14&gt;0,1,0)</f>
        <v>1</v>
      </c>
      <c r="M59" s="12" t="n">
        <f aca="false">(K59*Parametros!$B$18-Parametros!$B$14)*L59/(1+Parametros!$B$16)^(A59/12)</f>
        <v>132823.09105946</v>
      </c>
    </row>
    <row r="60" customFormat="false" ht="15" hidden="false" customHeight="false" outlineLevel="0" collapsed="false">
      <c r="A60" s="0" t="n">
        <v>56</v>
      </c>
      <c r="B60" s="11" t="n">
        <f aca="false">Parametros!$B$5/(1+Parametros!$D$5*Parametros!$C$5*A60/12)^(1/Parametros!$D$5)</f>
        <v>29.6673269425828</v>
      </c>
      <c r="C60" s="12" t="n">
        <f aca="false">B60*30.4</f>
        <v>901.886739054517</v>
      </c>
      <c r="D60" s="13" t="n">
        <f aca="false">IF(Parametros!$B$18*C60-Parametros!$B$14&gt;0,1,0)</f>
        <v>1</v>
      </c>
      <c r="E60" s="12" t="n">
        <f aca="false">(C60*Parametros!$B$18-Parametros!$B$14)*D60/(1+Parametros!$B$16)^(A60/12)</f>
        <v>22094.6574514069</v>
      </c>
      <c r="F60" s="11" t="n">
        <f aca="false">Parametros!$B$6/(1+Parametros!$D$6*Parametros!$C$6*A60/12)^(1/Parametros!$D$6)</f>
        <v>79.8822166527299</v>
      </c>
      <c r="G60" s="12" t="n">
        <f aca="false">F60*30.4</f>
        <v>2428.41938624299</v>
      </c>
      <c r="H60" s="13" t="n">
        <f aca="false">IF(Parametros!$B$18*G60-Parametros!$B$14&gt;0,1,0)</f>
        <v>1</v>
      </c>
      <c r="I60" s="12" t="n">
        <f aca="false">(G60*Parametros!$B$18-Parametros!$B$14)*H60/(1+Parametros!$B$16)^(A60/12)</f>
        <v>69256.1206706751</v>
      </c>
      <c r="J60" s="11" t="n">
        <f aca="false">Parametros!$B$7/(1+Parametros!$D$7*Parametros!$C$7*A60/12)^(1/Parametros!$D$7)</f>
        <v>144.734376034752</v>
      </c>
      <c r="K60" s="12" t="n">
        <f aca="false">J60*30.4</f>
        <v>4399.92503145645</v>
      </c>
      <c r="L60" s="13" t="n">
        <f aca="false">IF(Parametros!$B$18*K60-Parametros!$B$14&gt;0,1,0)</f>
        <v>1</v>
      </c>
      <c r="M60" s="12" t="n">
        <f aca="false">(K60*Parametros!$B$18-Parametros!$B$14)*L60/(1+Parametros!$B$16)^(A60/12)</f>
        <v>130164.802279654</v>
      </c>
    </row>
    <row r="61" customFormat="false" ht="15" hidden="false" customHeight="false" outlineLevel="0" collapsed="false">
      <c r="A61" s="0" t="n">
        <v>57</v>
      </c>
      <c r="B61" s="11" t="n">
        <f aca="false">Parametros!$B$5/(1+Parametros!$D$5*Parametros!$C$5*A61/12)^(1/Parametros!$D$5)</f>
        <v>28.8370899851084</v>
      </c>
      <c r="C61" s="12" t="n">
        <f aca="false">B61*30.4</f>
        <v>876.647535547294</v>
      </c>
      <c r="D61" s="13" t="n">
        <f aca="false">IF(Parametros!$B$18*C61-Parametros!$B$14&gt;0,1,0)</f>
        <v>1</v>
      </c>
      <c r="E61" s="12" t="n">
        <f aca="false">(C61*Parametros!$B$18-Parametros!$B$14)*D61/(1+Parametros!$B$16)^(A61/12)</f>
        <v>21146.2814549834</v>
      </c>
      <c r="F61" s="11" t="n">
        <f aca="false">Parametros!$B$6/(1+Parametros!$D$6*Parametros!$C$6*A61/12)^(1/Parametros!$D$6)</f>
        <v>78.5662107082305</v>
      </c>
      <c r="G61" s="12" t="n">
        <f aca="false">F61*30.4</f>
        <v>2388.41280553021</v>
      </c>
      <c r="H61" s="13" t="n">
        <f aca="false">IF(Parametros!$B$18*G61-Parametros!$B$14&gt;0,1,0)</f>
        <v>1</v>
      </c>
      <c r="I61" s="12" t="n">
        <f aca="false">(G61*Parametros!$B$18-Parametros!$B$14)*H61/(1+Parametros!$B$16)^(A61/12)</f>
        <v>67482.0262003049</v>
      </c>
      <c r="J61" s="11" t="n">
        <f aca="false">Parametros!$B$7/(1+Parametros!$D$7*Parametros!$C$7*A61/12)^(1/Parametros!$D$7)</f>
        <v>143.066181951315</v>
      </c>
      <c r="K61" s="12" t="n">
        <f aca="false">J61*30.4</f>
        <v>4349.21193131997</v>
      </c>
      <c r="L61" s="13" t="n">
        <f aca="false">IF(Parametros!$B$18*K61-Parametros!$B$14&gt;0,1,0)</f>
        <v>1</v>
      </c>
      <c r="M61" s="12" t="n">
        <f aca="false">(K61*Parametros!$B$18-Parametros!$B$14)*L61/(1+Parametros!$B$16)^(A61/12)</f>
        <v>127580.699978193</v>
      </c>
    </row>
    <row r="62" customFormat="false" ht="15" hidden="false" customHeight="false" outlineLevel="0" collapsed="false">
      <c r="A62" s="0" t="n">
        <v>58</v>
      </c>
      <c r="B62" s="11" t="n">
        <f aca="false">Parametros!$B$5/(1+Parametros!$D$5*Parametros!$C$5*A62/12)^(1/Parametros!$D$5)</f>
        <v>28.0390201806611</v>
      </c>
      <c r="C62" s="12" t="n">
        <f aca="false">B62*30.4</f>
        <v>852.386213492098</v>
      </c>
      <c r="D62" s="13" t="n">
        <f aca="false">IF(Parametros!$B$18*C62-Parametros!$B$14&gt;0,1,0)</f>
        <v>1</v>
      </c>
      <c r="E62" s="12" t="n">
        <f aca="false">(C62*Parametros!$B$18-Parametros!$B$14)*D62/(1+Parametros!$B$16)^(A62/12)</f>
        <v>20241.2630259093</v>
      </c>
      <c r="F62" s="11" t="n">
        <f aca="false">Parametros!$B$6/(1+Parametros!$D$6*Parametros!$C$6*A62/12)^(1/Parametros!$D$6)</f>
        <v>77.2887215630193</v>
      </c>
      <c r="G62" s="12" t="n">
        <f aca="false">F62*30.4</f>
        <v>2349.57713551579</v>
      </c>
      <c r="H62" s="13" t="n">
        <f aca="false">IF(Parametros!$B$18*G62-Parametros!$B$14&gt;0,1,0)</f>
        <v>1</v>
      </c>
      <c r="I62" s="12" t="n">
        <f aca="false">(G62*Parametros!$B$18-Parametros!$B$14)*H62/(1+Parametros!$B$16)^(A62/12)</f>
        <v>65767.2718763696</v>
      </c>
      <c r="J62" s="11" t="n">
        <f aca="false">Parametros!$B$7/(1+Parametros!$D$7*Parametros!$C$7*A62/12)^(1/Parametros!$D$7)</f>
        <v>141.439711265046</v>
      </c>
      <c r="K62" s="12" t="n">
        <f aca="false">J62*30.4</f>
        <v>4299.7672224574</v>
      </c>
      <c r="L62" s="13" t="n">
        <f aca="false">IF(Parametros!$B$18*K62-Parametros!$B$14&gt;0,1,0)</f>
        <v>1</v>
      </c>
      <c r="M62" s="12" t="n">
        <f aca="false">(K62*Parametros!$B$18-Parametros!$B$14)*L62/(1+Parametros!$B$16)^(A62/12)</f>
        <v>125067.906052122</v>
      </c>
    </row>
    <row r="63" customFormat="false" ht="15" hidden="false" customHeight="false" outlineLevel="0" collapsed="false">
      <c r="A63" s="0" t="n">
        <v>59</v>
      </c>
      <c r="B63" s="11" t="n">
        <f aca="false">Parametros!$B$5/(1+Parametros!$D$5*Parametros!$C$5*A63/12)^(1/Parametros!$D$5)</f>
        <v>27.2715327090926</v>
      </c>
      <c r="C63" s="12" t="n">
        <f aca="false">B63*30.4</f>
        <v>829.054594356415</v>
      </c>
      <c r="D63" s="13" t="n">
        <f aca="false">IF(Parametros!$B$18*C63-Parametros!$B$14&gt;0,1,0)</f>
        <v>1</v>
      </c>
      <c r="E63" s="12" t="n">
        <f aca="false">(C63*Parametros!$B$18-Parametros!$B$14)*D63/(1+Parametros!$B$16)^(A63/12)</f>
        <v>19377.2868694295</v>
      </c>
      <c r="F63" s="11" t="n">
        <f aca="false">Parametros!$B$6/(1+Parametros!$D$6*Parametros!$C$6*A63/12)^(1/Parametros!$D$6)</f>
        <v>76.0481417984008</v>
      </c>
      <c r="G63" s="12" t="n">
        <f aca="false">F63*30.4</f>
        <v>2311.86351067139</v>
      </c>
      <c r="H63" s="13" t="n">
        <f aca="false">IF(Parametros!$B$18*G63-Parametros!$B$14&gt;0,1,0)</f>
        <v>1</v>
      </c>
      <c r="I63" s="12" t="n">
        <f aca="false">(G63*Parametros!$B$18-Parametros!$B$14)*H63/(1+Parametros!$B$16)^(A63/12)</f>
        <v>64109.2740443167</v>
      </c>
      <c r="J63" s="11" t="n">
        <f aca="false">Parametros!$B$7/(1+Parametros!$D$7*Parametros!$C$7*A63/12)^(1/Parametros!$D$7)</f>
        <v>139.853372920568</v>
      </c>
      <c r="K63" s="12" t="n">
        <f aca="false">J63*30.4</f>
        <v>4251.54253678527</v>
      </c>
      <c r="L63" s="13" t="n">
        <f aca="false">IF(Parametros!$B$18*K63-Parametros!$B$14&gt;0,1,0)</f>
        <v>1</v>
      </c>
      <c r="M63" s="12" t="n">
        <f aca="false">(K63*Parametros!$B$18-Parametros!$B$14)*L63/(1+Parametros!$B$16)^(A63/12)</f>
        <v>122623.689735282</v>
      </c>
    </row>
    <row r="64" customFormat="false" ht="15" hidden="false" customHeight="false" outlineLevel="0" collapsed="false">
      <c r="A64" s="0" t="n">
        <v>60</v>
      </c>
      <c r="B64" s="11" t="n">
        <f aca="false">Parametros!$B$5/(1+Parametros!$D$5*Parametros!$C$5*A64/12)^(1/Parametros!$D$5)</f>
        <v>26.5331371481079</v>
      </c>
      <c r="C64" s="12" t="n">
        <f aca="false">B64*30.4</f>
        <v>806.607369302479</v>
      </c>
      <c r="D64" s="13" t="n">
        <f aca="false">IF(Parametros!$B$18*C64-Parametros!$B$14&gt;0,1,0)</f>
        <v>1</v>
      </c>
      <c r="E64" s="12" t="n">
        <f aca="false">(C64*Parametros!$B$18-Parametros!$B$14)*D64/(1+Parametros!$B$16)^(A64/12)</f>
        <v>18552.1823524098</v>
      </c>
      <c r="F64" s="11" t="n">
        <f aca="false">Parametros!$B$6/(1+Parametros!$D$6*Parametros!$C$6*A64/12)^(1/Parametros!$D$6)</f>
        <v>74.8429506062153</v>
      </c>
      <c r="G64" s="12" t="n">
        <f aca="false">F64*30.4</f>
        <v>2275.22569842895</v>
      </c>
      <c r="H64" s="13" t="n">
        <f aca="false">IF(Parametros!$B$18*G64-Parametros!$B$14&gt;0,1,0)</f>
        <v>1</v>
      </c>
      <c r="I64" s="12" t="n">
        <f aca="false">(G64*Parametros!$B$18-Parametros!$B$14)*H64/(1+Parametros!$B$16)^(A64/12)</f>
        <v>62505.5905671341</v>
      </c>
      <c r="J64" s="11" t="n">
        <f aca="false">Parametros!$B$7/(1+Parametros!$D$7*Parametros!$C$7*A64/12)^(1/Parametros!$D$7)</f>
        <v>138.30565685873</v>
      </c>
      <c r="K64" s="12" t="n">
        <f aca="false">J64*30.4</f>
        <v>4204.49196850539</v>
      </c>
      <c r="L64" s="13" t="n">
        <f aca="false">IF(Parametros!$B$18*K64-Parametros!$B$14&gt;0,1,0)</f>
        <v>1</v>
      </c>
      <c r="M64" s="12" t="n">
        <f aca="false">(K64*Parametros!$B$18-Parametros!$B$14)*L64/(1+Parametros!$B$16)^(A64/12)</f>
        <v>120245.458197689</v>
      </c>
    </row>
    <row r="65" customFormat="false" ht="15" hidden="false" customHeight="false" outlineLevel="0" collapsed="false">
      <c r="A65" s="0" t="n">
        <v>61</v>
      </c>
      <c r="B65" s="11" t="n">
        <f aca="false">Parametros!$B$5/(1+Parametros!$D$5*Parametros!$C$5*A65/12)^(1/Parametros!$D$5)</f>
        <v>25.8224308995537</v>
      </c>
      <c r="C65" s="12" t="n">
        <f aca="false">B65*30.4</f>
        <v>785.001899346433</v>
      </c>
      <c r="D65" s="13" t="n">
        <f aca="false">IF(Parametros!$B$18*C65-Parametros!$B$14&gt;0,1,0)</f>
        <v>1</v>
      </c>
      <c r="E65" s="12" t="n">
        <f aca="false">(C65*Parametros!$B$18-Parametros!$B$14)*D65/(1+Parametros!$B$16)^(A65/12)</f>
        <v>17763.9130998464</v>
      </c>
      <c r="F65" s="11" t="n">
        <f aca="false">Parametros!$B$6/(1+Parametros!$D$6*Parametros!$C$6*A65/12)^(1/Parametros!$D$6)</f>
        <v>73.6717080962477</v>
      </c>
      <c r="G65" s="12" t="n">
        <f aca="false">F65*30.4</f>
        <v>2239.61992612593</v>
      </c>
      <c r="H65" s="13" t="n">
        <f aca="false">IF(Parametros!$B$18*G65-Parametros!$B$14&gt;0,1,0)</f>
        <v>1</v>
      </c>
      <c r="I65" s="12" t="n">
        <f aca="false">(G65*Parametros!$B$18-Parametros!$B$14)*H65/(1+Parametros!$B$16)^(A65/12)</f>
        <v>60953.911445078</v>
      </c>
      <c r="J65" s="11" t="n">
        <f aca="false">Parametros!$B$7/(1+Parametros!$D$7*Parametros!$C$7*A65/12)^(1/Parametros!$D$7)</f>
        <v>136.795128885798</v>
      </c>
      <c r="K65" s="12" t="n">
        <f aca="false">J65*30.4</f>
        <v>4158.57191812825</v>
      </c>
      <c r="L65" s="13" t="n">
        <f aca="false">IF(Parametros!$B$18*K65-Parametros!$B$14&gt;0,1,0)</f>
        <v>1</v>
      </c>
      <c r="M65" s="12" t="n">
        <f aca="false">(K65*Parametros!$B$18-Parametros!$B$14)*L65/(1+Parametros!$B$16)^(A65/12)</f>
        <v>117930.747860788</v>
      </c>
    </row>
    <row r="66" customFormat="false" ht="15" hidden="false" customHeight="false" outlineLevel="0" collapsed="false">
      <c r="A66" s="0" t="n">
        <v>62</v>
      </c>
      <c r="B66" s="11" t="n">
        <f aca="false">Parametros!$B$5/(1+Parametros!$D$5*Parametros!$C$5*A66/12)^(1/Parametros!$D$5)</f>
        <v>25.1380931383109</v>
      </c>
      <c r="C66" s="12" t="n">
        <f aca="false">B66*30.4</f>
        <v>764.198031404651</v>
      </c>
      <c r="D66" s="13" t="n">
        <f aca="false">IF(Parametros!$B$18*C66-Parametros!$B$14&gt;0,1,0)</f>
        <v>1</v>
      </c>
      <c r="E66" s="12" t="n">
        <f aca="false">(C66*Parametros!$B$18-Parametros!$B$14)*D66/(1+Parametros!$B$16)^(A66/12)</f>
        <v>17010.56743792</v>
      </c>
      <c r="F66" s="11" t="n">
        <f aca="false">Parametros!$B$6/(1+Parametros!$D$6*Parametros!$C$6*A66/12)^(1/Parametros!$D$6)</f>
        <v>72.5330500435477</v>
      </c>
      <c r="G66" s="12" t="n">
        <f aca="false">F66*30.4</f>
        <v>2205.00472132385</v>
      </c>
      <c r="H66" s="13" t="n">
        <f aca="false">IF(Parametros!$B$18*G66-Parametros!$B$14&gt;0,1,0)</f>
        <v>1</v>
      </c>
      <c r="I66" s="12" t="n">
        <f aca="false">(G66*Parametros!$B$18-Parametros!$B$14)*H66/(1+Parametros!$B$16)^(A66/12)</f>
        <v>59452.0501641381</v>
      </c>
      <c r="J66" s="11" t="n">
        <f aca="false">Parametros!$B$7/(1+Parametros!$D$7*Parametros!$C$7*A66/12)^(1/Parametros!$D$7)</f>
        <v>135.320425929833</v>
      </c>
      <c r="K66" s="12" t="n">
        <f aca="false">J66*30.4</f>
        <v>4113.74094826691</v>
      </c>
      <c r="L66" s="13" t="n">
        <f aca="false">IF(Parametros!$B$18*K66-Parametros!$B$14&gt;0,1,0)</f>
        <v>1</v>
      </c>
      <c r="M66" s="12" t="n">
        <f aca="false">(K66*Parametros!$B$18-Parametros!$B$14)*L66/(1+Parametros!$B$16)^(A66/12)</f>
        <v>115677.216365479</v>
      </c>
    </row>
    <row r="67" customFormat="false" ht="15" hidden="false" customHeight="false" outlineLevel="0" collapsed="false">
      <c r="A67" s="0" t="n">
        <v>63</v>
      </c>
      <c r="B67" s="11" t="n">
        <f aca="false">Parametros!$B$5/(1+Parametros!$D$5*Parametros!$C$5*A67/12)^(1/Parametros!$D$5)</f>
        <v>24.4788792371989</v>
      </c>
      <c r="C67" s="12" t="n">
        <f aca="false">B67*30.4</f>
        <v>744.157928810847</v>
      </c>
      <c r="D67" s="13" t="n">
        <f aca="false">IF(Parametros!$B$18*C67-Parametros!$B$14&gt;0,1,0)</f>
        <v>1</v>
      </c>
      <c r="E67" s="12" t="n">
        <f aca="false">(C67*Parametros!$B$18-Parametros!$B$14)*D67/(1+Parametros!$B$16)^(A67/12)</f>
        <v>16290.3496067824</v>
      </c>
      <c r="F67" s="11" t="n">
        <f aca="false">Parametros!$B$6/(1+Parametros!$D$6*Parametros!$C$6*A67/12)^(1/Parametros!$D$6)</f>
        <v>71.425683036709</v>
      </c>
      <c r="G67" s="12" t="n">
        <f aca="false">F67*30.4</f>
        <v>2171.34076431595</v>
      </c>
      <c r="H67" s="13" t="n">
        <f aca="false">IF(Parametros!$B$18*G67-Parametros!$B$14&gt;0,1,0)</f>
        <v>1</v>
      </c>
      <c r="I67" s="12" t="n">
        <f aca="false">(G67*Parametros!$B$18-Parametros!$B$14)*H67/(1+Parametros!$B$16)^(A67/12)</f>
        <v>57997.9357084762</v>
      </c>
      <c r="J67" s="11" t="n">
        <f aca="false">Parametros!$B$7/(1+Parametros!$D$7*Parametros!$C$7*A67/12)^(1/Parametros!$D$7)</f>
        <v>133.88025165047</v>
      </c>
      <c r="K67" s="12" t="n">
        <f aca="false">J67*30.4</f>
        <v>4069.9596501743</v>
      </c>
      <c r="L67" s="13" t="n">
        <f aca="false">IF(Parametros!$B$18*K67-Parametros!$B$14&gt;0,1,0)</f>
        <v>1</v>
      </c>
      <c r="M67" s="12" t="n">
        <f aca="false">(K67*Parametros!$B$18-Parametros!$B$14)*L67/(1+Parametros!$B$16)^(A67/12)</f>
        <v>113482.635136082</v>
      </c>
    </row>
    <row r="68" customFormat="false" ht="15" hidden="false" customHeight="false" outlineLevel="0" collapsed="false">
      <c r="A68" s="0" t="n">
        <v>64</v>
      </c>
      <c r="B68" s="11" t="n">
        <f aca="false">Parametros!$B$5/(1+Parametros!$D$5*Parametros!$C$5*A68/12)^(1/Parametros!$D$5)</f>
        <v>23.8436156258967</v>
      </c>
      <c r="C68" s="12" t="n">
        <f aca="false">B68*30.4</f>
        <v>724.845915027258</v>
      </c>
      <c r="D68" s="13" t="n">
        <f aca="false">IF(Parametros!$B$18*C68-Parametros!$B$14&gt;0,1,0)</f>
        <v>1</v>
      </c>
      <c r="E68" s="12" t="n">
        <f aca="false">(C68*Parametros!$B$18-Parametros!$B$14)*D68/(1+Parametros!$B$16)^(A68/12)</f>
        <v>15601.5716739386</v>
      </c>
      <c r="F68" s="11" t="n">
        <f aca="false">Parametros!$B$6/(1+Parametros!$D$6*Parametros!$C$6*A68/12)^(1/Parametros!$D$6)</f>
        <v>70.3483799920308</v>
      </c>
      <c r="G68" s="12" t="n">
        <f aca="false">F68*30.4</f>
        <v>2138.59075175774</v>
      </c>
      <c r="H68" s="13" t="n">
        <f aca="false">IF(Parametros!$B$18*G68-Parametros!$B$14&gt;0,1,0)</f>
        <v>1</v>
      </c>
      <c r="I68" s="12" t="n">
        <f aca="false">(G68*Parametros!$B$18-Parametros!$B$14)*H68/(1+Parametros!$B$16)^(A68/12)</f>
        <v>56589.6051785344</v>
      </c>
      <c r="J68" s="11" t="n">
        <f aca="false">Parametros!$B$7/(1+Parametros!$D$7*Parametros!$C$7*A68/12)^(1/Parametros!$D$7)</f>
        <v>132.473372371643</v>
      </c>
      <c r="K68" s="12" t="n">
        <f aca="false">J68*30.4</f>
        <v>4027.19052009796</v>
      </c>
      <c r="L68" s="13" t="n">
        <f aca="false">IF(Parametros!$B$18*K68-Parametros!$B$14&gt;0,1,0)</f>
        <v>1</v>
      </c>
      <c r="M68" s="12" t="n">
        <f aca="false">(K68*Parametros!$B$18-Parametros!$B$14)*L68/(1+Parametros!$B$16)^(A68/12)</f>
        <v>111344.88248906</v>
      </c>
    </row>
    <row r="69" customFormat="false" ht="15" hidden="false" customHeight="false" outlineLevel="0" collapsed="false">
      <c r="A69" s="0" t="n">
        <v>65</v>
      </c>
      <c r="B69" s="11" t="n">
        <f aca="false">Parametros!$B$5/(1+Parametros!$D$5*Parametros!$C$5*A69/12)^(1/Parametros!$D$5)</f>
        <v>23.2311950459785</v>
      </c>
      <c r="C69" s="12" t="n">
        <f aca="false">B69*30.4</f>
        <v>706.228329397746</v>
      </c>
      <c r="D69" s="13" t="n">
        <f aca="false">IF(Parametros!$B$18*C69-Parametros!$B$14&gt;0,1,0)</f>
        <v>1</v>
      </c>
      <c r="E69" s="12" t="n">
        <f aca="false">(C69*Parametros!$B$18-Parametros!$B$14)*D69/(1+Parametros!$B$16)^(A69/12)</f>
        <v>14942.6460859339</v>
      </c>
      <c r="F69" s="11" t="n">
        <f aca="false">Parametros!$B$6/(1+Parametros!$D$6*Parametros!$C$6*A69/12)^(1/Parametros!$D$6)</f>
        <v>69.2999760019383</v>
      </c>
      <c r="G69" s="12" t="n">
        <f aca="false">F69*30.4</f>
        <v>2106.71927045892</v>
      </c>
      <c r="H69" s="13" t="n">
        <f aca="false">IF(Parametros!$B$18*G69-Parametros!$B$14&gt;0,1,0)</f>
        <v>1</v>
      </c>
      <c r="I69" s="12" t="n">
        <f aca="false">(G69*Parametros!$B$18-Parametros!$B$14)*H69/(1+Parametros!$B$16)^(A69/12)</f>
        <v>55225.1969622608</v>
      </c>
      <c r="J69" s="11" t="n">
        <f aca="false">Parametros!$B$7/(1+Parametros!$D$7*Parametros!$C$7*A69/12)^(1/Parametros!$D$7)</f>
        <v>131.098613309769</v>
      </c>
      <c r="K69" s="12" t="n">
        <f aca="false">J69*30.4</f>
        <v>3985.39784461696</v>
      </c>
      <c r="L69" s="13" t="n">
        <f aca="false">IF(Parametros!$B$18*K69-Parametros!$B$14&gt;0,1,0)</f>
        <v>1</v>
      </c>
      <c r="M69" s="12" t="n">
        <f aca="false">(K69*Parametros!$B$18-Parametros!$B$14)*L69/(1+Parametros!$B$16)^(A69/12)</f>
        <v>109261.937240241</v>
      </c>
    </row>
    <row r="70" customFormat="false" ht="15" hidden="false" customHeight="false" outlineLevel="0" collapsed="false">
      <c r="A70" s="0" t="n">
        <v>66</v>
      </c>
      <c r="B70" s="11" t="n">
        <f aca="false">Parametros!$B$5/(1+Parametros!$D$5*Parametros!$C$5*A70/12)^(1/Parametros!$D$5)</f>
        <v>22.6405721678301</v>
      </c>
      <c r="C70" s="12" t="n">
        <f aca="false">B70*30.4</f>
        <v>688.273393902034</v>
      </c>
      <c r="D70" s="13" t="n">
        <f aca="false">IF(Parametros!$B$18*C70-Parametros!$B$14&gt;0,1,0)</f>
        <v>1</v>
      </c>
      <c r="E70" s="12" t="n">
        <f aca="false">(C70*Parametros!$B$18-Parametros!$B$14)*D70/(1+Parametros!$B$16)^(A70/12)</f>
        <v>14312.0788021548</v>
      </c>
      <c r="F70" s="11" t="n">
        <f aca="false">Parametros!$B$6/(1+Parametros!$D$6*Parametros!$C$6*A70/12)^(1/Parametros!$D$6)</f>
        <v>68.2793644891074</v>
      </c>
      <c r="G70" s="12" t="n">
        <f aca="false">F70*30.4</f>
        <v>2075.69268046886</v>
      </c>
      <c r="H70" s="13" t="n">
        <f aca="false">IF(Parametros!$B$18*G70-Parametros!$B$14&gt;0,1,0)</f>
        <v>1</v>
      </c>
      <c r="I70" s="12" t="n">
        <f aca="false">(G70*Parametros!$B$18-Parametros!$B$14)*H70/(1+Parametros!$B$16)^(A70/12)</f>
        <v>53902.9444120258</v>
      </c>
      <c r="J70" s="11" t="n">
        <f aca="false">Parametros!$B$7/(1+Parametros!$D$7*Parametros!$C$7*A70/12)^(1/Parametros!$D$7)</f>
        <v>129.754855072566</v>
      </c>
      <c r="K70" s="12" t="n">
        <f aca="false">J70*30.4</f>
        <v>3944.54759420601</v>
      </c>
      <c r="L70" s="13" t="n">
        <f aca="false">IF(Parametros!$B$18*K70-Parametros!$B$14&gt;0,1,0)</f>
        <v>1</v>
      </c>
      <c r="M70" s="12" t="n">
        <f aca="false">(K70*Parametros!$B$18-Parametros!$B$14)*L70/(1+Parametros!$B$16)^(A70/12)</f>
        <v>107231.872768789</v>
      </c>
    </row>
    <row r="71" customFormat="false" ht="15" hidden="false" customHeight="false" outlineLevel="0" collapsed="false">
      <c r="A71" s="0" t="n">
        <v>67</v>
      </c>
      <c r="B71" s="11" t="n">
        <f aca="false">Parametros!$B$5/(1+Parametros!$D$5*Parametros!$C$5*A71/12)^(1/Parametros!$D$5)</f>
        <v>22.0707595384787</v>
      </c>
      <c r="C71" s="12" t="n">
        <f aca="false">B71*30.4</f>
        <v>670.951089969752</v>
      </c>
      <c r="D71" s="13" t="n">
        <f aca="false">IF(Parametros!$B$18*C71-Parametros!$B$14&gt;0,1,0)</f>
        <v>1</v>
      </c>
      <c r="E71" s="12" t="n">
        <f aca="false">(C71*Parametros!$B$18-Parametros!$B$14)*D71/(1+Parametros!$B$16)^(A71/12)</f>
        <v>13708.4629600066</v>
      </c>
      <c r="F71" s="11" t="n">
        <f aca="false">Parametros!$B$6/(1+Parametros!$D$6*Parametros!$C$6*A71/12)^(1/Parametros!$D$6)</f>
        <v>67.2854936404891</v>
      </c>
      <c r="G71" s="12" t="n">
        <f aca="false">F71*30.4</f>
        <v>2045.47900667087</v>
      </c>
      <c r="H71" s="13" t="n">
        <f aca="false">IF(Parametros!$B$18*G71-Parametros!$B$14&gt;0,1,0)</f>
        <v>1</v>
      </c>
      <c r="I71" s="12" t="n">
        <f aca="false">(G71*Parametros!$B$18-Parametros!$B$14)*H71/(1+Parametros!$B$16)^(A71/12)</f>
        <v>52621.1699843663</v>
      </c>
      <c r="J71" s="11" t="n">
        <f aca="false">Parametros!$B$7/(1+Parametros!$D$7*Parametros!$C$7*A71/12)^(1/Parametros!$D$7)</f>
        <v>128.441030406036</v>
      </c>
      <c r="K71" s="12" t="n">
        <f aca="false">J71*30.4</f>
        <v>3904.60732434348</v>
      </c>
      <c r="L71" s="13" t="n">
        <f aca="false">IF(Parametros!$B$18*K71-Parametros!$B$14&gt;0,1,0)</f>
        <v>1</v>
      </c>
      <c r="M71" s="12" t="n">
        <f aca="false">(K71*Parametros!$B$18-Parametros!$B$14)*L71/(1+Parametros!$B$16)^(A71/12)</f>
        <v>105252.851500091</v>
      </c>
    </row>
    <row r="72" customFormat="false" ht="15" hidden="false" customHeight="false" outlineLevel="0" collapsed="false">
      <c r="A72" s="0" t="n">
        <v>68</v>
      </c>
      <c r="B72" s="11" t="n">
        <f aca="false">Parametros!$B$5/(1+Parametros!$D$5*Parametros!$C$5*A72/12)^(1/Parametros!$D$5)</f>
        <v>21.520823832307</v>
      </c>
      <c r="C72" s="12" t="n">
        <f aca="false">B72*30.4</f>
        <v>654.233044502132</v>
      </c>
      <c r="D72" s="13" t="n">
        <f aca="false">IF(Parametros!$B$18*C72-Parametros!$B$14&gt;0,1,0)</f>
        <v>1</v>
      </c>
      <c r="E72" s="12" t="n">
        <f aca="false">(C72*Parametros!$B$18-Parametros!$B$14)*D72/(1+Parametros!$B$16)^(A72/12)</f>
        <v>13130.4730256023</v>
      </c>
      <c r="F72" s="11" t="n">
        <f aca="false">Parametros!$B$6/(1+Parametros!$D$6*Parametros!$C$6*A72/12)^(1/Parametros!$D$6)</f>
        <v>66.3173630978723</v>
      </c>
      <c r="G72" s="12" t="n">
        <f aca="false">F72*30.4</f>
        <v>2016.04783817532</v>
      </c>
      <c r="H72" s="13" t="n">
        <f aca="false">IF(Parametros!$B$18*G72-Parametros!$B$14&gt;0,1,0)</f>
        <v>1</v>
      </c>
      <c r="I72" s="12" t="n">
        <f aca="false">(G72*Parametros!$B$18-Parametros!$B$14)*H72/(1+Parametros!$B$16)^(A72/12)</f>
        <v>51378.2798037824</v>
      </c>
      <c r="J72" s="11" t="n">
        <f aca="false">Parametros!$B$7/(1+Parametros!$D$7*Parametros!$C$7*A72/12)^(1/Parametros!$D$7)</f>
        <v>127.156121169237</v>
      </c>
      <c r="K72" s="12" t="n">
        <f aca="false">J72*30.4</f>
        <v>3865.54608354481</v>
      </c>
      <c r="L72" s="13" t="n">
        <f aca="false">IF(Parametros!$B$18*K72-Parametros!$B$14&gt;0,1,0)</f>
        <v>1</v>
      </c>
      <c r="M72" s="12" t="n">
        <f aca="false">(K72*Parametros!$B$18-Parametros!$B$14)*L72/(1+Parametros!$B$16)^(A72/12)</f>
        <v>103323.1197733</v>
      </c>
    </row>
    <row r="73" customFormat="false" ht="15" hidden="false" customHeight="false" outlineLevel="0" collapsed="false">
      <c r="A73" s="0" t="n">
        <v>69</v>
      </c>
      <c r="B73" s="11" t="n">
        <f aca="false">Parametros!$B$5/(1+Parametros!$D$5*Parametros!$C$5*A73/12)^(1/Parametros!$D$5)</f>
        <v>20.9898823792453</v>
      </c>
      <c r="C73" s="12" t="n">
        <f aca="false">B73*30.4</f>
        <v>638.092424329058</v>
      </c>
      <c r="D73" s="13" t="n">
        <f aca="false">IF(Parametros!$B$18*C73-Parametros!$B$14&gt;0,1,0)</f>
        <v>1</v>
      </c>
      <c r="E73" s="12" t="n">
        <f aca="false">(C73*Parametros!$B$18-Parametros!$B$14)*D73/(1+Parametros!$B$16)^(A73/12)</f>
        <v>12576.8593884612</v>
      </c>
      <c r="F73" s="11" t="n">
        <f aca="false">Parametros!$B$6/(1+Parametros!$D$6*Parametros!$C$6*A73/12)^(1/Parametros!$D$6)</f>
        <v>65.3740208838216</v>
      </c>
      <c r="G73" s="12" t="n">
        <f aca="false">F73*30.4</f>
        <v>1987.37023486818</v>
      </c>
      <c r="H73" s="13" t="n">
        <f aca="false">IF(Parametros!$B$18*G73-Parametros!$B$14&gt;0,1,0)</f>
        <v>1</v>
      </c>
      <c r="I73" s="12" t="n">
        <f aca="false">(G73*Parametros!$B$18-Parametros!$B$14)*H73/(1+Parametros!$B$16)^(A73/12)</f>
        <v>50172.7586154583</v>
      </c>
      <c r="J73" s="11" t="n">
        <f aca="false">Parametros!$B$7/(1+Parametros!$D$7*Parametros!$C$7*A73/12)^(1/Parametros!$D$7)</f>
        <v>125.899155518407</v>
      </c>
      <c r="K73" s="12" t="n">
        <f aca="false">J73*30.4</f>
        <v>3827.33432775956</v>
      </c>
      <c r="L73" s="13" t="n">
        <f aca="false">IF(Parametros!$B$18*K73-Parametros!$B$14&gt;0,1,0)</f>
        <v>1</v>
      </c>
      <c r="M73" s="12" t="n">
        <f aca="false">(K73*Parametros!$B$18-Parametros!$B$14)*L73/(1+Parametros!$B$16)^(A73/12)</f>
        <v>101441.003062462</v>
      </c>
    </row>
    <row r="74" customFormat="false" ht="15" hidden="false" customHeight="false" outlineLevel="0" collapsed="false">
      <c r="A74" s="0" t="n">
        <v>70</v>
      </c>
      <c r="B74" s="11" t="n">
        <f aca="false">Parametros!$B$5/(1+Parametros!$D$5*Parametros!$C$5*A74/12)^(1/Parametros!$D$5)</f>
        <v>20.4770999473966</v>
      </c>
      <c r="C74" s="12" t="n">
        <f aca="false">B74*30.4</f>
        <v>622.503838400856</v>
      </c>
      <c r="D74" s="13" t="n">
        <f aca="false">IF(Parametros!$B$18*C74-Parametros!$B$14&gt;0,1,0)</f>
        <v>1</v>
      </c>
      <c r="E74" s="12" t="n">
        <f aca="false">(C74*Parametros!$B$18-Parametros!$B$14)*D74/(1+Parametros!$B$16)^(A74/12)</f>
        <v>12046.4433626264</v>
      </c>
      <c r="F74" s="11" t="n">
        <f aca="false">Parametros!$B$6/(1+Parametros!$D$6*Parametros!$C$6*A74/12)^(1/Parametros!$D$6)</f>
        <v>64.4545605437899</v>
      </c>
      <c r="G74" s="12" t="n">
        <f aca="false">F74*30.4</f>
        <v>1959.41864053121</v>
      </c>
      <c r="H74" s="13" t="n">
        <f aca="false">IF(Parametros!$B$18*G74-Parametros!$B$14&gt;0,1,0)</f>
        <v>1</v>
      </c>
      <c r="I74" s="12" t="n">
        <f aca="false">(G74*Parametros!$B$18-Parametros!$B$14)*H74/(1+Parametros!$B$16)^(A74/12)</f>
        <v>49003.1650950523</v>
      </c>
      <c r="J74" s="11" t="n">
        <f aca="false">Parametros!$B$7/(1+Parametros!$D$7*Parametros!$C$7*A74/12)^(1/Parametros!$D$7)</f>
        <v>124.669205283641</v>
      </c>
      <c r="K74" s="12" t="n">
        <f aca="false">J74*30.4</f>
        <v>3789.94384062268</v>
      </c>
      <c r="L74" s="13" t="n">
        <f aca="false">IF(Parametros!$B$18*K74-Parametros!$B$14&gt;0,1,0)</f>
        <v>1</v>
      </c>
      <c r="M74" s="12" t="n">
        <f aca="false">(K74*Parametros!$B$18-Parametros!$B$14)*L74/(1+Parametros!$B$16)^(A74/12)</f>
        <v>99604.9015229636</v>
      </c>
    </row>
    <row r="75" customFormat="false" ht="15" hidden="false" customHeight="false" outlineLevel="0" collapsed="false">
      <c r="A75" s="0" t="n">
        <v>71</v>
      </c>
      <c r="B75" s="11" t="n">
        <f aca="false">Parametros!$B$5/(1+Parametros!$D$5*Parametros!$C$5*A75/12)^(1/Parametros!$D$5)</f>
        <v>19.981685759166</v>
      </c>
      <c r="C75" s="12" t="n">
        <f aca="false">B75*30.4</f>
        <v>607.443247078648</v>
      </c>
      <c r="D75" s="13" t="n">
        <f aca="false">IF(Parametros!$B$18*C75-Parametros!$B$14&gt;0,1,0)</f>
        <v>1</v>
      </c>
      <c r="E75" s="12" t="n">
        <f aca="false">(C75*Parametros!$B$18-Parametros!$B$14)*D75/(1+Parametros!$B$16)^(A75/12)</f>
        <v>11538.1125601161</v>
      </c>
      <c r="F75" s="11" t="n">
        <f aca="false">Parametros!$B$6/(1+Parametros!$D$6*Parametros!$C$6*A75/12)^(1/Parametros!$D$6)</f>
        <v>63.5581184869673</v>
      </c>
      <c r="G75" s="12" t="n">
        <f aca="false">F75*30.4</f>
        <v>1932.16680200381</v>
      </c>
      <c r="H75" s="13" t="n">
        <f aca="false">IF(Parametros!$B$18*G75-Parametros!$B$14&gt;0,1,0)</f>
        <v>1</v>
      </c>
      <c r="I75" s="12" t="n">
        <f aca="false">(G75*Parametros!$B$18-Parametros!$B$14)*H75/(1+Parametros!$B$16)^(A75/12)</f>
        <v>47868.127486632</v>
      </c>
      <c r="J75" s="11" t="n">
        <f aca="false">Parametros!$B$7/(1+Parametros!$D$7*Parametros!$C$7*A75/12)^(1/Parametros!$D$7)</f>
        <v>123.465383522899</v>
      </c>
      <c r="K75" s="12" t="n">
        <f aca="false">J75*30.4</f>
        <v>3753.34765909612</v>
      </c>
      <c r="L75" s="13" t="n">
        <f aca="false">IF(Parametros!$B$18*K75-Parametros!$B$14&gt;0,1,0)</f>
        <v>1</v>
      </c>
      <c r="M75" s="12" t="n">
        <f aca="false">(K75*Parametros!$B$18-Parametros!$B$14)*L75/(1+Parametros!$B$16)^(A75/12)</f>
        <v>97813.2858376412</v>
      </c>
    </row>
    <row r="76" customFormat="false" ht="15" hidden="false" customHeight="false" outlineLevel="0" collapsed="false">
      <c r="A76" s="0" t="n">
        <v>72</v>
      </c>
      <c r="B76" s="11" t="n">
        <f aca="false">Parametros!$B$5/(1+Parametros!$D$5*Parametros!$C$5*A76/12)^(1/Parametros!$D$5)</f>
        <v>19.5028907218739</v>
      </c>
      <c r="C76" s="12" t="n">
        <f aca="false">B76*30.4</f>
        <v>592.887877944967</v>
      </c>
      <c r="D76" s="13" t="n">
        <f aca="false">IF(Parametros!$B$18*C76-Parametros!$B$14&gt;0,1,0)</f>
        <v>1</v>
      </c>
      <c r="E76" s="12" t="n">
        <f aca="false">(C76*Parametros!$B$18-Parametros!$B$14)*D76/(1+Parametros!$B$16)^(A76/12)</f>
        <v>11050.8166057773</v>
      </c>
      <c r="F76" s="11" t="n">
        <f aca="false">Parametros!$B$6/(1+Parametros!$D$6*Parametros!$C$6*A76/12)^(1/Parametros!$D$6)</f>
        <v>62.6838715100122</v>
      </c>
      <c r="G76" s="12" t="n">
        <f aca="false">F76*30.4</f>
        <v>1905.58969390437</v>
      </c>
      <c r="H76" s="13" t="n">
        <f aca="false">IF(Parametros!$B$18*G76-Parametros!$B$14&gt;0,1,0)</f>
        <v>1</v>
      </c>
      <c r="I76" s="12" t="n">
        <f aca="false">(G76*Parametros!$B$18-Parametros!$B$14)*H76/(1+Parametros!$B$16)^(A76/12)</f>
        <v>46766.339542466</v>
      </c>
      <c r="J76" s="11" t="n">
        <f aca="false">Parametros!$B$7/(1+Parametros!$D$7*Parametros!$C$7*A76/12)^(1/Parametros!$D$7)</f>
        <v>122.286842239446</v>
      </c>
      <c r="K76" s="12" t="n">
        <f aca="false">J76*30.4</f>
        <v>3717.52000407915</v>
      </c>
      <c r="L76" s="13" t="n">
        <f aca="false">IF(Parametros!$B$18*K76-Parametros!$B$14&gt;0,1,0)</f>
        <v>1</v>
      </c>
      <c r="M76" s="12" t="n">
        <f aca="false">(K76*Parametros!$B$18-Parametros!$B$14)*L76/(1+Parametros!$B$16)^(A76/12)</f>
        <v>96064.6933391596</v>
      </c>
    </row>
    <row r="77" customFormat="false" ht="15" hidden="false" customHeight="false" outlineLevel="0" collapsed="false">
      <c r="A77" s="0" t="n">
        <v>73</v>
      </c>
      <c r="B77" s="11" t="n">
        <f aca="false">Parametros!$B$5/(1+Parametros!$D$5*Parametros!$C$5*A77/12)^(1/Parametros!$D$5)</f>
        <v>19.040004855544</v>
      </c>
      <c r="C77" s="12" t="n">
        <f aca="false">B77*30.4</f>
        <v>578.816147608538</v>
      </c>
      <c r="D77" s="13" t="n">
        <f aca="false">IF(Parametros!$B$18*C77-Parametros!$B$14&gt;0,1,0)</f>
        <v>1</v>
      </c>
      <c r="E77" s="12" t="n">
        <f aca="false">(C77*Parametros!$B$18-Parametros!$B$14)*D77/(1+Parametros!$B$16)^(A77/12)</f>
        <v>10583.563165441</v>
      </c>
      <c r="F77" s="11" t="n">
        <f aca="false">Parametros!$B$6/(1+Parametros!$D$6*Parametros!$C$6*A77/12)^(1/Parametros!$D$6)</f>
        <v>61.8310344892321</v>
      </c>
      <c r="G77" s="12" t="n">
        <f aca="false">F77*30.4</f>
        <v>1879.66344847266</v>
      </c>
      <c r="H77" s="13" t="n">
        <f aca="false">IF(Parametros!$B$18*G77-Parametros!$B$14&gt;0,1,0)</f>
        <v>1</v>
      </c>
      <c r="I77" s="12" t="n">
        <f aca="false">(G77*Parametros!$B$18-Parametros!$B$14)*H77/(1+Parametros!$B$16)^(A77/12)</f>
        <v>45696.5567407496</v>
      </c>
      <c r="J77" s="11" t="n">
        <f aca="false">Parametros!$B$7/(1+Parametros!$D$7*Parametros!$C$7*A77/12)^(1/Parametros!$D$7)</f>
        <v>121.132770250087</v>
      </c>
      <c r="K77" s="12" t="n">
        <f aca="false">J77*30.4</f>
        <v>3682.43621560263</v>
      </c>
      <c r="L77" s="13" t="n">
        <f aca="false">IF(Parametros!$B$18*K77-Parametros!$B$14&gt;0,1,0)</f>
        <v>1</v>
      </c>
      <c r="M77" s="12" t="n">
        <f aca="false">(K77*Parametros!$B$18-Parametros!$B$14)*L77/(1+Parametros!$B$16)^(A77/12)</f>
        <v>94357.7243873499</v>
      </c>
    </row>
    <row r="78" customFormat="false" ht="15" hidden="false" customHeight="false" outlineLevel="0" collapsed="false">
      <c r="A78" s="0" t="n">
        <v>74</v>
      </c>
      <c r="B78" s="11" t="n">
        <f aca="false">Parametros!$B$5/(1+Parametros!$D$5*Parametros!$C$5*A78/12)^(1/Parametros!$D$5)</f>
        <v>18.5923549021077</v>
      </c>
      <c r="C78" s="12" t="n">
        <f aca="false">B78*30.4</f>
        <v>565.207589024074</v>
      </c>
      <c r="D78" s="13" t="n">
        <f aca="false">IF(Parametros!$B$18*C78-Parametros!$B$14&gt;0,1,0)</f>
        <v>1</v>
      </c>
      <c r="E78" s="12" t="n">
        <f aca="false">(C78*Parametros!$B$18-Parametros!$B$14)*D78/(1+Parametros!$B$16)^(A78/12)</f>
        <v>10135.4142618283</v>
      </c>
      <c r="F78" s="11" t="n">
        <f aca="false">Parametros!$B$6/(1+Parametros!$D$6*Parametros!$C$6*A78/12)^(1/Parametros!$D$6)</f>
        <v>60.9988582280668</v>
      </c>
      <c r="G78" s="12" t="n">
        <f aca="false">F78*30.4</f>
        <v>1854.36529013323</v>
      </c>
      <c r="H78" s="13" t="n">
        <f aca="false">IF(Parametros!$B$18*G78-Parametros!$B$14&gt;0,1,0)</f>
        <v>1</v>
      </c>
      <c r="I78" s="12" t="n">
        <f aca="false">(G78*Parametros!$B$18-Parametros!$B$14)*H78/(1+Parametros!$B$16)^(A78/12)</f>
        <v>44657.5927594761</v>
      </c>
      <c r="J78" s="11" t="n">
        <f aca="false">Parametros!$B$7/(1+Parametros!$D$7*Parametros!$C$7*A78/12)^(1/Parametros!$D$7)</f>
        <v>120.002391192653</v>
      </c>
      <c r="K78" s="12" t="n">
        <f aca="false">J78*30.4</f>
        <v>3648.07269225665</v>
      </c>
      <c r="L78" s="13" t="n">
        <f aca="false">IF(Parametros!$B$18*K78-Parametros!$B$14&gt;0,1,0)</f>
        <v>1</v>
      </c>
      <c r="M78" s="12" t="n">
        <f aca="false">(K78*Parametros!$B$18-Parametros!$B$14)*L78/(1+Parametros!$B$16)^(A78/12)</f>
        <v>92691.0389820603</v>
      </c>
    </row>
    <row r="79" customFormat="false" ht="15" hidden="false" customHeight="false" outlineLevel="0" collapsed="false">
      <c r="A79" s="0" t="n">
        <v>75</v>
      </c>
      <c r="B79" s="11" t="n">
        <f aca="false">Parametros!$B$5/(1+Parametros!$D$5*Parametros!$C$5*A79/12)^(1/Parametros!$D$5)</f>
        <v>18.1593021016573</v>
      </c>
      <c r="C79" s="12" t="n">
        <f aca="false">B79*30.4</f>
        <v>552.042783890383</v>
      </c>
      <c r="D79" s="13" t="n">
        <f aca="false">IF(Parametros!$B$18*C79-Parametros!$B$14&gt;0,1,0)</f>
        <v>1</v>
      </c>
      <c r="E79" s="12" t="n">
        <f aca="false">(C79*Parametros!$B$18-Parametros!$B$14)*D79/(1+Parametros!$B$16)^(A79/12)</f>
        <v>9705.48285495408</v>
      </c>
      <c r="F79" s="11" t="n">
        <f aca="false">Parametros!$B$6/(1+Parametros!$D$6*Parametros!$C$6*A79/12)^(1/Parametros!$D$6)</f>
        <v>60.186627447878</v>
      </c>
      <c r="G79" s="12" t="n">
        <f aca="false">F79*30.4</f>
        <v>1829.67347441549</v>
      </c>
      <c r="H79" s="13" t="n">
        <f aca="false">IF(Parametros!$B$18*G79-Parametros!$B$14&gt;0,1,0)</f>
        <v>1</v>
      </c>
      <c r="I79" s="12" t="n">
        <f aca="false">(G79*Parametros!$B$18-Parametros!$B$14)*H79/(1+Parametros!$B$16)^(A79/12)</f>
        <v>43648.316186583</v>
      </c>
      <c r="J79" s="11" t="n">
        <f aca="false">Parametros!$B$7/(1+Parametros!$D$7*Parametros!$C$7*A79/12)^(1/Parametros!$D$7)</f>
        <v>118.894961662206</v>
      </c>
      <c r="K79" s="12" t="n">
        <f aca="false">J79*30.4</f>
        <v>3614.40683453105</v>
      </c>
      <c r="L79" s="13" t="n">
        <f aca="false">IF(Parametros!$B$18*K79-Parametros!$B$14&gt;0,1,0)</f>
        <v>1</v>
      </c>
      <c r="M79" s="12" t="n">
        <f aca="false">(K79*Parametros!$B$18-Parametros!$B$14)*L79/(1+Parametros!$B$16)^(A79/12)</f>
        <v>91063.3535937563</v>
      </c>
    </row>
    <row r="80" customFormat="false" ht="15" hidden="false" customHeight="false" outlineLevel="0" collapsed="false">
      <c r="A80" s="0" t="n">
        <v>76</v>
      </c>
      <c r="B80" s="11" t="n">
        <f aca="false">Parametros!$B$5/(1+Parametros!$D$5*Parametros!$C$5*A80/12)^(1/Parametros!$D$5)</f>
        <v>17.7402401226436</v>
      </c>
      <c r="C80" s="12" t="n">
        <f aca="false">B80*30.4</f>
        <v>539.303299728365</v>
      </c>
      <c r="D80" s="13" t="n">
        <f aca="false">IF(Parametros!$B$18*C80-Parametros!$B$14&gt;0,1,0)</f>
        <v>1</v>
      </c>
      <c r="E80" s="12" t="n">
        <f aca="false">(C80*Parametros!$B$18-Parametros!$B$14)*D80/(1+Parametros!$B$16)^(A80/12)</f>
        <v>9292.92966584702</v>
      </c>
      <c r="F80" s="11" t="n">
        <f aca="false">Parametros!$B$6/(1+Parametros!$D$6*Parametros!$C$6*A80/12)^(1/Parametros!$D$6)</f>
        <v>59.3936589110965</v>
      </c>
      <c r="G80" s="12" t="n">
        <f aca="false">F80*30.4</f>
        <v>1805.56723089733</v>
      </c>
      <c r="H80" s="13" t="n">
        <f aca="false">IF(Parametros!$B$18*G80-Parametros!$B$14&gt;0,1,0)</f>
        <v>1</v>
      </c>
      <c r="I80" s="12" t="n">
        <f aca="false">(G80*Parametros!$B$18-Parametros!$B$14)*H80/(1+Parametros!$B$16)^(A80/12)</f>
        <v>42667.6474482403</v>
      </c>
      <c r="J80" s="11" t="n">
        <f aca="false">Parametros!$B$7/(1+Parametros!$D$7*Parametros!$C$7*A80/12)^(1/Parametros!$D$7)</f>
        <v>117.809769466317</v>
      </c>
      <c r="K80" s="12" t="n">
        <f aca="false">J80*30.4</f>
        <v>3581.41699177604</v>
      </c>
      <c r="L80" s="13" t="n">
        <f aca="false">IF(Parametros!$B$18*K80-Parametros!$B$14&gt;0,1,0)</f>
        <v>1</v>
      </c>
      <c r="M80" s="12" t="n">
        <f aca="false">(K80*Parametros!$B$18-Parametros!$B$14)*L80/(1+Parametros!$B$16)^(A80/12)</f>
        <v>89473.4381956262</v>
      </c>
    </row>
    <row r="81" customFormat="false" ht="15" hidden="false" customHeight="false" outlineLevel="0" collapsed="false">
      <c r="A81" s="0" t="n">
        <v>77</v>
      </c>
      <c r="B81" s="11" t="n">
        <f aca="false">Parametros!$B$5/(1+Parametros!$D$5*Parametros!$C$5*A81/12)^(1/Parametros!$D$5)</f>
        <v>17.3345931340482</v>
      </c>
      <c r="C81" s="12" t="n">
        <f aca="false">B81*30.4</f>
        <v>526.971631275065</v>
      </c>
      <c r="D81" s="13" t="n">
        <f aca="false">IF(Parametros!$B$18*C81-Parametros!$B$14&gt;0,1,0)</f>
        <v>1</v>
      </c>
      <c r="E81" s="12" t="n">
        <f aca="false">(C81*Parametros!$B$18-Parametros!$B$14)*D81/(1+Parametros!$B$16)^(A81/12)</f>
        <v>8896.96022427349</v>
      </c>
      <c r="F81" s="11" t="n">
        <f aca="false">Parametros!$B$6/(1+Parametros!$D$6*Parametros!$C$6*A81/12)^(1/Parametros!$D$6)</f>
        <v>58.6192996667173</v>
      </c>
      <c r="G81" s="12" t="n">
        <f aca="false">F81*30.4</f>
        <v>1782.02670986821</v>
      </c>
      <c r="H81" s="13" t="n">
        <f aca="false">IF(Parametros!$B$18*G81-Parametros!$B$14&gt;0,1,0)</f>
        <v>1</v>
      </c>
      <c r="I81" s="12" t="n">
        <f aca="false">(G81*Parametros!$B$18-Parametros!$B$14)*H81/(1+Parametros!$B$16)^(A81/12)</f>
        <v>41714.5559387078</v>
      </c>
      <c r="J81" s="11" t="n">
        <f aca="false">Parametros!$B$7/(1+Parametros!$D$7*Parametros!$C$7*A81/12)^(1/Parametros!$D$7)</f>
        <v>116.746131990621</v>
      </c>
      <c r="K81" s="12" t="n">
        <f aca="false">J81*30.4</f>
        <v>3549.08241251487</v>
      </c>
      <c r="L81" s="13" t="n">
        <f aca="false">IF(Parametros!$B$18*K81-Parametros!$B$14&gt;0,1,0)</f>
        <v>1</v>
      </c>
      <c r="M81" s="12" t="n">
        <f aca="false">(K81*Parametros!$B$18-Parametros!$B$14)*L81/(1+Parametros!$B$16)^(A81/12)</f>
        <v>87920.1134823246</v>
      </c>
    </row>
    <row r="82" customFormat="false" ht="15" hidden="false" customHeight="false" outlineLevel="0" collapsed="false">
      <c r="A82" s="0" t="n">
        <v>78</v>
      </c>
      <c r="B82" s="11" t="n">
        <f aca="false">Parametros!$B$5/(1+Parametros!$D$5*Parametros!$C$5*A82/12)^(1/Parametros!$D$5)</f>
        <v>16.9418140085963</v>
      </c>
      <c r="C82" s="12" t="n">
        <f aca="false">B82*30.4</f>
        <v>515.031145861327</v>
      </c>
      <c r="D82" s="13" t="n">
        <f aca="false">IF(Parametros!$B$18*C82-Parametros!$B$14&gt;0,1,0)</f>
        <v>1</v>
      </c>
      <c r="E82" s="12" t="n">
        <f aca="false">(C82*Parametros!$B$18-Parametros!$B$14)*D82/(1+Parametros!$B$16)^(A82/12)</f>
        <v>8516.8221228441</v>
      </c>
      <c r="F82" s="11" t="n">
        <f aca="false">Parametros!$B$6/(1+Parametros!$D$6*Parametros!$C$6*A82/12)^(1/Parametros!$D$6)</f>
        <v>57.8629254089862</v>
      </c>
      <c r="G82" s="12" t="n">
        <f aca="false">F82*30.4</f>
        <v>1759.03293243318</v>
      </c>
      <c r="H82" s="13" t="n">
        <f aca="false">IF(Parametros!$B$18*G82-Parametros!$B$14&gt;0,1,0)</f>
        <v>1</v>
      </c>
      <c r="I82" s="12" t="n">
        <f aca="false">(G82*Parametros!$B$18-Parametros!$B$14)*H82/(1+Parametros!$B$16)^(A82/12)</f>
        <v>40788.0573366106</v>
      </c>
      <c r="J82" s="11" t="n">
        <f aca="false">Parametros!$B$7/(1+Parametros!$D$7*Parametros!$C$7*A82/12)^(1/Parametros!$D$7)</f>
        <v>115.703394666549</v>
      </c>
      <c r="K82" s="12" t="n">
        <f aca="false">J82*30.4</f>
        <v>3517.3831978631</v>
      </c>
      <c r="L82" s="13" t="n">
        <f aca="false">IF(Parametros!$B$18*K82-Parametros!$B$14&gt;0,1,0)</f>
        <v>1</v>
      </c>
      <c r="M82" s="12" t="n">
        <f aca="false">(K82*Parametros!$B$18-Parametros!$B$14)*L82/(1+Parametros!$B$16)^(A82/12)</f>
        <v>86402.2482617296</v>
      </c>
    </row>
    <row r="83" customFormat="false" ht="15" hidden="false" customHeight="false" outlineLevel="0" collapsed="false">
      <c r="A83" s="0" t="n">
        <v>79</v>
      </c>
      <c r="B83" s="11" t="n">
        <f aca="false">Parametros!$B$5/(1+Parametros!$D$5*Parametros!$C$5*A83/12)^(1/Parametros!$D$5)</f>
        <v>16.5613826470036</v>
      </c>
      <c r="C83" s="12" t="n">
        <f aca="false">B83*30.4</f>
        <v>503.466032468908</v>
      </c>
      <c r="D83" s="13" t="n">
        <f aca="false">IF(Parametros!$B$18*C83-Parametros!$B$14&gt;0,1,0)</f>
        <v>1</v>
      </c>
      <c r="E83" s="12" t="n">
        <f aca="false">(C83*Parametros!$B$18-Parametros!$B$14)*D83/(1+Parametros!$B$16)^(A83/12)</f>
        <v>8151.80246140929</v>
      </c>
      <c r="F83" s="11" t="n">
        <f aca="false">Parametros!$B$6/(1+Parametros!$D$6*Parametros!$C$6*A83/12)^(1/Parametros!$D$6)</f>
        <v>57.1239389408951</v>
      </c>
      <c r="G83" s="12" t="n">
        <f aca="false">F83*30.4</f>
        <v>1736.56774380321</v>
      </c>
      <c r="H83" s="13" t="n">
        <f aca="false">IF(Parametros!$B$18*G83-Parametros!$B$14&gt;0,1,0)</f>
        <v>1</v>
      </c>
      <c r="I83" s="12" t="n">
        <f aca="false">(G83*Parametros!$B$18-Parametros!$B$14)*H83/(1+Parametros!$B$16)^(A83/12)</f>
        <v>39887.2110937575</v>
      </c>
      <c r="J83" s="11" t="n">
        <f aca="false">Parametros!$B$7/(1+Parametros!$D$7*Parametros!$C$7*A83/12)^(1/Parametros!$D$7)</f>
        <v>114.680929533857</v>
      </c>
      <c r="K83" s="12" t="n">
        <f aca="false">J83*30.4</f>
        <v>3486.30025782926</v>
      </c>
      <c r="L83" s="13" t="n">
        <f aca="false">IF(Parametros!$B$18*K83-Parametros!$B$14&gt;0,1,0)</f>
        <v>1</v>
      </c>
      <c r="M83" s="12" t="n">
        <f aca="false">(K83*Parametros!$B$18-Parametros!$B$14)*L83/(1+Parametros!$B$16)^(A83/12)</f>
        <v>84918.7570072224</v>
      </c>
    </row>
    <row r="84" customFormat="false" ht="15" hidden="false" customHeight="false" outlineLevel="0" collapsed="false">
      <c r="A84" s="0" t="n">
        <v>80</v>
      </c>
      <c r="B84" s="11" t="n">
        <f aca="false">Parametros!$B$5/(1+Parametros!$D$5*Parametros!$C$5*A84/12)^(1/Parametros!$D$5)</f>
        <v>16.1928044141006</v>
      </c>
      <c r="C84" s="12" t="n">
        <f aca="false">B84*30.4</f>
        <v>492.261254188659</v>
      </c>
      <c r="D84" s="13" t="n">
        <f aca="false">IF(Parametros!$B$18*C84-Parametros!$B$14&gt;0,1,0)</f>
        <v>1</v>
      </c>
      <c r="E84" s="12" t="n">
        <f aca="false">(C84*Parametros!$B$18-Parametros!$B$14)*D84/(1+Parametros!$B$16)^(A84/12)</f>
        <v>7801.22546703445</v>
      </c>
      <c r="F84" s="11" t="n">
        <f aca="false">Parametros!$B$6/(1+Parametros!$D$6*Parametros!$C$6*A84/12)^(1/Parametros!$D$6)</f>
        <v>56.4017687347983</v>
      </c>
      <c r="G84" s="12" t="n">
        <f aca="false">F84*30.4</f>
        <v>1714.61376953787</v>
      </c>
      <c r="H84" s="13" t="n">
        <f aca="false">IF(Parametros!$B$18*G84-Parametros!$B$14&gt;0,1,0)</f>
        <v>1</v>
      </c>
      <c r="I84" s="12" t="n">
        <f aca="false">(G84*Parametros!$B$18-Parametros!$B$14)*H84/(1+Parametros!$B$16)^(A84/12)</f>
        <v>39011.1180837932</v>
      </c>
      <c r="J84" s="11" t="n">
        <f aca="false">Parametros!$B$7/(1+Parametros!$D$7*Parametros!$C$7*A84/12)^(1/Parametros!$D$7)</f>
        <v>113.678133891131</v>
      </c>
      <c r="K84" s="12" t="n">
        <f aca="false">J84*30.4</f>
        <v>3455.8152702904</v>
      </c>
      <c r="L84" s="13" t="n">
        <f aca="false">IF(Parametros!$B$18*K84-Parametros!$B$14&gt;0,1,0)</f>
        <v>1</v>
      </c>
      <c r="M84" s="12" t="n">
        <f aca="false">(K84*Parametros!$B$18-Parametros!$B$14)*L84/(1+Parametros!$B$16)^(A84/12)</f>
        <v>83468.597559017</v>
      </c>
    </row>
    <row r="85" customFormat="false" ht="15" hidden="false" customHeight="false" outlineLevel="0" collapsed="false">
      <c r="A85" s="0" t="n">
        <v>81</v>
      </c>
      <c r="B85" s="11" t="n">
        <f aca="false">Parametros!$B$5/(1+Parametros!$D$5*Parametros!$C$5*A85/12)^(1/Parametros!$D$5)</f>
        <v>15.8356086784444</v>
      </c>
      <c r="C85" s="12" t="n">
        <f aca="false">B85*30.4</f>
        <v>481.402503824711</v>
      </c>
      <c r="D85" s="13" t="n">
        <f aca="false">IF(Parametros!$B$18*C85-Parametros!$B$14&gt;0,1,0)</f>
        <v>1</v>
      </c>
      <c r="E85" s="12" t="n">
        <f aca="false">(C85*Parametros!$B$18-Parametros!$B$14)*D85/(1+Parametros!$B$16)^(A85/12)</f>
        <v>7464.45027609862</v>
      </c>
      <c r="F85" s="11" t="n">
        <f aca="false">Parametros!$B$6/(1+Parametros!$D$6*Parametros!$C$6*A85/12)^(1/Parametros!$D$6)</f>
        <v>55.6958675831035</v>
      </c>
      <c r="G85" s="12" t="n">
        <f aca="false">F85*30.4</f>
        <v>1693.15437452635</v>
      </c>
      <c r="H85" s="13" t="n">
        <f aca="false">IF(Parametros!$B$18*G85-Parametros!$B$14&gt;0,1,0)</f>
        <v>1</v>
      </c>
      <c r="I85" s="12" t="n">
        <f aca="false">(G85*Parametros!$B$18-Parametros!$B$14)*H85/(1+Parametros!$B$16)^(A85/12)</f>
        <v>38158.9183990267</v>
      </c>
      <c r="J85" s="11" t="n">
        <f aca="false">Parametros!$B$7/(1+Parametros!$D$7*Parametros!$C$7*A85/12)^(1/Parametros!$D$7)</f>
        <v>112.694429028046</v>
      </c>
      <c r="K85" s="12" t="n">
        <f aca="false">J85*30.4</f>
        <v>3425.91064245259</v>
      </c>
      <c r="L85" s="13" t="n">
        <f aca="false">IF(Parametros!$B$18*K85-Parametros!$B$14&gt;0,1,0)</f>
        <v>1</v>
      </c>
      <c r="M85" s="12" t="n">
        <f aca="false">(K85*Parametros!$B$18-Parametros!$B$14)*L85/(1+Parametros!$B$16)^(A85/12)</f>
        <v>82050.7689640023</v>
      </c>
    </row>
    <row r="86" customFormat="false" ht="15" hidden="false" customHeight="false" outlineLevel="0" collapsed="false">
      <c r="A86" s="0" t="n">
        <v>82</v>
      </c>
      <c r="B86" s="11" t="n">
        <f aca="false">Parametros!$B$5/(1+Parametros!$D$5*Parametros!$C$5*A86/12)^(1/Parametros!$D$5)</f>
        <v>15.4893474477234</v>
      </c>
      <c r="C86" s="12" t="n">
        <f aca="false">B86*30.4</f>
        <v>470.87616241079</v>
      </c>
      <c r="D86" s="13" t="n">
        <f aca="false">IF(Parametros!$B$18*C86-Parametros!$B$14&gt;0,1,0)</f>
        <v>1</v>
      </c>
      <c r="E86" s="12" t="n">
        <f aca="false">(C86*Parametros!$B$18-Parametros!$B$14)*D86/(1+Parametros!$B$16)^(A86/12)</f>
        <v>7140.86886619787</v>
      </c>
      <c r="F86" s="11" t="n">
        <f aca="false">Parametros!$B$6/(1+Parametros!$D$6*Parametros!$C$6*A86/12)^(1/Parametros!$D$6)</f>
        <v>55.0057113325598</v>
      </c>
      <c r="G86" s="12" t="n">
        <f aca="false">F86*30.4</f>
        <v>1672.17362450982</v>
      </c>
      <c r="H86" s="13" t="n">
        <f aca="false">IF(Parametros!$B$18*G86-Parametros!$B$14&gt;0,1,0)</f>
        <v>1</v>
      </c>
      <c r="I86" s="12" t="n">
        <f aca="false">(G86*Parametros!$B$18-Parametros!$B$14)*H86/(1+Parametros!$B$16)^(A86/12)</f>
        <v>37329.7892847335</v>
      </c>
      <c r="J86" s="11" t="n">
        <f aca="false">Parametros!$B$7/(1+Parametros!$D$7*Parametros!$C$7*A86/12)^(1/Parametros!$D$7)</f>
        <v>111.72925903362</v>
      </c>
      <c r="K86" s="12" t="n">
        <f aca="false">J86*30.4</f>
        <v>3396.56947462206</v>
      </c>
      <c r="L86" s="13" t="n">
        <f aca="false">IF(Parametros!$B$18*K86-Parametros!$B$14&gt;0,1,0)</f>
        <v>1</v>
      </c>
      <c r="M86" s="12" t="n">
        <f aca="false">(K86*Parametros!$B$18-Parametros!$B$14)*L86/(1+Parametros!$B$16)^(A86/12)</f>
        <v>80664.3094444043</v>
      </c>
    </row>
    <row r="87" customFormat="false" ht="15" hidden="false" customHeight="false" outlineLevel="0" collapsed="false">
      <c r="A87" s="0" t="n">
        <v>83</v>
      </c>
      <c r="B87" s="11" t="n">
        <f aca="false">Parametros!$B$5/(1+Parametros!$D$5*Parametros!$C$5*A87/12)^(1/Parametros!$D$5)</f>
        <v>15.1535940928965</v>
      </c>
      <c r="C87" s="12" t="n">
        <f aca="false">B87*30.4</f>
        <v>460.669260424052</v>
      </c>
      <c r="D87" s="13" t="n">
        <f aca="false">IF(Parametros!$B$18*C87-Parametros!$B$14&gt;0,1,0)</f>
        <v>1</v>
      </c>
      <c r="E87" s="12" t="n">
        <f aca="false">(C87*Parametros!$B$18-Parametros!$B$14)*D87/(1+Parametros!$B$16)^(A87/12)</f>
        <v>6829.90412656675</v>
      </c>
      <c r="F87" s="11" t="n">
        <f aca="false">Parametros!$B$6/(1+Parametros!$D$6*Parametros!$C$6*A87/12)^(1/Parametros!$D$6)</f>
        <v>54.3307976961972</v>
      </c>
      <c r="G87" s="12" t="n">
        <f aca="false">F87*30.4</f>
        <v>1651.65624996439</v>
      </c>
      <c r="H87" s="13" t="n">
        <f aca="false">IF(Parametros!$B$18*G87-Parametros!$B$14&gt;0,1,0)</f>
        <v>1</v>
      </c>
      <c r="I87" s="12" t="n">
        <f aca="false">(G87*Parametros!$B$18-Parametros!$B$14)*H87/(1+Parametros!$B$16)^(A87/12)</f>
        <v>36522.9432011033</v>
      </c>
      <c r="J87" s="11" t="n">
        <f aca="false">Parametros!$B$7/(1+Parametros!$D$7*Parametros!$C$7*A87/12)^(1/Parametros!$D$7)</f>
        <v>110.782089675202</v>
      </c>
      <c r="K87" s="12" t="n">
        <f aca="false">J87*30.4</f>
        <v>3367.77552612614</v>
      </c>
      <c r="L87" s="13" t="n">
        <f aca="false">IF(Parametros!$B$18*K87-Parametros!$B$14&gt;0,1,0)</f>
        <v>1</v>
      </c>
      <c r="M87" s="12" t="n">
        <f aca="false">(K87*Parametros!$B$18-Parametros!$B$14)*L87/(1+Parametros!$B$16)^(A87/12)</f>
        <v>79308.2944863451</v>
      </c>
    </row>
    <row r="88" customFormat="false" ht="15" hidden="false" customHeight="false" outlineLevel="0" collapsed="false">
      <c r="A88" s="0" t="n">
        <v>84</v>
      </c>
      <c r="B88" s="11" t="n">
        <f aca="false">Parametros!$B$5/(1+Parametros!$D$5*Parametros!$C$5*A88/12)^(1/Parametros!$D$5)</f>
        <v>14.8279421545836</v>
      </c>
      <c r="C88" s="12" t="n">
        <f aca="false">B88*30.4</f>
        <v>450.769441499342</v>
      </c>
      <c r="D88" s="13" t="n">
        <f aca="false">IF(Parametros!$B$18*C88-Parametros!$B$14&gt;0,1,0)</f>
        <v>1</v>
      </c>
      <c r="E88" s="12" t="n">
        <f aca="false">(C88*Parametros!$B$18-Parametros!$B$14)*D88/(1+Parametros!$B$16)^(A88/12)</f>
        <v>6531.00805666881</v>
      </c>
      <c r="F88" s="11" t="n">
        <f aca="false">Parametros!$B$6/(1+Parametros!$D$6*Parametros!$C$6*A88/12)^(1/Parametros!$D$6)</f>
        <v>53.6706451374424</v>
      </c>
      <c r="G88" s="12" t="n">
        <f aca="false">F88*30.4</f>
        <v>1631.58761217825</v>
      </c>
      <c r="H88" s="13" t="n">
        <f aca="false">IF(Parametros!$B$18*G88-Parametros!$B$14&gt;0,1,0)</f>
        <v>1</v>
      </c>
      <c r="I88" s="12" t="n">
        <f aca="false">(G88*Parametros!$B$18-Parametros!$B$14)*H88/(1+Parametros!$B$16)^(A88/12)</f>
        <v>35737.6260037907</v>
      </c>
      <c r="J88" s="11" t="n">
        <f aca="false">Parametros!$B$7/(1+Parametros!$D$7*Parametros!$C$7*A88/12)^(1/Parametros!$D$7)</f>
        <v>109.852407343294</v>
      </c>
      <c r="K88" s="12" t="n">
        <f aca="false">J88*30.4</f>
        <v>3339.51318323615</v>
      </c>
      <c r="L88" s="13" t="n">
        <f aca="false">IF(Parametros!$B$18*K88-Parametros!$B$14&gt;0,1,0)</f>
        <v>1</v>
      </c>
      <c r="M88" s="12" t="n">
        <f aca="false">(K88*Parametros!$B$18-Parametros!$B$14)*L88/(1+Parametros!$B$16)^(A88/12)</f>
        <v>77981.8350400795</v>
      </c>
    </row>
    <row r="89" customFormat="false" ht="15" hidden="false" customHeight="false" outlineLevel="0" collapsed="false">
      <c r="A89" s="0" t="n">
        <v>85</v>
      </c>
      <c r="B89" s="11" t="n">
        <f aca="false">Parametros!$B$5/(1+Parametros!$D$5*Parametros!$C$5*A89/12)^(1/Parametros!$D$5)</f>
        <v>14.5120042257488</v>
      </c>
      <c r="C89" s="12" t="n">
        <f aca="false">B89*30.4</f>
        <v>441.164928462764</v>
      </c>
      <c r="D89" s="13" t="n">
        <f aca="false">IF(Parametros!$B$18*C89-Parametros!$B$14&gt;0,1,0)</f>
        <v>1</v>
      </c>
      <c r="E89" s="12" t="n">
        <f aca="false">(C89*Parametros!$B$18-Parametros!$B$14)*D89/(1+Parametros!$B$16)^(A89/12)</f>
        <v>6243.66008345981</v>
      </c>
      <c r="F89" s="11" t="n">
        <f aca="false">Parametros!$B$6/(1+Parametros!$D$6*Parametros!$C$6*A89/12)^(1/Parametros!$D$6)</f>
        <v>53.0247918213759</v>
      </c>
      <c r="G89" s="12" t="n">
        <f aca="false">F89*30.4</f>
        <v>1611.95367136983</v>
      </c>
      <c r="H89" s="13" t="n">
        <f aca="false">IF(Parametros!$B$18*G89-Parametros!$B$14&gt;0,1,0)</f>
        <v>1</v>
      </c>
      <c r="I89" s="12" t="n">
        <f aca="false">(G89*Parametros!$B$18-Parametros!$B$14)*H89/(1+Parametros!$B$16)^(A89/12)</f>
        <v>34973.1152347511</v>
      </c>
      <c r="J89" s="11" t="n">
        <f aca="false">Parametros!$B$7/(1+Parametros!$D$7*Parametros!$C$7*A89/12)^(1/Parametros!$D$7)</f>
        <v>108.93971805776</v>
      </c>
      <c r="K89" s="12" t="n">
        <f aca="false">J89*30.4</f>
        <v>3311.7674289559</v>
      </c>
      <c r="L89" s="13" t="n">
        <f aca="false">IF(Parametros!$B$18*K89-Parametros!$B$14&gt;0,1,0)</f>
        <v>1</v>
      </c>
      <c r="M89" s="12" t="n">
        <f aca="false">(K89*Parametros!$B$18-Parametros!$B$14)*L89/(1+Parametros!$B$16)^(A89/12)</f>
        <v>76684.0758243282</v>
      </c>
    </row>
    <row r="90" customFormat="false" ht="15" hidden="false" customHeight="false" outlineLevel="0" collapsed="false">
      <c r="A90" s="0" t="n">
        <v>86</v>
      </c>
      <c r="B90" s="11" t="n">
        <f aca="false">Parametros!$B$5/(1+Parametros!$D$5*Parametros!$C$5*A90/12)^(1/Parametros!$D$5)</f>
        <v>14.2054109051962</v>
      </c>
      <c r="C90" s="12" t="n">
        <f aca="false">B90*30.4</f>
        <v>431.844491517964</v>
      </c>
      <c r="D90" s="13" t="n">
        <f aca="false">IF(Parametros!$B$18*C90-Parametros!$B$14&gt;0,1,0)</f>
        <v>1</v>
      </c>
      <c r="E90" s="12" t="n">
        <f aca="false">(C90*Parametros!$B$18-Parametros!$B$14)*D90/(1+Parametros!$B$16)^(A90/12)</f>
        <v>5967.3654886032</v>
      </c>
      <c r="F90" s="11" t="n">
        <f aca="false">Parametros!$B$6/(1+Parametros!$D$6*Parametros!$C$6*A90/12)^(1/Parametros!$D$6)</f>
        <v>52.3927946284867</v>
      </c>
      <c r="G90" s="12" t="n">
        <f aca="false">F90*30.4</f>
        <v>1592.740956706</v>
      </c>
      <c r="H90" s="13" t="n">
        <f aca="false">IF(Parametros!$B$18*G90-Parametros!$B$14&gt;0,1,0)</f>
        <v>1</v>
      </c>
      <c r="I90" s="12" t="n">
        <f aca="false">(G90*Parametros!$B$18-Parametros!$B$14)*H90/(1+Parametros!$B$16)^(A90/12)</f>
        <v>34228.718515699</v>
      </c>
      <c r="J90" s="11" t="n">
        <f aca="false">Parametros!$B$7/(1+Parametros!$D$7*Parametros!$C$7*A90/12)^(1/Parametros!$D$7)</f>
        <v>108.043546531247</v>
      </c>
      <c r="K90" s="12" t="n">
        <f aca="false">J90*30.4</f>
        <v>3284.52381454991</v>
      </c>
      <c r="L90" s="13" t="n">
        <f aca="false">IF(Parametros!$B$18*K90-Parametros!$B$14&gt;0,1,0)</f>
        <v>1</v>
      </c>
      <c r="M90" s="12" t="n">
        <f aca="false">(K90*Parametros!$B$18-Parametros!$B$14)*L90/(1+Parametros!$B$16)^(A90/12)</f>
        <v>75414.1937277126</v>
      </c>
    </row>
    <row r="91" customFormat="false" ht="15" hidden="false" customHeight="false" outlineLevel="0" collapsed="false">
      <c r="A91" s="0" t="n">
        <v>87</v>
      </c>
      <c r="B91" s="11" t="n">
        <f aca="false">Parametros!$B$5/(1+Parametros!$D$5*Parametros!$C$5*A91/12)^(1/Parametros!$D$5)</f>
        <v>13.9078098168351</v>
      </c>
      <c r="C91" s="12" t="n">
        <f aca="false">B91*30.4</f>
        <v>422.797418431788</v>
      </c>
      <c r="D91" s="13" t="n">
        <f aca="false">IF(Parametros!$B$18*C91-Parametros!$B$14&gt;0,1,0)</f>
        <v>1</v>
      </c>
      <c r="E91" s="12" t="n">
        <f aca="false">(C91*Parametros!$B$18-Parametros!$B$14)*D91/(1+Parametros!$B$16)^(A91/12)</f>
        <v>5701.65393762407</v>
      </c>
      <c r="F91" s="11" t="n">
        <f aca="false">Parametros!$B$6/(1+Parametros!$D$6*Parametros!$C$6*A91/12)^(1/Parametros!$D$6)</f>
        <v>51.7742282266467</v>
      </c>
      <c r="G91" s="12" t="n">
        <f aca="false">F91*30.4</f>
        <v>1573.93653809006</v>
      </c>
      <c r="H91" s="13" t="n">
        <f aca="false">IF(Parametros!$B$18*G91-Parametros!$B$14&gt;0,1,0)</f>
        <v>1</v>
      </c>
      <c r="I91" s="12" t="n">
        <f aca="false">(G91*Parametros!$B$18-Parametros!$B$14)*H91/(1+Parametros!$B$16)^(A91/12)</f>
        <v>33503.7720371251</v>
      </c>
      <c r="J91" s="11" t="n">
        <f aca="false">Parametros!$B$7/(1+Parametros!$D$7*Parametros!$C$7*A91/12)^(1/Parametros!$D$7)</f>
        <v>107.163435286022</v>
      </c>
      <c r="K91" s="12" t="n">
        <f aca="false">J91*30.4</f>
        <v>3257.76843269508</v>
      </c>
      <c r="L91" s="13" t="n">
        <f aca="false">IF(Parametros!$B$18*K91-Parametros!$B$14&gt;0,1,0)</f>
        <v>1</v>
      </c>
      <c r="M91" s="12" t="n">
        <f aca="false">(K91*Parametros!$B$18-Parametros!$B$14)*L91/(1+Parametros!$B$16)^(A91/12)</f>
        <v>74171.3963008306</v>
      </c>
    </row>
    <row r="92" customFormat="false" ht="15" hidden="false" customHeight="false" outlineLevel="0" collapsed="false">
      <c r="A92" s="0" t="n">
        <v>88</v>
      </c>
      <c r="B92" s="11" t="n">
        <f aca="false">Parametros!$B$5/(1+Parametros!$D$5*Parametros!$C$5*A92/12)^(1/Parametros!$D$5)</f>
        <v>13.6188646900697</v>
      </c>
      <c r="C92" s="12" t="n">
        <f aca="false">B92*30.4</f>
        <v>414.013486578119</v>
      </c>
      <c r="D92" s="13" t="n">
        <f aca="false">IF(Parametros!$B$18*C92-Parametros!$B$14&gt;0,1,0)</f>
        <v>1</v>
      </c>
      <c r="E92" s="12" t="n">
        <f aca="false">(C92*Parametros!$B$18-Parametros!$B$14)*D92/(1+Parametros!$B$16)^(A92/12)</f>
        <v>5446.07810363187</v>
      </c>
      <c r="F92" s="11" t="n">
        <f aca="false">Parametros!$B$6/(1+Parametros!$D$6*Parametros!$C$6*A92/12)^(1/Parametros!$D$6)</f>
        <v>51.1686841973548</v>
      </c>
      <c r="G92" s="12" t="n">
        <f aca="false">F92*30.4</f>
        <v>1555.52799959959</v>
      </c>
      <c r="H92" s="13" t="n">
        <f aca="false">IF(Parametros!$B$18*G92-Parametros!$B$14&gt;0,1,0)</f>
        <v>1</v>
      </c>
      <c r="I92" s="12" t="n">
        <f aca="false">(G92*Parametros!$B$18-Parametros!$B$14)*H92/(1+Parametros!$B$16)^(A92/12)</f>
        <v>32797.6391363572</v>
      </c>
      <c r="J92" s="11" t="n">
        <f aca="false">Parametros!$B$7/(1+Parametros!$D$7*Parametros!$C$7*A92/12)^(1/Parametros!$D$7)</f>
        <v>106.298943820674</v>
      </c>
      <c r="K92" s="12" t="n">
        <f aca="false">J92*30.4</f>
        <v>3231.48789214849</v>
      </c>
      <c r="L92" s="13" t="n">
        <f aca="false">IF(Parametros!$B$18*K92-Parametros!$B$14&gt;0,1,0)</f>
        <v>1</v>
      </c>
      <c r="M92" s="12" t="n">
        <f aca="false">(K92*Parametros!$B$18-Parametros!$B$14)*L92/(1+Parametros!$B$16)^(A92/12)</f>
        <v>72954.9203329994</v>
      </c>
    </row>
    <row r="93" customFormat="false" ht="15" hidden="false" customHeight="false" outlineLevel="0" collapsed="false">
      <c r="A93" s="0" t="n">
        <v>89</v>
      </c>
      <c r="B93" s="11" t="n">
        <f aca="false">Parametros!$B$5/(1+Parametros!$D$5*Parametros!$C$5*A93/12)^(1/Parametros!$D$5)</f>
        <v>13.3382544970291</v>
      </c>
      <c r="C93" s="12" t="n">
        <f aca="false">B93*30.4</f>
        <v>405.482936709686</v>
      </c>
      <c r="D93" s="13" t="n">
        <f aca="false">IF(Parametros!$B$18*C93-Parametros!$B$14&gt;0,1,0)</f>
        <v>1</v>
      </c>
      <c r="E93" s="12" t="n">
        <f aca="false">(C93*Parametros!$B$18-Parametros!$B$14)*D93/(1+Parametros!$B$16)^(A93/12)</f>
        <v>5200.21237882983</v>
      </c>
      <c r="F93" s="11" t="n">
        <f aca="false">Parametros!$B$6/(1+Parametros!$D$6*Parametros!$C$6*A93/12)^(1/Parametros!$D$6)</f>
        <v>50.5757702126035</v>
      </c>
      <c r="G93" s="12" t="n">
        <f aca="false">F93*30.4</f>
        <v>1537.50341446315</v>
      </c>
      <c r="H93" s="13" t="n">
        <f aca="false">IF(Parametros!$B$18*G93-Parametros!$B$14&gt;0,1,0)</f>
        <v>1</v>
      </c>
      <c r="I93" s="12" t="n">
        <f aca="false">(G93*Parametros!$B$18-Parametros!$B$14)*H93/(1+Parametros!$B$16)^(A93/12)</f>
        <v>32109.7089586478</v>
      </c>
      <c r="J93" s="11" t="n">
        <f aca="false">Parametros!$B$7/(1+Parametros!$D$7*Parametros!$C$7*A93/12)^(1/Parametros!$D$7)</f>
        <v>105.449647823423</v>
      </c>
      <c r="K93" s="12" t="n">
        <f aca="false">J93*30.4</f>
        <v>3205.66929383206</v>
      </c>
      <c r="L93" s="13" t="n">
        <f aca="false">IF(Parametros!$B$18*K93-Parametros!$B$14&gt;0,1,0)</f>
        <v>1</v>
      </c>
      <c r="M93" s="12" t="n">
        <f aca="false">(K93*Parametros!$B$18-Parametros!$B$14)*L93/(1+Parametros!$B$16)^(A93/12)</f>
        <v>71764.0305081411</v>
      </c>
    </row>
    <row r="94" customFormat="false" ht="15" hidden="false" customHeight="false" outlineLevel="0" collapsed="false">
      <c r="A94" s="0" t="n">
        <v>90</v>
      </c>
      <c r="B94" s="11" t="n">
        <f aca="false">Parametros!$B$5/(1+Parametros!$D$5*Parametros!$C$5*A94/12)^(1/Parametros!$D$5)</f>
        <v>13.0656726426917</v>
      </c>
      <c r="C94" s="12" t="n">
        <f aca="false">B94*30.4</f>
        <v>397.196448337828</v>
      </c>
      <c r="D94" s="13" t="n">
        <f aca="false">IF(Parametros!$B$18*C94-Parametros!$B$14&gt;0,1,0)</f>
        <v>1</v>
      </c>
      <c r="E94" s="12" t="n">
        <f aca="false">(C94*Parametros!$B$18-Parametros!$B$14)*D94/(1+Parametros!$B$16)^(A94/12)</f>
        <v>4963.65166756538</v>
      </c>
      <c r="F94" s="11" t="n">
        <f aca="false">Parametros!$B$6/(1+Parametros!$D$6*Parametros!$C$6*A94/12)^(1/Parametros!$D$6)</f>
        <v>49.9951092589967</v>
      </c>
      <c r="G94" s="12" t="n">
        <f aca="false">F94*30.4</f>
        <v>1519.8513214735</v>
      </c>
      <c r="H94" s="13" t="n">
        <f aca="false">IF(Parametros!$B$18*G94-Parametros!$B$14&gt;0,1,0)</f>
        <v>1</v>
      </c>
      <c r="I94" s="12" t="n">
        <f aca="false">(G94*Parametros!$B$18-Parametros!$B$14)*H94/(1+Parametros!$B$16)^(A94/12)</f>
        <v>31439.3951957314</v>
      </c>
      <c r="J94" s="11" t="n">
        <f aca="false">Parametros!$B$7/(1+Parametros!$D$7*Parametros!$C$7*A94/12)^(1/Parametros!$D$7)</f>
        <v>104.615138429011</v>
      </c>
      <c r="K94" s="12" t="n">
        <f aca="false">J94*30.4</f>
        <v>3180.30020824195</v>
      </c>
      <c r="L94" s="13" t="n">
        <f aca="false">IF(Parametros!$B$18*K94-Parametros!$B$14&gt;0,1,0)</f>
        <v>1</v>
      </c>
      <c r="M94" s="12" t="n">
        <f aca="false">(K94*Parametros!$B$18-Parametros!$B$14)*L94/(1+Parametros!$B$16)^(A94/12)</f>
        <v>70598.0181346954</v>
      </c>
    </row>
    <row r="95" customFormat="false" ht="15" hidden="false" customHeight="false" outlineLevel="0" collapsed="false">
      <c r="A95" s="0" t="n">
        <v>91</v>
      </c>
      <c r="B95" s="11" t="n">
        <f aca="false">Parametros!$B$5/(1+Parametros!$D$5*Parametros!$C$5*A95/12)^(1/Parametros!$D$5)</f>
        <v>12.8008262042554</v>
      </c>
      <c r="C95" s="12" t="n">
        <f aca="false">B95*30.4</f>
        <v>389.145116609365</v>
      </c>
      <c r="D95" s="13" t="n">
        <f aca="false">IF(Parametros!$B$18*C95-Parametros!$B$14&gt;0,1,0)</f>
        <v>1</v>
      </c>
      <c r="E95" s="12" t="n">
        <f aca="false">(C95*Parametros!$B$18-Parametros!$B$14)*D95/(1+Parametros!$B$16)^(A95/12)</f>
        <v>4736.0102551659</v>
      </c>
      <c r="F95" s="11" t="n">
        <f aca="false">Parametros!$B$6/(1+Parametros!$D$6*Parametros!$C$6*A95/12)^(1/Parametros!$D$6)</f>
        <v>49.426338906002</v>
      </c>
      <c r="G95" s="12" t="n">
        <f aca="false">F95*30.4</f>
        <v>1502.56070274246</v>
      </c>
      <c r="H95" s="13" t="n">
        <f aca="false">IF(Parametros!$B$18*G95-Parametros!$B$14&gt;0,1,0)</f>
        <v>1</v>
      </c>
      <c r="I95" s="12" t="n">
        <f aca="false">(G95*Parametros!$B$18-Parametros!$B$14)*H95/(1+Parametros!$B$16)^(A95/12)</f>
        <v>30786.1348967125</v>
      </c>
      <c r="J95" s="11" t="n">
        <f aca="false">Parametros!$B$7/(1+Parametros!$D$7*Parametros!$C$7*A95/12)^(1/Parametros!$D$7)</f>
        <v>103.795021516372</v>
      </c>
      <c r="K95" s="12" t="n">
        <f aca="false">J95*30.4</f>
        <v>3155.3686540977</v>
      </c>
      <c r="L95" s="13" t="n">
        <f aca="false">IF(Parametros!$B$18*K95-Parametros!$B$14&gt;0,1,0)</f>
        <v>1</v>
      </c>
      <c r="M95" s="12" t="n">
        <f aca="false">(K95*Parametros!$B$18-Parametros!$B$14)*L95/(1+Parametros!$B$16)^(A95/12)</f>
        <v>69456.1999448197</v>
      </c>
    </row>
    <row r="96" customFormat="false" ht="15" hidden="false" customHeight="false" outlineLevel="0" collapsed="false">
      <c r="A96" s="0" t="n">
        <v>92</v>
      </c>
      <c r="B96" s="11" t="n">
        <f aca="false">Parametros!$B$5/(1+Parametros!$D$5*Parametros!$C$5*A96/12)^(1/Parametros!$D$5)</f>
        <v>12.54343521639</v>
      </c>
      <c r="C96" s="12" t="n">
        <f aca="false">B96*30.4</f>
        <v>381.320430578256</v>
      </c>
      <c r="D96" s="13" t="n">
        <f aca="false">IF(Parametros!$B$18*C96-Parametros!$B$14&gt;0,1,0)</f>
        <v>1</v>
      </c>
      <c r="E96" s="12" t="n">
        <f aca="false">(C96*Parametros!$B$18-Parametros!$B$14)*D96/(1+Parametros!$B$16)^(A96/12)</f>
        <v>4516.92074725219</v>
      </c>
      <c r="F96" s="11" t="n">
        <f aca="false">Parametros!$B$6/(1+Parametros!$D$6*Parametros!$C$6*A96/12)^(1/Parametros!$D$6)</f>
        <v>48.8691106154503</v>
      </c>
      <c r="G96" s="12" t="n">
        <f aca="false">F96*30.4</f>
        <v>1485.62096270969</v>
      </c>
      <c r="H96" s="13" t="n">
        <f aca="false">IF(Parametros!$B$18*G96-Parametros!$B$14&gt;0,1,0)</f>
        <v>1</v>
      </c>
      <c r="I96" s="12" t="n">
        <f aca="false">(G96*Parametros!$B$18-Parametros!$B$14)*H96/(1+Parametros!$B$16)^(A96/12)</f>
        <v>30149.3873465275</v>
      </c>
      <c r="J96" s="11" t="n">
        <f aca="false">Parametros!$B$7/(1+Parametros!$D$7*Parametros!$C$7*A96/12)^(1/Parametros!$D$7)</f>
        <v>102.988917044476</v>
      </c>
      <c r="K96" s="12" t="n">
        <f aca="false">J96*30.4</f>
        <v>3130.86307815208</v>
      </c>
      <c r="L96" s="13" t="n">
        <f aca="false">IF(Parametros!$B$18*K96-Parametros!$B$14&gt;0,1,0)</f>
        <v>1</v>
      </c>
      <c r="M96" s="12" t="n">
        <f aca="false">(K96*Parametros!$B$18-Parametros!$B$14)*L96/(1+Parametros!$B$16)^(A96/12)</f>
        <v>68337.9169584817</v>
      </c>
    </row>
    <row r="97" customFormat="false" ht="15" hidden="false" customHeight="false" outlineLevel="0" collapsed="false">
      <c r="A97" s="0" t="n">
        <v>93</v>
      </c>
      <c r="B97" s="11" t="n">
        <f aca="false">Parametros!$B$5/(1+Parametros!$D$5*Parametros!$C$5*A97/12)^(1/Parametros!$D$5)</f>
        <v>12.2932319992579</v>
      </c>
      <c r="C97" s="12" t="n">
        <f aca="false">B97*30.4</f>
        <v>373.714252777441</v>
      </c>
      <c r="D97" s="13" t="n">
        <f aca="false">IF(Parametros!$B$18*C97-Parametros!$B$14&gt;0,1,0)</f>
        <v>1</v>
      </c>
      <c r="E97" s="12" t="n">
        <f aca="false">(C97*Parametros!$B$18-Parametros!$B$14)*D97/(1+Parametros!$B$16)^(A97/12)</f>
        <v>4306.0330746322</v>
      </c>
      <c r="F97" s="11" t="n">
        <f aca="false">Parametros!$B$6/(1+Parametros!$D$6*Parametros!$C$6*A97/12)^(1/Parametros!$D$6)</f>
        <v>48.3230890896107</v>
      </c>
      <c r="G97" s="12" t="n">
        <f aca="false">F97*30.4</f>
        <v>1469.02190832416</v>
      </c>
      <c r="H97" s="13" t="n">
        <f aca="false">IF(Parametros!$B$18*G97-Parametros!$B$14&gt;0,1,0)</f>
        <v>1</v>
      </c>
      <c r="I97" s="12" t="n">
        <f aca="false">(G97*Parametros!$B$18-Parametros!$B$14)*H97/(1+Parametros!$B$16)^(A97/12)</f>
        <v>29528.633007579</v>
      </c>
      <c r="J97" s="11" t="n">
        <f aca="false">Parametros!$B$7/(1+Parametros!$D$7*Parametros!$C$7*A97/12)^(1/Parametros!$D$7)</f>
        <v>102.196458423962</v>
      </c>
      <c r="K97" s="12" t="n">
        <f aca="false">J97*30.4</f>
        <v>3106.77233608844</v>
      </c>
      <c r="L97" s="13" t="n">
        <f aca="false">IF(Parametros!$B$18*K97-Parametros!$B$14&gt;0,1,0)</f>
        <v>1</v>
      </c>
      <c r="M97" s="12" t="n">
        <f aca="false">(K97*Parametros!$B$18-Parametros!$B$14)*L97/(1+Parametros!$B$16)^(A97/12)</f>
        <v>67242.533408368</v>
      </c>
    </row>
    <row r="98" customFormat="false" ht="15" hidden="false" customHeight="false" outlineLevel="0" collapsed="false">
      <c r="A98" s="0" t="n">
        <v>94</v>
      </c>
      <c r="B98" s="11" t="n">
        <f aca="false">Parametros!$B$5/(1+Parametros!$D$5*Parametros!$C$5*A98/12)^(1/Parametros!$D$5)</f>
        <v>12.0499605264274</v>
      </c>
      <c r="C98" s="12" t="n">
        <f aca="false">B98*30.4</f>
        <v>366.318800003393</v>
      </c>
      <c r="D98" s="13" t="n">
        <f aca="false">IF(Parametros!$B$18*C98-Parametros!$B$14&gt;0,1,0)</f>
        <v>1</v>
      </c>
      <c r="E98" s="12" t="n">
        <f aca="false">(C98*Parametros!$B$18-Parametros!$B$14)*D98/(1+Parametros!$B$16)^(A98/12)</f>
        <v>4103.01355925236</v>
      </c>
      <c r="F98" s="11" t="n">
        <f aca="false">Parametros!$B$6/(1+Parametros!$D$6*Parametros!$C$6*A98/12)^(1/Parametros!$D$6)</f>
        <v>47.7879516553625</v>
      </c>
      <c r="G98" s="12" t="n">
        <f aca="false">F98*30.4</f>
        <v>1452.75373032302</v>
      </c>
      <c r="H98" s="13" t="n">
        <f aca="false">IF(Parametros!$B$18*G98-Parametros!$B$14&gt;0,1,0)</f>
        <v>1</v>
      </c>
      <c r="I98" s="12" t="n">
        <f aca="false">(G98*Parametros!$B$18-Parametros!$B$14)*H98/(1+Parametros!$B$16)^(A98/12)</f>
        <v>28923.3725204618</v>
      </c>
      <c r="J98" s="11" t="n">
        <f aca="false">Parametros!$B$7/(1+Parametros!$D$7*Parametros!$C$7*A98/12)^(1/Parametros!$D$7)</f>
        <v>101.417291922288</v>
      </c>
      <c r="K98" s="12" t="n">
        <f aca="false">J98*30.4</f>
        <v>3083.08567443756</v>
      </c>
      <c r="L98" s="13" t="n">
        <f aca="false">IF(Parametros!$B$18*K98-Parametros!$B$14&gt;0,1,0)</f>
        <v>1</v>
      </c>
      <c r="M98" s="12" t="n">
        <f aca="false">(K98*Parametros!$B$18-Parametros!$B$14)*L98/(1+Parametros!$B$16)^(A98/12)</f>
        <v>66169.4357218212</v>
      </c>
    </row>
    <row r="99" customFormat="false" ht="15" hidden="false" customHeight="false" outlineLevel="0" collapsed="false">
      <c r="A99" s="0" t="n">
        <v>95</v>
      </c>
      <c r="B99" s="11" t="n">
        <f aca="false">Parametros!$B$5/(1+Parametros!$D$5*Parametros!$C$5*A99/12)^(1/Parametros!$D$5)</f>
        <v>11.8133758300143</v>
      </c>
      <c r="C99" s="12" t="n">
        <f aca="false">B99*30.4</f>
        <v>359.126625232436</v>
      </c>
      <c r="D99" s="13" t="n">
        <f aca="false">IF(Parametros!$B$18*C99-Parametros!$B$14&gt;0,1,0)</f>
        <v>1</v>
      </c>
      <c r="E99" s="12" t="n">
        <f aca="false">(C99*Parametros!$B$18-Parametros!$B$14)*D99/(1+Parametros!$B$16)^(A99/12)</f>
        <v>3907.54403702868</v>
      </c>
      <c r="F99" s="11" t="n">
        <f aca="false">Parametros!$B$6/(1+Parametros!$D$6*Parametros!$C$6*A99/12)^(1/Parametros!$D$6)</f>
        <v>47.2633876821668</v>
      </c>
      <c r="G99" s="12" t="n">
        <f aca="false">F99*30.4</f>
        <v>1436.80698553787</v>
      </c>
      <c r="H99" s="13" t="n">
        <f aca="false">IF(Parametros!$B$18*G99-Parametros!$B$14&gt;0,1,0)</f>
        <v>1</v>
      </c>
      <c r="I99" s="12" t="n">
        <f aca="false">(G99*Parametros!$B$18-Parametros!$B$14)*H99/(1+Parametros!$B$16)^(A99/12)</f>
        <v>28333.1257599964</v>
      </c>
      <c r="J99" s="11" t="n">
        <f aca="false">Parametros!$B$7/(1+Parametros!$D$7*Parametros!$C$7*A99/12)^(1/Parametros!$D$7)</f>
        <v>100.651076100356</v>
      </c>
      <c r="K99" s="12" t="n">
        <f aca="false">J99*30.4</f>
        <v>3059.79271345083</v>
      </c>
      <c r="L99" s="13" t="n">
        <f aca="false">IF(Parametros!$B$18*K99-Parametros!$B$14&gt;0,1,0)</f>
        <v>1</v>
      </c>
      <c r="M99" s="12" t="n">
        <f aca="false">(K99*Parametros!$B$18-Parametros!$B$14)*L99/(1+Parametros!$B$16)^(A99/12)</f>
        <v>65118.0315562875</v>
      </c>
    </row>
    <row r="100" customFormat="false" ht="15" hidden="false" customHeight="false" outlineLevel="0" collapsed="false">
      <c r="A100" s="0" t="n">
        <v>96</v>
      </c>
      <c r="B100" s="11" t="n">
        <f aca="false">Parametros!$B$5/(1+Parametros!$D$5*Parametros!$C$5*A100/12)^(1/Parametros!$D$5)</f>
        <v>11.5832434405878</v>
      </c>
      <c r="C100" s="12" t="n">
        <f aca="false">B100*30.4</f>
        <v>352.130600593869</v>
      </c>
      <c r="D100" s="13" t="n">
        <f aca="false">IF(Parametros!$B$18*C100-Parametros!$B$14&gt;0,1,0)</f>
        <v>1</v>
      </c>
      <c r="E100" s="12" t="n">
        <f aca="false">(C100*Parametros!$B$18-Parametros!$B$14)*D100/(1+Parametros!$B$16)^(A100/12)</f>
        <v>3719.32103369418</v>
      </c>
      <c r="F100" s="11" t="n">
        <f aca="false">Parametros!$B$6/(1+Parametros!$D$6*Parametros!$C$6*A100/12)^(1/Parametros!$D$6)</f>
        <v>46.7490980317032</v>
      </c>
      <c r="G100" s="12" t="n">
        <f aca="false">F100*30.4</f>
        <v>1421.17258016378</v>
      </c>
      <c r="H100" s="13" t="n">
        <f aca="false">IF(Parametros!$B$18*G100-Parametros!$B$14&gt;0,1,0)</f>
        <v>1</v>
      </c>
      <c r="I100" s="12" t="n">
        <f aca="false">(G100*Parametros!$B$18-Parametros!$B$14)*H100/(1+Parametros!$B$16)^(A100/12)</f>
        <v>27757.4309430613</v>
      </c>
      <c r="J100" s="11" t="n">
        <f aca="false">Parametros!$B$7/(1+Parametros!$D$7*Parametros!$C$7*A100/12)^(1/Parametros!$D$7)</f>
        <v>99.8974812786542</v>
      </c>
      <c r="K100" s="12" t="n">
        <f aca="false">J100*30.4</f>
        <v>3036.88343087109</v>
      </c>
      <c r="L100" s="13" t="n">
        <f aca="false">IF(Parametros!$B$18*K100-Parametros!$B$14&gt;0,1,0)</f>
        <v>1</v>
      </c>
      <c r="M100" s="12" t="n">
        <f aca="false">(K100*Parametros!$B$18-Parametros!$B$14)*L100/(1+Parametros!$B$16)^(A100/12)</f>
        <v>64087.7488850049</v>
      </c>
    </row>
    <row r="101" customFormat="false" ht="15" hidden="false" customHeight="false" outlineLevel="0" collapsed="false">
      <c r="A101" s="0" t="n">
        <v>97</v>
      </c>
      <c r="B101" s="11" t="n">
        <f aca="false">Parametros!$B$5/(1+Parametros!$D$5*Parametros!$C$5*A101/12)^(1/Parametros!$D$5)</f>
        <v>11.3593388595539</v>
      </c>
      <c r="C101" s="12" t="n">
        <f aca="false">B101*30.4</f>
        <v>345.323901330438</v>
      </c>
      <c r="D101" s="13" t="n">
        <f aca="false">IF(Parametros!$B$18*C101-Parametros!$B$14&gt;0,1,0)</f>
        <v>1</v>
      </c>
      <c r="E101" s="12" t="n">
        <f aca="false">(C101*Parametros!$B$18-Parametros!$B$14)*D101/(1+Parametros!$B$16)^(A101/12)</f>
        <v>3538.05499008936</v>
      </c>
      <c r="F101" s="11" t="n">
        <f aca="false">Parametros!$B$6/(1+Parametros!$D$6*Parametros!$C$6*A101/12)^(1/Parametros!$D$6)</f>
        <v>46.2447945371927</v>
      </c>
      <c r="G101" s="12" t="n">
        <f aca="false">F101*30.4</f>
        <v>1405.84175393066</v>
      </c>
      <c r="H101" s="13" t="n">
        <f aca="false">IF(Parametros!$B$18*G101-Parametros!$B$14&gt;0,1,0)</f>
        <v>1</v>
      </c>
      <c r="I101" s="12" t="n">
        <f aca="false">(G101*Parametros!$B$18-Parametros!$B$14)*H101/(1+Parametros!$B$16)^(A101/12)</f>
        <v>27195.8437849628</v>
      </c>
      <c r="J101" s="11" t="n">
        <f aca="false">Parametros!$B$7/(1+Parametros!$D$7*Parametros!$C$7*A101/12)^(1/Parametros!$D$7)</f>
        <v>99.1561890311329</v>
      </c>
      <c r="K101" s="12" t="n">
        <f aca="false">J101*30.4</f>
        <v>3014.34814654644</v>
      </c>
      <c r="L101" s="13" t="n">
        <f aca="false">IF(Parametros!$B$18*K101-Parametros!$B$14&gt;0,1,0)</f>
        <v>1</v>
      </c>
      <c r="M101" s="12" t="n">
        <f aca="false">(K101*Parametros!$B$18-Parametros!$B$14)*L101/(1+Parametros!$B$16)^(A101/12)</f>
        <v>63078.0351298858</v>
      </c>
    </row>
    <row r="102" customFormat="false" ht="15" hidden="false" customHeight="false" outlineLevel="0" collapsed="false">
      <c r="A102" s="0" t="n">
        <v>98</v>
      </c>
      <c r="B102" s="11" t="n">
        <f aca="false">Parametros!$B$5/(1+Parametros!$D$5*Parametros!$C$5*A102/12)^(1/Parametros!$D$5)</f>
        <v>11.1414470619003</v>
      </c>
      <c r="C102" s="12" t="n">
        <f aca="false">B102*30.4</f>
        <v>338.69999068177</v>
      </c>
      <c r="D102" s="13" t="n">
        <f aca="false">IF(Parametros!$B$18*C102-Parametros!$B$14&gt;0,1,0)</f>
        <v>1</v>
      </c>
      <c r="E102" s="12" t="n">
        <f aca="false">(C102*Parametros!$B$18-Parametros!$B$14)*D102/(1+Parametros!$B$16)^(A102/12)</f>
        <v>3363.46953358745</v>
      </c>
      <c r="F102" s="11" t="n">
        <f aca="false">Parametros!$B$6/(1+Parametros!$D$6*Parametros!$C$6*A102/12)^(1/Parametros!$D$6)</f>
        <v>45.7501995105624</v>
      </c>
      <c r="G102" s="12" t="n">
        <f aca="false">F102*30.4</f>
        <v>1390.8060651211</v>
      </c>
      <c r="H102" s="13" t="n">
        <f aca="false">IF(Parametros!$B$18*G102-Parametros!$B$14&gt;0,1,0)</f>
        <v>1</v>
      </c>
      <c r="I102" s="12" t="n">
        <f aca="false">(G102*Parametros!$B$18-Parametros!$B$14)*H102/(1+Parametros!$B$16)^(A102/12)</f>
        <v>26647.9367013149</v>
      </c>
      <c r="J102" s="11" t="n">
        <f aca="false">Parametros!$B$7/(1+Parametros!$D$7*Parametros!$C$7*A102/12)^(1/Parametros!$D$7)</f>
        <v>98.4268917051403</v>
      </c>
      <c r="K102" s="12" t="n">
        <f aca="false">J102*30.4</f>
        <v>2992.17750783626</v>
      </c>
      <c r="L102" s="13" t="n">
        <f aca="false">IF(Parametros!$B$18*K102-Parametros!$B$14&gt;0,1,0)</f>
        <v>1</v>
      </c>
      <c r="M102" s="12" t="n">
        <f aca="false">(K102*Parametros!$B$18-Parametros!$B$14)*L102/(1+Parametros!$B$16)^(A102/12)</f>
        <v>62088.3563387626</v>
      </c>
    </row>
    <row r="103" customFormat="false" ht="15" hidden="false" customHeight="false" outlineLevel="0" collapsed="false">
      <c r="A103" s="0" t="n">
        <v>99</v>
      </c>
      <c r="B103" s="11" t="n">
        <f aca="false">Parametros!$B$5/(1+Parametros!$D$5*Parametros!$C$5*A103/12)^(1/Parametros!$D$5)</f>
        <v>10.929362027337</v>
      </c>
      <c r="C103" s="12" t="n">
        <f aca="false">B103*30.4</f>
        <v>332.252605631043</v>
      </c>
      <c r="D103" s="13" t="n">
        <f aca="false">IF(Parametros!$B$18*C103-Parametros!$B$14&gt;0,1,0)</f>
        <v>1</v>
      </c>
      <c r="E103" s="12" t="n">
        <f aca="false">(C103*Parametros!$B$18-Parametros!$B$14)*D103/(1+Parametros!$B$16)^(A103/12)</f>
        <v>3195.30079259093</v>
      </c>
      <c r="F103" s="11" t="n">
        <f aca="false">Parametros!$B$6/(1+Parametros!$D$6*Parametros!$C$6*A103/12)^(1/Parametros!$D$6)</f>
        <v>45.2650452757426</v>
      </c>
      <c r="G103" s="12" t="n">
        <f aca="false">F103*30.4</f>
        <v>1376.05737638258</v>
      </c>
      <c r="H103" s="13" t="n">
        <f aca="false">IF(Parametros!$B$18*G103-Parametros!$B$14&gt;0,1,0)</f>
        <v>1</v>
      </c>
      <c r="I103" s="12" t="n">
        <f aca="false">(G103*Parametros!$B$18-Parametros!$B$14)*H103/(1+Parametros!$B$16)^(A103/12)</f>
        <v>26113.2980526138</v>
      </c>
      <c r="J103" s="11" t="n">
        <f aca="false">Parametros!$B$7/(1+Parametros!$D$7*Parametros!$C$7*A103/12)^(1/Parametros!$D$7)</f>
        <v>97.7092919658552</v>
      </c>
      <c r="K103" s="12" t="n">
        <f aca="false">J103*30.4</f>
        <v>2970.362475762</v>
      </c>
      <c r="L103" s="13" t="n">
        <f aca="false">IF(Parametros!$B$18*K103-Parametros!$B$14&gt;0,1,0)</f>
        <v>1</v>
      </c>
      <c r="M103" s="12" t="n">
        <f aca="false">(K103*Parametros!$B$18-Parametros!$B$14)*L103/(1+Parametros!$B$16)^(A103/12)</f>
        <v>61118.1964043532</v>
      </c>
    </row>
    <row r="104" customFormat="false" ht="15" hidden="false" customHeight="false" outlineLevel="0" collapsed="false">
      <c r="A104" s="0" t="n">
        <v>100</v>
      </c>
      <c r="B104" s="11" t="n">
        <f aca="false">Parametros!$B$5/(1+Parametros!$D$5*Parametros!$C$5*A104/12)^(1/Parametros!$D$5)</f>
        <v>10.7228862980076</v>
      </c>
      <c r="C104" s="12" t="n">
        <f aca="false">B104*30.4</f>
        <v>325.975743459432</v>
      </c>
      <c r="D104" s="13" t="n">
        <f aca="false">IF(Parametros!$B$18*C104-Parametros!$B$14&gt;0,1,0)</f>
        <v>1</v>
      </c>
      <c r="E104" s="12" t="n">
        <f aca="false">(C104*Parametros!$B$18-Parametros!$B$14)*D104/(1+Parametros!$B$16)^(A104/12)</f>
        <v>3033.29675125959</v>
      </c>
      <c r="F104" s="11" t="n">
        <f aca="false">Parametros!$B$6/(1+Parametros!$D$6*Parametros!$C$6*A104/12)^(1/Parametros!$D$6)</f>
        <v>44.7890737265002</v>
      </c>
      <c r="G104" s="12" t="n">
        <f aca="false">F104*30.4</f>
        <v>1361.58784128561</v>
      </c>
      <c r="H104" s="13" t="n">
        <f aca="false">IF(Parametros!$B$18*G104-Parametros!$B$14&gt;0,1,0)</f>
        <v>1</v>
      </c>
      <c r="I104" s="12" t="n">
        <f aca="false">(G104*Parametros!$B$18-Parametros!$B$14)*H104/(1+Parametros!$B$16)^(A104/12)</f>
        <v>25591.531428887</v>
      </c>
      <c r="J104" s="11" t="n">
        <f aca="false">Parametros!$B$7/(1+Parametros!$D$7*Parametros!$C$7*A104/12)^(1/Parametros!$D$7)</f>
        <v>97.0031023637703</v>
      </c>
      <c r="K104" s="12" t="n">
        <f aca="false">J104*30.4</f>
        <v>2948.89431185862</v>
      </c>
      <c r="L104" s="13" t="n">
        <f aca="false">IF(Parametros!$B$18*K104-Parametros!$B$14&gt;0,1,0)</f>
        <v>1</v>
      </c>
      <c r="M104" s="12" t="n">
        <f aca="false">(K104*Parametros!$B$18-Parametros!$B$14)*L104/(1+Parametros!$B$16)^(A104/12)</f>
        <v>60167.0563224871</v>
      </c>
    </row>
    <row r="105" customFormat="false" ht="15" hidden="false" customHeight="false" outlineLevel="0" collapsed="false">
      <c r="A105" s="0" t="n">
        <v>101</v>
      </c>
      <c r="B105" s="11" t="n">
        <f aca="false">Parametros!$B$5/(1+Parametros!$D$5*Parametros!$C$5*A105/12)^(1/Parametros!$D$5)</f>
        <v>10.5218305610807</v>
      </c>
      <c r="C105" s="12" t="n">
        <f aca="false">B105*30.4</f>
        <v>319.863649056854</v>
      </c>
      <c r="D105" s="13" t="n">
        <f aca="false">IF(Parametros!$B$18*C105-Parametros!$B$14&gt;0,1,0)</f>
        <v>1</v>
      </c>
      <c r="E105" s="12" t="n">
        <f aca="false">(C105*Parametros!$B$18-Parametros!$B$14)*D105/(1+Parametros!$B$16)^(A105/12)</f>
        <v>2877.21664183722</v>
      </c>
      <c r="F105" s="11" t="n">
        <f aca="false">Parametros!$B$6/(1+Parametros!$D$6*Parametros!$C$6*A105/12)^(1/Parametros!$D$6)</f>
        <v>44.3220359073257</v>
      </c>
      <c r="G105" s="12" t="n">
        <f aca="false">F105*30.4</f>
        <v>1347.3898915827</v>
      </c>
      <c r="H105" s="13" t="n">
        <f aca="false">IF(Parametros!$B$18*G105-Parametros!$B$14&gt;0,1,0)</f>
        <v>1</v>
      </c>
      <c r="I105" s="12" t="n">
        <f aca="false">(G105*Parametros!$B$18-Parametros!$B$14)*H105/(1+Parametros!$B$16)^(A105/12)</f>
        <v>25082.2549719785</v>
      </c>
      <c r="J105" s="11" t="n">
        <f aca="false">Parametros!$B$7/(1+Parametros!$D$7*Parametros!$C$7*A105/12)^(1/Parametros!$D$7)</f>
        <v>96.3080449238682</v>
      </c>
      <c r="K105" s="12" t="n">
        <f aca="false">J105*30.4</f>
        <v>2927.76456568559</v>
      </c>
      <c r="L105" s="13" t="n">
        <f aca="false">IF(Parametros!$B$18*K105-Parametros!$B$14&gt;0,1,0)</f>
        <v>1</v>
      </c>
      <c r="M105" s="12" t="n">
        <f aca="false">(K105*Parametros!$B$18-Parametros!$B$14)*L105/(1+Parametros!$B$16)^(A105/12)</f>
        <v>59234.4534872944</v>
      </c>
    </row>
    <row r="106" customFormat="false" ht="15" hidden="false" customHeight="false" outlineLevel="0" collapsed="false">
      <c r="A106" s="0" t="n">
        <v>102</v>
      </c>
      <c r="B106" s="11" t="n">
        <f aca="false">Parametros!$B$5/(1+Parametros!$D$5*Parametros!$C$5*A106/12)^(1/Parametros!$D$5)</f>
        <v>10.3260132546429</v>
      </c>
      <c r="C106" s="12" t="n">
        <f aca="false">B106*30.4</f>
        <v>313.910802941144</v>
      </c>
      <c r="D106" s="13" t="n">
        <f aca="false">IF(Parametros!$B$18*C106-Parametros!$B$14&gt;0,1,0)</f>
        <v>1</v>
      </c>
      <c r="E106" s="12" t="n">
        <f aca="false">(C106*Parametros!$B$18-Parametros!$B$14)*D106/(1+Parametros!$B$16)^(A106/12)</f>
        <v>2726.83037213419</v>
      </c>
      <c r="F106" s="11" t="n">
        <f aca="false">Parametros!$B$6/(1+Parametros!$D$6*Parametros!$C$6*A106/12)^(1/Parametros!$D$6)</f>
        <v>43.8636916159905</v>
      </c>
      <c r="G106" s="12" t="n">
        <f aca="false">F106*30.4</f>
        <v>1333.45622512611</v>
      </c>
      <c r="H106" s="13" t="n">
        <f aca="false">IF(Parametros!$B$18*G106-Parametros!$B$14&gt;0,1,0)</f>
        <v>1</v>
      </c>
      <c r="I106" s="12" t="n">
        <f aca="false">(G106*Parametros!$B$18-Parametros!$B$14)*H106/(1+Parametros!$B$16)^(A106/12)</f>
        <v>24585.1007332005</v>
      </c>
      <c r="J106" s="11" t="n">
        <f aca="false">Parametros!$B$7/(1+Parametros!$D$7*Parametros!$C$7*A106/12)^(1/Parametros!$D$7)</f>
        <v>95.6238507552283</v>
      </c>
      <c r="K106" s="12" t="n">
        <f aca="false">J106*30.4</f>
        <v>2906.96506295894</v>
      </c>
      <c r="L106" s="13" t="n">
        <f aca="false">IF(Parametros!$B$18*K106-Parametros!$B$14&gt;0,1,0)</f>
        <v>1</v>
      </c>
      <c r="M106" s="12" t="n">
        <f aca="false">(K106*Parametros!$B$18-Parametros!$B$14)*L106/(1+Parametros!$B$16)^(A106/12)</f>
        <v>58319.9210212146</v>
      </c>
    </row>
    <row r="107" customFormat="false" ht="15" hidden="false" customHeight="false" outlineLevel="0" collapsed="false">
      <c r="A107" s="0" t="n">
        <v>103</v>
      </c>
      <c r="B107" s="11" t="n">
        <f aca="false">Parametros!$B$5/(1+Parametros!$D$5*Parametros!$C$5*A107/12)^(1/Parametros!$D$5)</f>
        <v>10.1352601954335</v>
      </c>
      <c r="C107" s="12" t="n">
        <f aca="false">B107*30.4</f>
        <v>308.111909941179</v>
      </c>
      <c r="D107" s="13" t="n">
        <f aca="false">IF(Parametros!$B$18*C107-Parametros!$B$14&gt;0,1,0)</f>
        <v>1</v>
      </c>
      <c r="E107" s="12" t="n">
        <f aca="false">(C107*Parametros!$B$18-Parametros!$B$14)*D107/(1+Parametros!$B$16)^(A107/12)</f>
        <v>2581.91798589768</v>
      </c>
      <c r="F107" s="11" t="n">
        <f aca="false">Parametros!$B$6/(1+Parametros!$D$6*Parametros!$C$6*A107/12)^(1/Parametros!$D$6)</f>
        <v>43.4138090264862</v>
      </c>
      <c r="G107" s="12" t="n">
        <f aca="false">F107*30.4</f>
        <v>1319.77979440518</v>
      </c>
      <c r="H107" s="13" t="n">
        <f aca="false">IF(Parametros!$B$18*G107-Parametros!$B$14&gt;0,1,0)</f>
        <v>1</v>
      </c>
      <c r="I107" s="12" t="n">
        <f aca="false">(G107*Parametros!$B$18-Parametros!$B$14)*H107/(1+Parametros!$B$16)^(A107/12)</f>
        <v>24099.7140642327</v>
      </c>
      <c r="J107" s="11" t="n">
        <f aca="false">Parametros!$B$7/(1+Parametros!$D$7*Parametros!$C$7*A107/12)^(1/Parametros!$D$7)</f>
        <v>94.9502596798833</v>
      </c>
      <c r="K107" s="12" t="n">
        <f aca="false">J107*30.4</f>
        <v>2886.48789426845</v>
      </c>
      <c r="L107" s="13" t="n">
        <f aca="false">IF(Parametros!$B$18*K107-Parametros!$B$14&gt;0,1,0)</f>
        <v>1</v>
      </c>
      <c r="M107" s="12" t="n">
        <f aca="false">(K107*Parametros!$B$18-Parametros!$B$14)*L107/(1+Parametros!$B$16)^(A107/12)</f>
        <v>57423.0071378236</v>
      </c>
    </row>
    <row r="108" customFormat="false" ht="15" hidden="false" customHeight="false" outlineLevel="0" collapsed="false">
      <c r="A108" s="0" t="n">
        <v>104</v>
      </c>
      <c r="B108" s="11" t="n">
        <f aca="false">Parametros!$B$5/(1+Parametros!$D$5*Parametros!$C$5*A108/12)^(1/Parametros!$D$5)</f>
        <v>9.94940422705754</v>
      </c>
      <c r="C108" s="12" t="n">
        <f aca="false">B108*30.4</f>
        <v>302.461888502549</v>
      </c>
      <c r="D108" s="13" t="n">
        <f aca="false">IF(Parametros!$B$18*C108-Parametros!$B$14&gt;0,1,0)</f>
        <v>1</v>
      </c>
      <c r="E108" s="12" t="n">
        <f aca="false">(C108*Parametros!$B$18-Parametros!$B$14)*D108/(1+Parametros!$B$16)^(A108/12)</f>
        <v>2442.26915396343</v>
      </c>
      <c r="F108" s="11" t="n">
        <f aca="false">Parametros!$B$6/(1+Parametros!$D$6*Parametros!$C$6*A108/12)^(1/Parametros!$D$6)</f>
        <v>42.9721643311426</v>
      </c>
      <c r="G108" s="12" t="n">
        <f aca="false">F108*30.4</f>
        <v>1306.35379566673</v>
      </c>
      <c r="H108" s="13" t="n">
        <f aca="false">IF(Parametros!$B$18*G108-Parametros!$B$14&gt;0,1,0)</f>
        <v>1</v>
      </c>
      <c r="I108" s="12" t="n">
        <f aca="false">(G108*Parametros!$B$18-Parametros!$B$14)*H108/(1+Parametros!$B$16)^(A108/12)</f>
        <v>23625.7530392971</v>
      </c>
      <c r="J108" s="11" t="n">
        <f aca="false">Parametros!$B$7/(1+Parametros!$D$7*Parametros!$C$7*A108/12)^(1/Parametros!$D$7)</f>
        <v>94.2870198798233</v>
      </c>
      <c r="K108" s="12" t="n">
        <f aca="false">J108*30.4</f>
        <v>2866.32540434663</v>
      </c>
      <c r="L108" s="13" t="n">
        <f aca="false">IF(Parametros!$B$18*K108-Parametros!$B$14&gt;0,1,0)</f>
        <v>1</v>
      </c>
      <c r="M108" s="12" t="n">
        <f aca="false">(K108*Parametros!$B$18-Parametros!$B$14)*L108/(1+Parametros!$B$16)^(A108/12)</f>
        <v>56543.2745356069</v>
      </c>
    </row>
    <row r="109" customFormat="false" ht="15" hidden="false" customHeight="false" outlineLevel="0" collapsed="false">
      <c r="A109" s="0" t="n">
        <v>105</v>
      </c>
      <c r="B109" s="11" t="n">
        <f aca="false">Parametros!$B$5/(1+Parametros!$D$5*Parametros!$C$5*A109/12)^(1/Parametros!$D$5)</f>
        <v>9.7682848874096</v>
      </c>
      <c r="C109" s="12" t="n">
        <f aca="false">B109*30.4</f>
        <v>296.955860577252</v>
      </c>
      <c r="D109" s="13" t="n">
        <f aca="false">IF(Parametros!$B$18*C109-Parametros!$B$14&gt;0,1,0)</f>
        <v>1</v>
      </c>
      <c r="E109" s="12" t="n">
        <f aca="false">(C109*Parametros!$B$18-Parametros!$B$14)*D109/(1+Parametros!$B$16)^(A109/12)</f>
        <v>2307.68269423112</v>
      </c>
      <c r="F109" s="11" t="n">
        <f aca="false">Parametros!$B$6/(1+Parametros!$D$6*Parametros!$C$6*A109/12)^(1/Parametros!$D$6)</f>
        <v>42.5385414008011</v>
      </c>
      <c r="G109" s="12" t="n">
        <f aca="false">F109*30.4</f>
        <v>1293.17165858435</v>
      </c>
      <c r="H109" s="13" t="n">
        <f aca="false">IF(Parametros!$B$18*G109-Parametros!$B$14&gt;0,1,0)</f>
        <v>1</v>
      </c>
      <c r="I109" s="12" t="n">
        <f aca="false">(G109*Parametros!$B$18-Parametros!$B$14)*H109/(1+Parametros!$B$16)^(A109/12)</f>
        <v>23162.8879067647</v>
      </c>
      <c r="J109" s="11" t="n">
        <f aca="false">Parametros!$B$7/(1+Parametros!$D$7*Parametros!$C$7*A109/12)^(1/Parametros!$D$7)</f>
        <v>93.6338875611172</v>
      </c>
      <c r="K109" s="12" t="n">
        <f aca="false">J109*30.4</f>
        <v>2846.47018185796</v>
      </c>
      <c r="L109" s="13" t="n">
        <f aca="false">IF(Parametros!$B$18*K109-Parametros!$B$14&gt;0,1,0)</f>
        <v>1</v>
      </c>
      <c r="M109" s="12" t="n">
        <f aca="false">(K109*Parametros!$B$18-Parametros!$B$14)*L109/(1+Parametros!$B$16)^(A109/12)</f>
        <v>55680.2998209305</v>
      </c>
    </row>
    <row r="110" customFormat="false" ht="15" hidden="false" customHeight="false" outlineLevel="0" collapsed="false">
      <c r="A110" s="0" t="n">
        <v>106</v>
      </c>
      <c r="B110" s="11" t="n">
        <f aca="false">Parametros!$B$5/(1+Parametros!$D$5*Parametros!$C$5*A110/12)^(1/Parametros!$D$5)</f>
        <v>9.59174809412883</v>
      </c>
      <c r="C110" s="12" t="n">
        <f aca="false">B110*30.4</f>
        <v>291.589142061517</v>
      </c>
      <c r="D110" s="13" t="n">
        <f aca="false">IF(Parametros!$B$18*C110-Parametros!$B$14&gt;0,1,0)</f>
        <v>1</v>
      </c>
      <c r="E110" s="12" t="n">
        <f aca="false">(C110*Parametros!$B$18-Parametros!$B$14)*D110/(1+Parametros!$B$16)^(A110/12)</f>
        <v>2177.96611864301</v>
      </c>
      <c r="F110" s="11" t="n">
        <f aca="false">Parametros!$B$6/(1+Parametros!$D$6*Parametros!$C$6*A110/12)^(1/Parametros!$D$6)</f>
        <v>42.1127314619984</v>
      </c>
      <c r="G110" s="12" t="n">
        <f aca="false">F110*30.4</f>
        <v>1280.22703644475</v>
      </c>
      <c r="H110" s="13" t="n">
        <f aca="false">IF(Parametros!$B$18*G110-Parametros!$B$14&gt;0,1,0)</f>
        <v>1</v>
      </c>
      <c r="I110" s="12" t="n">
        <f aca="false">(G110*Parametros!$B$18-Parametros!$B$14)*H110/(1+Parametros!$B$16)^(A110/12)</f>
        <v>22710.8005684764</v>
      </c>
      <c r="J110" s="11" t="n">
        <f aca="false">Parametros!$B$7/(1+Parametros!$D$7*Parametros!$C$7*A110/12)^(1/Parametros!$D$7)</f>
        <v>92.9906266341853</v>
      </c>
      <c r="K110" s="12" t="n">
        <f aca="false">J110*30.4</f>
        <v>2826.91504967923</v>
      </c>
      <c r="L110" s="13" t="n">
        <f aca="false">IF(Parametros!$B$18*K110-Parametros!$B$14&gt;0,1,0)</f>
        <v>1</v>
      </c>
      <c r="M110" s="12" t="n">
        <f aca="false">(K110*Parametros!$B$18-Parametros!$B$14)*L110/(1+Parametros!$B$16)^(A110/12)</f>
        <v>54833.6729585719</v>
      </c>
    </row>
    <row r="111" customFormat="false" ht="15" hidden="false" customHeight="false" outlineLevel="0" collapsed="false">
      <c r="A111" s="0" t="n">
        <v>107</v>
      </c>
      <c r="B111" s="11" t="n">
        <f aca="false">Parametros!$B$5/(1+Parametros!$D$5*Parametros!$C$5*A111/12)^(1/Parametros!$D$5)</f>
        <v>9.41964584698462</v>
      </c>
      <c r="C111" s="12" t="n">
        <f aca="false">B111*30.4</f>
        <v>286.357233748332</v>
      </c>
      <c r="D111" s="13" t="n">
        <f aca="false">IF(Parametros!$B$18*C111-Parametros!$B$14&gt;0,1,0)</f>
        <v>1</v>
      </c>
      <c r="E111" s="12" t="n">
        <f aca="false">(C111*Parametros!$B$18-Parametros!$B$14)*D111/(1+Parametros!$B$16)^(A111/12)</f>
        <v>2052.9352054723</v>
      </c>
      <c r="F111" s="11" t="n">
        <f aca="false">Parametros!$B$6/(1+Parametros!$D$6*Parametros!$C$6*A111/12)^(1/Parametros!$D$6)</f>
        <v>41.6945327901762</v>
      </c>
      <c r="G111" s="12" t="n">
        <f aca="false">F111*30.4</f>
        <v>1267.51379682136</v>
      </c>
      <c r="H111" s="13" t="n">
        <f aca="false">IF(Parametros!$B$18*G111-Parametros!$B$14&gt;0,1,0)</f>
        <v>1</v>
      </c>
      <c r="I111" s="12" t="n">
        <f aca="false">(G111*Parametros!$B$18-Parametros!$B$14)*H111/(1+Parametros!$B$16)^(A111/12)</f>
        <v>22269.1840851698</v>
      </c>
      <c r="J111" s="11" t="n">
        <f aca="false">Parametros!$B$7/(1+Parametros!$D$7*Parametros!$C$7*A111/12)^(1/Parametros!$D$7)</f>
        <v>92.3570084093227</v>
      </c>
      <c r="K111" s="12" t="n">
        <f aca="false">J111*30.4</f>
        <v>2807.65305564341</v>
      </c>
      <c r="L111" s="13" t="n">
        <f aca="false">IF(Parametros!$B$18*K111-Parametros!$B$14&gt;0,1,0)</f>
        <v>1</v>
      </c>
      <c r="M111" s="12" t="n">
        <f aca="false">(K111*Parametros!$B$18-Parametros!$B$14)*L111/(1+Parametros!$B$16)^(A111/12)</f>
        <v>54002.9967482789</v>
      </c>
    </row>
    <row r="112" customFormat="false" ht="15" hidden="false" customHeight="false" outlineLevel="0" collapsed="false">
      <c r="A112" s="0" t="n">
        <v>108</v>
      </c>
      <c r="B112" s="11" t="n">
        <f aca="false">Parametros!$B$5/(1+Parametros!$D$5*Parametros!$C$5*A112/12)^(1/Parametros!$D$5)</f>
        <v>9.25183594616755</v>
      </c>
      <c r="C112" s="12" t="n">
        <f aca="false">B112*30.4</f>
        <v>281.255812763494</v>
      </c>
      <c r="D112" s="13" t="n">
        <f aca="false">IF(Parametros!$B$18*C112-Parametros!$B$14&gt;0,1,0)</f>
        <v>1</v>
      </c>
      <c r="E112" s="12" t="n">
        <f aca="false">(C112*Parametros!$B$18-Parametros!$B$14)*D112/(1+Parametros!$B$16)^(A112/12)</f>
        <v>1932.41359534485</v>
      </c>
      <c r="F112" s="11" t="n">
        <f aca="false">Parametros!$B$6/(1+Parametros!$D$6*Parametros!$C$6*A112/12)^(1/Parametros!$D$6)</f>
        <v>41.2837504180058</v>
      </c>
      <c r="G112" s="12" t="n">
        <f aca="false">F112*30.4</f>
        <v>1255.02601270738</v>
      </c>
      <c r="H112" s="13" t="n">
        <f aca="false">IF(Parametros!$B$18*G112-Parametros!$B$14&gt;0,1,0)</f>
        <v>1</v>
      </c>
      <c r="I112" s="12" t="n">
        <f aca="false">(G112*Parametros!$B$18-Parametros!$B$14)*H112/(1+Parametros!$B$16)^(A112/12)</f>
        <v>21837.7422065108</v>
      </c>
      <c r="J112" s="11" t="n">
        <f aca="false">Parametros!$B$7/(1+Parametros!$D$7*Parametros!$C$7*A112/12)^(1/Parametros!$D$7)</f>
        <v>91.7328113066277</v>
      </c>
      <c r="K112" s="12" t="n">
        <f aca="false">J112*30.4</f>
        <v>2788.67746372148</v>
      </c>
      <c r="L112" s="13" t="n">
        <f aca="false">IF(Parametros!$B$18*K112-Parametros!$B$14&gt;0,1,0)</f>
        <v>1</v>
      </c>
      <c r="M112" s="12" t="n">
        <f aca="false">(K112*Parametros!$B$18-Parametros!$B$14)*L112/(1+Parametros!$B$16)^(A112/12)</f>
        <v>53187.8863259207</v>
      </c>
    </row>
    <row r="113" customFormat="false" ht="15" hidden="false" customHeight="false" outlineLevel="0" collapsed="false">
      <c r="A113" s="0" t="n">
        <v>109</v>
      </c>
      <c r="B113" s="11" t="n">
        <f aca="false">Parametros!$B$5/(1+Parametros!$D$5*Parametros!$C$5*A113/12)^(1/Parametros!$D$5)</f>
        <v>9.08818172552941</v>
      </c>
      <c r="C113" s="12" t="n">
        <f aca="false">B113*30.4</f>
        <v>276.280724456094</v>
      </c>
      <c r="D113" s="13" t="n">
        <f aca="false">IF(Parametros!$B$18*C113-Parametros!$B$14&gt;0,1,0)</f>
        <v>1</v>
      </c>
      <c r="E113" s="12" t="n">
        <f aca="false">(C113*Parametros!$B$18-Parametros!$B$14)*D113/(1+Parametros!$B$16)^(A113/12)</f>
        <v>1816.23240952596</v>
      </c>
      <c r="F113" s="11" t="n">
        <f aca="false">Parametros!$B$6/(1+Parametros!$D$6*Parametros!$C$6*A113/12)^(1/Parametros!$D$6)</f>
        <v>40.8801958579666</v>
      </c>
      <c r="G113" s="12" t="n">
        <f aca="false">F113*30.4</f>
        <v>1242.75795408219</v>
      </c>
      <c r="H113" s="13" t="n">
        <f aca="false">IF(Parametros!$B$18*G113-Parametros!$B$14&gt;0,1,0)</f>
        <v>1</v>
      </c>
      <c r="I113" s="12" t="n">
        <f aca="false">(G113*Parametros!$B$18-Parametros!$B$14)*H113/(1+Parametros!$B$16)^(A113/12)</f>
        <v>21416.1889243275</v>
      </c>
      <c r="J113" s="11" t="n">
        <f aca="false">Parametros!$B$7/(1+Parametros!$D$7*Parametros!$C$7*A113/12)^(1/Parametros!$D$7)</f>
        <v>91.1178205795416</v>
      </c>
      <c r="K113" s="12" t="n">
        <f aca="false">J113*30.4</f>
        <v>2769.98174561807</v>
      </c>
      <c r="L113" s="13" t="n">
        <f aca="false">IF(Parametros!$B$18*K113-Parametros!$B$14&gt;0,1,0)</f>
        <v>1</v>
      </c>
      <c r="M113" s="12" t="n">
        <f aca="false">(K113*Parametros!$B$18-Parametros!$B$14)*L113/(1+Parametros!$B$16)^(A113/12)</f>
        <v>52387.968687886</v>
      </c>
    </row>
    <row r="114" customFormat="false" ht="15" hidden="false" customHeight="false" outlineLevel="0" collapsed="false">
      <c r="A114" s="0" t="n">
        <v>110</v>
      </c>
      <c r="B114" s="11" t="n">
        <f aca="false">Parametros!$B$5/(1+Parametros!$D$5*Parametros!$C$5*A114/12)^(1/Parametros!$D$5)</f>
        <v>8.92855179987911</v>
      </c>
      <c r="C114" s="12" t="n">
        <f aca="false">B114*30.4</f>
        <v>271.427974716325</v>
      </c>
      <c r="D114" s="13" t="n">
        <f aca="false">IF(Parametros!$B$18*C114-Parametros!$B$14&gt;0,1,0)</f>
        <v>1</v>
      </c>
      <c r="E114" s="12" t="n">
        <f aca="false">(C114*Parametros!$B$18-Parametros!$B$14)*D114/(1+Parametros!$B$16)^(A114/12)</f>
        <v>1704.22988910451</v>
      </c>
      <c r="F114" s="11" t="n">
        <f aca="false">Parametros!$B$6/(1+Parametros!$D$6*Parametros!$C$6*A114/12)^(1/Parametros!$D$6)</f>
        <v>40.4836868383801</v>
      </c>
      <c r="G114" s="12" t="n">
        <f aca="false">F114*30.4</f>
        <v>1230.70407988676</v>
      </c>
      <c r="H114" s="13" t="n">
        <f aca="false">IF(Parametros!$B$18*G114-Parametros!$B$14&gt;0,1,0)</f>
        <v>1</v>
      </c>
      <c r="I114" s="12" t="n">
        <f aca="false">(G114*Parametros!$B$18-Parametros!$B$14)*H114/(1+Parametros!$B$16)^(A114/12)</f>
        <v>21004.2480477293</v>
      </c>
      <c r="J114" s="11" t="n">
        <f aca="false">Parametros!$B$7/(1+Parametros!$D$7*Parametros!$C$7*A114/12)^(1/Parametros!$D$7)</f>
        <v>90.5118280512613</v>
      </c>
      <c r="K114" s="12" t="n">
        <f aca="false">J114*30.4</f>
        <v>2751.55957275834</v>
      </c>
      <c r="L114" s="13" t="n">
        <f aca="false">IF(Parametros!$B$18*K114-Parametros!$B$14&gt;0,1,0)</f>
        <v>1</v>
      </c>
      <c r="M114" s="12" t="n">
        <f aca="false">(K114*Parametros!$B$18-Parametros!$B$14)*L114/(1+Parametros!$B$16)^(A114/12)</f>
        <v>51602.8822374666</v>
      </c>
    </row>
    <row r="115" customFormat="false" ht="15" hidden="false" customHeight="false" outlineLevel="0" collapsed="false">
      <c r="A115" s="0" t="n">
        <v>111</v>
      </c>
      <c r="B115" s="11" t="n">
        <f aca="false">Parametros!$B$5/(1+Parametros!$D$5*Parametros!$C$5*A115/12)^(1/Parametros!$D$5)</f>
        <v>8.77281982550128</v>
      </c>
      <c r="C115" s="12" t="n">
        <f aca="false">B115*30.4</f>
        <v>266.693722695239</v>
      </c>
      <c r="D115" s="13" t="n">
        <f aca="false">IF(Parametros!$B$18*C115-Parametros!$B$14&gt;0,1,0)</f>
        <v>1</v>
      </c>
      <c r="E115" s="12" t="n">
        <f aca="false">(C115*Parametros!$B$18-Parametros!$B$14)*D115/(1+Parametros!$B$16)^(A115/12)</f>
        <v>1596.25105379885</v>
      </c>
      <c r="F115" s="11" t="n">
        <f aca="false">Parametros!$B$6/(1+Parametros!$D$6*Parametros!$C$6*A115/12)^(1/Parametros!$D$6)</f>
        <v>40.0940470521452</v>
      </c>
      <c r="G115" s="12" t="n">
        <f aca="false">F115*30.4</f>
        <v>1218.85903038521</v>
      </c>
      <c r="H115" s="13" t="n">
        <f aca="false">IF(Parametros!$B$18*G115-Parametros!$B$14&gt;0,1,0)</f>
        <v>1</v>
      </c>
      <c r="I115" s="12" t="n">
        <f aca="false">(G115*Parametros!$B$18-Parametros!$B$14)*H115/(1+Parametros!$B$16)^(A115/12)</f>
        <v>20601.6527988852</v>
      </c>
      <c r="J115" s="11" t="n">
        <f aca="false">Parametros!$B$7/(1+Parametros!$D$7*Parametros!$C$7*A115/12)^(1/Parametros!$D$7)</f>
        <v>89.9146318633235</v>
      </c>
      <c r="K115" s="12" t="n">
        <f aca="false">J115*30.4</f>
        <v>2733.40480864503</v>
      </c>
      <c r="L115" s="13" t="n">
        <f aca="false">IF(Parametros!$B$18*K115-Parametros!$B$14&gt;0,1,0)</f>
        <v>1</v>
      </c>
      <c r="M115" s="12" t="n">
        <f aca="false">(K115*Parametros!$B$18-Parametros!$B$14)*L115/(1+Parametros!$B$16)^(A115/12)</f>
        <v>50832.276352043</v>
      </c>
    </row>
    <row r="116" customFormat="false" ht="15" hidden="false" customHeight="false" outlineLevel="0" collapsed="false">
      <c r="A116" s="0" t="n">
        <v>112</v>
      </c>
      <c r="B116" s="11" t="n">
        <f aca="false">Parametros!$B$5/(1+Parametros!$D$5*Parametros!$C$5*A116/12)^(1/Parametros!$D$5)</f>
        <v>8.62086427311885</v>
      </c>
      <c r="C116" s="12" t="n">
        <f aca="false">B116*30.4</f>
        <v>262.074273902813</v>
      </c>
      <c r="D116" s="13" t="n">
        <f aca="false">IF(Parametros!$B$18*C116-Parametros!$B$14&gt;0,1,0)</f>
        <v>1</v>
      </c>
      <c r="E116" s="12" t="n">
        <f aca="false">(C116*Parametros!$B$18-Parametros!$B$14)*D116/(1+Parametros!$B$16)^(A116/12)</f>
        <v>1492.14737919537</v>
      </c>
      <c r="F116" s="11" t="n">
        <f aca="false">Parametros!$B$6/(1+Parametros!$D$6*Parametros!$C$6*A116/12)^(1/Parametros!$D$6)</f>
        <v>39.7111059174736</v>
      </c>
      <c r="G116" s="12" t="n">
        <f aca="false">F116*30.4</f>
        <v>1207.2176198912</v>
      </c>
      <c r="H116" s="13" t="n">
        <f aca="false">IF(Parametros!$B$18*G116-Parametros!$B$14&gt;0,1,0)</f>
        <v>1</v>
      </c>
      <c r="I116" s="12" t="n">
        <f aca="false">(G116*Parametros!$B$18-Parametros!$B$14)*H116/(1+Parametros!$B$16)^(A116/12)</f>
        <v>20208.145428305</v>
      </c>
      <c r="J116" s="11" t="n">
        <f aca="false">Parametros!$B$7/(1+Parametros!$D$7*Parametros!$C$7*A116/12)^(1/Parametros!$D$7)</f>
        <v>89.3260362357117</v>
      </c>
      <c r="K116" s="12" t="n">
        <f aca="false">J116*30.4</f>
        <v>2715.51150156564</v>
      </c>
      <c r="L116" s="13" t="n">
        <f aca="false">IF(Parametros!$B$18*K116-Parametros!$B$14&gt;0,1,0)</f>
        <v>1</v>
      </c>
      <c r="M116" s="12" t="n">
        <f aca="false">(K116*Parametros!$B$18-Parametros!$B$14)*L116/(1+Parametros!$B$16)^(A116/12)</f>
        <v>50075.8109699611</v>
      </c>
    </row>
    <row r="117" customFormat="false" ht="15" hidden="false" customHeight="false" outlineLevel="0" collapsed="false">
      <c r="A117" s="0" t="n">
        <v>113</v>
      </c>
      <c r="B117" s="11" t="n">
        <f aca="false">Parametros!$B$5/(1+Parametros!$D$5*Parametros!$C$5*A117/12)^(1/Parametros!$D$5)</f>
        <v>8.47256821257156</v>
      </c>
      <c r="C117" s="12" t="n">
        <f aca="false">B117*30.4</f>
        <v>257.566073662175</v>
      </c>
      <c r="D117" s="13" t="n">
        <f aca="false">IF(Parametros!$B$18*C117-Parametros!$B$14&gt;0,1,0)</f>
        <v>1</v>
      </c>
      <c r="E117" s="12" t="n">
        <f aca="false">(C117*Parametros!$B$18-Parametros!$B$14)*D117/(1+Parametros!$B$16)^(A117/12)</f>
        <v>1391.77649130948</v>
      </c>
      <c r="F117" s="11" t="n">
        <f aca="false">Parametros!$B$6/(1+Parametros!$D$6*Parametros!$C$6*A117/12)^(1/Parametros!$D$6)</f>
        <v>39.3346983499646</v>
      </c>
      <c r="G117" s="12" t="n">
        <f aca="false">F117*30.4</f>
        <v>1195.77482983892</v>
      </c>
      <c r="H117" s="13" t="n">
        <f aca="false">IF(Parametros!$B$18*G117-Parametros!$B$14&gt;0,1,0)</f>
        <v>1</v>
      </c>
      <c r="I117" s="12" t="n">
        <f aca="false">(G117*Parametros!$B$18-Parametros!$B$14)*H117/(1+Parametros!$B$16)^(A117/12)</f>
        <v>19823.4768485477</v>
      </c>
      <c r="J117" s="11" t="n">
        <f aca="false">Parametros!$B$7/(1+Parametros!$D$7*Parametros!$C$7*A117/12)^(1/Parametros!$D$7)</f>
        <v>88.745851237869</v>
      </c>
      <c r="K117" s="12" t="n">
        <f aca="false">J117*30.4</f>
        <v>2697.87387763122</v>
      </c>
      <c r="L117" s="13" t="n">
        <f aca="false">IF(Parametros!$B$18*K117-Parametros!$B$14&gt;0,1,0)</f>
        <v>1</v>
      </c>
      <c r="M117" s="12" t="n">
        <f aca="false">(K117*Parametros!$B$18-Parametros!$B$14)*L117/(1+Parametros!$B$16)^(A117/12)</f>
        <v>49333.1561960561</v>
      </c>
    </row>
    <row r="118" customFormat="false" ht="15" hidden="false" customHeight="false" outlineLevel="0" collapsed="false">
      <c r="A118" s="0" t="n">
        <v>114</v>
      </c>
      <c r="B118" s="11" t="n">
        <f aca="false">Parametros!$B$5/(1+Parametros!$D$5*Parametros!$C$5*A118/12)^(1/Parametros!$D$5)</f>
        <v>8.32781910853029</v>
      </c>
      <c r="C118" s="12" t="n">
        <f aca="false">B118*30.4</f>
        <v>253.165700899321</v>
      </c>
      <c r="D118" s="13" t="n">
        <f aca="false">IF(Parametros!$B$18*C118-Parametros!$B$14&gt;0,1,0)</f>
        <v>1</v>
      </c>
      <c r="E118" s="12" t="n">
        <f aca="false">(C118*Parametros!$B$18-Parametros!$B$14)*D118/(1+Parametros!$B$16)^(A118/12)</f>
        <v>1295.00187743308</v>
      </c>
      <c r="F118" s="11" t="n">
        <f aca="false">Parametros!$B$6/(1+Parametros!$D$6*Parametros!$C$6*A118/12)^(1/Parametros!$D$6)</f>
        <v>38.9646645454001</v>
      </c>
      <c r="G118" s="12" t="n">
        <f aca="false">F118*30.4</f>
        <v>1184.52580218016</v>
      </c>
      <c r="H118" s="13" t="n">
        <f aca="false">IF(Parametros!$B$18*G118-Parametros!$B$14&gt;0,1,0)</f>
        <v>1</v>
      </c>
      <c r="I118" s="12" t="n">
        <f aca="false">(G118*Parametros!$B$18-Parametros!$B$14)*H118/(1+Parametros!$B$16)^(A118/12)</f>
        <v>19447.4062853417</v>
      </c>
      <c r="J118" s="11" t="n">
        <f aca="false">Parametros!$B$7/(1+Parametros!$D$7*Parametros!$C$7*A118/12)^(1/Parametros!$D$7)</f>
        <v>88.1738925700419</v>
      </c>
      <c r="K118" s="12" t="n">
        <f aca="false">J118*30.4</f>
        <v>2680.48633412927</v>
      </c>
      <c r="L118" s="13" t="n">
        <f aca="false">IF(Parametros!$B$18*K118-Parametros!$B$14&gt;0,1,0)</f>
        <v>1</v>
      </c>
      <c r="M118" s="12" t="n">
        <f aca="false">(K118*Parametros!$B$18-Parametros!$B$14)*L118/(1+Parametros!$B$16)^(A118/12)</f>
        <v>48603.9919248439</v>
      </c>
    </row>
    <row r="119" customFormat="false" ht="15" hidden="false" customHeight="false" outlineLevel="0" collapsed="false">
      <c r="A119" s="0" t="n">
        <v>115</v>
      </c>
      <c r="B119" s="11" t="n">
        <f aca="false">Parametros!$B$5/(1+Parametros!$D$5*Parametros!$C$5*A119/12)^(1/Parametros!$D$5)</f>
        <v>8.18650862661018</v>
      </c>
      <c r="C119" s="12" t="n">
        <f aca="false">B119*30.4</f>
        <v>248.869862248949</v>
      </c>
      <c r="D119" s="13" t="n">
        <f aca="false">IF(Parametros!$B$18*C119-Parametros!$B$14&gt;0,1,0)</f>
        <v>1</v>
      </c>
      <c r="E119" s="12" t="n">
        <f aca="false">(C119*Parametros!$B$18-Parametros!$B$14)*D119/(1+Parametros!$B$16)^(A119/12)</f>
        <v>1201.6926123005</v>
      </c>
      <c r="F119" s="11" t="n">
        <f aca="false">Parametros!$B$6/(1+Parametros!$D$6*Parametros!$C$6*A119/12)^(1/Parametros!$D$6)</f>
        <v>38.6008497726805</v>
      </c>
      <c r="G119" s="12" t="n">
        <f aca="false">F119*30.4</f>
        <v>1173.46583308949</v>
      </c>
      <c r="H119" s="13" t="n">
        <f aca="false">IF(Parametros!$B$18*G119-Parametros!$B$14&gt;0,1,0)</f>
        <v>1</v>
      </c>
      <c r="I119" s="12" t="n">
        <f aca="false">(G119*Parametros!$B$18-Parametros!$B$14)*H119/(1+Parametros!$B$16)^(A119/12)</f>
        <v>19079.7009451688</v>
      </c>
      <c r="J119" s="11" t="n">
        <f aca="false">Parametros!$B$7/(1+Parametros!$D$7*Parametros!$C$7*A119/12)^(1/Parametros!$D$7)</f>
        <v>87.609981354413</v>
      </c>
      <c r="K119" s="12" t="n">
        <f aca="false">J119*30.4</f>
        <v>2663.34343317415</v>
      </c>
      <c r="L119" s="13" t="n">
        <f aca="false">IF(Parametros!$B$18*K119-Parametros!$B$14&gt;0,1,0)</f>
        <v>1</v>
      </c>
      <c r="M119" s="12" t="n">
        <f aca="false">(K119*Parametros!$B$18-Parametros!$B$14)*L119/(1+Parametros!$B$16)^(A119/12)</f>
        <v>47888.0074804579</v>
      </c>
    </row>
    <row r="120" customFormat="false" ht="15" hidden="false" customHeight="false" outlineLevel="0" collapsed="false">
      <c r="A120" s="0" t="n">
        <v>116</v>
      </c>
      <c r="B120" s="11" t="n">
        <f aca="false">Parametros!$B$5/(1+Parametros!$D$5*Parametros!$C$5*A120/12)^(1/Parametros!$D$5)</f>
        <v>8.04853244928696</v>
      </c>
      <c r="C120" s="12" t="n">
        <f aca="false">B120*30.4</f>
        <v>244.675386458323</v>
      </c>
      <c r="D120" s="13" t="n">
        <f aca="false">IF(Parametros!$B$18*C120-Parametros!$B$14&gt;0,1,0)</f>
        <v>1</v>
      </c>
      <c r="E120" s="12" t="n">
        <f aca="false">(C120*Parametros!$B$18-Parametros!$B$14)*D120/(1+Parametros!$B$16)^(A120/12)</f>
        <v>1111.72309866857</v>
      </c>
      <c r="F120" s="11" t="n">
        <f aca="false">Parametros!$B$6/(1+Parametros!$D$6*Parametros!$C$6*A120/12)^(1/Parametros!$D$6)</f>
        <v>38.2431041763551</v>
      </c>
      <c r="G120" s="12" t="n">
        <f aca="false">F120*30.4</f>
        <v>1162.59036696119</v>
      </c>
      <c r="H120" s="13" t="n">
        <f aca="false">IF(Parametros!$B$18*G120-Parametros!$B$14&gt;0,1,0)</f>
        <v>1</v>
      </c>
      <c r="I120" s="12" t="n">
        <f aca="false">(G120*Parametros!$B$18-Parametros!$B$14)*H120/(1+Parametros!$B$16)^(A120/12)</f>
        <v>18720.1356984207</v>
      </c>
      <c r="J120" s="11" t="n">
        <f aca="false">Parametros!$B$7/(1+Parametros!$D$7*Parametros!$C$7*A120/12)^(1/Parametros!$D$7)</f>
        <v>87.053943935513</v>
      </c>
      <c r="K120" s="12" t="n">
        <f aca="false">J120*30.4</f>
        <v>2646.43989563959</v>
      </c>
      <c r="L120" s="13" t="n">
        <f aca="false">IF(Parametros!$B$18*K120-Parametros!$B$14&gt;0,1,0)</f>
        <v>1</v>
      </c>
      <c r="M120" s="12" t="n">
        <f aca="false">(K120*Parametros!$B$18-Parametros!$B$14)*L120/(1+Parametros!$B$16)^(A120/12)</f>
        <v>47184.9012724642</v>
      </c>
    </row>
    <row r="121" customFormat="false" ht="15" hidden="false" customHeight="false" outlineLevel="0" collapsed="false">
      <c r="A121" s="0" t="n">
        <v>117</v>
      </c>
      <c r="B121" s="11" t="n">
        <f aca="false">Parametros!$B$5/(1+Parametros!$D$5*Parametros!$C$5*A121/12)^(1/Parametros!$D$5)</f>
        <v>7.91379010105821</v>
      </c>
      <c r="C121" s="12" t="n">
        <f aca="false">B121*30.4</f>
        <v>240.57921907217</v>
      </c>
      <c r="D121" s="13" t="n">
        <f aca="false">IF(Parametros!$B$18*C121-Parametros!$B$14&gt;0,1,0)</f>
        <v>1</v>
      </c>
      <c r="E121" s="12" t="n">
        <f aca="false">(C121*Parametros!$B$18-Parametros!$B$14)*D121/(1+Parametros!$B$16)^(A121/12)</f>
        <v>1024.97282146521</v>
      </c>
      <c r="F121" s="11" t="n">
        <f aca="false">Parametros!$B$6/(1+Parametros!$D$6*Parametros!$C$6*A121/12)^(1/Parametros!$D$6)</f>
        <v>37.8912825882358</v>
      </c>
      <c r="G121" s="12" t="n">
        <f aca="false">F121*30.4</f>
        <v>1151.89499068237</v>
      </c>
      <c r="H121" s="13" t="n">
        <f aca="false">IF(Parametros!$B$18*G121-Parametros!$B$14&gt;0,1,0)</f>
        <v>1</v>
      </c>
      <c r="I121" s="12" t="n">
        <f aca="false">(G121*Parametros!$B$18-Parametros!$B$14)*H121/(1+Parametros!$B$16)^(A121/12)</f>
        <v>18368.4927772905</v>
      </c>
      <c r="J121" s="11" t="n">
        <f aca="false">Parametros!$B$7/(1+Parametros!$D$7*Parametros!$C$7*A121/12)^(1/Parametros!$D$7)</f>
        <v>86.505611689433</v>
      </c>
      <c r="K121" s="12" t="n">
        <f aca="false">J121*30.4</f>
        <v>2629.77059535876</v>
      </c>
      <c r="L121" s="13" t="n">
        <f aca="false">IF(Parametros!$B$18*K121-Parametros!$B$14&gt;0,1,0)</f>
        <v>1</v>
      </c>
      <c r="M121" s="12" t="n">
        <f aca="false">(K121*Parametros!$B$18-Parametros!$B$14)*L121/(1+Parametros!$B$16)^(A121/12)</f>
        <v>46494.3804667399</v>
      </c>
    </row>
    <row r="122" customFormat="false" ht="15" hidden="false" customHeight="false" outlineLevel="0" collapsed="false">
      <c r="A122" s="0" t="n">
        <v>118</v>
      </c>
      <c r="B122" s="11" t="n">
        <f aca="false">Parametros!$B$5/(1+Parametros!$D$5*Parametros!$C$5*A122/12)^(1/Parametros!$D$5)</f>
        <v>7.78218478232718</v>
      </c>
      <c r="C122" s="12" t="n">
        <f aca="false">B122*30.4</f>
        <v>236.578417382746</v>
      </c>
      <c r="D122" s="13" t="n">
        <f aca="false">IF(Parametros!$B$18*C122-Parametros!$B$14&gt;0,1,0)</f>
        <v>1</v>
      </c>
      <c r="E122" s="12" t="n">
        <f aca="false">(C122*Parametros!$B$18-Parametros!$B$14)*D122/(1+Parametros!$B$16)^(A122/12)</f>
        <v>941.326114715848</v>
      </c>
      <c r="F122" s="11" t="n">
        <f aca="false">Parametros!$B$6/(1+Parametros!$D$6*Parametros!$C$6*A122/12)^(1/Parametros!$D$6)</f>
        <v>37.5452443476135</v>
      </c>
      <c r="G122" s="12" t="n">
        <f aca="false">F122*30.4</f>
        <v>1141.37542816745</v>
      </c>
      <c r="H122" s="13" t="n">
        <f aca="false">IF(Parametros!$B$18*G122-Parametros!$B$14&gt;0,1,0)</f>
        <v>1</v>
      </c>
      <c r="I122" s="12" t="n">
        <f aca="false">(G122*Parametros!$B$18-Parametros!$B$14)*H122/(1+Parametros!$B$16)^(A122/12)</f>
        <v>18024.5614876137</v>
      </c>
      <c r="J122" s="11" t="n">
        <f aca="false">Parametros!$B$7/(1+Parametros!$D$7*Parametros!$C$7*A122/12)^(1/Parametros!$D$7)</f>
        <v>85.9648208413859</v>
      </c>
      <c r="K122" s="12" t="n">
        <f aca="false">J122*30.4</f>
        <v>2613.33055357813</v>
      </c>
      <c r="L122" s="13" t="n">
        <f aca="false">IF(Parametros!$B$18*K122-Parametros!$B$14&gt;0,1,0)</f>
        <v>1</v>
      </c>
      <c r="M122" s="12" t="n">
        <f aca="false">(K122*Parametros!$B$18-Parametros!$B$14)*L122/(1+Parametros!$B$16)^(A122/12)</f>
        <v>45816.1606706459</v>
      </c>
    </row>
    <row r="123" customFormat="false" ht="15" hidden="false" customHeight="false" outlineLevel="0" collapsed="false">
      <c r="A123" s="0" t="n">
        <v>119</v>
      </c>
      <c r="B123" s="11" t="n">
        <f aca="false">Parametros!$B$5/(1+Parametros!$D$5*Parametros!$C$5*A123/12)^(1/Parametros!$D$5)</f>
        <v>7.65362321151893</v>
      </c>
      <c r="C123" s="12" t="n">
        <f aca="false">B123*30.4</f>
        <v>232.670145630175</v>
      </c>
      <c r="D123" s="13" t="n">
        <f aca="false">IF(Parametros!$B$18*C123-Parametros!$B$14&gt;0,1,0)</f>
        <v>1</v>
      </c>
      <c r="E123" s="12" t="n">
        <f aca="false">(C123*Parametros!$B$18-Parametros!$B$14)*D123/(1+Parametros!$B$16)^(A123/12)</f>
        <v>860.671940507506</v>
      </c>
      <c r="F123" s="11" t="n">
        <f aca="false">Parametros!$B$6/(1+Parametros!$D$6*Parametros!$C$6*A123/12)^(1/Parametros!$D$6)</f>
        <v>37.204853129623</v>
      </c>
      <c r="G123" s="12" t="n">
        <f aca="false">F123*30.4</f>
        <v>1131.02753514054</v>
      </c>
      <c r="H123" s="13" t="n">
        <f aca="false">IF(Parametros!$B$18*G123-Parametros!$B$14&gt;0,1,0)</f>
        <v>1</v>
      </c>
      <c r="I123" s="12" t="n">
        <f aca="false">(G123*Parametros!$B$18-Parametros!$B$14)*H123/(1+Parametros!$B$16)^(A123/12)</f>
        <v>17688.1379339196</v>
      </c>
      <c r="J123" s="11" t="n">
        <f aca="false">Parametros!$B$7/(1+Parametros!$D$7*Parametros!$C$7*A123/12)^(1/Parametros!$D$7)</f>
        <v>85.4314122911914</v>
      </c>
      <c r="K123" s="12" t="n">
        <f aca="false">J123*30.4</f>
        <v>2597.11493365222</v>
      </c>
      <c r="L123" s="13" t="n">
        <f aca="false">IF(Parametros!$B$18*K123-Parametros!$B$14&gt;0,1,0)</f>
        <v>1</v>
      </c>
      <c r="M123" s="12" t="n">
        <f aca="false">(K123*Parametros!$B$18-Parametros!$B$14)*L123/(1+Parametros!$B$16)^(A123/12)</f>
        <v>45149.965631771</v>
      </c>
    </row>
    <row r="124" customFormat="false" ht="15" hidden="false" customHeight="false" outlineLevel="0" collapsed="false">
      <c r="A124" s="0" t="n">
        <v>120</v>
      </c>
      <c r="B124" s="11" t="n">
        <f aca="false">Parametros!$B$5/(1+Parametros!$D$5*Parametros!$C$5*A124/12)^(1/Parametros!$D$5)</f>
        <v>7.52801547496973</v>
      </c>
      <c r="C124" s="12" t="n">
        <f aca="false">B124*30.4</f>
        <v>228.85167043908</v>
      </c>
      <c r="D124" s="13" t="n">
        <f aca="false">IF(Parametros!$B$18*C124-Parametros!$B$14&gt;0,1,0)</f>
        <v>1</v>
      </c>
      <c r="E124" s="12" t="n">
        <f aca="false">(C124*Parametros!$B$18-Parametros!$B$14)*D124/(1+Parametros!$B$16)^(A124/12)</f>
        <v>782.903679297963</v>
      </c>
      <c r="F124" s="11" t="n">
        <f aca="false">Parametros!$B$6/(1+Parametros!$D$6*Parametros!$C$6*A124/12)^(1/Parametros!$D$6)</f>
        <v>36.8699767813334</v>
      </c>
      <c r="G124" s="12" t="n">
        <f aca="false">F124*30.4</f>
        <v>1120.84729415254</v>
      </c>
      <c r="H124" s="13" t="n">
        <f aca="false">IF(Parametros!$B$18*G124-Parametros!$B$14&gt;0,1,0)</f>
        <v>1</v>
      </c>
      <c r="I124" s="12" t="n">
        <f aca="false">(G124*Parametros!$B$18-Parametros!$B$14)*H124/(1+Parametros!$B$16)^(A124/12)</f>
        <v>17359.0247569977</v>
      </c>
      <c r="J124" s="11" t="n">
        <f aca="false">Parametros!$B$7/(1+Parametros!$D$7*Parametros!$C$7*A124/12)^(1/Parametros!$D$7)</f>
        <v>84.9052314462858</v>
      </c>
      <c r="K124" s="12" t="n">
        <f aca="false">J124*30.4</f>
        <v>2581.11903596709</v>
      </c>
      <c r="L124" s="13" t="n">
        <f aca="false">IF(Parametros!$B$18*K124-Parametros!$B$14&gt;0,1,0)</f>
        <v>1</v>
      </c>
      <c r="M124" s="12" t="n">
        <f aca="false">(K124*Parametros!$B$18-Parametros!$B$14)*L124/(1+Parametros!$B$16)^(A124/12)</f>
        <v>44495.5269495661</v>
      </c>
    </row>
    <row r="125" customFormat="false" ht="15" hidden="false" customHeight="false" outlineLevel="0" collapsed="false">
      <c r="A125" s="0" t="n">
        <v>121</v>
      </c>
      <c r="B125" s="11" t="n">
        <f aca="false">Parametros!$B$5/(1+Parametros!$D$5*Parametros!$C$5*A125/12)^(1/Parametros!$D$5)</f>
        <v>7.40527488415864</v>
      </c>
      <c r="C125" s="12" t="n">
        <f aca="false">B125*30.4</f>
        <v>225.120356478423</v>
      </c>
      <c r="D125" s="13" t="n">
        <f aca="false">IF(Parametros!$B$18*C125-Parametros!$B$14&gt;0,1,0)</f>
        <v>1</v>
      </c>
      <c r="E125" s="12" t="n">
        <f aca="false">(C125*Parametros!$B$18-Parametros!$B$14)*D125/(1+Parametros!$B$16)^(A125/12)</f>
        <v>707.918930921129</v>
      </c>
      <c r="F125" s="11" t="n">
        <f aca="false">Parametros!$B$6/(1+Parametros!$D$6*Parametros!$C$6*A125/12)^(1/Parametros!$D$6)</f>
        <v>36.5404871651613</v>
      </c>
      <c r="G125" s="12" t="n">
        <f aca="false">F125*30.4</f>
        <v>1110.8308098209</v>
      </c>
      <c r="H125" s="13" t="n">
        <f aca="false">IF(Parametros!$B$18*G125-Parametros!$B$14&gt;0,1,0)</f>
        <v>1</v>
      </c>
      <c r="I125" s="12" t="n">
        <f aca="false">(G125*Parametros!$B$18-Parametros!$B$14)*H125/(1+Parametros!$B$16)^(A125/12)</f>
        <v>17037.0308833276</v>
      </c>
      <c r="J125" s="11" t="n">
        <f aca="false">Parametros!$B$7/(1+Parametros!$D$7*Parametros!$C$7*A125/12)^(1/Parametros!$D$7)</f>
        <v>84.3861280618782</v>
      </c>
      <c r="K125" s="12" t="n">
        <f aca="false">J125*30.4</f>
        <v>2565.3382930811</v>
      </c>
      <c r="L125" s="13" t="n">
        <f aca="false">IF(Parametros!$B$18*K125-Parametros!$B$14&gt;0,1,0)</f>
        <v>1</v>
      </c>
      <c r="M125" s="12" t="n">
        <f aca="false">(K125*Parametros!$B$18-Parametros!$B$14)*L125/(1+Parametros!$B$16)^(A125/12)</f>
        <v>43852.583799225</v>
      </c>
    </row>
    <row r="126" customFormat="false" ht="15" hidden="false" customHeight="false" outlineLevel="0" collapsed="false">
      <c r="A126" s="0" t="n">
        <v>122</v>
      </c>
      <c r="B126" s="11" t="n">
        <f aca="false">Parametros!$B$5/(1+Parametros!$D$5*Parametros!$C$5*A126/12)^(1/Parametros!$D$5)</f>
        <v>7.28531783987692</v>
      </c>
      <c r="C126" s="12" t="n">
        <f aca="false">B126*30.4</f>
        <v>221.473662332259</v>
      </c>
      <c r="D126" s="13" t="n">
        <f aca="false">IF(Parametros!$B$18*C126-Parametros!$B$14&gt;0,1,0)</f>
        <v>1</v>
      </c>
      <c r="E126" s="12" t="n">
        <f aca="false">(C126*Parametros!$B$18-Parametros!$B$14)*D126/(1+Parametros!$B$16)^(A126/12)</f>
        <v>635.619325680768</v>
      </c>
      <c r="F126" s="11" t="n">
        <f aca="false">Parametros!$B$6/(1+Parametros!$D$6*Parametros!$C$6*A126/12)^(1/Parametros!$D$6)</f>
        <v>36.2162600092321</v>
      </c>
      <c r="G126" s="12" t="n">
        <f aca="false">F126*30.4</f>
        <v>1100.97430428065</v>
      </c>
      <c r="H126" s="13" t="n">
        <f aca="false">IF(Parametros!$B$18*G126-Parametros!$B$14&gt;0,1,0)</f>
        <v>1</v>
      </c>
      <c r="I126" s="12" t="n">
        <f aca="false">(G126*Parametros!$B$18-Parametros!$B$14)*H126/(1+Parametros!$B$16)^(A126/12)</f>
        <v>16721.9712857545</v>
      </c>
      <c r="J126" s="11" t="n">
        <f aca="false">Parametros!$B$7/(1+Parametros!$D$7*Parametros!$C$7*A126/12)^(1/Parametros!$D$7)</f>
        <v>83.8739560878979</v>
      </c>
      <c r="K126" s="12" t="n">
        <f aca="false">J126*30.4</f>
        <v>2549.7682650721</v>
      </c>
      <c r="L126" s="13" t="n">
        <f aca="false">IF(Parametros!$B$18*K126-Parametros!$B$14&gt;0,1,0)</f>
        <v>1</v>
      </c>
      <c r="M126" s="12" t="n">
        <f aca="false">(K126*Parametros!$B$18-Parametros!$B$14)*L126/(1+Parametros!$B$16)^(A126/12)</f>
        <v>43220.882667206</v>
      </c>
    </row>
    <row r="127" customFormat="false" ht="15" hidden="false" customHeight="false" outlineLevel="0" collapsed="false">
      <c r="A127" s="0" t="n">
        <v>123</v>
      </c>
      <c r="B127" s="11" t="n">
        <f aca="false">Parametros!$B$5/(1+Parametros!$D$5*Parametros!$C$5*A127/12)^(1/Parametros!$D$5)</f>
        <v>7.16806370295578</v>
      </c>
      <c r="C127" s="12" t="n">
        <f aca="false">B127*30.4</f>
        <v>217.909136569856</v>
      </c>
      <c r="D127" s="13" t="n">
        <f aca="false">IF(Parametros!$B$18*C127-Parametros!$B$14&gt;0,1,0)</f>
        <v>1</v>
      </c>
      <c r="E127" s="12" t="n">
        <f aca="false">(C127*Parametros!$B$18-Parametros!$B$14)*D127/(1+Parametros!$B$16)^(A127/12)</f>
        <v>565.910344962869</v>
      </c>
      <c r="F127" s="11" t="n">
        <f aca="false">Parametros!$B$6/(1+Parametros!$D$6*Parametros!$C$6*A127/12)^(1/Parametros!$D$6)</f>
        <v>35.8971747643319</v>
      </c>
      <c r="G127" s="12" t="n">
        <f aca="false">F127*30.4</f>
        <v>1091.27411283569</v>
      </c>
      <c r="H127" s="13" t="n">
        <f aca="false">IF(Parametros!$B$18*G127-Parametros!$B$14&gt;0,1,0)</f>
        <v>1</v>
      </c>
      <c r="I127" s="12" t="n">
        <f aca="false">(G127*Parametros!$B$18-Parametros!$B$14)*H127/(1+Parametros!$B$16)^(A127/12)</f>
        <v>16413.6667548332</v>
      </c>
      <c r="J127" s="11" t="n">
        <f aca="false">Parametros!$B$7/(1+Parametros!$D$7*Parametros!$C$7*A127/12)^(1/Parametros!$D$7)</f>
        <v>83.3685735223969</v>
      </c>
      <c r="K127" s="12" t="n">
        <f aca="false">J127*30.4</f>
        <v>2534.40463508087</v>
      </c>
      <c r="L127" s="13" t="n">
        <f aca="false">IF(Parametros!$B$18*K127-Parametros!$B$14&gt;0,1,0)</f>
        <v>1</v>
      </c>
      <c r="M127" s="12" t="n">
        <f aca="false">(K127*Parametros!$B$18-Parametros!$B$14)*L127/(1+Parametros!$B$16)^(A127/12)</f>
        <v>42600.1770978233</v>
      </c>
    </row>
    <row r="128" customFormat="false" ht="15" hidden="false" customHeight="false" outlineLevel="0" collapsed="false">
      <c r="A128" s="0" t="n">
        <v>124</v>
      </c>
      <c r="B128" s="11" t="n">
        <f aca="false">Parametros!$B$5/(1+Parametros!$D$5*Parametros!$C$5*A128/12)^(1/Parametros!$D$5)</f>
        <v>7.05343467119568</v>
      </c>
      <c r="C128" s="12" t="n">
        <f aca="false">B128*30.4</f>
        <v>214.424414004349</v>
      </c>
      <c r="D128" s="13" t="n">
        <f aca="false">IF(Parametros!$B$18*C128-Parametros!$B$14&gt;0,1,0)</f>
        <v>1</v>
      </c>
      <c r="E128" s="12" t="n">
        <f aca="false">(C128*Parametros!$B$18-Parametros!$B$14)*D128/(1+Parametros!$B$16)^(A128/12)</f>
        <v>498.701150832313</v>
      </c>
      <c r="F128" s="11" t="n">
        <f aca="false">Parametros!$B$6/(1+Parametros!$D$6*Parametros!$C$6*A128/12)^(1/Parametros!$D$6)</f>
        <v>35.5831144671187</v>
      </c>
      <c r="G128" s="12" t="n">
        <f aca="false">F128*30.4</f>
        <v>1081.72667980041</v>
      </c>
      <c r="H128" s="13" t="n">
        <f aca="false">IF(Parametros!$B$18*G128-Parametros!$B$14&gt;0,1,0)</f>
        <v>1</v>
      </c>
      <c r="I128" s="12" t="n">
        <f aca="false">(G128*Parametros!$B$18-Parametros!$B$14)*H128/(1+Parametros!$B$16)^(A128/12)</f>
        <v>16111.9436802955</v>
      </c>
      <c r="J128" s="11" t="n">
        <f aca="false">Parametros!$B$7/(1+Parametros!$D$7*Parametros!$C$7*A128/12)^(1/Parametros!$D$7)</f>
        <v>82.8698422710921</v>
      </c>
      <c r="K128" s="12" t="n">
        <f aca="false">J128*30.4</f>
        <v>2519.2432050412</v>
      </c>
      <c r="L128" s="13" t="n">
        <f aca="false">IF(Parametros!$B$18*K128-Parametros!$B$14&gt;0,1,0)</f>
        <v>1</v>
      </c>
      <c r="M128" s="12" t="n">
        <f aca="false">(K128*Parametros!$B$18-Parametros!$B$14)*L128/(1+Parametros!$B$16)^(A128/12)</f>
        <v>41990.227450366</v>
      </c>
    </row>
    <row r="129" customFormat="false" ht="15" hidden="false" customHeight="false" outlineLevel="0" collapsed="false">
      <c r="A129" s="0" t="n">
        <v>125</v>
      </c>
      <c r="B129" s="11" t="n">
        <f aca="false">Parametros!$B$5/(1+Parametros!$D$5*Parametros!$C$5*A129/12)^(1/Parametros!$D$5)</f>
        <v>6.94135566216228</v>
      </c>
      <c r="C129" s="12" t="n">
        <f aca="false">B129*30.4</f>
        <v>211.017212129733</v>
      </c>
      <c r="D129" s="13" t="n">
        <f aca="false">IF(Parametros!$B$18*C129-Parametros!$B$14&gt;0,1,0)</f>
        <v>1</v>
      </c>
      <c r="E129" s="12" t="n">
        <f aca="false">(C129*Parametros!$B$18-Parametros!$B$14)*D129/(1+Parametros!$B$16)^(A129/12)</f>
        <v>433.904424112653</v>
      </c>
      <c r="F129" s="11" t="n">
        <f aca="false">Parametros!$B$6/(1+Parametros!$D$6*Parametros!$C$6*A129/12)^(1/Parametros!$D$6)</f>
        <v>35.2739656092739</v>
      </c>
      <c r="G129" s="12" t="n">
        <f aca="false">F129*30.4</f>
        <v>1072.32855452193</v>
      </c>
      <c r="H129" s="13" t="n">
        <f aca="false">IF(Parametros!$B$18*G129-Parametros!$B$14&gt;0,1,0)</f>
        <v>1</v>
      </c>
      <c r="I129" s="12" t="n">
        <f aca="false">(G129*Parametros!$B$18-Parametros!$B$14)*H129/(1+Parametros!$B$16)^(A129/12)</f>
        <v>15816.6338421241</v>
      </c>
      <c r="J129" s="11" t="n">
        <f aca="false">Parametros!$B$7/(1+Parametros!$D$7*Parametros!$C$7*A129/12)^(1/Parametros!$D$7)</f>
        <v>82.3776280127467</v>
      </c>
      <c r="K129" s="12" t="n">
        <f aca="false">J129*30.4</f>
        <v>2504.2798915875</v>
      </c>
      <c r="L129" s="13" t="n">
        <f aca="false">IF(Parametros!$B$18*K129-Parametros!$B$14&gt;0,1,0)</f>
        <v>1</v>
      </c>
      <c r="M129" s="12" t="n">
        <f aca="false">(K129*Parametros!$B$18-Parametros!$B$14)*L129/(1+Parametros!$B$16)^(A129/12)</f>
        <v>41390.8006662379</v>
      </c>
    </row>
    <row r="130" customFormat="false" ht="15" hidden="false" customHeight="false" outlineLevel="0" collapsed="false">
      <c r="A130" s="0" t="n">
        <v>126</v>
      </c>
      <c r="B130" s="11" t="n">
        <f aca="false">Parametros!$B$5/(1+Parametros!$D$5*Parametros!$C$5*A130/12)^(1/Parametros!$D$5)</f>
        <v>6.83175420153418</v>
      </c>
      <c r="C130" s="12" t="n">
        <f aca="false">B130*30.4</f>
        <v>207.685327726639</v>
      </c>
      <c r="D130" s="13" t="n">
        <f aca="false">IF(Parametros!$B$18*C130-Parametros!$B$14&gt;0,1,0)</f>
        <v>1</v>
      </c>
      <c r="E130" s="12" t="n">
        <f aca="false">(C130*Parametros!$B$18-Parametros!$B$14)*D130/(1+Parametros!$B$16)^(A130/12)</f>
        <v>371.43621047864</v>
      </c>
      <c r="F130" s="11" t="n">
        <f aca="false">Parametros!$B$6/(1+Parametros!$D$6*Parametros!$C$6*A130/12)^(1/Parametros!$D$6)</f>
        <v>34.9696180122999</v>
      </c>
      <c r="G130" s="12" t="n">
        <f aca="false">F130*30.4</f>
        <v>1063.07638757392</v>
      </c>
      <c r="H130" s="13" t="n">
        <f aca="false">IF(Parametros!$B$18*G130-Parametros!$B$14&gt;0,1,0)</f>
        <v>1</v>
      </c>
      <c r="I130" s="12" t="n">
        <f aca="false">(G130*Parametros!$B$18-Parametros!$B$14)*H130/(1+Parametros!$B$16)^(A130/12)</f>
        <v>15527.5742107522</v>
      </c>
      <c r="J130" s="11" t="n">
        <f aca="false">Parametros!$B$7/(1+Parametros!$D$7*Parametros!$C$7*A130/12)^(1/Parametros!$D$7)</f>
        <v>81.8918000701098</v>
      </c>
      <c r="K130" s="12" t="n">
        <f aca="false">J130*30.4</f>
        <v>2489.51072213134</v>
      </c>
      <c r="L130" s="13" t="n">
        <f aca="false">IF(Parametros!$B$18*K130-Parametros!$B$14&gt;0,1,0)</f>
        <v>1</v>
      </c>
      <c r="M130" s="12" t="n">
        <f aca="false">(K130*Parametros!$B$18-Parametros!$B$14)*L130/(1+Parametros!$B$16)^(A130/12)</f>
        <v>40801.6700456334</v>
      </c>
    </row>
    <row r="131" customFormat="false" ht="15" hidden="false" customHeight="false" outlineLevel="0" collapsed="false">
      <c r="A131" s="0" t="n">
        <v>127</v>
      </c>
      <c r="B131" s="11" t="n">
        <f aca="false">Parametros!$B$5/(1+Parametros!$D$5*Parametros!$C$5*A131/12)^(1/Parametros!$D$5)</f>
        <v>6.72456031670599</v>
      </c>
      <c r="C131" s="12" t="n">
        <f aca="false">B131*30.4</f>
        <v>204.426633627862</v>
      </c>
      <c r="D131" s="13" t="n">
        <f aca="false">IF(Parametros!$B$18*C131-Parametros!$B$14&gt;0,1,0)</f>
        <v>1</v>
      </c>
      <c r="E131" s="12" t="n">
        <f aca="false">(C131*Parametros!$B$18-Parametros!$B$14)*D131/(1+Parametros!$B$16)^(A131/12)</f>
        <v>311.215774119809</v>
      </c>
      <c r="F131" s="11" t="n">
        <f aca="false">Parametros!$B$6/(1+Parametros!$D$6*Parametros!$C$6*A131/12)^(1/Parametros!$D$6)</f>
        <v>34.6699647076813</v>
      </c>
      <c r="G131" s="12" t="n">
        <f aca="false">F131*30.4</f>
        <v>1053.96692711351</v>
      </c>
      <c r="H131" s="13" t="n">
        <f aca="false">IF(Parametros!$B$18*G131-Parametros!$B$14&gt;0,1,0)</f>
        <v>1</v>
      </c>
      <c r="I131" s="12" t="n">
        <f aca="false">(G131*Parametros!$B$18-Parametros!$B$14)*H131/(1+Parametros!$B$16)^(A131/12)</f>
        <v>15244.6067559289</v>
      </c>
      <c r="J131" s="11" t="n">
        <f aca="false">Parametros!$B$7/(1+Parametros!$D$7*Parametros!$C$7*A131/12)^(1/Parametros!$D$7)</f>
        <v>81.4122312861453</v>
      </c>
      <c r="K131" s="12" t="n">
        <f aca="false">J131*30.4</f>
        <v>2474.93183109882</v>
      </c>
      <c r="L131" s="13" t="n">
        <f aca="false">IF(Parametros!$B$18*K131-Parametros!$B$14&gt;0,1,0)</f>
        <v>1</v>
      </c>
      <c r="M131" s="12" t="n">
        <f aca="false">(K131*Parametros!$B$18-Parametros!$B$14)*L131/(1+Parametros!$B$16)^(A131/12)</f>
        <v>40222.6150332959</v>
      </c>
    </row>
    <row r="132" customFormat="false" ht="15" hidden="false" customHeight="false" outlineLevel="0" collapsed="false">
      <c r="A132" s="0" t="n">
        <v>128</v>
      </c>
      <c r="B132" s="11" t="n">
        <f aca="false">Parametros!$B$5/(1+Parametros!$D$5*Parametros!$C$5*A132/12)^(1/Parametros!$D$5)</f>
        <v>6.61970643536848</v>
      </c>
      <c r="C132" s="12" t="n">
        <f aca="false">B132*30.4</f>
        <v>201.239075635202</v>
      </c>
      <c r="D132" s="13" t="n">
        <f aca="false">IF(Parametros!$B$18*C132-Parametros!$B$14&gt;0,1,0)</f>
        <v>1</v>
      </c>
      <c r="E132" s="12" t="n">
        <f aca="false">(C132*Parametros!$B$18-Parametros!$B$14)*D132/(1+Parametros!$B$16)^(A132/12)</f>
        <v>253.165458560428</v>
      </c>
      <c r="F132" s="11" t="n">
        <f aca="false">Parametros!$B$6/(1+Parametros!$D$6*Parametros!$C$6*A132/12)^(1/Parametros!$D$6)</f>
        <v>34.3749018221461</v>
      </c>
      <c r="G132" s="12" t="n">
        <f aca="false">F132*30.4</f>
        <v>1044.99701539324</v>
      </c>
      <c r="H132" s="13" t="n">
        <f aca="false">IF(Parametros!$B$18*G132-Parametros!$B$14&gt;0,1,0)</f>
        <v>1</v>
      </c>
      <c r="I132" s="12" t="n">
        <f aca="false">(G132*Parametros!$B$18-Parametros!$B$14)*H132/(1+Parametros!$B$16)^(A132/12)</f>
        <v>14967.5782638202</v>
      </c>
      <c r="J132" s="11" t="n">
        <f aca="false">Parametros!$B$7/(1+Parametros!$D$7*Parametros!$C$7*A132/12)^(1/Parametros!$D$7)</f>
        <v>80.9387979053007</v>
      </c>
      <c r="K132" s="12" t="n">
        <f aca="false">J132*30.4</f>
        <v>2460.53945632114</v>
      </c>
      <c r="L132" s="13" t="n">
        <f aca="false">IF(Parametros!$B$18*K132-Parametros!$B$14&gt;0,1,0)</f>
        <v>1</v>
      </c>
      <c r="M132" s="12" t="n">
        <f aca="false">(K132*Parametros!$B$18-Parametros!$B$14)*L132/(1+Parametros!$B$16)^(A132/12)</f>
        <v>39653.421012928</v>
      </c>
    </row>
    <row r="133" customFormat="false" ht="15" hidden="false" customHeight="false" outlineLevel="0" collapsed="false">
      <c r="A133" s="0" t="n">
        <v>129</v>
      </c>
      <c r="B133" s="11" t="n">
        <f aca="false">Parametros!$B$5/(1+Parametros!$D$5*Parametros!$C$5*A133/12)^(1/Parametros!$D$5)</f>
        <v>6.51712728880331</v>
      </c>
      <c r="C133" s="12" t="n">
        <f aca="false">B133*30.4</f>
        <v>198.120669579621</v>
      </c>
      <c r="D133" s="13" t="n">
        <f aca="false">IF(Parametros!$B$18*C133-Parametros!$B$14&gt;0,1,0)</f>
        <v>1</v>
      </c>
      <c r="E133" s="12" t="n">
        <f aca="false">(C133*Parametros!$B$18-Parametros!$B$14)*D133/(1+Parametros!$B$16)^(A133/12)</f>
        <v>197.210554246032</v>
      </c>
      <c r="F133" s="11" t="n">
        <f aca="false">Parametros!$B$6/(1+Parametros!$D$6*Parametros!$C$6*A133/12)^(1/Parametros!$D$6)</f>
        <v>34.0843284677758</v>
      </c>
      <c r="G133" s="12" t="n">
        <f aca="false">F133*30.4</f>
        <v>1036.16358542038</v>
      </c>
      <c r="H133" s="13" t="n">
        <f aca="false">IF(Parametros!$B$18*G133-Parametros!$B$14&gt;0,1,0)</f>
        <v>1</v>
      </c>
      <c r="I133" s="12" t="n">
        <f aca="false">(G133*Parametros!$B$18-Parametros!$B$14)*H133/(1+Parametros!$B$16)^(A133/12)</f>
        <v>14696.3401619392</v>
      </c>
      <c r="J133" s="11" t="n">
        <f aca="false">Parametros!$B$7/(1+Parametros!$D$7*Parametros!$C$7*A133/12)^(1/Parametros!$D$7)</f>
        <v>80.4713794595744</v>
      </c>
      <c r="K133" s="12" t="n">
        <f aca="false">J133*30.4</f>
        <v>2446.32993557106</v>
      </c>
      <c r="L133" s="13" t="n">
        <f aca="false">IF(Parametros!$B$18*K133-Parametros!$B$14&gt;0,1,0)</f>
        <v>1</v>
      </c>
      <c r="M133" s="12" t="n">
        <f aca="false">(K133*Parametros!$B$18-Parametros!$B$14)*L133/(1+Parametros!$B$16)^(A133/12)</f>
        <v>39093.8791098458</v>
      </c>
    </row>
    <row r="134" customFormat="false" ht="15" hidden="false" customHeight="false" outlineLevel="0" collapsed="false">
      <c r="A134" s="0" t="n">
        <v>130</v>
      </c>
      <c r="B134" s="11" t="n">
        <f aca="false">Parametros!$B$5/(1+Parametros!$D$5*Parametros!$C$5*A134/12)^(1/Parametros!$D$5)</f>
        <v>6.41675981964571</v>
      </c>
      <c r="C134" s="12" t="n">
        <f aca="false">B134*30.4</f>
        <v>195.069498517229</v>
      </c>
      <c r="D134" s="13" t="n">
        <f aca="false">IF(Parametros!$B$18*C134-Parametros!$B$14&gt;0,1,0)</f>
        <v>1</v>
      </c>
      <c r="E134" s="12" t="n">
        <f aca="false">(C134*Parametros!$B$18-Parametros!$B$14)*D134/(1+Parametros!$B$16)^(A134/12)</f>
        <v>143.279172530201</v>
      </c>
      <c r="F134" s="11" t="n">
        <f aca="false">Parametros!$B$6/(1+Parametros!$D$6*Parametros!$C$6*A134/12)^(1/Parametros!$D$6)</f>
        <v>33.7981466367293</v>
      </c>
      <c r="G134" s="12" t="n">
        <f aca="false">F134*30.4</f>
        <v>1027.46365775657</v>
      </c>
      <c r="H134" s="13" t="n">
        <f aca="false">IF(Parametros!$B$18*G134-Parametros!$B$14&gt;0,1,0)</f>
        <v>1</v>
      </c>
      <c r="I134" s="12" t="n">
        <f aca="false">(G134*Parametros!$B$18-Parametros!$B$14)*H134/(1+Parametros!$B$16)^(A134/12)</f>
        <v>14430.7483515197</v>
      </c>
      <c r="J134" s="11" t="n">
        <f aca="false">Parametros!$B$7/(1+Parametros!$D$7*Parametros!$C$7*A134/12)^(1/Parametros!$D$7)</f>
        <v>80.0098586591579</v>
      </c>
      <c r="K134" s="12" t="n">
        <f aca="false">J134*30.4</f>
        <v>2432.2997032384</v>
      </c>
      <c r="L134" s="13" t="n">
        <f aca="false">IF(Parametros!$B$18*K134-Parametros!$B$14&gt;0,1,0)</f>
        <v>1</v>
      </c>
      <c r="M134" s="12" t="n">
        <f aca="false">(K134*Parametros!$B$18-Parametros!$B$14)*L134/(1+Parametros!$B$16)^(A134/12)</f>
        <v>38543.7860014918</v>
      </c>
    </row>
    <row r="135" customFormat="false" ht="15" hidden="false" customHeight="false" outlineLevel="0" collapsed="false">
      <c r="A135" s="0" t="n">
        <v>131</v>
      </c>
      <c r="B135" s="11" t="n">
        <f aca="false">Parametros!$B$5/(1+Parametros!$D$5*Parametros!$C$5*A135/12)^(1/Parametros!$D$5)</f>
        <v>6.31854309388233</v>
      </c>
      <c r="C135" s="12" t="n">
        <f aca="false">B135*30.4</f>
        <v>192.083710054023</v>
      </c>
      <c r="D135" s="13" t="n">
        <f aca="false">IF(Parametros!$B$18*C135-Parametros!$B$14&gt;0,1,0)</f>
        <v>1</v>
      </c>
      <c r="E135" s="12" t="n">
        <f aca="false">(C135*Parametros!$B$18-Parametros!$B$14)*D135/(1+Parametros!$B$16)^(A135/12)</f>
        <v>91.3021257171693</v>
      </c>
      <c r="F135" s="11" t="n">
        <f aca="false">Parametros!$B$6/(1+Parametros!$D$6*Parametros!$C$6*A135/12)^(1/Parametros!$D$6)</f>
        <v>33.5162611003566</v>
      </c>
      <c r="G135" s="12" t="n">
        <f aca="false">F135*30.4</f>
        <v>1018.89433745084</v>
      </c>
      <c r="H135" s="13" t="n">
        <f aca="false">IF(Parametros!$B$18*G135-Parametros!$B$14&gt;0,1,0)</f>
        <v>1</v>
      </c>
      <c r="I135" s="12" t="n">
        <f aca="false">(G135*Parametros!$B$18-Parametros!$B$14)*H135/(1+Parametros!$B$16)^(A135/12)</f>
        <v>14170.6630469717</v>
      </c>
      <c r="J135" s="11" t="n">
        <f aca="false">Parametros!$B$7/(1+Parametros!$D$7*Parametros!$C$7*A135/12)^(1/Parametros!$D$7)</f>
        <v>79.5541212874374</v>
      </c>
      <c r="K135" s="12" t="n">
        <f aca="false">J135*30.4</f>
        <v>2418.4452871381</v>
      </c>
      <c r="L135" s="13" t="n">
        <f aca="false">IF(Parametros!$B$18*K135-Parametros!$B$14&gt;0,1,0)</f>
        <v>1</v>
      </c>
      <c r="M135" s="12" t="n">
        <f aca="false">(K135*Parametros!$B$18-Parametros!$B$14)*L135/(1+Parametros!$B$16)^(A135/12)</f>
        <v>38002.9437354422</v>
      </c>
    </row>
    <row r="136" customFormat="false" ht="15" hidden="false" customHeight="false" outlineLevel="0" collapsed="false">
      <c r="A136" s="0" t="n">
        <v>132</v>
      </c>
      <c r="B136" s="11" t="n">
        <f aca="false">Parametros!$B$5/(1+Parametros!$D$5*Parametros!$C$5*A136/12)^(1/Parametros!$D$5)</f>
        <v>6.22241821686557</v>
      </c>
      <c r="C136" s="12" t="n">
        <f aca="false">B136*30.4</f>
        <v>189.161513792713</v>
      </c>
      <c r="D136" s="13" t="n">
        <f aca="false">IF(Parametros!$B$18*C136-Parametros!$B$14&gt;0,1,0)</f>
        <v>1</v>
      </c>
      <c r="E136" s="12" t="n">
        <f aca="false">(C136*Parametros!$B$18-Parametros!$B$14)*D136/(1+Parametros!$B$16)^(A136/12)</f>
        <v>41.2128128362131</v>
      </c>
      <c r="F136" s="11" t="n">
        <f aca="false">Parametros!$B$6/(1+Parametros!$D$6*Parametros!$C$6*A136/12)^(1/Parametros!$D$6)</f>
        <v>33.2385793124917</v>
      </c>
      <c r="G136" s="12" t="n">
        <f aca="false">F136*30.4</f>
        <v>1010.45281109975</v>
      </c>
      <c r="H136" s="13" t="n">
        <f aca="false">IF(Parametros!$B$18*G136-Parametros!$B$14&gt;0,1,0)</f>
        <v>1</v>
      </c>
      <c r="I136" s="12" t="n">
        <f aca="false">(G136*Parametros!$B$18-Parametros!$B$14)*H136/(1+Parametros!$B$16)^(A136/12)</f>
        <v>13915.948622074</v>
      </c>
      <c r="J136" s="11" t="n">
        <f aca="false">Parametros!$B$7/(1+Parametros!$D$7*Parametros!$C$7*A136/12)^(1/Parametros!$D$7)</f>
        <v>79.1040561001544</v>
      </c>
      <c r="K136" s="12" t="n">
        <f aca="false">J136*30.4</f>
        <v>2404.76330544469</v>
      </c>
      <c r="L136" s="13" t="n">
        <f aca="false">IF(Parametros!$B$18*K136-Parametros!$B$14&gt;0,1,0)</f>
        <v>1</v>
      </c>
      <c r="M136" s="12" t="n">
        <f aca="false">(K136*Parametros!$B$18-Parametros!$B$14)*L136/(1+Parametros!$B$16)^(A136/12)</f>
        <v>37471.159554562</v>
      </c>
    </row>
    <row r="137" customFormat="false" ht="15" hidden="false" customHeight="false" outlineLevel="0" collapsed="false">
      <c r="A137" s="0" t="n">
        <v>133</v>
      </c>
      <c r="B137" s="11" t="n">
        <f aca="false">Parametros!$B$5/(1+Parametros!$D$5*Parametros!$C$5*A137/12)^(1/Parametros!$D$5)</f>
        <v>6.1283282531375</v>
      </c>
      <c r="C137" s="12" t="n">
        <f aca="false">B137*30.4</f>
        <v>186.30117889538</v>
      </c>
      <c r="D137" s="13" t="n">
        <f aca="false">IF(Parametros!$B$18*C137-Parametros!$B$14&gt;0,1,0)</f>
        <v>0</v>
      </c>
      <c r="E137" s="12" t="n">
        <f aca="false">(C137*Parametros!$B$18-Parametros!$B$14)*D137/(1+Parametros!$B$16)^(A137/12)</f>
        <v>-0</v>
      </c>
      <c r="F137" s="11" t="n">
        <f aca="false">Parametros!$B$6/(1+Parametros!$D$6*Parametros!$C$6*A137/12)^(1/Parametros!$D$6)</f>
        <v>32.9650113167255</v>
      </c>
      <c r="G137" s="12" t="n">
        <f aca="false">F137*30.4</f>
        <v>1002.13634402846</v>
      </c>
      <c r="H137" s="13" t="n">
        <f aca="false">IF(Parametros!$B$18*G137-Parametros!$B$14&gt;0,1,0)</f>
        <v>1</v>
      </c>
      <c r="I137" s="12" t="n">
        <f aca="false">(G137*Parametros!$B$18-Parametros!$B$14)*H137/(1+Parametros!$B$16)^(A137/12)</f>
        <v>13666.4734625819</v>
      </c>
      <c r="J137" s="11" t="n">
        <f aca="false">Parametros!$B$7/(1+Parametros!$D$7*Parametros!$C$7*A137/12)^(1/Parametros!$D$7)</f>
        <v>78.6595547285321</v>
      </c>
      <c r="K137" s="12" t="n">
        <f aca="false">J137*30.4</f>
        <v>2391.25046374738</v>
      </c>
      <c r="L137" s="13" t="n">
        <f aca="false">IF(Parametros!$B$18*K137-Parametros!$B$14&gt;0,1,0)</f>
        <v>1</v>
      </c>
      <c r="M137" s="12" t="n">
        <f aca="false">(K137*Parametros!$B$18-Parametros!$B$14)*L137/(1+Parametros!$B$16)^(A137/12)</f>
        <v>36948.2457289823</v>
      </c>
    </row>
    <row r="138" customFormat="false" ht="15" hidden="false" customHeight="false" outlineLevel="0" collapsed="false">
      <c r="A138" s="0" t="n">
        <v>134</v>
      </c>
      <c r="B138" s="11" t="n">
        <f aca="false">Parametros!$B$5/(1+Parametros!$D$5*Parametros!$C$5*A138/12)^(1/Parametros!$D$5)</f>
        <v>6.036218149869</v>
      </c>
      <c r="C138" s="12" t="n">
        <f aca="false">B138*30.4</f>
        <v>183.501031756018</v>
      </c>
      <c r="D138" s="13" t="n">
        <f aca="false">IF(Parametros!$B$18*C138-Parametros!$B$14&gt;0,1,0)</f>
        <v>0</v>
      </c>
      <c r="E138" s="12" t="n">
        <f aca="false">(C138*Parametros!$B$18-Parametros!$B$14)*D138/(1+Parametros!$B$16)^(A138/12)</f>
        <v>-0</v>
      </c>
      <c r="F138" s="11" t="n">
        <f aca="false">Parametros!$B$6/(1+Parametros!$D$6*Parametros!$C$6*A138/12)^(1/Parametros!$D$6)</f>
        <v>32.6954696574693</v>
      </c>
      <c r="G138" s="12" t="n">
        <f aca="false">F138*30.4</f>
        <v>993.942277587065</v>
      </c>
      <c r="H138" s="13" t="n">
        <f aca="false">IF(Parametros!$B$18*G138-Parametros!$B$14&gt;0,1,0)</f>
        <v>1</v>
      </c>
      <c r="I138" s="12" t="n">
        <f aca="false">(G138*Parametros!$B$18-Parametros!$B$14)*H138/(1+Parametros!$B$16)^(A138/12)</f>
        <v>13422.1098249404</v>
      </c>
      <c r="J138" s="11" t="n">
        <f aca="false">Parametros!$B$7/(1+Parametros!$D$7*Parametros!$C$7*A138/12)^(1/Parametros!$D$7)</f>
        <v>78.2205115861873</v>
      </c>
      <c r="K138" s="12" t="n">
        <f aca="false">J138*30.4</f>
        <v>2377.90355222009</v>
      </c>
      <c r="L138" s="13" t="n">
        <f aca="false">IF(Parametros!$B$18*K138-Parametros!$B$14&gt;0,1,0)</f>
        <v>1</v>
      </c>
      <c r="M138" s="12" t="n">
        <f aca="false">(K138*Parametros!$B$18-Parametros!$B$14)*L138/(1+Parametros!$B$16)^(A138/12)</f>
        <v>36434.0193945872</v>
      </c>
    </row>
    <row r="139" customFormat="false" ht="15" hidden="false" customHeight="false" outlineLevel="0" collapsed="false">
      <c r="A139" s="0" t="n">
        <v>135</v>
      </c>
      <c r="B139" s="11" t="n">
        <f aca="false">Parametros!$B$5/(1+Parametros!$D$5*Parametros!$C$5*A139/12)^(1/Parametros!$D$5)</f>
        <v>5.94603466373033</v>
      </c>
      <c r="C139" s="12" t="n">
        <f aca="false">B139*30.4</f>
        <v>180.759453777402</v>
      </c>
      <c r="D139" s="13" t="n">
        <f aca="false">IF(Parametros!$B$18*C139-Parametros!$B$14&gt;0,1,0)</f>
        <v>0</v>
      </c>
      <c r="E139" s="12" t="n">
        <f aca="false">(C139*Parametros!$B$18-Parametros!$B$14)*D139/(1+Parametros!$B$16)^(A139/12)</f>
        <v>-0</v>
      </c>
      <c r="F139" s="11" t="n">
        <f aca="false">Parametros!$B$6/(1+Parametros!$D$6*Parametros!$C$6*A139/12)^(1/Parametros!$D$6)</f>
        <v>32.4298692946307</v>
      </c>
      <c r="G139" s="12" t="n">
        <f aca="false">F139*30.4</f>
        <v>985.868026556773</v>
      </c>
      <c r="H139" s="13" t="n">
        <f aca="false">IF(Parametros!$B$18*G139-Parametros!$B$14&gt;0,1,0)</f>
        <v>1</v>
      </c>
      <c r="I139" s="12" t="n">
        <f aca="false">(G139*Parametros!$B$18-Parametros!$B$14)*H139/(1+Parametros!$B$16)^(A139/12)</f>
        <v>13182.733700815</v>
      </c>
      <c r="J139" s="11" t="n">
        <f aca="false">Parametros!$B$7/(1+Parametros!$D$7*Parametros!$C$7*A139/12)^(1/Parametros!$D$7)</f>
        <v>77.7868237796547</v>
      </c>
      <c r="K139" s="12" t="n">
        <f aca="false">J139*30.4</f>
        <v>2364.7194429015</v>
      </c>
      <c r="L139" s="13" t="n">
        <f aca="false">IF(Parametros!$B$18*K139-Parametros!$B$14&gt;0,1,0)</f>
        <v>1</v>
      </c>
      <c r="M139" s="12" t="n">
        <f aca="false">(K139*Parametros!$B$18-Parametros!$B$14)*L139/(1+Parametros!$B$16)^(A139/12)</f>
        <v>35928.302397718</v>
      </c>
    </row>
    <row r="140" customFormat="false" ht="15" hidden="false" customHeight="false" outlineLevel="0" collapsed="false">
      <c r="A140" s="0" t="n">
        <v>136</v>
      </c>
      <c r="B140" s="11" t="n">
        <f aca="false">Parametros!$B$5/(1+Parametros!$D$5*Parametros!$C$5*A140/12)^(1/Parametros!$D$5)</f>
        <v>5.85772629101988</v>
      </c>
      <c r="C140" s="12" t="n">
        <f aca="false">B140*30.4</f>
        <v>178.074879247004</v>
      </c>
      <c r="D140" s="13" t="n">
        <f aca="false">IF(Parametros!$B$18*C140-Parametros!$B$14&gt;0,1,0)</f>
        <v>0</v>
      </c>
      <c r="E140" s="12" t="n">
        <f aca="false">(C140*Parametros!$B$18-Parametros!$B$14)*D140/(1+Parametros!$B$16)^(A140/12)</f>
        <v>-0</v>
      </c>
      <c r="F140" s="11" t="n">
        <f aca="false">Parametros!$B$6/(1+Parametros!$D$6*Parametros!$C$6*A140/12)^(1/Parametros!$D$6)</f>
        <v>32.1681275217332</v>
      </c>
      <c r="G140" s="12" t="n">
        <f aca="false">F140*30.4</f>
        <v>977.91107666069</v>
      </c>
      <c r="H140" s="13" t="n">
        <f aca="false">IF(Parametros!$B$18*G140-Parametros!$B$14&gt;0,1,0)</f>
        <v>1</v>
      </c>
      <c r="I140" s="12" t="n">
        <f aca="false">(G140*Parametros!$B$18-Parametros!$B$14)*H140/(1+Parametros!$B$16)^(A140/12)</f>
        <v>12948.2246871647</v>
      </c>
      <c r="J140" s="11" t="n">
        <f aca="false">Parametros!$B$7/(1+Parametros!$D$7*Parametros!$C$7*A140/12)^(1/Parametros!$D$7)</f>
        <v>77.3583910223612</v>
      </c>
      <c r="K140" s="12" t="n">
        <f aca="false">J140*30.4</f>
        <v>2351.69508707978</v>
      </c>
      <c r="L140" s="13" t="n">
        <f aca="false">IF(Parametros!$B$18*K140-Parametros!$B$14&gt;0,1,0)</f>
        <v>1</v>
      </c>
      <c r="M140" s="12" t="n">
        <f aca="false">(K140*Parametros!$B$18-Parametros!$B$14)*L140/(1+Parametros!$B$16)^(A140/12)</f>
        <v>35430.921145815</v>
      </c>
    </row>
    <row r="141" customFormat="false" ht="15" hidden="false" customHeight="false" outlineLevel="0" collapsed="false">
      <c r="A141" s="0" t="n">
        <v>137</v>
      </c>
      <c r="B141" s="11" t="n">
        <f aca="false">Parametros!$B$5/(1+Parametros!$D$5*Parametros!$C$5*A141/12)^(1/Parametros!$D$5)</f>
        <v>5.77124320088769</v>
      </c>
      <c r="C141" s="12" t="n">
        <f aca="false">B141*30.4</f>
        <v>175.445793306986</v>
      </c>
      <c r="D141" s="13" t="n">
        <f aca="false">IF(Parametros!$B$18*C141-Parametros!$B$14&gt;0,1,0)</f>
        <v>0</v>
      </c>
      <c r="E141" s="12" t="n">
        <f aca="false">(C141*Parametros!$B$18-Parametros!$B$14)*D141/(1+Parametros!$B$16)^(A141/12)</f>
        <v>-0</v>
      </c>
      <c r="F141" s="11" t="n">
        <f aca="false">Parametros!$B$6/(1+Parametros!$D$6*Parametros!$C$6*A141/12)^(1/Parametros!$D$6)</f>
        <v>31.910163887318</v>
      </c>
      <c r="G141" s="12" t="n">
        <f aca="false">F141*30.4</f>
        <v>970.068982174468</v>
      </c>
      <c r="H141" s="13" t="n">
        <f aca="false">IF(Parametros!$B$18*G141-Parametros!$B$14&gt;0,1,0)</f>
        <v>1</v>
      </c>
      <c r="I141" s="12" t="n">
        <f aca="false">(G141*Parametros!$B$18-Parametros!$B$14)*H141/(1+Parametros!$B$16)^(A141/12)</f>
        <v>12718.4658615966</v>
      </c>
      <c r="J141" s="11" t="n">
        <f aca="false">Parametros!$B$7/(1+Parametros!$D$7*Parametros!$C$7*A141/12)^(1/Parametros!$D$7)</f>
        <v>76.9351155518948</v>
      </c>
      <c r="K141" s="12" t="n">
        <f aca="false">J141*30.4</f>
        <v>2338.8275127776</v>
      </c>
      <c r="L141" s="13" t="n">
        <f aca="false">IF(Parametros!$B$18*K141-Parametros!$B$14&gt;0,1,0)</f>
        <v>1</v>
      </c>
      <c r="M141" s="12" t="n">
        <f aca="false">(K141*Parametros!$B$18-Parametros!$B$14)*L141/(1+Parametros!$B$16)^(A141/12)</f>
        <v>34941.706463732</v>
      </c>
    </row>
    <row r="142" customFormat="false" ht="15" hidden="false" customHeight="false" outlineLevel="0" collapsed="false">
      <c r="A142" s="0" t="n">
        <v>138</v>
      </c>
      <c r="B142" s="11" t="n">
        <f aca="false">Parametros!$B$5/(1+Parametros!$D$5*Parametros!$C$5*A142/12)^(1/Parametros!$D$5)</f>
        <v>5.68653717149899</v>
      </c>
      <c r="C142" s="12" t="n">
        <f aca="false">B142*30.4</f>
        <v>172.870730013569</v>
      </c>
      <c r="D142" s="13" t="n">
        <f aca="false">IF(Parametros!$B$18*C142-Parametros!$B$14&gt;0,1,0)</f>
        <v>0</v>
      </c>
      <c r="E142" s="12" t="n">
        <f aca="false">(C142*Parametros!$B$18-Parametros!$B$14)*D142/(1+Parametros!$B$16)^(A142/12)</f>
        <v>-0</v>
      </c>
      <c r="F142" s="11" t="n">
        <f aca="false">Parametros!$B$6/(1+Parametros!$D$6*Parametros!$C$6*A142/12)^(1/Parametros!$D$6)</f>
        <v>31.6559001194781</v>
      </c>
      <c r="G142" s="12" t="n">
        <f aca="false">F142*30.4</f>
        <v>962.339363632134</v>
      </c>
      <c r="H142" s="13" t="n">
        <f aca="false">IF(Parametros!$B$18*G142-Parametros!$B$14&gt;0,1,0)</f>
        <v>1</v>
      </c>
      <c r="I142" s="12" t="n">
        <f aca="false">(G142*Parametros!$B$18-Parametros!$B$14)*H142/(1+Parametros!$B$16)^(A142/12)</f>
        <v>12493.3436627569</v>
      </c>
      <c r="J142" s="11" t="n">
        <f aca="false">Parametros!$B$7/(1+Parametros!$D$7*Parametros!$C$7*A142/12)^(1/Parametros!$D$7)</f>
        <v>76.5169020504219</v>
      </c>
      <c r="K142" s="12" t="n">
        <f aca="false">J142*30.4</f>
        <v>2326.11382233282</v>
      </c>
      <c r="L142" s="13" t="n">
        <f aca="false">IF(Parametros!$B$18*K142-Parametros!$B$14&gt;0,1,0)</f>
        <v>1</v>
      </c>
      <c r="M142" s="12" t="n">
        <f aca="false">(K142*Parametros!$B$18-Parametros!$B$14)*L142/(1+Parametros!$B$16)^(A142/12)</f>
        <v>34460.4934554721</v>
      </c>
    </row>
    <row r="143" customFormat="false" ht="15" hidden="false" customHeight="false" outlineLevel="0" collapsed="false">
      <c r="A143" s="0" t="n">
        <v>139</v>
      </c>
      <c r="B143" s="11" t="n">
        <f aca="false">Parametros!$B$5/(1+Parametros!$D$5*Parametros!$C$5*A143/12)^(1/Parametros!$D$5)</f>
        <v>5.6035615289923</v>
      </c>
      <c r="C143" s="12" t="n">
        <f aca="false">B143*30.4</f>
        <v>170.348270481366</v>
      </c>
      <c r="D143" s="13" t="n">
        <f aca="false">IF(Parametros!$B$18*C143-Parametros!$B$14&gt;0,1,0)</f>
        <v>0</v>
      </c>
      <c r="E143" s="12" t="n">
        <f aca="false">(C143*Parametros!$B$18-Parametros!$B$14)*D143/(1+Parametros!$B$16)^(A143/12)</f>
        <v>-0</v>
      </c>
      <c r="F143" s="11" t="n">
        <f aca="false">Parametros!$B$6/(1+Parametros!$D$6*Parametros!$C$6*A143/12)^(1/Parametros!$D$6)</f>
        <v>31.4052600533791</v>
      </c>
      <c r="G143" s="12" t="n">
        <f aca="false">F143*30.4</f>
        <v>954.719905622726</v>
      </c>
      <c r="H143" s="13" t="n">
        <f aca="false">IF(Parametros!$B$18*G143-Parametros!$B$14&gt;0,1,0)</f>
        <v>1</v>
      </c>
      <c r="I143" s="12" t="n">
        <f aca="false">(G143*Parametros!$B$18-Parametros!$B$14)*H143/(1+Parametros!$B$16)^(A143/12)</f>
        <v>12272.7477755238</v>
      </c>
      <c r="J143" s="11" t="n">
        <f aca="false">Parametros!$B$7/(1+Parametros!$D$7*Parametros!$C$7*A143/12)^(1/Parametros!$D$7)</f>
        <v>76.103657568113</v>
      </c>
      <c r="K143" s="12" t="n">
        <f aca="false">J143*30.4</f>
        <v>2313.55119007064</v>
      </c>
      <c r="L143" s="13" t="n">
        <f aca="false">IF(Parametros!$B$18*K143-Parametros!$B$14&gt;0,1,0)</f>
        <v>1</v>
      </c>
      <c r="M143" s="12" t="n">
        <f aca="false">(K143*Parametros!$B$18-Parametros!$B$14)*L143/(1+Parametros!$B$16)^(A143/12)</f>
        <v>33987.1213711078</v>
      </c>
    </row>
    <row r="144" customFormat="false" ht="15" hidden="false" customHeight="false" outlineLevel="0" collapsed="false">
      <c r="A144" s="0" t="n">
        <v>140</v>
      </c>
      <c r="B144" s="11" t="n">
        <f aca="false">Parametros!$B$5/(1+Parametros!$D$5*Parametros!$C$5*A144/12)^(1/Parametros!$D$5)</f>
        <v>5.52227108909396</v>
      </c>
      <c r="C144" s="12" t="n">
        <f aca="false">B144*30.4</f>
        <v>167.877041108456</v>
      </c>
      <c r="D144" s="13" t="n">
        <f aca="false">IF(Parametros!$B$18*C144-Parametros!$B$14&gt;0,1,0)</f>
        <v>0</v>
      </c>
      <c r="E144" s="12" t="n">
        <f aca="false">(C144*Parametros!$B$18-Parametros!$B$14)*D144/(1+Parametros!$B$16)^(A144/12)</f>
        <v>-0</v>
      </c>
      <c r="F144" s="11" t="n">
        <f aca="false">Parametros!$B$6/(1+Parametros!$D$6*Parametros!$C$6*A144/12)^(1/Parametros!$D$6)</f>
        <v>31.1581695616322</v>
      </c>
      <c r="G144" s="12" t="n">
        <f aca="false">F144*30.4</f>
        <v>947.208354673619</v>
      </c>
      <c r="H144" s="13" t="n">
        <f aca="false">IF(Parametros!$B$18*G144-Parametros!$B$14&gt;0,1,0)</f>
        <v>1</v>
      </c>
      <c r="I144" s="12" t="n">
        <f aca="false">(G144*Parametros!$B$18-Parametros!$B$14)*H144/(1+Parametros!$B$16)^(A144/12)</f>
        <v>12056.5710207825</v>
      </c>
      <c r="J144" s="11" t="n">
        <f aca="false">Parametros!$B$7/(1+Parametros!$D$7*Parametros!$C$7*A144/12)^(1/Parametros!$D$7)</f>
        <v>75.6952914494449</v>
      </c>
      <c r="K144" s="12" t="n">
        <f aca="false">J144*30.4</f>
        <v>2301.13686006313</v>
      </c>
      <c r="L144" s="13" t="n">
        <f aca="false">IF(Parametros!$B$18*K144-Parametros!$B$14&gt;0,1,0)</f>
        <v>1</v>
      </c>
      <c r="M144" s="12" t="n">
        <f aca="false">(K144*Parametros!$B$18-Parametros!$B$14)*L144/(1+Parametros!$B$16)^(A144/12)</f>
        <v>33521.4334786561</v>
      </c>
    </row>
    <row r="145" customFormat="false" ht="15" hidden="false" customHeight="false" outlineLevel="0" collapsed="false">
      <c r="A145" s="0" t="n">
        <v>141</v>
      </c>
      <c r="B145" s="11" t="n">
        <f aca="false">Parametros!$B$5/(1+Parametros!$D$5*Parametros!$C$5*A145/12)^(1/Parametros!$D$5)</f>
        <v>5.44262210125895</v>
      </c>
      <c r="C145" s="12" t="n">
        <f aca="false">B145*30.4</f>
        <v>165.455711878272</v>
      </c>
      <c r="D145" s="13" t="n">
        <f aca="false">IF(Parametros!$B$18*C145-Parametros!$B$14&gt;0,1,0)</f>
        <v>0</v>
      </c>
      <c r="E145" s="12" t="n">
        <f aca="false">(C145*Parametros!$B$18-Parametros!$B$14)*D145/(1+Parametros!$B$16)^(A145/12)</f>
        <v>-0</v>
      </c>
      <c r="F145" s="11" t="n">
        <f aca="false">Parametros!$B$6/(1+Parametros!$D$6*Parametros!$C$6*A145/12)^(1/Parametros!$D$6)</f>
        <v>30.9145564873881</v>
      </c>
      <c r="G145" s="12" t="n">
        <f aca="false">F145*30.4</f>
        <v>939.802517216597</v>
      </c>
      <c r="H145" s="13" t="n">
        <f aca="false">IF(Parametros!$B$18*G145-Parametros!$B$14&gt;0,1,0)</f>
        <v>1</v>
      </c>
      <c r="I145" s="12" t="n">
        <f aca="false">(G145*Parametros!$B$18-Parametros!$B$14)*H145/(1+Parametros!$B$16)^(A145/12)</f>
        <v>11844.7092495716</v>
      </c>
      <c r="J145" s="11" t="n">
        <f aca="false">Parametros!$B$7/(1+Parametros!$D$7*Parametros!$C$7*A145/12)^(1/Parametros!$D$7)</f>
        <v>75.2917152622529</v>
      </c>
      <c r="K145" s="12" t="n">
        <f aca="false">J145*30.4</f>
        <v>2288.86814397249</v>
      </c>
      <c r="L145" s="13" t="n">
        <f aca="false">IF(Parametros!$B$18*K145-Parametros!$B$14&gt;0,1,0)</f>
        <v>1</v>
      </c>
      <c r="M145" s="12" t="n">
        <f aca="false">(K145*Parametros!$B$18-Parametros!$B$14)*L145/(1+Parametros!$B$16)^(A145/12)</f>
        <v>33063.2769406955</v>
      </c>
    </row>
    <row r="146" customFormat="false" ht="15" hidden="false" customHeight="false" outlineLevel="0" collapsed="false">
      <c r="A146" s="0" t="n">
        <v>142</v>
      </c>
      <c r="B146" s="11" t="n">
        <f aca="false">Parametros!$B$5/(1+Parametros!$D$5*Parametros!$C$5*A146/12)^(1/Parametros!$D$5)</f>
        <v>5.36457219521478</v>
      </c>
      <c r="C146" s="12" t="n">
        <f aca="false">B146*30.4</f>
        <v>163.082994734529</v>
      </c>
      <c r="D146" s="13" t="n">
        <f aca="false">IF(Parametros!$B$18*C146-Parametros!$B$14&gt;0,1,0)</f>
        <v>0</v>
      </c>
      <c r="E146" s="12" t="n">
        <f aca="false">(C146*Parametros!$B$18-Parametros!$B$14)*D146/(1+Parametros!$B$16)^(A146/12)</f>
        <v>-0</v>
      </c>
      <c r="F146" s="11" t="n">
        <f aca="false">Parametros!$B$6/(1+Parametros!$D$6*Parametros!$C$6*A146/12)^(1/Parametros!$D$6)</f>
        <v>30.6743505800309</v>
      </c>
      <c r="G146" s="12" t="n">
        <f aca="false">F146*30.4</f>
        <v>932.50025763294</v>
      </c>
      <c r="H146" s="13" t="n">
        <f aca="false">IF(Parametros!$B$18*G146-Parametros!$B$14&gt;0,1,0)</f>
        <v>1</v>
      </c>
      <c r="I146" s="12" t="n">
        <f aca="false">(G146*Parametros!$B$18-Parametros!$B$14)*H146/(1+Parametros!$B$16)^(A146/12)</f>
        <v>11637.0612414025</v>
      </c>
      <c r="J146" s="11" t="n">
        <f aca="false">Parametros!$B$7/(1+Parametros!$D$7*Parametros!$C$7*A146/12)^(1/Parametros!$D$7)</f>
        <v>74.8928427294144</v>
      </c>
      <c r="K146" s="12" t="n">
        <f aca="false">J146*30.4</f>
        <v>2276.7424189742</v>
      </c>
      <c r="L146" s="13" t="n">
        <f aca="false">IF(Parametros!$B$18*K146-Parametros!$B$14&gt;0,1,0)</f>
        <v>1</v>
      </c>
      <c r="M146" s="12" t="n">
        <f aca="false">(K146*Parametros!$B$18-Parametros!$B$14)*L146/(1+Parametros!$B$16)^(A146/12)</f>
        <v>32612.5026955199</v>
      </c>
    </row>
    <row r="147" customFormat="false" ht="15" hidden="false" customHeight="false" outlineLevel="0" collapsed="false">
      <c r="A147" s="0" t="n">
        <v>143</v>
      </c>
      <c r="B147" s="11" t="n">
        <f aca="false">Parametros!$B$5/(1+Parametros!$D$5*Parametros!$C$5*A147/12)^(1/Parametros!$D$5)</f>
        <v>5.28808032979205</v>
      </c>
      <c r="C147" s="12" t="n">
        <f aca="false">B147*30.4</f>
        <v>160.757642025678</v>
      </c>
      <c r="D147" s="13" t="n">
        <f aca="false">IF(Parametros!$B$18*C147-Parametros!$B$14&gt;0,1,0)</f>
        <v>0</v>
      </c>
      <c r="E147" s="12" t="n">
        <f aca="false">(C147*Parametros!$B$18-Parametros!$B$14)*D147/(1+Parametros!$B$16)^(A147/12)</f>
        <v>-0</v>
      </c>
      <c r="F147" s="11" t="n">
        <f aca="false">Parametros!$B$6/(1+Parametros!$D$6*Parametros!$C$6*A147/12)^(1/Parametros!$D$6)</f>
        <v>30.4374834333548</v>
      </c>
      <c r="G147" s="12" t="n">
        <f aca="false">F147*30.4</f>
        <v>925.299496373984</v>
      </c>
      <c r="H147" s="13" t="n">
        <f aca="false">IF(Parametros!$B$18*G147-Parametros!$B$14&gt;0,1,0)</f>
        <v>1</v>
      </c>
      <c r="I147" s="12" t="n">
        <f aca="false">(G147*Parametros!$B$18-Parametros!$B$14)*H147/(1+Parametros!$B$16)^(A147/12)</f>
        <v>11433.528606563</v>
      </c>
      <c r="J147" s="11" t="n">
        <f aca="false">Parametros!$B$7/(1+Parametros!$D$7*Parametros!$C$7*A147/12)^(1/Parametros!$D$7)</f>
        <v>74.4985896630501</v>
      </c>
      <c r="K147" s="12" t="n">
        <f aca="false">J147*30.4</f>
        <v>2264.75712575672</v>
      </c>
      <c r="L147" s="13" t="n">
        <f aca="false">IF(Parametros!$B$18*K147-Parametros!$B$14&gt;0,1,0)</f>
        <v>1</v>
      </c>
      <c r="M147" s="12" t="n">
        <f aca="false">(K147*Parametros!$B$18-Parametros!$B$14)*L147/(1+Parametros!$B$16)^(A147/12)</f>
        <v>32168.9653426339</v>
      </c>
    </row>
    <row r="148" customFormat="false" ht="15" hidden="false" customHeight="false" outlineLevel="0" collapsed="false">
      <c r="A148" s="0" t="n">
        <v>144</v>
      </c>
      <c r="B148" s="11" t="n">
        <f aca="false">Parametros!$B$5/(1+Parametros!$D$5*Parametros!$C$5*A148/12)^(1/Parametros!$D$5)</f>
        <v>5.2131067439313</v>
      </c>
      <c r="C148" s="12" t="n">
        <f aca="false">B148*30.4</f>
        <v>158.478445015511</v>
      </c>
      <c r="D148" s="13" t="n">
        <f aca="false">IF(Parametros!$B$18*C148-Parametros!$B$14&gt;0,1,0)</f>
        <v>0</v>
      </c>
      <c r="E148" s="12" t="n">
        <f aca="false">(C148*Parametros!$B$18-Parametros!$B$14)*D148/(1+Parametros!$B$16)^(A148/12)</f>
        <v>-0</v>
      </c>
      <c r="F148" s="11" t="n">
        <f aca="false">Parametros!$B$6/(1+Parametros!$D$6*Parametros!$C$6*A148/12)^(1/Parametros!$D$6)</f>
        <v>30.2038884261125</v>
      </c>
      <c r="G148" s="12" t="n">
        <f aca="false">F148*30.4</f>
        <v>918.198208153818</v>
      </c>
      <c r="H148" s="13" t="n">
        <f aca="false">IF(Parametros!$B$18*G148-Parametros!$B$14&gt;0,1,0)</f>
        <v>1</v>
      </c>
      <c r="I148" s="12" t="n">
        <f aca="false">(G148*Parametros!$B$18-Parametros!$B$14)*H148/(1+Parametros!$B$16)^(A148/12)</f>
        <v>11234.0156922269</v>
      </c>
      <c r="J148" s="11" t="n">
        <f aca="false">Parametros!$B$7/(1+Parametros!$D$7*Parametros!$C$7*A148/12)^(1/Parametros!$D$7)</f>
        <v>74.1088739011342</v>
      </c>
      <c r="K148" s="12" t="n">
        <f aca="false">J148*30.4</f>
        <v>2252.90976659448</v>
      </c>
      <c r="L148" s="13" t="n">
        <f aca="false">IF(Parametros!$B$18*K148-Parametros!$B$14&gt;0,1,0)</f>
        <v>1</v>
      </c>
      <c r="M148" s="12" t="n">
        <f aca="false">(K148*Parametros!$B$18-Parametros!$B$14)*L148/(1+Parametros!$B$16)^(A148/12)</f>
        <v>31732.5230324054</v>
      </c>
    </row>
    <row r="149" customFormat="false" ht="15" hidden="false" customHeight="false" outlineLevel="0" collapsed="false">
      <c r="A149" s="0" t="n">
        <v>145</v>
      </c>
      <c r="B149" s="11" t="n">
        <f aca="false">Parametros!$B$5/(1+Parametros!$D$5*Parametros!$C$5*A149/12)^(1/Parametros!$D$5)</f>
        <v>5.13961290976193</v>
      </c>
      <c r="C149" s="12" t="n">
        <f aca="false">B149*30.4</f>
        <v>156.244232456763</v>
      </c>
      <c r="D149" s="13" t="n">
        <f aca="false">IF(Parametros!$B$18*C149-Parametros!$B$14&gt;0,1,0)</f>
        <v>0</v>
      </c>
      <c r="E149" s="12" t="n">
        <f aca="false">(C149*Parametros!$B$18-Parametros!$B$14)*D149/(1+Parametros!$B$16)^(A149/12)</f>
        <v>-0</v>
      </c>
      <c r="F149" s="11" t="n">
        <f aca="false">Parametros!$B$6/(1+Parametros!$D$6*Parametros!$C$6*A149/12)^(1/Parametros!$D$6)</f>
        <v>29.9735006648319</v>
      </c>
      <c r="G149" s="12" t="n">
        <f aca="false">F149*30.4</f>
        <v>911.19442021089</v>
      </c>
      <c r="H149" s="13" t="n">
        <f aca="false">IF(Parametros!$B$18*G149-Parametros!$B$14&gt;0,1,0)</f>
        <v>1</v>
      </c>
      <c r="I149" s="12" t="n">
        <f aca="false">(G149*Parametros!$B$18-Parametros!$B$14)*H149/(1+Parametros!$B$16)^(A149/12)</f>
        <v>11038.4294921981</v>
      </c>
      <c r="J149" s="11" t="n">
        <f aca="false">Parametros!$B$7/(1+Parametros!$D$7*Parametros!$C$7*A149/12)^(1/Parametros!$D$7)</f>
        <v>73.7236152464114</v>
      </c>
      <c r="K149" s="12" t="n">
        <f aca="false">J149*30.4</f>
        <v>2241.19790349091</v>
      </c>
      <c r="L149" s="13" t="n">
        <f aca="false">IF(Parametros!$B$18*K149-Parametros!$B$14&gt;0,1,0)</f>
        <v>1</v>
      </c>
      <c r="M149" s="12" t="n">
        <f aca="false">(K149*Parametros!$B$18-Parametros!$B$14)*L149/(1+Parametros!$B$16)^(A149/12)</f>
        <v>31303.0373596995</v>
      </c>
    </row>
    <row r="150" customFormat="false" ht="15" hidden="false" customHeight="false" outlineLevel="0" collapsed="false">
      <c r="A150" s="0" t="n">
        <v>146</v>
      </c>
      <c r="B150" s="11" t="n">
        <f aca="false">Parametros!$B$5/(1+Parametros!$D$5*Parametros!$C$5*A150/12)^(1/Parametros!$D$5)</f>
        <v>5.06756148765452</v>
      </c>
      <c r="C150" s="12" t="n">
        <f aca="false">B150*30.4</f>
        <v>154.053869224697</v>
      </c>
      <c r="D150" s="13" t="n">
        <f aca="false">IF(Parametros!$B$18*C150-Parametros!$B$14&gt;0,1,0)</f>
        <v>0</v>
      </c>
      <c r="E150" s="12" t="n">
        <f aca="false">(C150*Parametros!$B$18-Parametros!$B$14)*D150/(1+Parametros!$B$16)^(A150/12)</f>
        <v>-0</v>
      </c>
      <c r="F150" s="11" t="n">
        <f aca="false">Parametros!$B$6/(1+Parametros!$D$6*Parametros!$C$6*A150/12)^(1/Parametros!$D$6)</f>
        <v>29.7462569287999</v>
      </c>
      <c r="G150" s="12" t="n">
        <f aca="false">F150*30.4</f>
        <v>904.286210635517</v>
      </c>
      <c r="H150" s="13" t="n">
        <f aca="false">IF(Parametros!$B$18*G150-Parametros!$B$14&gt;0,1,0)</f>
        <v>1</v>
      </c>
      <c r="I150" s="12" t="n">
        <f aca="false">(G150*Parametros!$B$18-Parametros!$B$14)*H150/(1+Parametros!$B$16)^(A150/12)</f>
        <v>10846.6795601292</v>
      </c>
      <c r="J150" s="11" t="n">
        <f aca="false">Parametros!$B$7/(1+Parametros!$D$7*Parametros!$C$7*A150/12)^(1/Parametros!$D$7)</f>
        <v>73.3427354075237</v>
      </c>
      <c r="K150" s="12" t="n">
        <f aca="false">J150*30.4</f>
        <v>2229.61915638872</v>
      </c>
      <c r="L150" s="13" t="n">
        <f aca="false">IF(Parametros!$B$18*K150-Parametros!$B$14&gt;0,1,0)</f>
        <v>1</v>
      </c>
      <c r="M150" s="12" t="n">
        <f aca="false">(K150*Parametros!$B$18-Parametros!$B$14)*L150/(1+Parametros!$B$16)^(A150/12)</f>
        <v>30880.3732613252</v>
      </c>
    </row>
    <row r="151" customFormat="false" ht="15" hidden="false" customHeight="false" outlineLevel="0" collapsed="false">
      <c r="A151" s="0" t="n">
        <v>147</v>
      </c>
      <c r="B151" s="11" t="n">
        <f aca="false">Parametros!$B$5/(1+Parametros!$D$5*Parametros!$C$5*A151/12)^(1/Parametros!$D$5)</f>
        <v>4.99691628315274</v>
      </c>
      <c r="C151" s="12" t="n">
        <f aca="false">B151*30.4</f>
        <v>151.906255007843</v>
      </c>
      <c r="D151" s="13" t="n">
        <f aca="false">IF(Parametros!$B$18*C151-Parametros!$B$14&gt;0,1,0)</f>
        <v>0</v>
      </c>
      <c r="E151" s="12" t="n">
        <f aca="false">(C151*Parametros!$B$18-Parametros!$B$14)*D151/(1+Parametros!$B$16)^(A151/12)</f>
        <v>-0</v>
      </c>
      <c r="F151" s="11" t="n">
        <f aca="false">Parametros!$B$6/(1+Parametros!$D$6*Parametros!$C$6*A151/12)^(1/Parametros!$D$6)</f>
        <v>29.5220956171191</v>
      </c>
      <c r="G151" s="12" t="n">
        <f aca="false">F151*30.4</f>
        <v>897.47170676042</v>
      </c>
      <c r="H151" s="13" t="n">
        <f aca="false">IF(Parametros!$B$18*G151-Parametros!$B$14&gt;0,1,0)</f>
        <v>1</v>
      </c>
      <c r="I151" s="12" t="n">
        <f aca="false">(G151*Parametros!$B$18-Parametros!$B$14)*H151/(1+Parametros!$B$16)^(A151/12)</f>
        <v>10658.677926061</v>
      </c>
      <c r="J151" s="11" t="n">
        <f aca="false">Parametros!$B$7/(1+Parametros!$D$7*Parametros!$C$7*A151/12)^(1/Parametros!$D$7)</f>
        <v>72.9661579422519</v>
      </c>
      <c r="K151" s="12" t="n">
        <f aca="false">J151*30.4</f>
        <v>2218.17120144446</v>
      </c>
      <c r="L151" s="13" t="n">
        <f aca="false">IF(Parametros!$B$18*K151-Parametros!$B$14&gt;0,1,0)</f>
        <v>1</v>
      </c>
      <c r="M151" s="12" t="n">
        <f aca="false">(K151*Parametros!$B$18-Parametros!$B$14)*L151/(1+Parametros!$B$16)^(A151/12)</f>
        <v>30464.3989171369</v>
      </c>
    </row>
    <row r="152" customFormat="false" ht="15" hidden="false" customHeight="false" outlineLevel="0" collapsed="false">
      <c r="A152" s="0" t="n">
        <v>148</v>
      </c>
      <c r="B152" s="11" t="n">
        <f aca="false">Parametros!$B$5/(1+Parametros!$D$5*Parametros!$C$5*A152/12)^(1/Parametros!$D$5)</f>
        <v>4.92764220569657</v>
      </c>
      <c r="C152" s="12" t="n">
        <f aca="false">B152*30.4</f>
        <v>149.800323053176</v>
      </c>
      <c r="D152" s="13" t="n">
        <f aca="false">IF(Parametros!$B$18*C152-Parametros!$B$14&gt;0,1,0)</f>
        <v>0</v>
      </c>
      <c r="E152" s="12" t="n">
        <f aca="false">(C152*Parametros!$B$18-Parametros!$B$14)*D152/(1+Parametros!$B$16)^(A152/12)</f>
        <v>-0</v>
      </c>
      <c r="F152" s="11" t="n">
        <f aca="false">Parametros!$B$6/(1+Parametros!$D$6*Parametros!$C$6*A152/12)^(1/Parametros!$D$6)</f>
        <v>29.3009566977476</v>
      </c>
      <c r="G152" s="12" t="n">
        <f aca="false">F152*30.4</f>
        <v>890.749083611528</v>
      </c>
      <c r="H152" s="13" t="n">
        <f aca="false">IF(Parametros!$B$18*G152-Parametros!$B$14&gt;0,1,0)</f>
        <v>1</v>
      </c>
      <c r="I152" s="12" t="n">
        <f aca="false">(G152*Parametros!$B$18-Parametros!$B$14)*H152/(1+Parametros!$B$16)^(A152/12)</f>
        <v>10474.3390161368</v>
      </c>
      <c r="J152" s="11" t="n">
        <f aca="false">Parametros!$B$7/(1+Parametros!$D$7*Parametros!$C$7*A152/12)^(1/Parametros!$D$7)</f>
        <v>72.5938082027857</v>
      </c>
      <c r="K152" s="12" t="n">
        <f aca="false">J152*30.4</f>
        <v>2206.85176936468</v>
      </c>
      <c r="L152" s="13" t="n">
        <f aca="false">IF(Parametros!$B$18*K152-Parametros!$B$14&gt;0,1,0)</f>
        <v>1</v>
      </c>
      <c r="M152" s="12" t="n">
        <f aca="false">(K152*Parametros!$B$18-Parametros!$B$14)*L152/(1+Parametros!$B$16)^(A152/12)</f>
        <v>30054.9856546377</v>
      </c>
    </row>
    <row r="153" customFormat="false" ht="15" hidden="false" customHeight="false" outlineLevel="0" collapsed="false">
      <c r="A153" s="0" t="n">
        <v>149</v>
      </c>
      <c r="B153" s="11" t="n">
        <f aca="false">Parametros!$B$5/(1+Parametros!$D$5*Parametros!$C$5*A153/12)^(1/Parametros!$D$5)</f>
        <v>4.85970522905269</v>
      </c>
      <c r="C153" s="12" t="n">
        <f aca="false">B153*30.4</f>
        <v>147.735038963202</v>
      </c>
      <c r="D153" s="13" t="n">
        <f aca="false">IF(Parametros!$B$18*C153-Parametros!$B$14&gt;0,1,0)</f>
        <v>0</v>
      </c>
      <c r="E153" s="12" t="n">
        <f aca="false">(C153*Parametros!$B$18-Parametros!$B$14)*D153/(1+Parametros!$B$16)^(A153/12)</f>
        <v>-0</v>
      </c>
      <c r="F153" s="11" t="n">
        <f aca="false">Parametros!$B$6/(1+Parametros!$D$6*Parametros!$C$6*A153/12)^(1/Parametros!$D$6)</f>
        <v>29.0827816584363</v>
      </c>
      <c r="G153" s="12" t="n">
        <f aca="false">F153*30.4</f>
        <v>884.116562416465</v>
      </c>
      <c r="H153" s="13" t="n">
        <f aca="false">IF(Parametros!$B$18*G153-Parametros!$B$14&gt;0,1,0)</f>
        <v>1</v>
      </c>
      <c r="I153" s="12" t="n">
        <f aca="false">(G153*Parametros!$B$18-Parametros!$B$14)*H153/(1+Parametros!$B$16)^(A153/12)</f>
        <v>10293.579575353</v>
      </c>
      <c r="J153" s="11" t="n">
        <f aca="false">Parametros!$B$7/(1+Parametros!$D$7*Parametros!$C$7*A153/12)^(1/Parametros!$D$7)</f>
        <v>72.2256132829363</v>
      </c>
      <c r="K153" s="12" t="n">
        <f aca="false">J153*30.4</f>
        <v>2195.65864380126</v>
      </c>
      <c r="L153" s="13" t="n">
        <f aca="false">IF(Parametros!$B$18*K153-Parametros!$B$14&gt;0,1,0)</f>
        <v>1</v>
      </c>
      <c r="M153" s="12" t="n">
        <f aca="false">(K153*Parametros!$B$18-Parametros!$B$14)*L153/(1+Parametros!$B$16)^(A153/12)</f>
        <v>29652.0078569397</v>
      </c>
    </row>
    <row r="154" customFormat="false" ht="15" hidden="false" customHeight="false" outlineLevel="0" collapsed="false">
      <c r="A154" s="0" t="n">
        <v>150</v>
      </c>
      <c r="B154" s="11" t="n">
        <f aca="false">Parametros!$B$5/(1+Parametros!$D$5*Parametros!$C$5*A154/12)^(1/Parametros!$D$5)</f>
        <v>4.79307235337246</v>
      </c>
      <c r="C154" s="12" t="n">
        <f aca="false">B154*30.4</f>
        <v>145.709399542523</v>
      </c>
      <c r="D154" s="13" t="n">
        <f aca="false">IF(Parametros!$B$18*C154-Parametros!$B$14&gt;0,1,0)</f>
        <v>0</v>
      </c>
      <c r="E154" s="12" t="n">
        <f aca="false">(C154*Parametros!$B$18-Parametros!$B$14)*D154/(1+Parametros!$B$16)^(A154/12)</f>
        <v>-0</v>
      </c>
      <c r="F154" s="11" t="n">
        <f aca="false">Parametros!$B$6/(1+Parametros!$D$6*Parametros!$C$6*A154/12)^(1/Parametros!$D$6)</f>
        <v>28.8675134594813</v>
      </c>
      <c r="G154" s="12" t="n">
        <f aca="false">F154*30.4</f>
        <v>877.572409168231</v>
      </c>
      <c r="H154" s="13" t="n">
        <f aca="false">IF(Parametros!$B$18*G154-Parametros!$B$14&gt;0,1,0)</f>
        <v>1</v>
      </c>
      <c r="I154" s="12" t="n">
        <f aca="false">(G154*Parametros!$B$18-Parametros!$B$14)*H154/(1+Parametros!$B$16)^(A154/12)</f>
        <v>10116.3185932157</v>
      </c>
      <c r="J154" s="11" t="n">
        <f aca="false">Parametros!$B$7/(1+Parametros!$D$7*Parametros!$C$7*A154/12)^(1/Parametros!$D$7)</f>
        <v>71.8615019672122</v>
      </c>
      <c r="K154" s="12" t="n">
        <f aca="false">J154*30.4</f>
        <v>2184.58965980325</v>
      </c>
      <c r="L154" s="13" t="n">
        <f aca="false">IF(Parametros!$B$18*K154-Parametros!$B$14&gt;0,1,0)</f>
        <v>1</v>
      </c>
      <c r="M154" s="12" t="n">
        <f aca="false">(K154*Parametros!$B$18-Parametros!$B$14)*L154/(1+Parametros!$B$16)^(A154/12)</f>
        <v>29255.3428739452</v>
      </c>
    </row>
    <row r="155" customFormat="false" ht="15" hidden="false" customHeight="false" outlineLevel="0" collapsed="false">
      <c r="A155" s="0" t="n">
        <v>151</v>
      </c>
      <c r="B155" s="11" t="n">
        <f aca="false">Parametros!$B$5/(1+Parametros!$D$5*Parametros!$C$5*A155/12)^(1/Parametros!$D$5)</f>
        <v>4.72771156880207</v>
      </c>
      <c r="C155" s="12" t="n">
        <f aca="false">B155*30.4</f>
        <v>143.722431691583</v>
      </c>
      <c r="D155" s="13" t="n">
        <f aca="false">IF(Parametros!$B$18*C155-Parametros!$B$14&gt;0,1,0)</f>
        <v>0</v>
      </c>
      <c r="E155" s="12" t="n">
        <f aca="false">(C155*Parametros!$B$18-Parametros!$B$14)*D155/(1+Parametros!$B$16)^(A155/12)</f>
        <v>-0</v>
      </c>
      <c r="F155" s="11" t="n">
        <f aca="false">Parametros!$B$6/(1+Parametros!$D$6*Parametros!$C$6*A155/12)^(1/Parametros!$D$6)</f>
        <v>28.655096488215</v>
      </c>
      <c r="G155" s="12" t="n">
        <f aca="false">F155*30.4</f>
        <v>871.114933241735</v>
      </c>
      <c r="H155" s="13" t="n">
        <f aca="false">IF(Parametros!$B$18*G155-Parametros!$B$14&gt;0,1,0)</f>
        <v>1</v>
      </c>
      <c r="I155" s="12" t="n">
        <f aca="false">(G155*Parametros!$B$18-Parametros!$B$14)*H155/(1+Parametros!$B$16)^(A155/12)</f>
        <v>9942.47723217594</v>
      </c>
      <c r="J155" s="11" t="n">
        <f aca="false">Parametros!$B$7/(1+Parametros!$D$7*Parametros!$C$7*A155/12)^(1/Parametros!$D$7)</f>
        <v>71.5014046816811</v>
      </c>
      <c r="K155" s="12" t="n">
        <f aca="false">J155*30.4</f>
        <v>2173.6427023231</v>
      </c>
      <c r="L155" s="13" t="n">
        <f aca="false">IF(Parametros!$B$18*K155-Parametros!$B$14&gt;0,1,0)</f>
        <v>1</v>
      </c>
      <c r="M155" s="12" t="n">
        <f aca="false">(K155*Parametros!$B$18-Parametros!$B$14)*L155/(1+Parametros!$B$16)^(A155/12)</f>
        <v>28864.8709366152</v>
      </c>
    </row>
    <row r="156" customFormat="false" ht="15" hidden="false" customHeight="false" outlineLevel="0" collapsed="false">
      <c r="A156" s="0" t="n">
        <v>152</v>
      </c>
      <c r="B156" s="11" t="n">
        <f aca="false">Parametros!$B$5/(1+Parametros!$D$5*Parametros!$C$5*A156/12)^(1/Parametros!$D$5)</f>
        <v>4.66359182057334</v>
      </c>
      <c r="C156" s="12" t="n">
        <f aca="false">B156*30.4</f>
        <v>141.773191345429</v>
      </c>
      <c r="D156" s="13" t="n">
        <f aca="false">IF(Parametros!$B$18*C156-Parametros!$B$14&gt;0,1,0)</f>
        <v>0</v>
      </c>
      <c r="E156" s="12" t="n">
        <f aca="false">(C156*Parametros!$B$18-Parametros!$B$14)*D156/(1+Parametros!$B$16)^(A156/12)</f>
        <v>-0</v>
      </c>
      <c r="F156" s="11" t="n">
        <f aca="false">Parametros!$B$6/(1+Parametros!$D$6*Parametros!$C$6*A156/12)^(1/Parametros!$D$6)</f>
        <v>28.4454765151619</v>
      </c>
      <c r="G156" s="12" t="n">
        <f aca="false">F156*30.4</f>
        <v>864.742486060923</v>
      </c>
      <c r="H156" s="13" t="n">
        <f aca="false">IF(Parametros!$B$18*G156-Parametros!$B$14&gt;0,1,0)</f>
        <v>1</v>
      </c>
      <c r="I156" s="12" t="n">
        <f aca="false">(G156*Parametros!$B$18-Parametros!$B$14)*H156/(1+Parametros!$B$16)^(A156/12)</f>
        <v>9771.97875872601</v>
      </c>
      <c r="J156" s="11" t="n">
        <f aca="false">Parametros!$B$7/(1+Parametros!$D$7*Parametros!$C$7*A156/12)^(1/Parametros!$D$7)</f>
        <v>71.1452534465448</v>
      </c>
      <c r="K156" s="12" t="n">
        <f aca="false">J156*30.4</f>
        <v>2162.81570477496</v>
      </c>
      <c r="L156" s="13" t="n">
        <f aca="false">IF(Parametros!$B$18*K156-Parametros!$B$14&gt;0,1,0)</f>
        <v>1</v>
      </c>
      <c r="M156" s="12" t="n">
        <f aca="false">(K156*Parametros!$B$18-Parametros!$B$14)*L156/(1+Parametros!$B$16)^(A156/12)</f>
        <v>28480.4750742012</v>
      </c>
    </row>
    <row r="157" customFormat="false" ht="15" hidden="false" customHeight="false" outlineLevel="0" collapsed="false">
      <c r="A157" s="0" t="n">
        <v>153</v>
      </c>
      <c r="B157" s="11" t="n">
        <f aca="false">Parametros!$B$5/(1+Parametros!$D$5*Parametros!$C$5*A157/12)^(1/Parametros!$D$5)</f>
        <v>4.60068297550707</v>
      </c>
      <c r="C157" s="12" t="n">
        <f aca="false">B157*30.4</f>
        <v>139.860762455415</v>
      </c>
      <c r="D157" s="13" t="n">
        <f aca="false">IF(Parametros!$B$18*C157-Parametros!$B$14&gt;0,1,0)</f>
        <v>0</v>
      </c>
      <c r="E157" s="12" t="n">
        <f aca="false">(C157*Parametros!$B$18-Parametros!$B$14)*D157/(1+Parametros!$B$16)^(A157/12)</f>
        <v>-0</v>
      </c>
      <c r="F157" s="11" t="n">
        <f aca="false">Parametros!$B$6/(1+Parametros!$D$6*Parametros!$C$6*A157/12)^(1/Parametros!$D$6)</f>
        <v>28.2386006517887</v>
      </c>
      <c r="G157" s="12" t="n">
        <f aca="false">F157*30.4</f>
        <v>858.453459814377</v>
      </c>
      <c r="H157" s="13" t="n">
        <f aca="false">IF(Parametros!$B$18*G157-Parametros!$B$14&gt;0,1,0)</f>
        <v>1</v>
      </c>
      <c r="I157" s="12" t="n">
        <f aca="false">(G157*Parametros!$B$18-Parametros!$B$14)*H157/(1+Parametros!$B$16)^(A157/12)</f>
        <v>9604.74847704322</v>
      </c>
      <c r="J157" s="11" t="n">
        <f aca="false">Parametros!$B$7/(1+Parametros!$D$7*Parametros!$C$7*A157/12)^(1/Parametros!$D$7)</f>
        <v>70.7929818303588</v>
      </c>
      <c r="K157" s="12" t="n">
        <f aca="false">J157*30.4</f>
        <v>2152.10664764291</v>
      </c>
      <c r="L157" s="13" t="n">
        <f aca="false">IF(Parametros!$B$18*K157-Parametros!$B$14&gt;0,1,0)</f>
        <v>1</v>
      </c>
      <c r="M157" s="12" t="n">
        <f aca="false">(K157*Parametros!$B$18-Parametros!$B$14)*L157/(1+Parametros!$B$16)^(A157/12)</f>
        <v>28102.0410343208</v>
      </c>
    </row>
    <row r="158" customFormat="false" ht="15" hidden="false" customHeight="false" outlineLevel="0" collapsed="false">
      <c r="A158" s="0" t="n">
        <v>154</v>
      </c>
      <c r="B158" s="11" t="n">
        <f aca="false">Parametros!$B$5/(1+Parametros!$D$5*Parametros!$C$5*A158/12)^(1/Parametros!$D$5)</f>
        <v>4.53895578986478</v>
      </c>
      <c r="C158" s="12" t="n">
        <f aca="false">B158*30.4</f>
        <v>137.984256011889</v>
      </c>
      <c r="D158" s="13" t="n">
        <f aca="false">IF(Parametros!$B$18*C158-Parametros!$B$14&gt;0,1,0)</f>
        <v>0</v>
      </c>
      <c r="E158" s="12" t="n">
        <f aca="false">(C158*Parametros!$B$18-Parametros!$B$14)*D158/(1+Parametros!$B$16)^(A158/12)</f>
        <v>-0</v>
      </c>
      <c r="F158" s="11" t="n">
        <f aca="false">Parametros!$B$6/(1+Parametros!$D$6*Parametros!$C$6*A158/12)^(1/Parametros!$D$6)</f>
        <v>28.0344173097813</v>
      </c>
      <c r="G158" s="12" t="n">
        <f aca="false">F158*30.4</f>
        <v>852.246286217353</v>
      </c>
      <c r="H158" s="13" t="n">
        <f aca="false">IF(Parametros!$B$18*G158-Parametros!$B$14&gt;0,1,0)</f>
        <v>1</v>
      </c>
      <c r="I158" s="12" t="n">
        <f aca="false">(G158*Parametros!$B$18-Parametros!$B$14)*H158/(1+Parametros!$B$16)^(A158/12)</f>
        <v>9440.71366507269</v>
      </c>
      <c r="J158" s="11" t="n">
        <f aca="false">Parametros!$B$7/(1+Parametros!$D$7*Parametros!$C$7*A158/12)^(1/Parametros!$D$7)</f>
        <v>70.4445249058279</v>
      </c>
      <c r="K158" s="12" t="n">
        <f aca="false">J158*30.4</f>
        <v>2141.51355713717</v>
      </c>
      <c r="L158" s="13" t="n">
        <f aca="false">IF(Parametros!$B$18*K158-Parametros!$B$14&gt;0,1,0)</f>
        <v>1</v>
      </c>
      <c r="M158" s="12" t="n">
        <f aca="false">(K158*Parametros!$B$18-Parametros!$B$14)*L158/(1+Parametros!$B$16)^(A158/12)</f>
        <v>27729.4572057626</v>
      </c>
    </row>
    <row r="159" customFormat="false" ht="15" hidden="false" customHeight="false" outlineLevel="0" collapsed="false">
      <c r="A159" s="0" t="n">
        <v>155</v>
      </c>
      <c r="B159" s="11" t="n">
        <f aca="false">Parametros!$B$5/(1+Parametros!$D$5*Parametros!$C$5*A159/12)^(1/Parametros!$D$5)</f>
        <v>4.47838187848743</v>
      </c>
      <c r="C159" s="12" t="n">
        <f aca="false">B159*30.4</f>
        <v>136.142809106018</v>
      </c>
      <c r="D159" s="13" t="n">
        <f aca="false">IF(Parametros!$B$18*C159-Parametros!$B$14&gt;0,1,0)</f>
        <v>0</v>
      </c>
      <c r="E159" s="12" t="n">
        <f aca="false">(C159*Parametros!$B$18-Parametros!$B$14)*D159/(1+Parametros!$B$16)^(A159/12)</f>
        <v>-0</v>
      </c>
      <c r="F159" s="11" t="n">
        <f aca="false">Parametros!$B$6/(1+Parametros!$D$6*Parametros!$C$6*A159/12)^(1/Parametros!$D$6)</f>
        <v>27.8328761617864</v>
      </c>
      <c r="G159" s="12" t="n">
        <f aca="false">F159*30.4</f>
        <v>846.119435318306</v>
      </c>
      <c r="H159" s="13" t="n">
        <f aca="false">IF(Parametros!$B$18*G159-Parametros!$B$14&gt;0,1,0)</f>
        <v>1</v>
      </c>
      <c r="I159" s="12" t="n">
        <f aca="false">(G159*Parametros!$B$18-Parametros!$B$14)*H159/(1+Parametros!$B$16)^(A159/12)</f>
        <v>9279.80351294689</v>
      </c>
      <c r="J159" s="11" t="n">
        <f aca="false">Parametros!$B$7/(1+Parametros!$D$7*Parametros!$C$7*A159/12)^(1/Parametros!$D$7)</f>
        <v>70.0998192071174</v>
      </c>
      <c r="K159" s="12" t="n">
        <f aca="false">J159*30.4</f>
        <v>2131.03450389637</v>
      </c>
      <c r="L159" s="13" t="n">
        <f aca="false">IF(Parametros!$B$18*K159-Parametros!$B$14&gt;0,1,0)</f>
        <v>1</v>
      </c>
      <c r="M159" s="12" t="n">
        <f aca="false">(K159*Parametros!$B$18-Parametros!$B$14)*L159/(1+Parametros!$B$16)^(A159/12)</f>
        <v>27362.6145439125</v>
      </c>
    </row>
    <row r="160" customFormat="false" ht="15" hidden="false" customHeight="false" outlineLevel="0" collapsed="false">
      <c r="A160" s="0" t="n">
        <v>156</v>
      </c>
      <c r="B160" s="11" t="n">
        <f aca="false">Parametros!$B$5/(1+Parametros!$D$5*Parametros!$C$5*A160/12)^(1/Parametros!$D$5)</f>
        <v>4.41893368516312</v>
      </c>
      <c r="C160" s="12" t="n">
        <f aca="false">B160*30.4</f>
        <v>134.335584028959</v>
      </c>
      <c r="D160" s="13" t="n">
        <f aca="false">IF(Parametros!$B$18*C160-Parametros!$B$14&gt;0,1,0)</f>
        <v>0</v>
      </c>
      <c r="E160" s="12" t="n">
        <f aca="false">(C160*Parametros!$B$18-Parametros!$B$14)*D160/(1+Parametros!$B$16)^(A160/12)</f>
        <v>-0</v>
      </c>
      <c r="F160" s="11" t="n">
        <f aca="false">Parametros!$B$6/(1+Parametros!$D$6*Parametros!$C$6*A160/12)^(1/Parametros!$D$6)</f>
        <v>27.6339281035554</v>
      </c>
      <c r="G160" s="12" t="n">
        <f aca="false">F160*30.4</f>
        <v>840.071414348086</v>
      </c>
      <c r="H160" s="13" t="n">
        <f aca="false">IF(Parametros!$B$18*G160-Parametros!$B$14&gt;0,1,0)</f>
        <v>1</v>
      </c>
      <c r="I160" s="12" t="n">
        <f aca="false">(G160*Parametros!$B$18-Parametros!$B$14)*H160/(1+Parametros!$B$16)^(A160/12)</f>
        <v>9121.94906364383</v>
      </c>
      <c r="J160" s="11" t="n">
        <f aca="false">Parametros!$B$7/(1+Parametros!$D$7*Parametros!$C$7*A160/12)^(1/Parametros!$D$7)</f>
        <v>69.7588026886169</v>
      </c>
      <c r="K160" s="12" t="n">
        <f aca="false">J160*30.4</f>
        <v>2120.66760173396</v>
      </c>
      <c r="L160" s="13" t="n">
        <f aca="false">IF(Parametros!$B$18*K160-Parametros!$B$14&gt;0,1,0)</f>
        <v>1</v>
      </c>
      <c r="M160" s="12" t="n">
        <f aca="false">(K160*Parametros!$B$18-Parametros!$B$14)*L160/(1+Parametros!$B$16)^(A160/12)</f>
        <v>27001.4064986965</v>
      </c>
    </row>
    <row r="161" customFormat="false" ht="15" hidden="false" customHeight="false" outlineLevel="0" collapsed="false">
      <c r="A161" s="0" t="n">
        <v>157</v>
      </c>
      <c r="B161" s="11" t="n">
        <f aca="false">Parametros!$B$5/(1+Parametros!$D$5*Parametros!$C$5*A161/12)^(1/Parametros!$D$5)</f>
        <v>4.36058445416865</v>
      </c>
      <c r="C161" s="12" t="n">
        <f aca="false">B161*30.4</f>
        <v>132.561767406727</v>
      </c>
      <c r="D161" s="13" t="n">
        <f aca="false">IF(Parametros!$B$18*C161-Parametros!$B$14&gt;0,1,0)</f>
        <v>0</v>
      </c>
      <c r="E161" s="12" t="n">
        <f aca="false">(C161*Parametros!$B$18-Parametros!$B$14)*D161/(1+Parametros!$B$16)^(A161/12)</f>
        <v>-0</v>
      </c>
      <c r="F161" s="11" t="n">
        <f aca="false">Parametros!$B$6/(1+Parametros!$D$6*Parametros!$C$6*A161/12)^(1/Parametros!$D$6)</f>
        <v>27.4375252174346</v>
      </c>
      <c r="G161" s="12" t="n">
        <f aca="false">F161*30.4</f>
        <v>834.100766610012</v>
      </c>
      <c r="H161" s="13" t="n">
        <f aca="false">IF(Parametros!$B$18*G161-Parametros!$B$14&gt;0,1,0)</f>
        <v>1</v>
      </c>
      <c r="I161" s="12" t="n">
        <f aca="false">(G161*Parametros!$B$18-Parametros!$B$14)*H161/(1+Parametros!$B$16)^(A161/12)</f>
        <v>8967.08315579074</v>
      </c>
      <c r="J161" s="11" t="n">
        <f aca="false">Parametros!$B$7/(1+Parametros!$D$7*Parametros!$C$7*A161/12)^(1/Parametros!$D$7)</f>
        <v>69.4214146851008</v>
      </c>
      <c r="K161" s="12" t="n">
        <f aca="false">J161*30.4</f>
        <v>2110.41100642706</v>
      </c>
      <c r="L161" s="13" t="n">
        <f aca="false">IF(Parametros!$B$18*K161-Parametros!$B$14&gt;0,1,0)</f>
        <v>1</v>
      </c>
      <c r="M161" s="12" t="n">
        <f aca="false">(K161*Parametros!$B$18-Parametros!$B$14)*L161/(1+Parametros!$B$16)^(A161/12)</f>
        <v>26645.7289449419</v>
      </c>
    </row>
    <row r="162" customFormat="false" ht="15" hidden="false" customHeight="false" outlineLevel="0" collapsed="false">
      <c r="A162" s="0" t="n">
        <v>158</v>
      </c>
      <c r="B162" s="11" t="n">
        <f aca="false">Parametros!$B$5/(1+Parametros!$D$5*Parametros!$C$5*A162/12)^(1/Parametros!$D$5)</f>
        <v>4.30330820293241</v>
      </c>
      <c r="C162" s="12" t="n">
        <f aca="false">B162*30.4</f>
        <v>130.820569369145</v>
      </c>
      <c r="D162" s="13" t="n">
        <f aca="false">IF(Parametros!$B$18*C162-Parametros!$B$14&gt;0,1,0)</f>
        <v>0</v>
      </c>
      <c r="E162" s="12" t="n">
        <f aca="false">(C162*Parametros!$B$18-Parametros!$B$14)*D162/(1+Parametros!$B$16)^(A162/12)</f>
        <v>-0</v>
      </c>
      <c r="F162" s="11" t="n">
        <f aca="false">Parametros!$B$6/(1+Parametros!$D$6*Parametros!$C$6*A162/12)^(1/Parametros!$D$6)</f>
        <v>27.2436207371441</v>
      </c>
      <c r="G162" s="12" t="n">
        <f aca="false">F162*30.4</f>
        <v>828.20607040918</v>
      </c>
      <c r="H162" s="13" t="n">
        <f aca="false">IF(Parametros!$B$18*G162-Parametros!$B$14&gt;0,1,0)</f>
        <v>1</v>
      </c>
      <c r="I162" s="12" t="n">
        <f aca="false">(G162*Parametros!$B$18-Parametros!$B$14)*H162/(1+Parametros!$B$16)^(A162/12)</f>
        <v>8815.14036852426</v>
      </c>
      <c r="J162" s="11" t="n">
        <f aca="false">Parametros!$B$7/(1+Parametros!$D$7*Parametros!$C$7*A162/12)^(1/Parametros!$D$7)</f>
        <v>69.0875958732293</v>
      </c>
      <c r="K162" s="12" t="n">
        <f aca="false">J162*30.4</f>
        <v>2100.26291454617</v>
      </c>
      <c r="L162" s="13" t="n">
        <f aca="false">IF(Parametros!$B$18*K162-Parametros!$B$14&gt;0,1,0)</f>
        <v>1</v>
      </c>
      <c r="M162" s="12" t="n">
        <f aca="false">(K162*Parametros!$B$18-Parametros!$B$14)*L162/(1+Parametros!$B$16)^(A162/12)</f>
        <v>26295.4801150621</v>
      </c>
    </row>
    <row r="163" customFormat="false" ht="15" hidden="false" customHeight="false" outlineLevel="0" collapsed="false">
      <c r="A163" s="0" t="n">
        <v>159</v>
      </c>
      <c r="B163" s="11" t="n">
        <f aca="false">Parametros!$B$5/(1+Parametros!$D$5*Parametros!$C$5*A163/12)^(1/Parametros!$D$5)</f>
        <v>4.24707969576883</v>
      </c>
      <c r="C163" s="12" t="n">
        <f aca="false">B163*30.4</f>
        <v>129.111222751372</v>
      </c>
      <c r="D163" s="13" t="n">
        <f aca="false">IF(Parametros!$B$18*C163-Parametros!$B$14&gt;0,1,0)</f>
        <v>0</v>
      </c>
      <c r="E163" s="12" t="n">
        <f aca="false">(C163*Parametros!$B$18-Parametros!$B$14)*D163/(1+Parametros!$B$16)^(A163/12)</f>
        <v>-0</v>
      </c>
      <c r="F163" s="11" t="n">
        <f aca="false">Parametros!$B$6/(1+Parametros!$D$6*Parametros!$C$6*A163/12)^(1/Parametros!$D$6)</f>
        <v>27.0521690137955</v>
      </c>
      <c r="G163" s="12" t="n">
        <f aca="false">F163*30.4</f>
        <v>822.385938019385</v>
      </c>
      <c r="H163" s="13" t="n">
        <f aca="false">IF(Parametros!$B$18*G163-Parametros!$B$14&gt;0,1,0)</f>
        <v>1</v>
      </c>
      <c r="I163" s="12" t="n">
        <f aca="false">(G163*Parametros!$B$18-Parametros!$B$14)*H163/(1+Parametros!$B$16)^(A163/12)</f>
        <v>8666.05696832254</v>
      </c>
      <c r="J163" s="11" t="n">
        <f aca="false">Parametros!$B$7/(1+Parametros!$D$7*Parametros!$C$7*A163/12)^(1/Parametros!$D$7)</f>
        <v>68.7572882343383</v>
      </c>
      <c r="K163" s="12" t="n">
        <f aca="false">J163*30.4</f>
        <v>2090.22156232388</v>
      </c>
      <c r="L163" s="13" t="n">
        <f aca="false">IF(Parametros!$B$18*K163-Parametros!$B$14&gt;0,1,0)</f>
        <v>1</v>
      </c>
      <c r="M163" s="12" t="n">
        <f aca="false">(K163*Parametros!$B$18-Parametros!$B$14)*L163/(1+Parametros!$B$16)^(A163/12)</f>
        <v>25950.5605339734</v>
      </c>
    </row>
    <row r="164" customFormat="false" ht="15" hidden="false" customHeight="false" outlineLevel="0" collapsed="false">
      <c r="A164" s="0" t="n">
        <v>160</v>
      </c>
      <c r="B164" s="11" t="n">
        <f aca="false">Parametros!$B$5/(1+Parametros!$D$5*Parametros!$C$5*A164/12)^(1/Parametros!$D$5)</f>
        <v>4.19187441863714</v>
      </c>
      <c r="C164" s="12" t="n">
        <f aca="false">B164*30.4</f>
        <v>127.432982326569</v>
      </c>
      <c r="D164" s="13" t="n">
        <f aca="false">IF(Parametros!$B$18*C164-Parametros!$B$14&gt;0,1,0)</f>
        <v>0</v>
      </c>
      <c r="E164" s="12" t="n">
        <f aca="false">(C164*Parametros!$B$18-Parametros!$B$14)*D164/(1+Parametros!$B$16)^(A164/12)</f>
        <v>-0</v>
      </c>
      <c r="F164" s="11" t="n">
        <f aca="false">Parametros!$B$6/(1+Parametros!$D$6*Parametros!$C$6*A164/12)^(1/Parametros!$D$6)</f>
        <v>26.8631254830966</v>
      </c>
      <c r="G164" s="12" t="n">
        <f aca="false">F164*30.4</f>
        <v>816.639014686137</v>
      </c>
      <c r="H164" s="13" t="n">
        <f aca="false">IF(Parametros!$B$18*G164-Parametros!$B$14&gt;0,1,0)</f>
        <v>1</v>
      </c>
      <c r="I164" s="12" t="n">
        <f aca="false">(G164*Parametros!$B$18-Parametros!$B$14)*H164/(1+Parametros!$B$16)^(A164/12)</f>
        <v>8519.77085772842</v>
      </c>
      <c r="J164" s="11" t="n">
        <f aca="false">Parametros!$B$7/(1+Parametros!$D$7*Parametros!$C$7*A164/12)^(1/Parametros!$D$7)</f>
        <v>68.4304350184674</v>
      </c>
      <c r="K164" s="12" t="n">
        <f aca="false">J164*30.4</f>
        <v>2080.28522456141</v>
      </c>
      <c r="L164" s="13" t="n">
        <f aca="false">IF(Parametros!$B$18*K164-Parametros!$B$14&gt;0,1,0)</f>
        <v>1</v>
      </c>
      <c r="M164" s="12" t="n">
        <f aca="false">(K164*Parametros!$B$18-Parametros!$B$14)*L164/(1+Parametros!$B$16)^(A164/12)</f>
        <v>25610.8729561591</v>
      </c>
    </row>
    <row r="165" customFormat="false" ht="15" hidden="false" customHeight="false" outlineLevel="0" collapsed="false">
      <c r="A165" s="0" t="n">
        <v>161</v>
      </c>
      <c r="B165" s="11" t="n">
        <f aca="false">Parametros!$B$5/(1+Parametros!$D$5*Parametros!$C$5*A165/12)^(1/Parametros!$D$5)</f>
        <v>4.1376685548792</v>
      </c>
      <c r="C165" s="12" t="n">
        <f aca="false">B165*30.4</f>
        <v>125.785124068328</v>
      </c>
      <c r="D165" s="13" t="n">
        <f aca="false">IF(Parametros!$B$18*C165-Parametros!$B$14&gt;0,1,0)</f>
        <v>0</v>
      </c>
      <c r="E165" s="12" t="n">
        <f aca="false">(C165*Parametros!$B$18-Parametros!$B$14)*D165/(1+Parametros!$B$16)^(A165/12)</f>
        <v>-0</v>
      </c>
      <c r="F165" s="11" t="n">
        <f aca="false">Parametros!$B$6/(1+Parametros!$D$6*Parametros!$C$6*A165/12)^(1/Parametros!$D$6)</f>
        <v>26.676446633695</v>
      </c>
      <c r="G165" s="12" t="n">
        <f aca="false">F165*30.4</f>
        <v>810.963977664328</v>
      </c>
      <c r="H165" s="13" t="n">
        <f aca="false">IF(Parametros!$B$18*G165-Parametros!$B$14&gt;0,1,0)</f>
        <v>1</v>
      </c>
      <c r="I165" s="12" t="n">
        <f aca="false">(G165*Parametros!$B$18-Parametros!$B$14)*H165/(1+Parametros!$B$16)^(A165/12)</f>
        <v>8376.22152588658</v>
      </c>
      <c r="J165" s="11" t="n">
        <f aca="false">Parametros!$B$7/(1+Parametros!$D$7*Parametros!$C$7*A165/12)^(1/Parametros!$D$7)</f>
        <v>68.1069807095779</v>
      </c>
      <c r="K165" s="12" t="n">
        <f aca="false">J165*30.4</f>
        <v>2070.45221357117</v>
      </c>
      <c r="L165" s="13" t="n">
        <f aca="false">IF(Parametros!$B$18*K165-Parametros!$B$14&gt;0,1,0)</f>
        <v>1</v>
      </c>
      <c r="M165" s="12" t="n">
        <f aca="false">(K165*Parametros!$B$18-Parametros!$B$14)*L165/(1+Parametros!$B$16)^(A165/12)</f>
        <v>25276.3223047978</v>
      </c>
    </row>
    <row r="166" customFormat="false" ht="15" hidden="false" customHeight="false" outlineLevel="0" collapsed="false">
      <c r="A166" s="0" t="n">
        <v>162</v>
      </c>
      <c r="B166" s="11" t="n">
        <f aca="false">Parametros!$B$5/(1+Parametros!$D$5*Parametros!$C$5*A166/12)^(1/Parametros!$D$5)</f>
        <v>4.08443896189371</v>
      </c>
      <c r="C166" s="12" t="n">
        <f aca="false">B166*30.4</f>
        <v>124.166944441569</v>
      </c>
      <c r="D166" s="13" t="n">
        <f aca="false">IF(Parametros!$B$18*C166-Parametros!$B$14&gt;0,1,0)</f>
        <v>0</v>
      </c>
      <c r="E166" s="12" t="n">
        <f aca="false">(C166*Parametros!$B$18-Parametros!$B$14)*D166/(1+Parametros!$B$16)^(A166/12)</f>
        <v>-0</v>
      </c>
      <c r="F166" s="11" t="n">
        <f aca="false">Parametros!$B$6/(1+Parametros!$D$6*Parametros!$C$6*A166/12)^(1/Parametros!$D$6)</f>
        <v>26.4920899766163</v>
      </c>
      <c r="G166" s="12" t="n">
        <f aca="false">F166*30.4</f>
        <v>805.359535289137</v>
      </c>
      <c r="H166" s="13" t="n">
        <f aca="false">IF(Parametros!$B$18*G166-Parametros!$B$14&gt;0,1,0)</f>
        <v>1</v>
      </c>
      <c r="I166" s="12" t="n">
        <f aca="false">(G166*Parametros!$B$18-Parametros!$B$14)*H166/(1+Parametros!$B$16)^(A166/12)</f>
        <v>8235.35000082121</v>
      </c>
      <c r="J166" s="11" t="n">
        <f aca="false">Parametros!$B$7/(1+Parametros!$D$7*Parametros!$C$7*A166/12)^(1/Parametros!$D$7)</f>
        <v>67.7868709919155</v>
      </c>
      <c r="K166" s="12" t="n">
        <f aca="false">J166*30.4</f>
        <v>2060.72087815423</v>
      </c>
      <c r="L166" s="13" t="n">
        <f aca="false">IF(Parametros!$B$18*K166-Parametros!$B$14&gt;0,1,0)</f>
        <v>1</v>
      </c>
      <c r="M166" s="12" t="n">
        <f aca="false">(K166*Parametros!$B$18-Parametros!$B$14)*L166/(1+Parametros!$B$16)^(A166/12)</f>
        <v>24946.8156128758</v>
      </c>
    </row>
    <row r="167" customFormat="false" ht="15" hidden="false" customHeight="false" outlineLevel="0" collapsed="false">
      <c r="A167" s="0" t="n">
        <v>163</v>
      </c>
      <c r="B167" s="11" t="n">
        <f aca="false">Parametros!$B$5/(1+Parametros!$D$5*Parametros!$C$5*A167/12)^(1/Parametros!$D$5)</f>
        <v>4.0321631487061</v>
      </c>
      <c r="C167" s="12" t="n">
        <f aca="false">B167*30.4</f>
        <v>122.577759720665</v>
      </c>
      <c r="D167" s="13" t="n">
        <f aca="false">IF(Parametros!$B$18*C167-Parametros!$B$14&gt;0,1,0)</f>
        <v>0</v>
      </c>
      <c r="E167" s="12" t="n">
        <f aca="false">(C167*Parametros!$B$18-Parametros!$B$14)*D167/(1+Parametros!$B$16)^(A167/12)</f>
        <v>-0</v>
      </c>
      <c r="F167" s="11" t="n">
        <f aca="false">Parametros!$B$6/(1+Parametros!$D$6*Parametros!$C$6*A167/12)^(1/Parametros!$D$6)</f>
        <v>26.3100140157526</v>
      </c>
      <c r="G167" s="12" t="n">
        <f aca="false">F167*30.4</f>
        <v>799.824426078878</v>
      </c>
      <c r="H167" s="13" t="n">
        <f aca="false">IF(Parametros!$B$18*G167-Parametros!$B$14&gt;0,1,0)</f>
        <v>1</v>
      </c>
      <c r="I167" s="12" t="n">
        <f aca="false">(G167*Parametros!$B$18-Parametros!$B$14)*H167/(1+Parametros!$B$16)^(A167/12)</f>
        <v>8097.09880338414</v>
      </c>
      <c r="J167" s="11" t="n">
        <f aca="false">Parametros!$B$7/(1+Parametros!$D$7*Parametros!$C$7*A167/12)^(1/Parametros!$D$7)</f>
        <v>67.470052717473</v>
      </c>
      <c r="K167" s="12" t="n">
        <f aca="false">J167*30.4</f>
        <v>2051.08960261118</v>
      </c>
      <c r="L167" s="13" t="n">
        <f aca="false">IF(Parametros!$B$18*K167-Parametros!$B$14&gt;0,1,0)</f>
        <v>1</v>
      </c>
      <c r="M167" s="12" t="n">
        <f aca="false">(K167*Parametros!$B$18-Parametros!$B$14)*L167/(1+Parametros!$B$16)^(A167/12)</f>
        <v>24622.2619662097</v>
      </c>
    </row>
    <row r="168" customFormat="false" ht="15" hidden="false" customHeight="false" outlineLevel="0" collapsed="false">
      <c r="A168" s="0" t="n">
        <v>164</v>
      </c>
      <c r="B168" s="11" t="n">
        <f aca="false">Parametros!$B$5/(1+Parametros!$D$5*Parametros!$C$5*A168/12)^(1/Parametros!$D$5)</f>
        <v>3.98081925439516</v>
      </c>
      <c r="C168" s="12" t="n">
        <f aca="false">B168*30.4</f>
        <v>121.016905333613</v>
      </c>
      <c r="D168" s="13" t="n">
        <f aca="false">IF(Parametros!$B$18*C168-Parametros!$B$14&gt;0,1,0)</f>
        <v>0</v>
      </c>
      <c r="E168" s="12" t="n">
        <f aca="false">(C168*Parametros!$B$18-Parametros!$B$14)*D168/(1+Parametros!$B$16)^(A168/12)</f>
        <v>-0</v>
      </c>
      <c r="F168" s="11" t="n">
        <f aca="false">Parametros!$B$6/(1+Parametros!$D$6*Parametros!$C$6*A168/12)^(1/Parametros!$D$6)</f>
        <v>26.1301782193585</v>
      </c>
      <c r="G168" s="12" t="n">
        <f aca="false">F168*30.4</f>
        <v>794.357417868497</v>
      </c>
      <c r="H168" s="13" t="n">
        <f aca="false">IF(Parametros!$B$18*G168-Parametros!$B$14&gt;0,1,0)</f>
        <v>1</v>
      </c>
      <c r="I168" s="12" t="n">
        <f aca="false">(G168*Parametros!$B$18-Parametros!$B$14)*H168/(1+Parametros!$B$16)^(A168/12)</f>
        <v>7961.41190280616</v>
      </c>
      <c r="J168" s="11" t="n">
        <f aca="false">Parametros!$B$7/(1+Parametros!$D$7*Parametros!$C$7*A168/12)^(1/Parametros!$D$7)</f>
        <v>67.1564738745121</v>
      </c>
      <c r="K168" s="12" t="n">
        <f aca="false">J168*30.4</f>
        <v>2041.55680578517</v>
      </c>
      <c r="L168" s="13" t="n">
        <f aca="false">IF(Parametros!$B$18*K168-Parametros!$B$14&gt;0,1,0)</f>
        <v>1</v>
      </c>
      <c r="M168" s="12" t="n">
        <f aca="false">(K168*Parametros!$B$18-Parametros!$B$14)*L168/(1+Parametros!$B$16)^(A168/12)</f>
        <v>24302.5724483061</v>
      </c>
    </row>
    <row r="169" customFormat="false" ht="15" hidden="false" customHeight="false" outlineLevel="0" collapsed="false">
      <c r="A169" s="0" t="n">
        <v>165</v>
      </c>
      <c r="B169" s="11" t="n">
        <f aca="false">Parametros!$B$5/(1+Parametros!$D$5*Parametros!$C$5*A169/12)^(1/Parametros!$D$5)</f>
        <v>3.93038602733965</v>
      </c>
      <c r="C169" s="12" t="n">
        <f aca="false">B169*30.4</f>
        <v>119.483735231125</v>
      </c>
      <c r="D169" s="13" t="n">
        <f aca="false">IF(Parametros!$B$18*C169-Parametros!$B$14&gt;0,1,0)</f>
        <v>0</v>
      </c>
      <c r="E169" s="12" t="n">
        <f aca="false">(C169*Parametros!$B$18-Parametros!$B$14)*D169/(1+Parametros!$B$16)^(A169/12)</f>
        <v>-0</v>
      </c>
      <c r="F169" s="11" t="n">
        <f aca="false">Parametros!$B$6/(1+Parametros!$D$6*Parametros!$C$6*A169/12)^(1/Parametros!$D$6)</f>
        <v>25.9525429925174</v>
      </c>
      <c r="G169" s="12" t="n">
        <f aca="false">F169*30.4</f>
        <v>788.95730697253</v>
      </c>
      <c r="H169" s="13" t="n">
        <f aca="false">IF(Parametros!$B$18*G169-Parametros!$B$14&gt;0,1,0)</f>
        <v>1</v>
      </c>
      <c r="I169" s="12" t="n">
        <f aca="false">(G169*Parametros!$B$18-Parametros!$B$14)*H169/(1+Parametros!$B$16)^(A169/12)</f>
        <v>7828.23467378801</v>
      </c>
      <c r="J169" s="11" t="n">
        <f aca="false">Parametros!$B$7/(1+Parametros!$D$7*Parametros!$C$7*A169/12)^(1/Parametros!$D$7)</f>
        <v>66.8460835571034</v>
      </c>
      <c r="K169" s="12" t="n">
        <f aca="false">J169*30.4</f>
        <v>2032.12094013594</v>
      </c>
      <c r="L169" s="13" t="n">
        <f aca="false">IF(Parametros!$B$18*K169-Parametros!$B$14&gt;0,1,0)</f>
        <v>1</v>
      </c>
      <c r="M169" s="12" t="n">
        <f aca="false">(K169*Parametros!$B$18-Parametros!$B$14)*L169/(1+Parametros!$B$16)^(A169/12)</f>
        <v>23987.6600869893</v>
      </c>
    </row>
    <row r="170" customFormat="false" ht="15" hidden="false" customHeight="false" outlineLevel="0" collapsed="false">
      <c r="A170" s="0" t="n">
        <v>166</v>
      </c>
      <c r="B170" s="11" t="n">
        <f aca="false">Parametros!$B$5/(1+Parametros!$D$5*Parametros!$C$5*A170/12)^(1/Parametros!$D$5)</f>
        <v>3.8808428052497</v>
      </c>
      <c r="C170" s="12" t="n">
        <f aca="false">B170*30.4</f>
        <v>117.977621279591</v>
      </c>
      <c r="D170" s="13" t="n">
        <f aca="false">IF(Parametros!$B$18*C170-Parametros!$B$14&gt;0,1,0)</f>
        <v>0</v>
      </c>
      <c r="E170" s="12" t="n">
        <f aca="false">(C170*Parametros!$B$18-Parametros!$B$14)*D170/(1+Parametros!$B$16)^(A170/12)</f>
        <v>-0</v>
      </c>
      <c r="F170" s="11" t="n">
        <f aca="false">Parametros!$B$6/(1+Parametros!$D$6*Parametros!$C$6*A170/12)^(1/Parametros!$D$6)</f>
        <v>25.7770696505379</v>
      </c>
      <c r="G170" s="12" t="n">
        <f aca="false">F170*30.4</f>
        <v>783.622917376353</v>
      </c>
      <c r="H170" s="13" t="n">
        <f aca="false">IF(Parametros!$B$18*G170-Parametros!$B$14&gt;0,1,0)</f>
        <v>1</v>
      </c>
      <c r="I170" s="12" t="n">
        <f aca="false">(G170*Parametros!$B$18-Parametros!$B$14)*H170/(1+Parametros!$B$16)^(A170/12)</f>
        <v>7697.51385506968</v>
      </c>
      <c r="J170" s="11" t="n">
        <f aca="false">Parametros!$B$7/(1+Parametros!$D$7*Parametros!$C$7*A170/12)^(1/Parametros!$D$7)</f>
        <v>66.5388319356462</v>
      </c>
      <c r="K170" s="12" t="n">
        <f aca="false">J170*30.4</f>
        <v>2022.78049084364</v>
      </c>
      <c r="L170" s="13" t="n">
        <f aca="false">IF(Parametros!$B$18*K170-Parametros!$B$14&gt;0,1,0)</f>
        <v>1</v>
      </c>
      <c r="M170" s="12" t="n">
        <f aca="false">(K170*Parametros!$B$18-Parametros!$B$14)*L170/(1+Parametros!$B$16)^(A170/12)</f>
        <v>23677.4398027314</v>
      </c>
    </row>
    <row r="171" customFormat="false" ht="15" hidden="false" customHeight="false" outlineLevel="0" collapsed="false">
      <c r="A171" s="0" t="n">
        <v>167</v>
      </c>
      <c r="B171" s="11" t="n">
        <f aca="false">Parametros!$B$5/(1+Parametros!$D$5*Parametros!$C$5*A171/12)^(1/Parametros!$D$5)</f>
        <v>3.83216949594951</v>
      </c>
      <c r="C171" s="12" t="n">
        <f aca="false">B171*30.4</f>
        <v>116.497952676865</v>
      </c>
      <c r="D171" s="13" t="n">
        <f aca="false">IF(Parametros!$B$18*C171-Parametros!$B$14&gt;0,1,0)</f>
        <v>0</v>
      </c>
      <c r="E171" s="12" t="n">
        <f aca="false">(C171*Parametros!$B$18-Parametros!$B$14)*D171/(1+Parametros!$B$16)^(A171/12)</f>
        <v>-0</v>
      </c>
      <c r="F171" s="11" t="n">
        <f aca="false">Parametros!$B$6/(1+Parametros!$D$6*Parametros!$C$6*A171/12)^(1/Parametros!$D$6)</f>
        <v>25.6037203932444</v>
      </c>
      <c r="G171" s="12" t="n">
        <f aca="false">F171*30.4</f>
        <v>778.353099954629</v>
      </c>
      <c r="H171" s="13" t="n">
        <f aca="false">IF(Parametros!$B$18*G171-Parametros!$B$14&gt;0,1,0)</f>
        <v>1</v>
      </c>
      <c r="I171" s="12" t="n">
        <f aca="false">(G171*Parametros!$B$18-Parametros!$B$14)*H171/(1+Parametros!$B$16)^(A171/12)</f>
        <v>7569.19750941975</v>
      </c>
      <c r="J171" s="11" t="n">
        <f aca="false">Parametros!$B$7/(1+Parametros!$D$7*Parametros!$C$7*A171/12)^(1/Parametros!$D$7)</f>
        <v>66.2346702283321</v>
      </c>
      <c r="K171" s="12" t="n">
        <f aca="false">J171*30.4</f>
        <v>2013.5339749413</v>
      </c>
      <c r="L171" s="13" t="n">
        <f aca="false">IF(Parametros!$B$18*K171-Parametros!$B$14&gt;0,1,0)</f>
        <v>1</v>
      </c>
      <c r="M171" s="12" t="n">
        <f aca="false">(K171*Parametros!$B$18-Parametros!$B$14)*L171/(1+Parametros!$B$16)^(A171/12)</f>
        <v>23371.8283586209</v>
      </c>
    </row>
    <row r="172" customFormat="false" ht="15" hidden="false" customHeight="false" outlineLevel="0" collapsed="false">
      <c r="A172" s="0" t="n">
        <v>168</v>
      </c>
      <c r="B172" s="11" t="n">
        <f aca="false">Parametros!$B$5/(1+Parametros!$D$5*Parametros!$C$5*A172/12)^(1/Parametros!$D$5)</f>
        <v>3.7843465588795</v>
      </c>
      <c r="C172" s="12" t="n">
        <f aca="false">B172*30.4</f>
        <v>115.044135389937</v>
      </c>
      <c r="D172" s="13" t="n">
        <f aca="false">IF(Parametros!$B$18*C172-Parametros!$B$14&gt;0,1,0)</f>
        <v>0</v>
      </c>
      <c r="E172" s="12" t="n">
        <f aca="false">(C172*Parametros!$B$18-Parametros!$B$14)*D172/(1+Parametros!$B$16)^(A172/12)</f>
        <v>-0</v>
      </c>
      <c r="F172" s="11" t="n">
        <f aca="false">Parametros!$B$6/(1+Parametros!$D$6*Parametros!$C$6*A172/12)^(1/Parametros!$D$6)</f>
        <v>25.432458280128</v>
      </c>
      <c r="G172" s="12" t="n">
        <f aca="false">F172*30.4</f>
        <v>773.146731715891</v>
      </c>
      <c r="H172" s="13" t="n">
        <f aca="false">IF(Parametros!$B$18*G172-Parametros!$B$14&gt;0,1,0)</f>
        <v>1</v>
      </c>
      <c r="I172" s="12" t="n">
        <f aca="false">(G172*Parametros!$B$18-Parametros!$B$14)*H172/(1+Parametros!$B$16)^(A172/12)</f>
        <v>7443.23498498916</v>
      </c>
      <c r="J172" s="11" t="n">
        <f aca="false">Parametros!$B$7/(1+Parametros!$D$7*Parametros!$C$7*A172/12)^(1/Parametros!$D$7)</f>
        <v>65.9335506735163</v>
      </c>
      <c r="K172" s="12" t="n">
        <f aca="false">J172*30.4</f>
        <v>2004.37994047489</v>
      </c>
      <c r="L172" s="13" t="n">
        <f aca="false">IF(Parametros!$B$18*K172-Parametros!$B$14&gt;0,1,0)</f>
        <v>1</v>
      </c>
      <c r="M172" s="12" t="n">
        <f aca="false">(K172*Parametros!$B$18-Parametros!$B$14)*L172/(1+Parametros!$B$16)^(A172/12)</f>
        <v>23070.7443119091</v>
      </c>
    </row>
    <row r="173" customFormat="false" ht="15" hidden="false" customHeight="false" outlineLevel="0" collapsed="false">
      <c r="A173" s="0" t="n">
        <v>169</v>
      </c>
      <c r="B173" s="11" t="n">
        <f aca="false">Parametros!$B$5/(1+Parametros!$D$5*Parametros!$C$5*A173/12)^(1/Parametros!$D$5)</f>
        <v>3.73735498728757</v>
      </c>
      <c r="C173" s="12" t="n">
        <f aca="false">B173*30.4</f>
        <v>113.615591613542</v>
      </c>
      <c r="D173" s="13" t="n">
        <f aca="false">IF(Parametros!$B$18*C173-Parametros!$B$14&gt;0,1,0)</f>
        <v>0</v>
      </c>
      <c r="E173" s="12" t="n">
        <f aca="false">(C173*Parametros!$B$18-Parametros!$B$14)*D173/(1+Parametros!$B$16)^(A173/12)</f>
        <v>-0</v>
      </c>
      <c r="F173" s="11" t="n">
        <f aca="false">Parametros!$B$6/(1+Parametros!$D$6*Parametros!$C$6*A173/12)^(1/Parametros!$D$6)</f>
        <v>25.2632472063243</v>
      </c>
      <c r="G173" s="12" t="n">
        <f aca="false">F173*30.4</f>
        <v>768.002715072259</v>
      </c>
      <c r="H173" s="13" t="n">
        <f aca="false">IF(Parametros!$B$18*G173-Parametros!$B$14&gt;0,1,0)</f>
        <v>1</v>
      </c>
      <c r="I173" s="12" t="n">
        <f aca="false">(G173*Parametros!$B$18-Parametros!$B$14)*H173/(1+Parametros!$B$16)^(A173/12)</f>
        <v>7319.57687797597</v>
      </c>
      <c r="J173" s="11" t="n">
        <f aca="false">Parametros!$B$7/(1+Parametros!$D$7*Parametros!$C$7*A173/12)^(1/Parametros!$D$7)</f>
        <v>65.6354265029636</v>
      </c>
      <c r="K173" s="12" t="n">
        <f aca="false">J173*30.4</f>
        <v>1995.31696569009</v>
      </c>
      <c r="L173" s="13" t="n">
        <f aca="false">IF(Parametros!$B$18*K173-Parametros!$B$14&gt;0,1,0)</f>
        <v>1</v>
      </c>
      <c r="M173" s="12" t="n">
        <f aca="false">(K173*Parametros!$B$18-Parametros!$B$14)*L173/(1+Parametros!$B$16)^(A173/12)</f>
        <v>22774.1079670774</v>
      </c>
    </row>
    <row r="174" customFormat="false" ht="15" hidden="false" customHeight="false" outlineLevel="0" collapsed="false">
      <c r="A174" s="0" t="n">
        <v>170</v>
      </c>
      <c r="B174" s="11" t="n">
        <f aca="false">Parametros!$B$5/(1+Parametros!$D$5*Parametros!$C$5*A174/12)^(1/Parametros!$D$5)</f>
        <v>3.69117629108039</v>
      </c>
      <c r="C174" s="12" t="n">
        <f aca="false">B174*30.4</f>
        <v>112.211759248844</v>
      </c>
      <c r="D174" s="13" t="n">
        <f aca="false">IF(Parametros!$B$18*C174-Parametros!$B$14&gt;0,1,0)</f>
        <v>0</v>
      </c>
      <c r="E174" s="12" t="n">
        <f aca="false">(C174*Parametros!$B$18-Parametros!$B$14)*D174/(1+Parametros!$B$16)^(A174/12)</f>
        <v>-0</v>
      </c>
      <c r="F174" s="11" t="n">
        <f aca="false">Parametros!$B$6/(1+Parametros!$D$6*Parametros!$C$6*A174/12)^(1/Parametros!$D$6)</f>
        <v>25.0960518793856</v>
      </c>
      <c r="G174" s="12" t="n">
        <f aca="false">F174*30.4</f>
        <v>762.919977133322</v>
      </c>
      <c r="H174" s="13" t="n">
        <f aca="false">IF(Parametros!$B$18*G174-Parametros!$B$14&gt;0,1,0)</f>
        <v>1</v>
      </c>
      <c r="I174" s="12" t="n">
        <f aca="false">(G174*Parametros!$B$18-Parametros!$B$14)*H174/(1+Parametros!$B$16)^(A174/12)</f>
        <v>7198.17499655035</v>
      </c>
      <c r="J174" s="11" t="n">
        <f aca="false">Parametros!$B$7/(1+Parametros!$D$7*Parametros!$C$7*A174/12)^(1/Parametros!$D$7)</f>
        <v>65.3402519159368</v>
      </c>
      <c r="K174" s="12" t="n">
        <f aca="false">J174*30.4</f>
        <v>1986.34365824448</v>
      </c>
      <c r="L174" s="13" t="n">
        <f aca="false">IF(Parametros!$B$18*K174-Parametros!$B$14&gt;0,1,0)</f>
        <v>1</v>
      </c>
      <c r="M174" s="12" t="n">
        <f aca="false">(K174*Parametros!$B$18-Parametros!$B$14)*L174/(1+Parametros!$B$16)^(A174/12)</f>
        <v>22481.8413303682</v>
      </c>
    </row>
    <row r="175" customFormat="false" ht="15" hidden="false" customHeight="false" outlineLevel="0" collapsed="false">
      <c r="A175" s="0" t="n">
        <v>171</v>
      </c>
      <c r="B175" s="11" t="n">
        <f aca="false">Parametros!$B$5/(1+Parametros!$D$5*Parametros!$C$5*A175/12)^(1/Parametros!$D$5)</f>
        <v>3.64579248030736</v>
      </c>
      <c r="C175" s="12" t="n">
        <f aca="false">B175*30.4</f>
        <v>110.832091401344</v>
      </c>
      <c r="D175" s="13" t="n">
        <f aca="false">IF(Parametros!$B$18*C175-Parametros!$B$14&gt;0,1,0)</f>
        <v>0</v>
      </c>
      <c r="E175" s="12" t="n">
        <f aca="false">(C175*Parametros!$B$18-Parametros!$B$14)*D175/(1+Parametros!$B$16)^(A175/12)</f>
        <v>-0</v>
      </c>
      <c r="F175" s="11" t="n">
        <f aca="false">Parametros!$B$6/(1+Parametros!$D$6*Parametros!$C$6*A175/12)^(1/Parametros!$D$6)</f>
        <v>24.9308377968176</v>
      </c>
      <c r="G175" s="12" t="n">
        <f aca="false">F175*30.4</f>
        <v>757.897469023254</v>
      </c>
      <c r="H175" s="13" t="n">
        <f aca="false">IF(Parametros!$B$18*G175-Parametros!$B$14&gt;0,1,0)</f>
        <v>1</v>
      </c>
      <c r="I175" s="12" t="n">
        <f aca="false">(G175*Parametros!$B$18-Parametros!$B$14)*H175/(1+Parametros!$B$16)^(A175/12)</f>
        <v>7078.98232599096</v>
      </c>
      <c r="J175" s="11" t="n">
        <f aca="false">Parametros!$B$7/(1+Parametros!$D$7*Parametros!$C$7*A175/12)^(1/Parametros!$D$7)</f>
        <v>65.0479820540959</v>
      </c>
      <c r="K175" s="12" t="n">
        <f aca="false">J175*30.4</f>
        <v>1977.45865444452</v>
      </c>
      <c r="L175" s="13" t="n">
        <f aca="false">IF(Parametros!$B$18*K175-Parametros!$B$14&gt;0,1,0)</f>
        <v>1</v>
      </c>
      <c r="M175" s="12" t="n">
        <f aca="false">(K175*Parametros!$B$18-Parametros!$B$14)*L175/(1+Parametros!$B$16)^(A175/12)</f>
        <v>22193.8680657276</v>
      </c>
    </row>
    <row r="176" customFormat="false" ht="15" hidden="false" customHeight="false" outlineLevel="0" collapsed="false">
      <c r="A176" s="0" t="n">
        <v>172</v>
      </c>
      <c r="B176" s="11" t="n">
        <f aca="false">Parametros!$B$5/(1+Parametros!$D$5*Parametros!$C$5*A176/12)^(1/Parametros!$D$5)</f>
        <v>3.60118604925066</v>
      </c>
      <c r="C176" s="12" t="n">
        <f aca="false">B176*30.4</f>
        <v>109.47605589722</v>
      </c>
      <c r="D176" s="13" t="n">
        <f aca="false">IF(Parametros!$B$18*C176-Parametros!$B$14&gt;0,1,0)</f>
        <v>0</v>
      </c>
      <c r="E176" s="12" t="n">
        <f aca="false">(C176*Parametros!$B$18-Parametros!$B$14)*D176/(1+Parametros!$B$16)^(A176/12)</f>
        <v>-0</v>
      </c>
      <c r="F176" s="11" t="n">
        <f aca="false">Parametros!$B$6/(1+Parametros!$D$6*Parametros!$C$6*A176/12)^(1/Parametros!$D$6)</f>
        <v>24.7675712243522</v>
      </c>
      <c r="G176" s="12" t="n">
        <f aca="false">F176*30.4</f>
        <v>752.934165220307</v>
      </c>
      <c r="H176" s="13" t="n">
        <f aca="false">IF(Parametros!$B$18*G176-Parametros!$B$14&gt;0,1,0)</f>
        <v>1</v>
      </c>
      <c r="I176" s="12" t="n">
        <f aca="false">(G176*Parametros!$B$18-Parametros!$B$14)*H176/(1+Parametros!$B$16)^(A176/12)</f>
        <v>6961.9529949863</v>
      </c>
      <c r="J176" s="11" t="n">
        <f aca="false">Parametros!$B$7/(1+Parametros!$D$7*Parametros!$C$7*A176/12)^(1/Parametros!$D$7)</f>
        <v>64.7585729771797</v>
      </c>
      <c r="K176" s="12" t="n">
        <f aca="false">J176*30.4</f>
        <v>1968.66061850626</v>
      </c>
      <c r="L176" s="13" t="n">
        <f aca="false">IF(Parametros!$B$18*K176-Parametros!$B$14&gt;0,1,0)</f>
        <v>1</v>
      </c>
      <c r="M176" s="12" t="n">
        <f aca="false">(K176*Parametros!$B$18-Parametros!$B$14)*L176/(1+Parametros!$B$16)^(A176/12)</f>
        <v>21910.1134521074</v>
      </c>
    </row>
    <row r="177" customFormat="false" ht="15" hidden="false" customHeight="false" outlineLevel="0" collapsed="false">
      <c r="A177" s="0" t="n">
        <v>173</v>
      </c>
      <c r="B177" s="11" t="n">
        <f aca="false">Parametros!$B$5/(1+Parametros!$D$5*Parametros!$C$5*A177/12)^(1/Parametros!$D$5)</f>
        <v>3.55733996109646</v>
      </c>
      <c r="C177" s="12" t="n">
        <f aca="false">B177*30.4</f>
        <v>108.143134817333</v>
      </c>
      <c r="D177" s="13" t="n">
        <f aca="false">IF(Parametros!$B$18*C177-Parametros!$B$14&gt;0,1,0)</f>
        <v>0</v>
      </c>
      <c r="E177" s="12" t="n">
        <f aca="false">(C177*Parametros!$B$18-Parametros!$B$14)*D177/(1+Parametros!$B$16)^(A177/12)</f>
        <v>-0</v>
      </c>
      <c r="F177" s="11" t="n">
        <f aca="false">Parametros!$B$6/(1+Parametros!$D$6*Parametros!$C$6*A177/12)^(1/Parametros!$D$6)</f>
        <v>24.6062191749277</v>
      </c>
      <c r="G177" s="12" t="n">
        <f aca="false">F177*30.4</f>
        <v>748.029062917803</v>
      </c>
      <c r="H177" s="13" t="n">
        <f aca="false">IF(Parametros!$B$18*G177-Parametros!$B$14&gt;0,1,0)</f>
        <v>1</v>
      </c>
      <c r="I177" s="12" t="n">
        <f aca="false">(G177*Parametros!$B$18-Parametros!$B$14)*H177/(1+Parametros!$B$16)^(A177/12)</f>
        <v>6847.04224305635</v>
      </c>
      <c r="J177" s="11" t="n">
        <f aca="false">Parametros!$B$7/(1+Parametros!$D$7*Parametros!$C$7*A177/12)^(1/Parametros!$D$7)</f>
        <v>64.47198163944</v>
      </c>
      <c r="K177" s="12" t="n">
        <f aca="false">J177*30.4</f>
        <v>1959.94824183897</v>
      </c>
      <c r="L177" s="13" t="n">
        <f aca="false">IF(Parametros!$B$18*K177-Parametros!$B$14&gt;0,1,0)</f>
        <v>1</v>
      </c>
      <c r="M177" s="12" t="n">
        <f aca="false">(K177*Parametros!$B$18-Parametros!$B$14)*L177/(1+Parametros!$B$16)^(A177/12)</f>
        <v>21630.5043420791</v>
      </c>
    </row>
    <row r="178" customFormat="false" ht="15" hidden="false" customHeight="false" outlineLevel="0" collapsed="false">
      <c r="A178" s="0" t="n">
        <v>174</v>
      </c>
      <c r="B178" s="11" t="n">
        <f aca="false">Parametros!$B$5/(1+Parametros!$D$5*Parametros!$C$5*A178/12)^(1/Parametros!$D$5)</f>
        <v>3.51423763316339</v>
      </c>
      <c r="C178" s="12" t="n">
        <f aca="false">B178*30.4</f>
        <v>106.832824048167</v>
      </c>
      <c r="D178" s="13" t="n">
        <f aca="false">IF(Parametros!$B$18*C178-Parametros!$B$14&gt;0,1,0)</f>
        <v>0</v>
      </c>
      <c r="E178" s="12" t="n">
        <f aca="false">(C178*Parametros!$B$18-Parametros!$B$14)*D178/(1+Parametros!$B$16)^(A178/12)</f>
        <v>-0</v>
      </c>
      <c r="F178" s="11" t="n">
        <f aca="false">Parametros!$B$6/(1+Parametros!$D$6*Parametros!$C$6*A178/12)^(1/Parametros!$D$6)</f>
        <v>24.4467493883499</v>
      </c>
      <c r="G178" s="12" t="n">
        <f aca="false">F178*30.4</f>
        <v>743.181181405838</v>
      </c>
      <c r="H178" s="13" t="n">
        <f aca="false">IF(Parametros!$B$18*G178-Parametros!$B$14&gt;0,1,0)</f>
        <v>1</v>
      </c>
      <c r="I178" s="12" t="n">
        <f aca="false">(G178*Parametros!$B$18-Parametros!$B$14)*H178/(1+Parametros!$B$16)^(A178/12)</f>
        <v>6734.20638905196</v>
      </c>
      <c r="J178" s="11" t="n">
        <f aca="false">Parametros!$B$7/(1+Parametros!$D$7*Parametros!$C$7*A178/12)^(1/Parametros!$D$7)</f>
        <v>64.1881658668027</v>
      </c>
      <c r="K178" s="12" t="n">
        <f aca="false">J178*30.4</f>
        <v>1951.3202423508</v>
      </c>
      <c r="L178" s="13" t="n">
        <f aca="false">IF(Parametros!$B$18*K178-Parametros!$B$14&gt;0,1,0)</f>
        <v>1</v>
      </c>
      <c r="M178" s="12" t="n">
        <f aca="false">(K178*Parametros!$B$18-Parametros!$B$14)*L178/(1+Parametros!$B$16)^(A178/12)</f>
        <v>21354.9691217115</v>
      </c>
    </row>
    <row r="179" customFormat="false" ht="15" hidden="false" customHeight="false" outlineLevel="0" collapsed="false">
      <c r="A179" s="0" t="n">
        <v>175</v>
      </c>
      <c r="B179" s="11" t="n">
        <f aca="false">Parametros!$B$5/(1+Parametros!$D$5*Parametros!$C$5*A179/12)^(1/Parametros!$D$5)</f>
        <v>3.47186292266521</v>
      </c>
      <c r="C179" s="12" t="n">
        <f aca="false">B179*30.4</f>
        <v>105.544632849022</v>
      </c>
      <c r="D179" s="13" t="n">
        <f aca="false">IF(Parametros!$B$18*C179-Parametros!$B$14&gt;0,1,0)</f>
        <v>0</v>
      </c>
      <c r="E179" s="12" t="n">
        <f aca="false">(C179*Parametros!$B$18-Parametros!$B$14)*D179/(1+Parametros!$B$16)^(A179/12)</f>
        <v>-0</v>
      </c>
      <c r="F179" s="11" t="n">
        <f aca="false">Parametros!$B$6/(1+Parametros!$D$6*Parametros!$C$6*A179/12)^(1/Parametros!$D$6)</f>
        <v>24.2891303116093</v>
      </c>
      <c r="G179" s="12" t="n">
        <f aca="false">F179*30.4</f>
        <v>738.389561472923</v>
      </c>
      <c r="H179" s="13" t="n">
        <f aca="false">IF(Parametros!$B$18*G179-Parametros!$B$14&gt;0,1,0)</f>
        <v>1</v>
      </c>
      <c r="I179" s="12" t="n">
        <f aca="false">(G179*Parametros!$B$18-Parametros!$B$14)*H179/(1+Parametros!$B$16)^(A179/12)</f>
        <v>6623.40280069112</v>
      </c>
      <c r="J179" s="11" t="n">
        <f aca="false">Parametros!$B$7/(1+Parametros!$D$7*Parametros!$C$7*A179/12)^(1/Parametros!$D$7)</f>
        <v>63.9070843347289</v>
      </c>
      <c r="K179" s="12" t="n">
        <f aca="false">J179*30.4</f>
        <v>1942.77536377576</v>
      </c>
      <c r="L179" s="13" t="n">
        <f aca="false">IF(Parametros!$B$18*K179-Parametros!$B$14&gt;0,1,0)</f>
        <v>1</v>
      </c>
      <c r="M179" s="12" t="n">
        <f aca="false">(K179*Parametros!$B$18-Parametros!$B$14)*L179/(1+Parametros!$B$16)^(A179/12)</f>
        <v>21083.4376716674</v>
      </c>
    </row>
    <row r="180" customFormat="false" ht="15" hidden="false" customHeight="false" outlineLevel="0" collapsed="false">
      <c r="A180" s="0" t="n">
        <v>176</v>
      </c>
      <c r="B180" s="11" t="n">
        <f aca="false">Parametros!$B$5/(1+Parametros!$D$5*Parametros!$C$5*A180/12)^(1/Parametros!$D$5)</f>
        <v>3.43020011298612</v>
      </c>
      <c r="C180" s="12" t="n">
        <f aca="false">B180*30.4</f>
        <v>104.278083434778</v>
      </c>
      <c r="D180" s="13" t="n">
        <f aca="false">IF(Parametros!$B$18*C180-Parametros!$B$14&gt;0,1,0)</f>
        <v>0</v>
      </c>
      <c r="E180" s="12" t="n">
        <f aca="false">(C180*Parametros!$B$18-Parametros!$B$14)*D180/(1+Parametros!$B$16)^(A180/12)</f>
        <v>-0</v>
      </c>
      <c r="F180" s="11" t="n">
        <f aca="false">Parametros!$B$6/(1+Parametros!$D$6*Parametros!$C$6*A180/12)^(1/Parametros!$D$6)</f>
        <v>24.1333310798293</v>
      </c>
      <c r="G180" s="12" t="n">
        <f aca="false">F180*30.4</f>
        <v>733.653264826811</v>
      </c>
      <c r="H180" s="13" t="n">
        <f aca="false">IF(Parametros!$B$18*G180-Parametros!$B$14&gt;0,1,0)</f>
        <v>1</v>
      </c>
      <c r="I180" s="12" t="n">
        <f aca="false">(G180*Parametros!$B$18-Parametros!$B$14)*H180/(1+Parametros!$B$16)^(A180/12)</f>
        <v>6514.58986509314</v>
      </c>
      <c r="J180" s="11" t="n">
        <f aca="false">Parametros!$B$7/(1+Parametros!$D$7*Parametros!$C$7*A180/12)^(1/Parametros!$D$7)</f>
        <v>63.6286965467502</v>
      </c>
      <c r="K180" s="12" t="n">
        <f aca="false">J180*30.4</f>
        <v>1934.31237502121</v>
      </c>
      <c r="L180" s="13" t="n">
        <f aca="false">IF(Parametros!$B$18*K180-Parametros!$B$14&gt;0,1,0)</f>
        <v>1</v>
      </c>
      <c r="M180" s="12" t="n">
        <f aca="false">(K180*Parametros!$B$18-Parametros!$B$14)*L180/(1+Parametros!$B$16)^(A180/12)</f>
        <v>20815.8413294767</v>
      </c>
    </row>
    <row r="181" customFormat="false" ht="15" hidden="false" customHeight="false" outlineLevel="0" collapsed="false">
      <c r="A181" s="0" t="n">
        <v>177</v>
      </c>
      <c r="B181" s="11" t="n">
        <f aca="false">Parametros!$B$5/(1+Parametros!$D$5*Parametros!$C$5*A181/12)^(1/Parametros!$D$5)</f>
        <v>3.38923390044779</v>
      </c>
      <c r="C181" s="12" t="n">
        <f aca="false">B181*30.4</f>
        <v>103.032710573613</v>
      </c>
      <c r="D181" s="13" t="n">
        <f aca="false">IF(Parametros!$B$18*C181-Parametros!$B$14&gt;0,1,0)</f>
        <v>0</v>
      </c>
      <c r="E181" s="12" t="n">
        <f aca="false">(C181*Parametros!$B$18-Parametros!$B$14)*D181/(1+Parametros!$B$16)^(A181/12)</f>
        <v>-0</v>
      </c>
      <c r="F181" s="11" t="n">
        <f aca="false">Parametros!$B$6/(1+Parametros!$D$6*Parametros!$C$6*A181/12)^(1/Parametros!$D$6)</f>
        <v>23.9793214978223</v>
      </c>
      <c r="G181" s="12" t="n">
        <f aca="false">F181*30.4</f>
        <v>728.971373533799</v>
      </c>
      <c r="H181" s="13" t="n">
        <f aca="false">IF(Parametros!$B$18*G181-Parametros!$B$14&gt;0,1,0)</f>
        <v>1</v>
      </c>
      <c r="I181" s="12" t="n">
        <f aca="false">(G181*Parametros!$B$18-Parametros!$B$14)*H181/(1+Parametros!$B$16)^(A181/12)</f>
        <v>6407.72696027324</v>
      </c>
      <c r="J181" s="11" t="n">
        <f aca="false">Parametros!$B$7/(1+Parametros!$D$7*Parametros!$C$7*A181/12)^(1/Parametros!$D$7)</f>
        <v>63.3529628136565</v>
      </c>
      <c r="K181" s="12" t="n">
        <f aca="false">J181*30.4</f>
        <v>1925.93006953516</v>
      </c>
      <c r="L181" s="13" t="n">
        <f aca="false">IF(Parametros!$B$18*K181-Parametros!$B$14&gt;0,1,0)</f>
        <v>1</v>
      </c>
      <c r="M181" s="12" t="n">
        <f aca="false">(K181*Parametros!$B$18-Parametros!$B$14)*L181/(1+Parametros!$B$16)^(A181/12)</f>
        <v>20552.1128529432</v>
      </c>
    </row>
    <row r="182" customFormat="false" ht="15" hidden="false" customHeight="false" outlineLevel="0" collapsed="false">
      <c r="A182" s="0" t="n">
        <v>178</v>
      </c>
      <c r="B182" s="11" t="n">
        <f aca="false">Parametros!$B$5/(1+Parametros!$D$5*Parametros!$C$5*A182/12)^(1/Parametros!$D$5)</f>
        <v>3.34894938154821</v>
      </c>
      <c r="C182" s="12" t="n">
        <f aca="false">B182*30.4</f>
        <v>101.808061199066</v>
      </c>
      <c r="D182" s="13" t="n">
        <f aca="false">IF(Parametros!$B$18*C182-Parametros!$B$14&gt;0,1,0)</f>
        <v>0</v>
      </c>
      <c r="E182" s="12" t="n">
        <f aca="false">(C182*Parametros!$B$18-Parametros!$B$14)*D182/(1+Parametros!$B$16)^(A182/12)</f>
        <v>-0</v>
      </c>
      <c r="F182" s="11" t="n">
        <f aca="false">Parametros!$B$6/(1+Parametros!$D$6*Parametros!$C$6*A182/12)^(1/Parametros!$D$6)</f>
        <v>23.8270720222316</v>
      </c>
      <c r="G182" s="12" t="n">
        <f aca="false">F182*30.4</f>
        <v>724.342989475842</v>
      </c>
      <c r="H182" s="13" t="n">
        <f aca="false">IF(Parametros!$B$18*G182-Parametros!$B$14&gt;0,1,0)</f>
        <v>1</v>
      </c>
      <c r="I182" s="12" t="n">
        <f aca="false">(G182*Parametros!$B$18-Parametros!$B$14)*H182/(1+Parametros!$B$16)^(A182/12)</f>
        <v>6302.7744275618</v>
      </c>
      <c r="J182" s="11" t="n">
        <f aca="false">Parametros!$B$7/(1+Parametros!$D$7*Parametros!$C$7*A182/12)^(1/Parametros!$D$7)</f>
        <v>63.0798442333108</v>
      </c>
      <c r="K182" s="12" t="n">
        <f aca="false">J182*30.4</f>
        <v>1917.62726469265</v>
      </c>
      <c r="L182" s="13" t="n">
        <f aca="false">IF(Parametros!$B$18*K182-Parametros!$B$14&gt;0,1,0)</f>
        <v>1</v>
      </c>
      <c r="M182" s="12" t="n">
        <f aca="false">(K182*Parametros!$B$18-Parametros!$B$14)*L182/(1+Parametros!$B$16)^(A182/12)</f>
        <v>20292.1863846472</v>
      </c>
    </row>
    <row r="183" customFormat="false" ht="15" hidden="false" customHeight="false" outlineLevel="0" collapsed="false">
      <c r="A183" s="0" t="n">
        <v>179</v>
      </c>
      <c r="B183" s="11" t="n">
        <f aca="false">Parametros!$B$5/(1+Parametros!$D$5*Parametros!$C$5*A183/12)^(1/Parametros!$D$5)</f>
        <v>3.30933204065343</v>
      </c>
      <c r="C183" s="12" t="n">
        <f aca="false">B183*30.4</f>
        <v>100.603694035864</v>
      </c>
      <c r="D183" s="13" t="n">
        <f aca="false">IF(Parametros!$B$18*C183-Parametros!$B$14&gt;0,1,0)</f>
        <v>0</v>
      </c>
      <c r="E183" s="12" t="n">
        <f aca="false">(C183*Parametros!$B$18-Parametros!$B$14)*D183/(1+Parametros!$B$16)^(A183/12)</f>
        <v>-0</v>
      </c>
      <c r="F183" s="11" t="n">
        <f aca="false">Parametros!$B$6/(1+Parametros!$D$6*Parametros!$C$6*A183/12)^(1/Parametros!$D$6)</f>
        <v>23.6765537442369</v>
      </c>
      <c r="G183" s="12" t="n">
        <f aca="false">F183*30.4</f>
        <v>719.767233824803</v>
      </c>
      <c r="H183" s="13" t="n">
        <f aca="false">IF(Parametros!$B$18*G183-Parametros!$B$14&gt;0,1,0)</f>
        <v>1</v>
      </c>
      <c r="I183" s="12" t="n">
        <f aca="false">(G183*Parametros!$B$18-Parametros!$B$14)*H183/(1+Parametros!$B$16)^(A183/12)</f>
        <v>6199.69354491397</v>
      </c>
      <c r="J183" s="11" t="n">
        <f aca="false">Parametros!$B$7/(1+Parametros!$D$7*Parametros!$C$7*A183/12)^(1/Parametros!$D$7)</f>
        <v>62.8093026710702</v>
      </c>
      <c r="K183" s="12" t="n">
        <f aca="false">J183*30.4</f>
        <v>1909.40280120053</v>
      </c>
      <c r="L183" s="13" t="n">
        <f aca="false">IF(Parametros!$B$18*K183-Parametros!$B$14&gt;0,1,0)</f>
        <v>1</v>
      </c>
      <c r="M183" s="12" t="n">
        <f aca="false">(K183*Parametros!$B$18-Parametros!$B$14)*L183/(1+Parametros!$B$16)^(A183/12)</f>
        <v>20035.9974175031</v>
      </c>
    </row>
    <row r="184" customFormat="false" ht="15" hidden="false" customHeight="false" outlineLevel="0" collapsed="false">
      <c r="A184" s="0" t="n">
        <v>180</v>
      </c>
      <c r="B184" s="11" t="n">
        <f aca="false">Parametros!$B$5/(1+Parametros!$D$5*Parametros!$C$5*A184/12)^(1/Parametros!$D$5)</f>
        <v>3.27036773812405</v>
      </c>
      <c r="C184" s="12" t="n">
        <f aca="false">B184*30.4</f>
        <v>99.4191792389711</v>
      </c>
      <c r="D184" s="13" t="n">
        <f aca="false">IF(Parametros!$B$18*C184-Parametros!$B$14&gt;0,1,0)</f>
        <v>0</v>
      </c>
      <c r="E184" s="12" t="n">
        <f aca="false">(C184*Parametros!$B$18-Parametros!$B$14)*D184/(1+Parametros!$B$16)^(A184/12)</f>
        <v>-0</v>
      </c>
      <c r="F184" s="11" t="n">
        <f aca="false">Parametros!$B$6/(1+Parametros!$D$6*Parametros!$C$6*A184/12)^(1/Parametros!$D$6)</f>
        <v>23.5277383728038</v>
      </c>
      <c r="G184" s="12" t="n">
        <f aca="false">F184*30.4</f>
        <v>715.243246533234</v>
      </c>
      <c r="H184" s="13" t="n">
        <f aca="false">IF(Parametros!$B$18*G184-Parametros!$B$14&gt;0,1,0)</f>
        <v>1</v>
      </c>
      <c r="I184" s="12" t="n">
        <f aca="false">(G184*Parametros!$B$18-Parametros!$B$14)*H184/(1+Parametros!$B$16)^(A184/12)</f>
        <v>6098.44650107668</v>
      </c>
      <c r="J184" s="11" t="n">
        <f aca="false">Parametros!$B$7/(1+Parametros!$D$7*Parametros!$C$7*A184/12)^(1/Parametros!$D$7)</f>
        <v>62.5413007407923</v>
      </c>
      <c r="K184" s="12" t="n">
        <f aca="false">J184*30.4</f>
        <v>1901.25554252009</v>
      </c>
      <c r="L184" s="13" t="n">
        <f aca="false">IF(Parametros!$B$18*K184-Parametros!$B$14&gt;0,1,0)</f>
        <v>1</v>
      </c>
      <c r="M184" s="12" t="n">
        <f aca="false">(K184*Parametros!$B$18-Parametros!$B$14)*L184/(1+Parametros!$B$16)^(A184/12)</f>
        <v>19783.4827613387</v>
      </c>
    </row>
    <row r="185" customFormat="false" ht="15" hidden="false" customHeight="false" outlineLevel="0" collapsed="false">
      <c r="A185" s="0" t="n">
        <v>181</v>
      </c>
      <c r="B185" s="11" t="n">
        <f aca="false">Parametros!$B$5/(1+Parametros!$D$5*Parametros!$C$5*A185/12)^(1/Parametros!$D$5)</f>
        <v>3.23204269885917</v>
      </c>
      <c r="C185" s="12" t="n">
        <f aca="false">B185*30.4</f>
        <v>98.2540980453188</v>
      </c>
      <c r="D185" s="13" t="n">
        <f aca="false">IF(Parametros!$B$18*C185-Parametros!$B$14&gt;0,1,0)</f>
        <v>0</v>
      </c>
      <c r="E185" s="12" t="n">
        <f aca="false">(C185*Parametros!$B$18-Parametros!$B$14)*D185/(1+Parametros!$B$16)^(A185/12)</f>
        <v>-0</v>
      </c>
      <c r="F185" s="11" t="n">
        <f aca="false">Parametros!$B$6/(1+Parametros!$D$6*Parametros!$C$6*A185/12)^(1/Parametros!$D$6)</f>
        <v>23.3805982184564</v>
      </c>
      <c r="G185" s="12" t="n">
        <f aca="false">F185*30.4</f>
        <v>710.770185841073</v>
      </c>
      <c r="H185" s="13" t="n">
        <f aca="false">IF(Parametros!$B$18*G185-Parametros!$B$14&gt;0,1,0)</f>
        <v>1</v>
      </c>
      <c r="I185" s="12" t="n">
        <f aca="false">(G185*Parametros!$B$18-Parametros!$B$14)*H185/(1+Parametros!$B$16)^(A185/12)</f>
        <v>5998.99637058162</v>
      </c>
      <c r="J185" s="11" t="n">
        <f aca="false">Parametros!$B$7/(1+Parametros!$D$7*Parametros!$C$7*A185/12)^(1/Parametros!$D$7)</f>
        <v>62.2758017864051</v>
      </c>
      <c r="K185" s="12" t="n">
        <f aca="false">J185*30.4</f>
        <v>1893.18437430671</v>
      </c>
      <c r="L185" s="13" t="n">
        <f aca="false">IF(Parametros!$B$18*K185-Parametros!$B$14&gt;0,1,0)</f>
        <v>1</v>
      </c>
      <c r="M185" s="12" t="n">
        <f aca="false">(K185*Parametros!$B$18-Parametros!$B$14)*L185/(1+Parametros!$B$16)^(A185/12)</f>
        <v>19534.5805104574</v>
      </c>
    </row>
    <row r="186" customFormat="false" ht="15" hidden="false" customHeight="false" outlineLevel="0" collapsed="false">
      <c r="A186" s="0" t="n">
        <v>182</v>
      </c>
      <c r="B186" s="11" t="n">
        <f aca="false">Parametros!$B$5/(1+Parametros!$D$5*Parametros!$C$5*A186/12)^(1/Parametros!$D$5)</f>
        <v>3.19434350124116</v>
      </c>
      <c r="C186" s="12" t="n">
        <f aca="false">B186*30.4</f>
        <v>97.1080424377311</v>
      </c>
      <c r="D186" s="13" t="n">
        <f aca="false">IF(Parametros!$B$18*C186-Parametros!$B$14&gt;0,1,0)</f>
        <v>0</v>
      </c>
      <c r="E186" s="12" t="n">
        <f aca="false">(C186*Parametros!$B$18-Parametros!$B$14)*D186/(1+Parametros!$B$16)^(A186/12)</f>
        <v>-0</v>
      </c>
      <c r="F186" s="11" t="n">
        <f aca="false">Parametros!$B$6/(1+Parametros!$D$6*Parametros!$C$6*A186/12)^(1/Parametros!$D$6)</f>
        <v>23.2351061775557</v>
      </c>
      <c r="G186" s="12" t="n">
        <f aca="false">F186*30.4</f>
        <v>706.347227797695</v>
      </c>
      <c r="H186" s="13" t="n">
        <f aca="false">IF(Parametros!$B$18*G186-Parametros!$B$14&gt;0,1,0)</f>
        <v>1</v>
      </c>
      <c r="I186" s="12" t="n">
        <f aca="false">(G186*Parametros!$B$18-Parametros!$B$14)*H186/(1+Parametros!$B$16)^(A186/12)</f>
        <v>5901.30708953394</v>
      </c>
      <c r="J186" s="11" t="n">
        <f aca="false">Parametros!$B$7/(1+Parametros!$D$7*Parametros!$C$7*A186/12)^(1/Parametros!$D$7)</f>
        <v>62.0127698640226</v>
      </c>
      <c r="K186" s="12" t="n">
        <f aca="false">J186*30.4</f>
        <v>1885.18820386629</v>
      </c>
      <c r="L186" s="13" t="n">
        <f aca="false">IF(Parametros!$B$18*K186-Parametros!$B$14&gt;0,1,0)</f>
        <v>1</v>
      </c>
      <c r="M186" s="12" t="n">
        <f aca="false">(K186*Parametros!$B$18-Parametros!$B$14)*L186/(1+Parametros!$B$16)^(A186/12)</f>
        <v>19289.2300121524</v>
      </c>
    </row>
    <row r="187" customFormat="false" ht="15" hidden="false" customHeight="false" outlineLevel="0" collapsed="false">
      <c r="A187" s="0" t="n">
        <v>183</v>
      </c>
      <c r="B187" s="11" t="n">
        <f aca="false">Parametros!$B$5/(1+Parametros!$D$5*Parametros!$C$5*A187/12)^(1/Parametros!$D$5)</f>
        <v>3.15725706646547</v>
      </c>
      <c r="C187" s="12" t="n">
        <f aca="false">B187*30.4</f>
        <v>95.9806148205503</v>
      </c>
      <c r="D187" s="13" t="n">
        <f aca="false">IF(Parametros!$B$18*C187-Parametros!$B$14&gt;0,1,0)</f>
        <v>0</v>
      </c>
      <c r="E187" s="12" t="n">
        <f aca="false">(C187*Parametros!$B$18-Parametros!$B$14)*D187/(1+Parametros!$B$16)^(A187/12)</f>
        <v>-0</v>
      </c>
      <c r="F187" s="11" t="n">
        <f aca="false">Parametros!$B$6/(1+Parametros!$D$6*Parametros!$C$6*A187/12)^(1/Parametros!$D$6)</f>
        <v>23.0912357170643</v>
      </c>
      <c r="G187" s="12" t="n">
        <f aca="false">F187*30.4</f>
        <v>701.973565798755</v>
      </c>
      <c r="H187" s="13" t="n">
        <f aca="false">IF(Parametros!$B$18*G187-Parametros!$B$14&gt;0,1,0)</f>
        <v>1</v>
      </c>
      <c r="I187" s="12" t="n">
        <f aca="false">(G187*Parametros!$B$18-Parametros!$B$14)*H187/(1+Parametros!$B$16)^(A187/12)</f>
        <v>5805.34343216779</v>
      </c>
      <c r="J187" s="11" t="n">
        <f aca="false">Parametros!$B$7/(1+Parametros!$D$7*Parametros!$C$7*A187/12)^(1/Parametros!$D$7)</f>
        <v>61.7521697245861</v>
      </c>
      <c r="K187" s="12" t="n">
        <f aca="false">J187*30.4</f>
        <v>1877.26595962742</v>
      </c>
      <c r="L187" s="13" t="n">
        <f aca="false">IF(Parametros!$B$18*K187-Parametros!$B$14&gt;0,1,0)</f>
        <v>1</v>
      </c>
      <c r="M187" s="12" t="n">
        <f aca="false">(K187*Parametros!$B$18-Parametros!$B$14)*L187/(1+Parametros!$B$16)^(A187/12)</f>
        <v>19047.3718361388</v>
      </c>
    </row>
    <row r="188" customFormat="false" ht="15" hidden="false" customHeight="false" outlineLevel="0" collapsed="false">
      <c r="A188" s="0" t="n">
        <v>184</v>
      </c>
      <c r="B188" s="11" t="n">
        <f aca="false">Parametros!$B$5/(1+Parametros!$D$5*Parametros!$C$5*A188/12)^(1/Parametros!$D$5)</f>
        <v>3.12077064824047</v>
      </c>
      <c r="C188" s="12" t="n">
        <f aca="false">B188*30.4</f>
        <v>94.8714277065104</v>
      </c>
      <c r="D188" s="13" t="n">
        <f aca="false">IF(Parametros!$B$18*C188-Parametros!$B$14&gt;0,1,0)</f>
        <v>0</v>
      </c>
      <c r="E188" s="12" t="n">
        <f aca="false">(C188*Parametros!$B$18-Parametros!$B$14)*D188/(1+Parametros!$B$16)^(A188/12)</f>
        <v>-0</v>
      </c>
      <c r="F188" s="11" t="n">
        <f aca="false">Parametros!$B$6/(1+Parametros!$D$6*Parametros!$C$6*A188/12)^(1/Parametros!$D$6)</f>
        <v>22.9489608597798</v>
      </c>
      <c r="G188" s="12" t="n">
        <f aca="false">F188*30.4</f>
        <v>697.648410137306</v>
      </c>
      <c r="H188" s="13" t="n">
        <f aca="false">IF(Parametros!$B$18*G188-Parametros!$B$14&gt;0,1,0)</f>
        <v>1</v>
      </c>
      <c r="I188" s="12" t="n">
        <f aca="false">(G188*Parametros!$B$18-Parametros!$B$14)*H188/(1+Parametros!$B$16)^(A188/12)</f>
        <v>5711.07098814081</v>
      </c>
      <c r="J188" s="11" t="n">
        <f aca="false">Parametros!$B$7/(1+Parametros!$D$7*Parametros!$C$7*A188/12)^(1/Parametros!$D$7)</f>
        <v>61.4939667970135</v>
      </c>
      <c r="K188" s="12" t="n">
        <f aca="false">J188*30.4</f>
        <v>1869.41659062921</v>
      </c>
      <c r="L188" s="13" t="n">
        <f aca="false">IF(Parametros!$B$18*K188-Parametros!$B$14&gt;0,1,0)</f>
        <v>1</v>
      </c>
      <c r="M188" s="12" t="n">
        <f aca="false">(K188*Parametros!$B$18-Parametros!$B$14)*L188/(1+Parametros!$B$16)^(A188/12)</f>
        <v>18808.9477448725</v>
      </c>
    </row>
    <row r="189" customFormat="false" ht="15" hidden="false" customHeight="false" outlineLevel="0" collapsed="false">
      <c r="A189" s="0" t="n">
        <v>185</v>
      </c>
      <c r="B189" s="11" t="n">
        <f aca="false">Parametros!$B$5/(1+Parametros!$D$5*Parametros!$C$5*A189/12)^(1/Parametros!$D$5)</f>
        <v>3.08487182284259</v>
      </c>
      <c r="C189" s="12" t="n">
        <f aca="false">B189*30.4</f>
        <v>93.7801034144147</v>
      </c>
      <c r="D189" s="13" t="n">
        <f aca="false">IF(Parametros!$B$18*C189-Parametros!$B$14&gt;0,1,0)</f>
        <v>0</v>
      </c>
      <c r="E189" s="12" t="n">
        <f aca="false">(C189*Parametros!$B$18-Parametros!$B$14)*D189/(1+Parametros!$B$16)^(A189/12)</f>
        <v>-0</v>
      </c>
      <c r="F189" s="11" t="n">
        <f aca="false">Parametros!$B$6/(1+Parametros!$D$6*Parametros!$C$6*A189/12)^(1/Parametros!$D$6)</f>
        <v>22.8082561700221</v>
      </c>
      <c r="G189" s="12" t="n">
        <f aca="false">F189*30.4</f>
        <v>693.370987568672</v>
      </c>
      <c r="H189" s="13" t="n">
        <f aca="false">IF(Parametros!$B$18*G189-Parametros!$B$14&gt;0,1,0)</f>
        <v>1</v>
      </c>
      <c r="I189" s="12" t="n">
        <f aca="false">(G189*Parametros!$B$18-Parametros!$B$14)*H189/(1+Parametros!$B$16)^(A189/12)</f>
        <v>5618.45614054104</v>
      </c>
      <c r="J189" s="11" t="n">
        <f aca="false">Parametros!$B$7/(1+Parametros!$D$7*Parametros!$C$7*A189/12)^(1/Parametros!$D$7)</f>
        <v>61.2381271718395</v>
      </c>
      <c r="K189" s="12" t="n">
        <f aca="false">J189*30.4</f>
        <v>1861.63906602392</v>
      </c>
      <c r="L189" s="13" t="n">
        <f aca="false">IF(Parametros!$B$18*K189-Parametros!$B$14&gt;0,1,0)</f>
        <v>1</v>
      </c>
      <c r="M189" s="12" t="n">
        <f aca="false">(K189*Parametros!$B$18-Parametros!$B$14)*L189/(1+Parametros!$B$16)^(A189/12)</f>
        <v>18573.900664727</v>
      </c>
    </row>
    <row r="190" customFormat="false" ht="15" hidden="false" customHeight="false" outlineLevel="0" collapsed="false">
      <c r="A190" s="0" t="n">
        <v>186</v>
      </c>
      <c r="B190" s="11" t="n">
        <f aca="false">Parametros!$B$5/(1+Parametros!$D$5*Parametros!$C$5*A190/12)^(1/Parametros!$D$5)</f>
        <v>3.04954847951317</v>
      </c>
      <c r="C190" s="12" t="n">
        <f aca="false">B190*30.4</f>
        <v>92.7062737772004</v>
      </c>
      <c r="D190" s="13" t="n">
        <f aca="false">IF(Parametros!$B$18*C190-Parametros!$B$14&gt;0,1,0)</f>
        <v>0</v>
      </c>
      <c r="E190" s="12" t="n">
        <f aca="false">(C190*Parametros!$B$18-Parametros!$B$14)*D190/(1+Parametros!$B$16)^(A190/12)</f>
        <v>-0</v>
      </c>
      <c r="F190" s="11" t="n">
        <f aca="false">Parametros!$B$6/(1+Parametros!$D$6*Parametros!$C$6*A190/12)^(1/Parametros!$D$6)</f>
        <v>22.6690967397565</v>
      </c>
      <c r="G190" s="12" t="n">
        <f aca="false">F190*30.4</f>
        <v>689.140540888598</v>
      </c>
      <c r="H190" s="13" t="n">
        <f aca="false">IF(Parametros!$B$18*G190-Parametros!$B$14&gt;0,1,0)</f>
        <v>1</v>
      </c>
      <c r="I190" s="12" t="n">
        <f aca="false">(G190*Parametros!$B$18-Parametros!$B$14)*H190/(1+Parametros!$B$16)^(A190/12)</f>
        <v>5527.46604458064</v>
      </c>
      <c r="J190" s="11" t="n">
        <f aca="false">Parametros!$B$7/(1+Parametros!$D$7*Parametros!$C$7*A190/12)^(1/Parametros!$D$7)</f>
        <v>60.9846175853301</v>
      </c>
      <c r="K190" s="12" t="n">
        <f aca="false">J190*30.4</f>
        <v>1853.93237459403</v>
      </c>
      <c r="L190" s="13" t="n">
        <f aca="false">IF(Parametros!$B$18*K190-Parametros!$B$14&gt;0,1,0)</f>
        <v>1</v>
      </c>
      <c r="M190" s="12" t="n">
        <f aca="false">(K190*Parametros!$B$18-Parametros!$B$14)*L190/(1+Parametros!$B$16)^(A190/12)</f>
        <v>18342.1746579976</v>
      </c>
    </row>
    <row r="191" customFormat="false" ht="15" hidden="false" customHeight="false" outlineLevel="0" collapsed="false">
      <c r="A191" s="0" t="n">
        <v>187</v>
      </c>
      <c r="B191" s="11" t="n">
        <f aca="false">Parametros!$B$5/(1+Parametros!$D$5*Parametros!$C$5*A191/12)^(1/Parametros!$D$5)</f>
        <v>3.01478881118368</v>
      </c>
      <c r="C191" s="12" t="n">
        <f aca="false">B191*30.4</f>
        <v>91.6495798599839</v>
      </c>
      <c r="D191" s="13" t="n">
        <f aca="false">IF(Parametros!$B$18*C191-Parametros!$B$14&gt;0,1,0)</f>
        <v>0</v>
      </c>
      <c r="E191" s="12" t="n">
        <f aca="false">(C191*Parametros!$B$18-Parametros!$B$14)*D191/(1+Parametros!$B$16)^(A191/12)</f>
        <v>-0</v>
      </c>
      <c r="F191" s="11" t="n">
        <f aca="false">Parametros!$B$6/(1+Parametros!$D$6*Parametros!$C$6*A191/12)^(1/Parametros!$D$6)</f>
        <v>22.5314581751383</v>
      </c>
      <c r="G191" s="12" t="n">
        <f aca="false">F191*30.4</f>
        <v>684.956328524206</v>
      </c>
      <c r="H191" s="13" t="n">
        <f aca="false">IF(Parametros!$B$18*G191-Parametros!$B$14&gt;0,1,0)</f>
        <v>1</v>
      </c>
      <c r="I191" s="12" t="n">
        <f aca="false">(G191*Parametros!$B$18-Parametros!$B$14)*H191/(1+Parametros!$B$16)^(A191/12)</f>
        <v>5438.06860695188</v>
      </c>
      <c r="J191" s="11" t="n">
        <f aca="false">Parametros!$B$7/(1+Parametros!$D$7*Parametros!$C$7*A191/12)^(1/Parametros!$D$7)</f>
        <v>60.7334054040545</v>
      </c>
      <c r="K191" s="12" t="n">
        <f aca="false">J191*30.4</f>
        <v>1846.29552428326</v>
      </c>
      <c r="L191" s="13" t="n">
        <f aca="false">IF(Parametros!$B$18*K191-Parametros!$B$14&gt;0,1,0)</f>
        <v>1</v>
      </c>
      <c r="M191" s="12" t="n">
        <f aca="false">(K191*Parametros!$B$18-Parametros!$B$14)*L191/(1+Parametros!$B$16)^(A191/12)</f>
        <v>18113.7148957064</v>
      </c>
    </row>
    <row r="192" customFormat="false" ht="15" hidden="false" customHeight="false" outlineLevel="0" collapsed="false">
      <c r="A192" s="0" t="n">
        <v>188</v>
      </c>
      <c r="B192" s="11" t="n">
        <f aca="false">Parametros!$B$5/(1+Parametros!$D$5*Parametros!$C$5*A192/12)^(1/Parametros!$D$5)</f>
        <v>2.9805813055166</v>
      </c>
      <c r="C192" s="12" t="n">
        <f aca="false">B192*30.4</f>
        <v>90.6096716877048</v>
      </c>
      <c r="D192" s="13" t="n">
        <f aca="false">IF(Parametros!$B$18*C192-Parametros!$B$14&gt;0,1,0)</f>
        <v>0</v>
      </c>
      <c r="E192" s="12" t="n">
        <f aca="false">(C192*Parametros!$B$18-Parametros!$B$14)*D192/(1+Parametros!$B$16)^(A192/12)</f>
        <v>-0</v>
      </c>
      <c r="F192" s="11" t="n">
        <f aca="false">Parametros!$B$6/(1+Parametros!$D$6*Parametros!$C$6*A192/12)^(1/Parametros!$D$6)</f>
        <v>22.395316583464</v>
      </c>
      <c r="G192" s="12" t="n">
        <f aca="false">F192*30.4</f>
        <v>680.817624137306</v>
      </c>
      <c r="H192" s="13" t="n">
        <f aca="false">IF(Parametros!$B$18*G192-Parametros!$B$14&gt;0,1,0)</f>
        <v>1</v>
      </c>
      <c r="I192" s="12" t="n">
        <f aca="false">(G192*Parametros!$B$18-Parametros!$B$14)*H192/(1+Parametros!$B$16)^(A192/12)</f>
        <v>5350.23246582202</v>
      </c>
      <c r="J192" s="11" t="n">
        <f aca="false">Parametros!$B$7/(1+Parametros!$D$7*Parametros!$C$7*A192/12)^(1/Parametros!$D$7)</f>
        <v>60.4844586099005</v>
      </c>
      <c r="K192" s="12" t="n">
        <f aca="false">J192*30.4</f>
        <v>1838.72754174097</v>
      </c>
      <c r="L192" s="13" t="n">
        <f aca="false">IF(Parametros!$B$18*K192-Parametros!$B$14&gt;0,1,0)</f>
        <v>1</v>
      </c>
      <c r="M192" s="12" t="n">
        <f aca="false">(K192*Parametros!$B$18-Parametros!$B$14)*L192/(1+Parametros!$B$16)^(A192/12)</f>
        <v>17888.4676311817</v>
      </c>
    </row>
    <row r="193" customFormat="false" ht="15" hidden="false" customHeight="false" outlineLevel="0" collapsed="false">
      <c r="A193" s="0" t="n">
        <v>189</v>
      </c>
      <c r="B193" s="11" t="n">
        <f aca="false">Parametros!$B$5/(1+Parametros!$D$5*Parametros!$C$5*A193/12)^(1/Parametros!$D$5)</f>
        <v>2.94691473624994</v>
      </c>
      <c r="C193" s="12" t="n">
        <f aca="false">B193*30.4</f>
        <v>89.5862079819982</v>
      </c>
      <c r="D193" s="13" t="n">
        <f aca="false">IF(Parametros!$B$18*C193-Parametros!$B$14&gt;0,1,0)</f>
        <v>0</v>
      </c>
      <c r="E193" s="12" t="n">
        <f aca="false">(C193*Parametros!$B$18-Parametros!$B$14)*D193/(1+Parametros!$B$16)^(A193/12)</f>
        <v>-0</v>
      </c>
      <c r="F193" s="11" t="n">
        <f aca="false">Parametros!$B$6/(1+Parametros!$D$6*Parametros!$C$6*A193/12)^(1/Parametros!$D$6)</f>
        <v>22.2606485605146</v>
      </c>
      <c r="G193" s="12" t="n">
        <f aca="false">F193*30.4</f>
        <v>676.723716239644</v>
      </c>
      <c r="H193" s="13" t="n">
        <f aca="false">IF(Parametros!$B$18*G193-Parametros!$B$14&gt;0,1,0)</f>
        <v>1</v>
      </c>
      <c r="I193" s="12" t="n">
        <f aca="false">(G193*Parametros!$B$18-Parametros!$B$14)*H193/(1+Parametros!$B$16)^(A193/12)</f>
        <v>5263.92697144423</v>
      </c>
      <c r="J193" s="11" t="n">
        <f aca="false">Parametros!$B$7/(1+Parametros!$D$7*Parametros!$C$7*A193/12)^(1/Parametros!$D$7)</f>
        <v>60.237745785517</v>
      </c>
      <c r="K193" s="12" t="n">
        <f aca="false">J193*30.4</f>
        <v>1831.22747187972</v>
      </c>
      <c r="L193" s="13" t="n">
        <f aca="false">IF(Parametros!$B$18*K193-Parametros!$B$14&gt;0,1,0)</f>
        <v>1</v>
      </c>
      <c r="M193" s="12" t="n">
        <f aca="false">(K193*Parametros!$B$18-Parametros!$B$14)*L193/(1+Parametros!$B$16)^(A193/12)</f>
        <v>17666.3801743843</v>
      </c>
    </row>
    <row r="194" customFormat="false" ht="15" hidden="false" customHeight="false" outlineLevel="0" collapsed="false">
      <c r="A194" s="0" t="n">
        <v>190</v>
      </c>
      <c r="B194" s="11" t="n">
        <f aca="false">Parametros!$B$5/(1+Parametros!$D$5*Parametros!$C$5*A194/12)^(1/Parametros!$D$5)</f>
        <v>2.91377815483369</v>
      </c>
      <c r="C194" s="12" t="n">
        <f aca="false">B194*30.4</f>
        <v>88.5788559069441</v>
      </c>
      <c r="D194" s="13" t="n">
        <f aca="false">IF(Parametros!$B$18*C194-Parametros!$B$14&gt;0,1,0)</f>
        <v>0</v>
      </c>
      <c r="E194" s="12" t="n">
        <f aca="false">(C194*Parametros!$B$18-Parametros!$B$14)*D194/(1+Parametros!$B$16)^(A194/12)</f>
        <v>-0</v>
      </c>
      <c r="F194" s="11" t="n">
        <f aca="false">Parametros!$B$6/(1+Parametros!$D$6*Parametros!$C$6*A194/12)^(1/Parametros!$D$6)</f>
        <v>22.1274311782778</v>
      </c>
      <c r="G194" s="12" t="n">
        <f aca="false">F194*30.4</f>
        <v>672.673907819646</v>
      </c>
      <c r="H194" s="13" t="n">
        <f aca="false">IF(Parametros!$B$18*G194-Parametros!$B$14&gt;0,1,0)</f>
        <v>1</v>
      </c>
      <c r="I194" s="12" t="n">
        <f aca="false">(G194*Parametros!$B$18-Parametros!$B$14)*H194/(1+Parametros!$B$16)^(A194/12)</f>
        <v>5179.1221673631</v>
      </c>
      <c r="J194" s="11" t="n">
        <f aca="false">Parametros!$B$7/(1+Parametros!$D$7*Parametros!$C$7*A194/12)^(1/Parametros!$D$7)</f>
        <v>59.9932361001709</v>
      </c>
      <c r="K194" s="12" t="n">
        <f aca="false">J194*30.4</f>
        <v>1823.7943774452</v>
      </c>
      <c r="L194" s="13" t="n">
        <f aca="false">IF(Parametros!$B$18*K194-Parametros!$B$14&gt;0,1,0)</f>
        <v>1</v>
      </c>
      <c r="M194" s="12" t="n">
        <f aca="false">(K194*Parametros!$B$18-Parametros!$B$14)*L194/(1+Parametros!$B$16)^(A194/12)</f>
        <v>17447.4008669588</v>
      </c>
    </row>
    <row r="195" customFormat="false" ht="15" hidden="false" customHeight="false" outlineLevel="0" collapsed="false">
      <c r="A195" s="0" t="n">
        <v>191</v>
      </c>
      <c r="B195" s="11" t="n">
        <f aca="false">Parametros!$B$5/(1+Parametros!$D$5*Parametros!$C$5*A195/12)^(1/Parametros!$D$5)</f>
        <v>2.88116088234714</v>
      </c>
      <c r="C195" s="12" t="n">
        <f aca="false">B195*30.4</f>
        <v>87.5872908233531</v>
      </c>
      <c r="D195" s="13" t="n">
        <f aca="false">IF(Parametros!$B$18*C195-Parametros!$B$14&gt;0,1,0)</f>
        <v>0</v>
      </c>
      <c r="E195" s="12" t="n">
        <f aca="false">(C195*Parametros!$B$18-Parametros!$B$14)*D195/(1+Parametros!$B$16)^(A195/12)</f>
        <v>-0</v>
      </c>
      <c r="F195" s="11" t="n">
        <f aca="false">Parametros!$B$6/(1+Parametros!$D$6*Parametros!$C$6*A195/12)^(1/Parametros!$D$6)</f>
        <v>21.9956419730359</v>
      </c>
      <c r="G195" s="12" t="n">
        <f aca="false">F195*30.4</f>
        <v>668.667515980291</v>
      </c>
      <c r="H195" s="13" t="n">
        <f aca="false">IF(Parametros!$B$18*G195-Parametros!$B$14&gt;0,1,0)</f>
        <v>1</v>
      </c>
      <c r="I195" s="12" t="n">
        <f aca="false">(G195*Parametros!$B$18-Parametros!$B$14)*H195/(1+Parametros!$B$16)^(A195/12)</f>
        <v>5095.78877219376</v>
      </c>
      <c r="J195" s="11" t="n">
        <f aca="false">Parametros!$B$7/(1+Parametros!$D$7*Parametros!$C$7*A195/12)^(1/Parametros!$D$7)</f>
        <v>59.7508992960029</v>
      </c>
      <c r="K195" s="12" t="n">
        <f aca="false">J195*30.4</f>
        <v>1816.42733859849</v>
      </c>
      <c r="L195" s="13" t="n">
        <f aca="false">IF(Parametros!$B$18*K195-Parametros!$B$14&gt;0,1,0)</f>
        <v>1</v>
      </c>
      <c r="M195" s="12" t="n">
        <f aca="false">(K195*Parametros!$B$18-Parametros!$B$14)*L195/(1+Parametros!$B$16)^(A195/12)</f>
        <v>17231.4790579832</v>
      </c>
    </row>
    <row r="196" customFormat="false" ht="15" hidden="false" customHeight="false" outlineLevel="0" collapsed="false">
      <c r="A196" s="0" t="n">
        <v>192</v>
      </c>
      <c r="B196" s="11" t="n">
        <f aca="false">Parametros!$B$5/(1+Parametros!$D$5*Parametros!$C$5*A196/12)^(1/Parametros!$D$5)</f>
        <v>2.84905250168649</v>
      </c>
      <c r="C196" s="12" t="n">
        <f aca="false">B196*30.4</f>
        <v>86.6111960512692</v>
      </c>
      <c r="D196" s="13" t="n">
        <f aca="false">IF(Parametros!$B$18*C196-Parametros!$B$14&gt;0,1,0)</f>
        <v>0</v>
      </c>
      <c r="E196" s="12" t="n">
        <f aca="false">(C196*Parametros!$B$18-Parametros!$B$14)*D196/(1+Parametros!$B$16)^(A196/12)</f>
        <v>-0</v>
      </c>
      <c r="F196" s="11" t="n">
        <f aca="false">Parametros!$B$6/(1+Parametros!$D$6*Parametros!$C$6*A196/12)^(1/Parametros!$D$6)</f>
        <v>21.8652589338064</v>
      </c>
      <c r="G196" s="12" t="n">
        <f aca="false">F196*30.4</f>
        <v>664.703871587715</v>
      </c>
      <c r="H196" s="13" t="n">
        <f aca="false">IF(Parametros!$B$18*G196-Parametros!$B$14&gt;0,1,0)</f>
        <v>1</v>
      </c>
      <c r="I196" s="12" t="n">
        <f aca="false">(G196*Parametros!$B$18-Parametros!$B$14)*H196/(1+Parametros!$B$16)^(A196/12)</f>
        <v>5013.89816195468</v>
      </c>
      <c r="J196" s="11" t="n">
        <f aca="false">Parametros!$B$7/(1+Parametros!$D$7*Parametros!$C$7*A196/12)^(1/Parametros!$D$7)</f>
        <v>59.5107056746712</v>
      </c>
      <c r="K196" s="12" t="n">
        <f aca="false">J196*30.4</f>
        <v>1809.12545251</v>
      </c>
      <c r="L196" s="13" t="n">
        <f aca="false">IF(Parametros!$B$18*K196-Parametros!$B$14&gt;0,1,0)</f>
        <v>1</v>
      </c>
      <c r="M196" s="12" t="n">
        <f aca="false">(K196*Parametros!$B$18-Parametros!$B$14)*L196/(1+Parametros!$B$16)^(A196/12)</f>
        <v>17018.565080396</v>
      </c>
    </row>
    <row r="197" customFormat="false" ht="15" hidden="false" customHeight="false" outlineLevel="0" collapsed="false">
      <c r="A197" s="0" t="n">
        <v>193</v>
      </c>
      <c r="B197" s="11" t="n">
        <f aca="false">Parametros!$B$5/(1+Parametros!$D$5*Parametros!$C$5*A197/12)^(1/Parametros!$D$5)</f>
        <v>2.81744285001236</v>
      </c>
      <c r="C197" s="12" t="n">
        <f aca="false">B197*30.4</f>
        <v>85.6502626403758</v>
      </c>
      <c r="D197" s="13" t="n">
        <f aca="false">IF(Parametros!$B$18*C197-Parametros!$B$14&gt;0,1,0)</f>
        <v>0</v>
      </c>
      <c r="E197" s="12" t="n">
        <f aca="false">(C197*Parametros!$B$18-Parametros!$B$14)*D197/(1+Parametros!$B$16)^(A197/12)</f>
        <v>-0</v>
      </c>
      <c r="F197" s="11" t="n">
        <f aca="false">Parametros!$B$6/(1+Parametros!$D$6*Parametros!$C$6*A197/12)^(1/Parametros!$D$6)</f>
        <v>21.7362604911241</v>
      </c>
      <c r="G197" s="12" t="n">
        <f aca="false">F197*30.4</f>
        <v>660.782318930172</v>
      </c>
      <c r="H197" s="13" t="n">
        <f aca="false">IF(Parametros!$B$18*G197-Parametros!$B$14&gt;0,1,0)</f>
        <v>1</v>
      </c>
      <c r="I197" s="12" t="n">
        <f aca="false">(G197*Parametros!$B$18-Parametros!$B$14)*H197/(1+Parametros!$B$16)^(A197/12)</f>
        <v>4933.42235293492</v>
      </c>
      <c r="J197" s="11" t="n">
        <f aca="false">Parametros!$B$7/(1+Parametros!$D$7*Parametros!$C$7*A197/12)^(1/Parametros!$D$7)</f>
        <v>59.2726260843682</v>
      </c>
      <c r="K197" s="12" t="n">
        <f aca="false">J197*30.4</f>
        <v>1801.88783296479</v>
      </c>
      <c r="L197" s="13" t="n">
        <f aca="false">IF(Parametros!$B$18*K197-Parametros!$B$14&gt;0,1,0)</f>
        <v>1</v>
      </c>
      <c r="M197" s="12" t="n">
        <f aca="false">(K197*Parametros!$B$18-Parametros!$B$14)*L197/(1+Parametros!$B$16)^(A197/12)</f>
        <v>16808.6102280788</v>
      </c>
    </row>
    <row r="198" customFormat="false" ht="15" hidden="false" customHeight="false" outlineLevel="0" collapsed="false">
      <c r="A198" s="0" t="n">
        <v>194</v>
      </c>
      <c r="B198" s="11" t="n">
        <f aca="false">Parametros!$B$5/(1+Parametros!$D$5*Parametros!$C$5*A198/12)^(1/Parametros!$D$5)</f>
        <v>2.78632201144772</v>
      </c>
      <c r="C198" s="12" t="n">
        <f aca="false">B198*30.4</f>
        <v>84.7041891480105</v>
      </c>
      <c r="D198" s="13" t="n">
        <f aca="false">IF(Parametros!$B$18*C198-Parametros!$B$14&gt;0,1,0)</f>
        <v>0</v>
      </c>
      <c r="E198" s="12" t="n">
        <f aca="false">(C198*Parametros!$B$18-Parametros!$B$14)*D198/(1+Parametros!$B$16)^(A198/12)</f>
        <v>-0</v>
      </c>
      <c r="F198" s="11" t="n">
        <f aca="false">Parametros!$B$6/(1+Parametros!$D$6*Parametros!$C$6*A198/12)^(1/Parametros!$D$6)</f>
        <v>21.608625506152</v>
      </c>
      <c r="G198" s="12" t="n">
        <f aca="false">F198*30.4</f>
        <v>656.90221538702</v>
      </c>
      <c r="H198" s="13" t="n">
        <f aca="false">IF(Parametros!$B$18*G198-Parametros!$B$14&gt;0,1,0)</f>
        <v>1</v>
      </c>
      <c r="I198" s="12" t="n">
        <f aca="false">(G198*Parametros!$B$18-Parametros!$B$14)*H198/(1+Parametros!$B$16)^(A198/12)</f>
        <v>4854.33398507734</v>
      </c>
      <c r="J198" s="11" t="n">
        <f aca="false">Parametros!$B$7/(1+Parametros!$D$7*Parametros!$C$7*A198/12)^(1/Parametros!$D$7)</f>
        <v>59.0366319071999</v>
      </c>
      <c r="K198" s="12" t="n">
        <f aca="false">J198*30.4</f>
        <v>1794.71360997888</v>
      </c>
      <c r="L198" s="13" t="n">
        <f aca="false">IF(Parametros!$B$18*K198-Parametros!$B$14&gt;0,1,0)</f>
        <v>1</v>
      </c>
      <c r="M198" s="12" t="n">
        <f aca="false">(K198*Parametros!$B$18-Parametros!$B$14)*L198/(1+Parametros!$B$16)^(A198/12)</f>
        <v>16601.5667335708</v>
      </c>
    </row>
    <row r="199" customFormat="false" ht="15" hidden="false" customHeight="false" outlineLevel="0" collapsed="false">
      <c r="A199" s="0" t="n">
        <v>195</v>
      </c>
      <c r="B199" s="11" t="n">
        <f aca="false">Parametros!$B$5/(1+Parametros!$D$5*Parametros!$C$5*A199/12)^(1/Parametros!$D$5)</f>
        <v>2.75568031001655</v>
      </c>
      <c r="C199" s="12" t="n">
        <f aca="false">B199*30.4</f>
        <v>83.7726814245032</v>
      </c>
      <c r="D199" s="13" t="n">
        <f aca="false">IF(Parametros!$B$18*C199-Parametros!$B$14&gt;0,1,0)</f>
        <v>0</v>
      </c>
      <c r="E199" s="12" t="n">
        <f aca="false">(C199*Parametros!$B$18-Parametros!$B$14)*D199/(1+Parametros!$B$16)^(A199/12)</f>
        <v>-0</v>
      </c>
      <c r="F199" s="11" t="n">
        <f aca="false">Parametros!$B$6/(1+Parametros!$D$6*Parametros!$C$6*A199/12)^(1/Parametros!$D$6)</f>
        <v>21.4823332601108</v>
      </c>
      <c r="G199" s="12" t="n">
        <f aca="false">F199*30.4</f>
        <v>653.062931107368</v>
      </c>
      <c r="H199" s="13" t="n">
        <f aca="false">IF(Parametros!$B$18*G199-Parametros!$B$14&gt;0,1,0)</f>
        <v>1</v>
      </c>
      <c r="I199" s="12" t="n">
        <f aca="false">(G199*Parametros!$B$18-Parametros!$B$14)*H199/(1+Parametros!$B$16)^(A199/12)</f>
        <v>4776.60630585998</v>
      </c>
      <c r="J199" s="11" t="n">
        <f aca="false">Parametros!$B$7/(1+Parametros!$D$7*Parametros!$C$7*A199/12)^(1/Parametros!$D$7)</f>
        <v>58.8026950469149</v>
      </c>
      <c r="K199" s="12" t="n">
        <f aca="false">J199*30.4</f>
        <v>1787.60192942621</v>
      </c>
      <c r="L199" s="13" t="n">
        <f aca="false">IF(Parametros!$B$18*K199-Parametros!$B$14&gt;0,1,0)</f>
        <v>1</v>
      </c>
      <c r="M199" s="12" t="n">
        <f aca="false">(K199*Parametros!$B$18-Parametros!$B$14)*L199/(1+Parametros!$B$16)^(A199/12)</f>
        <v>16397.3877463983</v>
      </c>
    </row>
    <row r="200" customFormat="false" ht="15" hidden="false" customHeight="false" outlineLevel="0" collapsed="false">
      <c r="A200" s="0" t="n">
        <v>196</v>
      </c>
      <c r="B200" s="11" t="n">
        <f aca="false">Parametros!$B$5/(1+Parametros!$D$5*Parametros!$C$5*A200/12)^(1/Parametros!$D$5)</f>
        <v>2.72550830281464</v>
      </c>
      <c r="C200" s="12" t="n">
        <f aca="false">B200*30.4</f>
        <v>82.855452405565</v>
      </c>
      <c r="D200" s="13" t="n">
        <f aca="false">IF(Parametros!$B$18*C200-Parametros!$B$14&gt;0,1,0)</f>
        <v>0</v>
      </c>
      <c r="E200" s="12" t="n">
        <f aca="false">(C200*Parametros!$B$18-Parametros!$B$14)*D200/(1+Parametros!$B$16)^(A200/12)</f>
        <v>-0</v>
      </c>
      <c r="F200" s="11" t="n">
        <f aca="false">Parametros!$B$6/(1+Parametros!$D$6*Parametros!$C$6*A200/12)^(1/Parametros!$D$6)</f>
        <v>21.3573634440158</v>
      </c>
      <c r="G200" s="12" t="n">
        <f aca="false">F200*30.4</f>
        <v>649.26384869808</v>
      </c>
      <c r="H200" s="13" t="n">
        <f aca="false">IF(Parametros!$B$18*G200-Parametros!$B$14&gt;0,1,0)</f>
        <v>1</v>
      </c>
      <c r="I200" s="12" t="n">
        <f aca="false">(G200*Parametros!$B$18-Parametros!$B$14)*H200/(1+Parametros!$B$16)^(A200/12)</f>
        <v>4700.21315465868</v>
      </c>
      <c r="J200" s="11" t="n">
        <f aca="false">Parametros!$B$7/(1+Parametros!$D$7*Parametros!$C$7*A200/12)^(1/Parametros!$D$7)</f>
        <v>58.570787916972</v>
      </c>
      <c r="K200" s="12" t="n">
        <f aca="false">J200*30.4</f>
        <v>1780.55195267595</v>
      </c>
      <c r="L200" s="13" t="n">
        <f aca="false">IF(Parametros!$B$18*K200-Parametros!$B$14&gt;0,1,0)</f>
        <v>1</v>
      </c>
      <c r="M200" s="12" t="n">
        <f aca="false">(K200*Parametros!$B$18-Parametros!$B$14)*L200/(1+Parametros!$B$16)^(A200/12)</f>
        <v>16196.0273119968</v>
      </c>
    </row>
    <row r="201" customFormat="false" ht="15" hidden="false" customHeight="false" outlineLevel="0" collapsed="false">
      <c r="A201" s="0" t="n">
        <v>197</v>
      </c>
      <c r="B201" s="11" t="n">
        <f aca="false">Parametros!$B$5/(1+Parametros!$D$5*Parametros!$C$5*A201/12)^(1/Parametros!$D$5)</f>
        <v>2.69579677340352</v>
      </c>
      <c r="C201" s="12" t="n">
        <f aca="false">B201*30.4</f>
        <v>81.9522219114671</v>
      </c>
      <c r="D201" s="13" t="n">
        <f aca="false">IF(Parametros!$B$18*C201-Parametros!$B$14&gt;0,1,0)</f>
        <v>0</v>
      </c>
      <c r="E201" s="12" t="n">
        <f aca="false">(C201*Parametros!$B$18-Parametros!$B$14)*D201/(1+Parametros!$B$16)^(A201/12)</f>
        <v>-0</v>
      </c>
      <c r="F201" s="11" t="n">
        <f aca="false">Parametros!$B$6/(1+Parametros!$D$6*Parametros!$C$6*A201/12)^(1/Parametros!$D$6)</f>
        <v>21.2336961487108</v>
      </c>
      <c r="G201" s="12" t="n">
        <f aca="false">F201*30.4</f>
        <v>645.504362920808</v>
      </c>
      <c r="H201" s="13" t="n">
        <f aca="false">IF(Parametros!$B$18*G201-Parametros!$B$14&gt;0,1,0)</f>
        <v>1</v>
      </c>
      <c r="I201" s="12" t="n">
        <f aca="false">(G201*Parametros!$B$18-Parametros!$B$14)*H201/(1+Parametros!$B$16)^(A201/12)</f>
        <v>4625.12894757441</v>
      </c>
      <c r="J201" s="11" t="n">
        <f aca="false">Parametros!$B$7/(1+Parametros!$D$7*Parametros!$C$7*A201/12)^(1/Parametros!$D$7)</f>
        <v>58.3408834289364</v>
      </c>
      <c r="K201" s="12" t="n">
        <f aca="false">J201*30.4</f>
        <v>1773.56285623967</v>
      </c>
      <c r="L201" s="13" t="n">
        <f aca="false">IF(Parametros!$B$18*K201-Parametros!$B$14&gt;0,1,0)</f>
        <v>1</v>
      </c>
      <c r="M201" s="12" t="n">
        <f aca="false">(K201*Parametros!$B$18-Parametros!$B$14)*L201/(1+Parametros!$B$16)^(A201/12)</f>
        <v>15997.4403512078</v>
      </c>
    </row>
    <row r="202" customFormat="false" ht="15" hidden="false" customHeight="false" outlineLevel="0" collapsed="false">
      <c r="A202" s="0" t="n">
        <v>198</v>
      </c>
      <c r="B202" s="11" t="n">
        <f aca="false">Parametros!$B$5/(1+Parametros!$D$5*Parametros!$C$5*A202/12)^(1/Parametros!$D$5)</f>
        <v>2.66653672541968</v>
      </c>
      <c r="C202" s="12" t="n">
        <f aca="false">B202*30.4</f>
        <v>81.0627164527584</v>
      </c>
      <c r="D202" s="13" t="n">
        <f aca="false">IF(Parametros!$B$18*C202-Parametros!$B$14&gt;0,1,0)</f>
        <v>0</v>
      </c>
      <c r="E202" s="12" t="n">
        <f aca="false">(C202*Parametros!$B$18-Parametros!$B$14)*D202/(1+Parametros!$B$16)^(A202/12)</f>
        <v>-0</v>
      </c>
      <c r="F202" s="11" t="n">
        <f aca="false">Parametros!$B$6/(1+Parametros!$D$6*Parametros!$C$6*A202/12)^(1/Parametros!$D$6)</f>
        <v>21.1113118551893</v>
      </c>
      <c r="G202" s="12" t="n">
        <f aca="false">F202*30.4</f>
        <v>641.783880397754</v>
      </c>
      <c r="H202" s="13" t="n">
        <f aca="false">IF(Parametros!$B$18*G202-Parametros!$B$14&gt;0,1,0)</f>
        <v>1</v>
      </c>
      <c r="I202" s="12" t="n">
        <f aca="false">(G202*Parametros!$B$18-Parametros!$B$14)*H202/(1+Parametros!$B$16)^(A202/12)</f>
        <v>4551.32866270956</v>
      </c>
      <c r="J202" s="11" t="n">
        <f aca="false">Parametros!$B$7/(1+Parametros!$D$7*Parametros!$C$7*A202/12)^(1/Parametros!$D$7)</f>
        <v>58.112954981192</v>
      </c>
      <c r="K202" s="12" t="n">
        <f aca="false">J202*30.4</f>
        <v>1766.63383142824</v>
      </c>
      <c r="L202" s="13" t="n">
        <f aca="false">IF(Parametros!$B$18*K202-Parametros!$B$14&gt;0,1,0)</f>
        <v>1</v>
      </c>
      <c r="M202" s="12" t="n">
        <f aca="false">(K202*Parametros!$B$18-Parametros!$B$14)*L202/(1+Parametros!$B$16)^(A202/12)</f>
        <v>15801.5826403324</v>
      </c>
    </row>
    <row r="203" customFormat="false" ht="15" hidden="false" customHeight="false" outlineLevel="0" collapsed="false">
      <c r="A203" s="0" t="n">
        <v>199</v>
      </c>
      <c r="B203" s="11" t="n">
        <f aca="false">Parametros!$B$5/(1+Parametros!$D$5*Parametros!$C$5*A203/12)^(1/Parametros!$D$5)</f>
        <v>2.63771937639085</v>
      </c>
      <c r="C203" s="12" t="n">
        <f aca="false">B203*30.4</f>
        <v>80.186669042282</v>
      </c>
      <c r="D203" s="13" t="n">
        <f aca="false">IF(Parametros!$B$18*C203-Parametros!$B$14&gt;0,1,0)</f>
        <v>0</v>
      </c>
      <c r="E203" s="12" t="n">
        <f aca="false">(C203*Parametros!$B$18-Parametros!$B$14)*D203/(1+Parametros!$B$16)^(A203/12)</f>
        <v>-0</v>
      </c>
      <c r="F203" s="11" t="n">
        <f aca="false">Parametros!$B$6/(1+Parametros!$D$6*Parametros!$C$6*A203/12)^(1/Parametros!$D$6)</f>
        <v>20.9901914251933</v>
      </c>
      <c r="G203" s="12" t="n">
        <f aca="false">F203*30.4</f>
        <v>638.101819325875</v>
      </c>
      <c r="H203" s="13" t="n">
        <f aca="false">IF(Parametros!$B$18*G203-Parametros!$B$14&gt;0,1,0)</f>
        <v>1</v>
      </c>
      <c r="I203" s="12" t="n">
        <f aca="false">(G203*Parametros!$B$18-Parametros!$B$14)*H203/(1+Parametros!$B$16)^(A203/12)</f>
        <v>4478.78782587813</v>
      </c>
      <c r="J203" s="11" t="n">
        <f aca="false">Parametros!$B$7/(1+Parametros!$D$7*Parametros!$C$7*A203/12)^(1/Parametros!$D$7)</f>
        <v>57.8869764479627</v>
      </c>
      <c r="K203" s="12" t="n">
        <f aca="false">J203*30.4</f>
        <v>1759.76408401807</v>
      </c>
      <c r="L203" s="13" t="n">
        <f aca="false">IF(Parametros!$B$18*K203-Parametros!$B$14&gt;0,1,0)</f>
        <v>1</v>
      </c>
      <c r="M203" s="12" t="n">
        <f aca="false">(K203*Parametros!$B$18-Parametros!$B$14)*L203/(1+Parametros!$B$16)^(A203/12)</f>
        <v>15608.4107917232</v>
      </c>
    </row>
    <row r="204" customFormat="false" ht="15" hidden="false" customHeight="false" outlineLevel="0" collapsed="false">
      <c r="A204" s="0" t="n">
        <v>200</v>
      </c>
      <c r="B204" s="11" t="n">
        <f aca="false">Parametros!$B$5/(1+Parametros!$D$5*Parametros!$C$5*A204/12)^(1/Parametros!$D$5)</f>
        <v>2.60933615175197</v>
      </c>
      <c r="C204" s="12" t="n">
        <f aca="false">B204*30.4</f>
        <v>79.3238190132599</v>
      </c>
      <c r="D204" s="13" t="n">
        <f aca="false">IF(Parametros!$B$18*C204-Parametros!$B$14&gt;0,1,0)</f>
        <v>0</v>
      </c>
      <c r="E204" s="12" t="n">
        <f aca="false">(C204*Parametros!$B$18-Parametros!$B$14)*D204/(1+Parametros!$B$16)^(A204/12)</f>
        <v>-0</v>
      </c>
      <c r="F204" s="11" t="n">
        <f aca="false">Parametros!$B$6/(1+Parametros!$D$6*Parametros!$C$6*A204/12)^(1/Parametros!$D$6)</f>
        <v>20.8703160920805</v>
      </c>
      <c r="G204" s="12" t="n">
        <f aca="false">F204*30.4</f>
        <v>634.457609199248</v>
      </c>
      <c r="H204" s="13" t="n">
        <f aca="false">IF(Parametros!$B$18*G204-Parametros!$B$14&gt;0,1,0)</f>
        <v>1</v>
      </c>
      <c r="I204" s="12" t="n">
        <f aca="false">(G204*Parametros!$B$18-Parametros!$B$14)*H204/(1+Parametros!$B$16)^(A204/12)</f>
        <v>4407.48249673503</v>
      </c>
      <c r="J204" s="11" t="n">
        <f aca="false">Parametros!$B$7/(1+Parametros!$D$7*Parametros!$C$7*A204/12)^(1/Parametros!$D$7)</f>
        <v>57.6629221686295</v>
      </c>
      <c r="K204" s="12" t="n">
        <f aca="false">J204*30.4</f>
        <v>1752.95283392634</v>
      </c>
      <c r="L204" s="13" t="n">
        <f aca="false">IF(Parametros!$B$18*K204-Parametros!$B$14&gt;0,1,0)</f>
        <v>1</v>
      </c>
      <c r="M204" s="12" t="n">
        <f aca="false">(K204*Parametros!$B$18-Parametros!$B$14)*L204/(1+Parametros!$B$16)^(A204/12)</f>
        <v>15417.8822348982</v>
      </c>
    </row>
    <row r="205" customFormat="false" ht="15" hidden="false" customHeight="false" outlineLevel="0" collapsed="false">
      <c r="A205" s="0" t="n">
        <v>201</v>
      </c>
      <c r="B205" s="11" t="n">
        <f aca="false">Parametros!$B$5/(1+Parametros!$D$5*Parametros!$C$5*A205/12)^(1/Parametros!$D$5)</f>
        <v>2.58137867905346</v>
      </c>
      <c r="C205" s="12" t="n">
        <f aca="false">B205*30.4</f>
        <v>78.4739118432253</v>
      </c>
      <c r="D205" s="13" t="n">
        <f aca="false">IF(Parametros!$B$18*C205-Parametros!$B$14&gt;0,1,0)</f>
        <v>0</v>
      </c>
      <c r="E205" s="12" t="n">
        <f aca="false">(C205*Parametros!$B$18-Parametros!$B$14)*D205/(1+Parametros!$B$16)^(A205/12)</f>
        <v>-0</v>
      </c>
      <c r="F205" s="11" t="n">
        <f aca="false">Parametros!$B$6/(1+Parametros!$D$6*Parametros!$C$6*A205/12)^(1/Parametros!$D$6)</f>
        <v>20.7516674519516</v>
      </c>
      <c r="G205" s="12" t="n">
        <f aca="false">F205*30.4</f>
        <v>630.850690539328</v>
      </c>
      <c r="H205" s="13" t="n">
        <f aca="false">IF(Parametros!$B$18*G205-Parametros!$B$14&gt;0,1,0)</f>
        <v>1</v>
      </c>
      <c r="I205" s="12" t="n">
        <f aca="false">(G205*Parametros!$B$18-Parametros!$B$14)*H205/(1+Parametros!$B$16)^(A205/12)</f>
        <v>4337.38925531069</v>
      </c>
      <c r="J205" s="11" t="n">
        <f aca="false">Parametros!$B$7/(1+Parametros!$D$7*Parametros!$C$7*A205/12)^(1/Parametros!$D$7)</f>
        <v>57.4407669373363</v>
      </c>
      <c r="K205" s="12" t="n">
        <f aca="false">J205*30.4</f>
        <v>1746.19931489502</v>
      </c>
      <c r="L205" s="13" t="n">
        <f aca="false">IF(Parametros!$B$18*K205-Parametros!$B$14&gt;0,1,0)</f>
        <v>1</v>
      </c>
      <c r="M205" s="12" t="n">
        <f aca="false">(K205*Parametros!$B$18-Parametros!$B$14)*L205/(1+Parametros!$B$16)^(A205/12)</f>
        <v>15229.9551981606</v>
      </c>
    </row>
    <row r="206" customFormat="false" ht="15" hidden="false" customHeight="false" outlineLevel="0" collapsed="false">
      <c r="A206" s="0" t="n">
        <v>202</v>
      </c>
      <c r="B206" s="11" t="n">
        <f aca="false">Parametros!$B$5/(1+Parametros!$D$5*Parametros!$C$5*A206/12)^(1/Parametros!$D$5)</f>
        <v>2.55383878235492</v>
      </c>
      <c r="C206" s="12" t="n">
        <f aca="false">B206*30.4</f>
        <v>77.6366989835895</v>
      </c>
      <c r="D206" s="13" t="n">
        <f aca="false">IF(Parametros!$B$18*C206-Parametros!$B$14&gt;0,1,0)</f>
        <v>0</v>
      </c>
      <c r="E206" s="12" t="n">
        <f aca="false">(C206*Parametros!$B$18-Parametros!$B$14)*D206/(1+Parametros!$B$16)^(A206/12)</f>
        <v>-0</v>
      </c>
      <c r="F206" s="11" t="n">
        <f aca="false">Parametros!$B$6/(1+Parametros!$D$6*Parametros!$C$6*A206/12)^(1/Parametros!$D$6)</f>
        <v>20.6342274550276</v>
      </c>
      <c r="G206" s="12" t="n">
        <f aca="false">F206*30.4</f>
        <v>627.280514632838</v>
      </c>
      <c r="H206" s="13" t="n">
        <f aca="false">IF(Parametros!$B$18*G206-Parametros!$B$14&gt;0,1,0)</f>
        <v>1</v>
      </c>
      <c r="I206" s="12" t="n">
        <f aca="false">(G206*Parametros!$B$18-Parametros!$B$14)*H206/(1+Parametros!$B$16)^(A206/12)</f>
        <v>4268.48518893721</v>
      </c>
      <c r="J206" s="11" t="n">
        <f aca="false">Parametros!$B$7/(1+Parametros!$D$7*Parametros!$C$7*A206/12)^(1/Parametros!$D$7)</f>
        <v>57.2204859928752</v>
      </c>
      <c r="K206" s="12" t="n">
        <f aca="false">J206*30.4</f>
        <v>1739.50277418341</v>
      </c>
      <c r="L206" s="13" t="n">
        <f aca="false">IF(Parametros!$B$18*K206-Parametros!$B$14&gt;0,1,0)</f>
        <v>1</v>
      </c>
      <c r="M206" s="12" t="n">
        <f aca="false">(K206*Parametros!$B$18-Parametros!$B$14)*L206/(1+Parametros!$B$16)^(A206/12)</f>
        <v>15044.5886907075</v>
      </c>
    </row>
    <row r="207" customFormat="false" ht="15" hidden="false" customHeight="false" outlineLevel="0" collapsed="false">
      <c r="A207" s="0" t="n">
        <v>203</v>
      </c>
      <c r="B207" s="11" t="n">
        <f aca="false">Parametros!$B$5/(1+Parametros!$D$5*Parametros!$C$5*A207/12)^(1/Parametros!$D$5)</f>
        <v>2.5267084767974</v>
      </c>
      <c r="C207" s="12" t="n">
        <f aca="false">B207*30.4</f>
        <v>76.8119376946411</v>
      </c>
      <c r="D207" s="13" t="n">
        <f aca="false">IF(Parametros!$B$18*C207-Parametros!$B$14&gt;0,1,0)</f>
        <v>0</v>
      </c>
      <c r="E207" s="12" t="n">
        <f aca="false">(C207*Parametros!$B$18-Parametros!$B$14)*D207/(1+Parametros!$B$16)^(A207/12)</f>
        <v>-0</v>
      </c>
      <c r="F207" s="11" t="n">
        <f aca="false">Parametros!$B$6/(1+Parametros!$D$6*Parametros!$C$6*A207/12)^(1/Parametros!$D$6)</f>
        <v>20.517978397271</v>
      </c>
      <c r="G207" s="12" t="n">
        <f aca="false">F207*30.4</f>
        <v>623.74654327704</v>
      </c>
      <c r="H207" s="13" t="n">
        <f aca="false">IF(Parametros!$B$18*G207-Parametros!$B$14&gt;0,1,0)</f>
        <v>1</v>
      </c>
      <c r="I207" s="12" t="n">
        <f aca="false">(G207*Parametros!$B$18-Parametros!$B$14)*H207/(1+Parametros!$B$16)^(A207/12)</f>
        <v>4200.7478795533</v>
      </c>
      <c r="J207" s="11" t="n">
        <f aca="false">Parametros!$B$7/(1+Parametros!$D$7*Parametros!$C$7*A207/12)^(1/Parametros!$D$7)</f>
        <v>57.0020550088417</v>
      </c>
      <c r="K207" s="12" t="n">
        <f aca="false">J207*30.4</f>
        <v>1732.86247226879</v>
      </c>
      <c r="L207" s="13" t="n">
        <f aca="false">IF(Parametros!$B$18*K207-Parametros!$B$14&gt;0,1,0)</f>
        <v>1</v>
      </c>
      <c r="M207" s="12" t="n">
        <f aca="false">(K207*Parametros!$B$18-Parametros!$B$14)*L207/(1+Parametros!$B$16)^(A207/12)</f>
        <v>14861.7424852141</v>
      </c>
    </row>
    <row r="208" customFormat="false" ht="15" hidden="false" customHeight="false" outlineLevel="0" collapsed="false">
      <c r="A208" s="0" t="n">
        <v>204</v>
      </c>
      <c r="B208" s="11" t="n">
        <f aca="false">Parametros!$B$5/(1+Parametros!$D$5*Parametros!$C$5*A208/12)^(1/Parametros!$D$5)</f>
        <v>2.49997996334805</v>
      </c>
      <c r="C208" s="12" t="n">
        <f aca="false">B208*30.4</f>
        <v>75.9993908857807</v>
      </c>
      <c r="D208" s="13" t="n">
        <f aca="false">IF(Parametros!$B$18*C208-Parametros!$B$14&gt;0,1,0)</f>
        <v>0</v>
      </c>
      <c r="E208" s="12" t="n">
        <f aca="false">(C208*Parametros!$B$18-Parametros!$B$14)*D208/(1+Parametros!$B$16)^(A208/12)</f>
        <v>-0</v>
      </c>
      <c r="F208" s="11" t="n">
        <f aca="false">Parametros!$B$6/(1+Parametros!$D$6*Parametros!$C$6*A208/12)^(1/Parametros!$D$6)</f>
        <v>20.4029029122419</v>
      </c>
      <c r="G208" s="12" t="n">
        <f aca="false">F208*30.4</f>
        <v>620.248248532154</v>
      </c>
      <c r="H208" s="13" t="n">
        <f aca="false">IF(Parametros!$B$18*G208-Parametros!$B$14&gt;0,1,0)</f>
        <v>1</v>
      </c>
      <c r="I208" s="12" t="n">
        <f aca="false">(G208*Parametros!$B$18-Parametros!$B$14)*H208/(1+Parametros!$B$16)^(A208/12)</f>
        <v>4134.1553913753</v>
      </c>
      <c r="J208" s="11" t="n">
        <f aca="false">Parametros!$B$7/(1+Parametros!$D$7*Parametros!$C$7*A208/12)^(1/Parametros!$D$7)</f>
        <v>56.7854500840513</v>
      </c>
      <c r="K208" s="12" t="n">
        <f aca="false">J208*30.4</f>
        <v>1726.27768255516</v>
      </c>
      <c r="L208" s="13" t="n">
        <f aca="false">IF(Parametros!$B$18*K208-Parametros!$B$14&gt;0,1,0)</f>
        <v>1</v>
      </c>
      <c r="M208" s="12" t="n">
        <f aca="false">(K208*Parametros!$B$18-Parametros!$B$14)*L208/(1+Parametros!$B$16)^(A208/12)</f>
        <v>14681.377100877</v>
      </c>
    </row>
    <row r="209" customFormat="false" ht="15" hidden="false" customHeight="false" outlineLevel="0" collapsed="false">
      <c r="A209" s="0" t="n">
        <v>205</v>
      </c>
      <c r="B209" s="11" t="n">
        <f aca="false">Parametros!$B$5/(1+Parametros!$D$5*Parametros!$C$5*A209/12)^(1/Parametros!$D$5)</f>
        <v>2.47364562371071</v>
      </c>
      <c r="C209" s="12" t="n">
        <f aca="false">B209*30.4</f>
        <v>75.1988269608056</v>
      </c>
      <c r="D209" s="13" t="n">
        <f aca="false">IF(Parametros!$B$18*C209-Parametros!$B$14&gt;0,1,0)</f>
        <v>0</v>
      </c>
      <c r="E209" s="12" t="n">
        <f aca="false">(C209*Parametros!$B$18-Parametros!$B$14)*D209/(1+Parametros!$B$16)^(A209/12)</f>
        <v>-0</v>
      </c>
      <c r="F209" s="11" t="n">
        <f aca="false">Parametros!$B$6/(1+Parametros!$D$6*Parametros!$C$6*A209/12)^(1/Parametros!$D$6)</f>
        <v>20.2889839631805</v>
      </c>
      <c r="G209" s="12" t="n">
        <f aca="false">F209*30.4</f>
        <v>616.785112480686</v>
      </c>
      <c r="H209" s="13" t="n">
        <f aca="false">IF(Parametros!$B$18*G209-Parametros!$B$14&gt;0,1,0)</f>
        <v>1</v>
      </c>
      <c r="I209" s="12" t="n">
        <f aca="false">(G209*Parametros!$B$18-Parametros!$B$14)*H209/(1+Parametros!$B$16)^(A209/12)</f>
        <v>4068.68625892239</v>
      </c>
      <c r="J209" s="11" t="n">
        <f aca="false">Parametros!$B$7/(1+Parametros!$D$7*Parametros!$C$7*A209/12)^(1/Parametros!$D$7)</f>
        <v>56.5706477332106</v>
      </c>
      <c r="K209" s="12" t="n">
        <f aca="false">J209*30.4</f>
        <v>1719.7476910896</v>
      </c>
      <c r="L209" s="13" t="n">
        <f aca="false">IF(Parametros!$B$18*K209-Parametros!$B$14&gt;0,1,0)</f>
        <v>1</v>
      </c>
      <c r="M209" s="12" t="n">
        <f aca="false">(K209*Parametros!$B$18-Parametros!$B$14)*L209/(1+Parametros!$B$16)^(A209/12)</f>
        <v>14503.4537869039</v>
      </c>
    </row>
    <row r="210" customFormat="false" ht="15" hidden="false" customHeight="false" outlineLevel="0" collapsed="false">
      <c r="A210" s="0" t="n">
        <v>206</v>
      </c>
      <c r="B210" s="11" t="n">
        <f aca="false">Parametros!$B$5/(1+Parametros!$D$5*Parametros!$C$5*A210/12)^(1/Parametros!$D$5)</f>
        <v>2.44769801539675</v>
      </c>
      <c r="C210" s="12" t="n">
        <f aca="false">B210*30.4</f>
        <v>74.4100196680613</v>
      </c>
      <c r="D210" s="13" t="n">
        <f aca="false">IF(Parametros!$B$18*C210-Parametros!$B$14&gt;0,1,0)</f>
        <v>0</v>
      </c>
      <c r="E210" s="12" t="n">
        <f aca="false">(C210*Parametros!$B$18-Parametros!$B$14)*D210/(1+Parametros!$B$16)^(A210/12)</f>
        <v>-0</v>
      </c>
      <c r="F210" s="11" t="n">
        <f aca="false">Parametros!$B$6/(1+Parametros!$D$6*Parametros!$C$6*A210/12)^(1/Parametros!$D$6)</f>
        <v>20.1762048353107</v>
      </c>
      <c r="G210" s="12" t="n">
        <f aca="false">F210*30.4</f>
        <v>613.356626993444</v>
      </c>
      <c r="H210" s="13" t="n">
        <f aca="false">IF(Parametros!$B$18*G210-Parametros!$B$14&gt;0,1,0)</f>
        <v>1</v>
      </c>
      <c r="I210" s="12" t="n">
        <f aca="false">(G210*Parametros!$B$18-Parametros!$B$14)*H210/(1+Parametros!$B$16)^(A210/12)</f>
        <v>4004.31947538421</v>
      </c>
      <c r="J210" s="11" t="n">
        <f aca="false">Parametros!$B$7/(1+Parametros!$D$7*Parametros!$C$7*A210/12)^(1/Parametros!$D$7)</f>
        <v>56.3576248778341</v>
      </c>
      <c r="K210" s="12" t="n">
        <f aca="false">J210*30.4</f>
        <v>1713.27179628616</v>
      </c>
      <c r="L210" s="13" t="n">
        <f aca="false">IF(Parametros!$B$18*K210-Parametros!$B$14&gt;0,1,0)</f>
        <v>1</v>
      </c>
      <c r="M210" s="12" t="n">
        <f aca="false">(K210*Parametros!$B$18-Parametros!$B$14)*L210/(1+Parametros!$B$16)^(A210/12)</f>
        <v>14327.9345064348</v>
      </c>
    </row>
    <row r="211" customFormat="false" ht="15" hidden="false" customHeight="false" outlineLevel="0" collapsed="false">
      <c r="A211" s="0" t="n">
        <v>207</v>
      </c>
      <c r="B211" s="11" t="n">
        <f aca="false">Parametros!$B$5/(1+Parametros!$D$5*Parametros!$C$5*A211/12)^(1/Parametros!$D$5)</f>
        <v>2.42212986695036</v>
      </c>
      <c r="C211" s="12" t="n">
        <f aca="false">B211*30.4</f>
        <v>73.6327479552909</v>
      </c>
      <c r="D211" s="13" t="n">
        <f aca="false">IF(Parametros!$B$18*C211-Parametros!$B$14&gt;0,1,0)</f>
        <v>0</v>
      </c>
      <c r="E211" s="12" t="n">
        <f aca="false">(C211*Parametros!$B$18-Parametros!$B$14)*D211/(1+Parametros!$B$16)^(A211/12)</f>
        <v>-0</v>
      </c>
      <c r="F211" s="11" t="n">
        <f aca="false">Parametros!$B$6/(1+Parametros!$D$6*Parametros!$C$6*A211/12)^(1/Parametros!$D$6)</f>
        <v>20.0645491283562</v>
      </c>
      <c r="G211" s="12" t="n">
        <f aca="false">F211*30.4</f>
        <v>609.962293502029</v>
      </c>
      <c r="H211" s="13" t="n">
        <f aca="false">IF(Parametros!$B$18*G211-Parametros!$B$14&gt;0,1,0)</f>
        <v>1</v>
      </c>
      <c r="I211" s="12" t="n">
        <f aca="false">(G211*Parametros!$B$18-Parametros!$B$14)*H211/(1+Parametros!$B$16)^(A211/12)</f>
        <v>3941.0344813199</v>
      </c>
      <c r="J211" s="11" t="n">
        <f aca="false">Parametros!$B$7/(1+Parametros!$D$7*Parametros!$C$7*A211/12)^(1/Parametros!$D$7)</f>
        <v>56.146358837399</v>
      </c>
      <c r="K211" s="12" t="n">
        <f aca="false">J211*30.4</f>
        <v>1706.84930865693</v>
      </c>
      <c r="L211" s="13" t="n">
        <f aca="false">IF(Parametros!$B$18*K211-Parametros!$B$14&gt;0,1,0)</f>
        <v>1</v>
      </c>
      <c r="M211" s="12" t="n">
        <f aca="false">(K211*Parametros!$B$18-Parametros!$B$14)*L211/(1+Parametros!$B$16)^(A211/12)</f>
        <v>14154.7819208826</v>
      </c>
    </row>
    <row r="212" customFormat="false" ht="15" hidden="false" customHeight="false" outlineLevel="0" collapsed="false">
      <c r="A212" s="0" t="n">
        <v>208</v>
      </c>
      <c r="B212" s="11" t="n">
        <f aca="false">Parametros!$B$5/(1+Parametros!$D$5*Parametros!$C$5*A212/12)^(1/Parametros!$D$5)</f>
        <v>2.39693407332277</v>
      </c>
      <c r="C212" s="12" t="n">
        <f aca="false">B212*30.4</f>
        <v>72.8667958290123</v>
      </c>
      <c r="D212" s="13" t="n">
        <f aca="false">IF(Parametros!$B$18*C212-Parametros!$B$14&gt;0,1,0)</f>
        <v>0</v>
      </c>
      <c r="E212" s="12" t="n">
        <f aca="false">(C212*Parametros!$B$18-Parametros!$B$14)*D212/(1+Parametros!$B$16)^(A212/12)</f>
        <v>-0</v>
      </c>
      <c r="F212" s="11" t="n">
        <f aca="false">Parametros!$B$6/(1+Parametros!$D$6*Parametros!$C$6*A212/12)^(1/Parametros!$D$6)</f>
        <v>19.9540007492631</v>
      </c>
      <c r="G212" s="12" t="n">
        <f aca="false">F212*30.4</f>
        <v>606.601622777598</v>
      </c>
      <c r="H212" s="13" t="n">
        <f aca="false">IF(Parametros!$B$18*G212-Parametros!$B$14&gt;0,1,0)</f>
        <v>1</v>
      </c>
      <c r="I212" s="12" t="n">
        <f aca="false">(G212*Parametros!$B$18-Parametros!$B$14)*H212/(1+Parametros!$B$16)^(A212/12)</f>
        <v>3878.81115367765</v>
      </c>
      <c r="J212" s="11" t="n">
        <f aca="false">Parametros!$B$7/(1+Parametros!$D$7*Parametros!$C$7*A212/12)^(1/Parametros!$D$7)</f>
        <v>55.9368273207315</v>
      </c>
      <c r="K212" s="12" t="n">
        <f aca="false">J212*30.4</f>
        <v>1700.47955055024</v>
      </c>
      <c r="L212" s="13" t="n">
        <f aca="false">IF(Parametros!$B$18*K212-Parametros!$B$14&gt;0,1,0)</f>
        <v>1</v>
      </c>
      <c r="M212" s="12" t="n">
        <f aca="false">(K212*Parametros!$B$18-Parametros!$B$14)*L212/(1+Parametros!$B$16)^(A212/12)</f>
        <v>13983.95937468</v>
      </c>
    </row>
    <row r="213" customFormat="false" ht="15" hidden="false" customHeight="false" outlineLevel="0" collapsed="false">
      <c r="A213" s="0" t="n">
        <v>209</v>
      </c>
      <c r="B213" s="11" t="n">
        <f aca="false">Parametros!$B$5/(1+Parametros!$D$5*Parametros!$C$5*A213/12)^(1/Parametros!$D$5)</f>
        <v>2.37210369139037</v>
      </c>
      <c r="C213" s="12" t="n">
        <f aca="false">B213*30.4</f>
        <v>72.1119522182671</v>
      </c>
      <c r="D213" s="13" t="n">
        <f aca="false">IF(Parametros!$B$18*C213-Parametros!$B$14&gt;0,1,0)</f>
        <v>0</v>
      </c>
      <c r="E213" s="12" t="n">
        <f aca="false">(C213*Parametros!$B$18-Parametros!$B$14)*D213/(1+Parametros!$B$16)^(A213/12)</f>
        <v>-0</v>
      </c>
      <c r="F213" s="11" t="n">
        <f aca="false">Parametros!$B$6/(1+Parametros!$D$6*Parametros!$C$6*A213/12)^(1/Parametros!$D$6)</f>
        <v>19.8445439051212</v>
      </c>
      <c r="G213" s="12" t="n">
        <f aca="false">F213*30.4</f>
        <v>603.274134715685</v>
      </c>
      <c r="H213" s="13" t="n">
        <f aca="false">IF(Parametros!$B$18*G213-Parametros!$B$14&gt;0,1,0)</f>
        <v>1</v>
      </c>
      <c r="I213" s="12" t="n">
        <f aca="false">(G213*Parametros!$B$18-Parametros!$B$14)*H213/(1+Parametros!$B$16)^(A213/12)</f>
        <v>3817.62979512449</v>
      </c>
      <c r="J213" s="11" t="n">
        <f aca="false">Parametros!$B$7/(1+Parametros!$D$7*Parametros!$C$7*A213/12)^(1/Parametros!$D$7)</f>
        <v>55.729008417617</v>
      </c>
      <c r="K213" s="12" t="n">
        <f aca="false">J213*30.4</f>
        <v>1694.16185589556</v>
      </c>
      <c r="L213" s="13" t="n">
        <f aca="false">IF(Parametros!$B$18*K213-Parametros!$B$14&gt;0,1,0)</f>
        <v>1</v>
      </c>
      <c r="M213" s="12" t="n">
        <f aca="false">(K213*Parametros!$B$18-Parametros!$B$14)*L213/(1+Parametros!$B$16)^(A213/12)</f>
        <v>13815.4308804195</v>
      </c>
    </row>
    <row r="214" customFormat="false" ht="15" hidden="false" customHeight="false" outlineLevel="0" collapsed="false">
      <c r="A214" s="0" t="n">
        <v>210</v>
      </c>
      <c r="B214" s="11" t="n">
        <f aca="false">Parametros!$B$5/(1+Parametros!$D$5*Parametros!$C$5*A214/12)^(1/Parametros!$D$5)</f>
        <v>2.34763193561136</v>
      </c>
      <c r="C214" s="12" t="n">
        <f aca="false">B214*30.4</f>
        <v>71.3680108425852</v>
      </c>
      <c r="D214" s="13" t="n">
        <f aca="false">IF(Parametros!$B$18*C214-Parametros!$B$14&gt;0,1,0)</f>
        <v>0</v>
      </c>
      <c r="E214" s="12" t="n">
        <f aca="false">(C214*Parametros!$B$18-Parametros!$B$14)*D214/(1+Parametros!$B$16)^(A214/12)</f>
        <v>-0</v>
      </c>
      <c r="F214" s="11" t="n">
        <f aca="false">Parametros!$B$6/(1+Parametros!$D$6*Parametros!$C$6*A214/12)^(1/Parametros!$D$6)</f>
        <v>19.7361630962799</v>
      </c>
      <c r="G214" s="12" t="n">
        <f aca="false">F214*30.4</f>
        <v>599.979358126909</v>
      </c>
      <c r="H214" s="13" t="n">
        <f aca="false">IF(Parametros!$B$18*G214-Parametros!$B$14&gt;0,1,0)</f>
        <v>1</v>
      </c>
      <c r="I214" s="12" t="n">
        <f aca="false">(G214*Parametros!$B$18-Parametros!$B$14)*H214/(1+Parametros!$B$16)^(A214/12)</f>
        <v>3757.47112367627</v>
      </c>
      <c r="J214" s="11" t="n">
        <f aca="false">Parametros!$B$7/(1+Parametros!$D$7*Parametros!$C$7*A214/12)^(1/Parametros!$D$7)</f>
        <v>55.5228805906273</v>
      </c>
      <c r="K214" s="12" t="n">
        <f aca="false">J214*30.4</f>
        <v>1687.89556995507</v>
      </c>
      <c r="L214" s="13" t="n">
        <f aca="false">IF(Parametros!$B$18*K214-Parametros!$B$14&gt;0,1,0)</f>
        <v>1</v>
      </c>
      <c r="M214" s="12" t="n">
        <f aca="false">(K214*Parametros!$B$18-Parametros!$B$14)*L214/(1+Parametros!$B$16)^(A214/12)</f>
        <v>13649.1611043772</v>
      </c>
    </row>
    <row r="215" customFormat="false" ht="15" hidden="false" customHeight="false" outlineLevel="0" collapsed="false">
      <c r="A215" s="0" t="n">
        <v>211</v>
      </c>
      <c r="B215" s="11" t="n">
        <f aca="false">Parametros!$B$5/(1+Parametros!$D$5*Parametros!$C$5*A215/12)^(1/Parametros!$D$5)</f>
        <v>2.32351217381643</v>
      </c>
      <c r="C215" s="12" t="n">
        <f aca="false">B215*30.4</f>
        <v>70.6347700840195</v>
      </c>
      <c r="D215" s="13" t="n">
        <f aca="false">IF(Parametros!$B$18*C215-Parametros!$B$14&gt;0,1,0)</f>
        <v>0</v>
      </c>
      <c r="E215" s="12" t="n">
        <f aca="false">(C215*Parametros!$B$18-Parametros!$B$14)*D215/(1+Parametros!$B$16)^(A215/12)</f>
        <v>-0</v>
      </c>
      <c r="F215" s="11" t="n">
        <f aca="false">Parametros!$B$6/(1+Parametros!$D$6*Parametros!$C$6*A215/12)^(1/Parametros!$D$6)</f>
        <v>19.6288431096502</v>
      </c>
      <c r="G215" s="12" t="n">
        <f aca="false">F215*30.4</f>
        <v>596.716830533367</v>
      </c>
      <c r="H215" s="13" t="n">
        <f aca="false">IF(Parametros!$B$18*G215-Parametros!$B$14&gt;0,1,0)</f>
        <v>1</v>
      </c>
      <c r="I215" s="12" t="n">
        <f aca="false">(G215*Parametros!$B$18-Parametros!$B$14)*H215/(1+Parametros!$B$16)^(A215/12)</f>
        <v>3698.31626261822</v>
      </c>
      <c r="J215" s="11" t="n">
        <f aca="false">Parametros!$B$7/(1+Parametros!$D$7*Parametros!$C$7*A215/12)^(1/Parametros!$D$7)</f>
        <v>55.3184226671586</v>
      </c>
      <c r="K215" s="12" t="n">
        <f aca="false">J215*30.4</f>
        <v>1681.68004908162</v>
      </c>
      <c r="L215" s="13" t="n">
        <f aca="false">IF(Parametros!$B$18*K215-Parametros!$B$14&gt;0,1,0)</f>
        <v>1</v>
      </c>
      <c r="M215" s="12" t="n">
        <f aca="false">(K215*Parametros!$B$18-Parametros!$B$14)*L215/(1+Parametros!$B$16)^(A215/12)</f>
        <v>13485.1153524053</v>
      </c>
    </row>
    <row r="216" customFormat="false" ht="15" hidden="false" customHeight="false" outlineLevel="0" collapsed="false">
      <c r="A216" s="0" t="n">
        <v>212</v>
      </c>
      <c r="B216" s="11" t="n">
        <f aca="false">Parametros!$B$5/(1+Parametros!$D$5*Parametros!$C$5*A216/12)^(1/Parametros!$D$5)</f>
        <v>2.29973792312858</v>
      </c>
      <c r="C216" s="12" t="n">
        <f aca="false">B216*30.4</f>
        <v>69.912032863109</v>
      </c>
      <c r="D216" s="13" t="n">
        <f aca="false">IF(Parametros!$B$18*C216-Parametros!$B$14&gt;0,1,0)</f>
        <v>0</v>
      </c>
      <c r="E216" s="12" t="n">
        <f aca="false">(C216*Parametros!$B$18-Parametros!$B$14)*D216/(1+Parametros!$B$16)^(A216/12)</f>
        <v>-0</v>
      </c>
      <c r="F216" s="11" t="n">
        <f aca="false">Parametros!$B$6/(1+Parametros!$D$6*Parametros!$C$6*A216/12)^(1/Parametros!$D$6)</f>
        <v>19.5225690121887</v>
      </c>
      <c r="G216" s="12" t="n">
        <f aca="false">F216*30.4</f>
        <v>593.486097970535</v>
      </c>
      <c r="H216" s="13" t="n">
        <f aca="false">IF(Parametros!$B$18*G216-Parametros!$B$14&gt;0,1,0)</f>
        <v>1</v>
      </c>
      <c r="I216" s="12" t="n">
        <f aca="false">(G216*Parametros!$B$18-Parametros!$B$14)*H216/(1+Parametros!$B$16)^(A216/12)</f>
        <v>3640.14673070677</v>
      </c>
      <c r="J216" s="11" t="n">
        <f aca="false">Parametros!$B$7/(1+Parametros!$D$7*Parametros!$C$7*A216/12)^(1/Parametros!$D$7)</f>
        <v>55.1156138316741</v>
      </c>
      <c r="K216" s="12" t="n">
        <f aca="false">J216*30.4</f>
        <v>1675.51466048289</v>
      </c>
      <c r="L216" s="13" t="n">
        <f aca="false">IF(Parametros!$B$18*K216-Parametros!$B$14&gt;0,1,0)</f>
        <v>1</v>
      </c>
      <c r="M216" s="12" t="n">
        <f aca="false">(K216*Parametros!$B$18-Parametros!$B$14)*L216/(1+Parametros!$B$16)^(A216/12)</f>
        <v>13323.2595561858</v>
      </c>
    </row>
    <row r="217" customFormat="false" ht="15" hidden="false" customHeight="false" outlineLevel="0" collapsed="false">
      <c r="A217" s="0" t="n">
        <v>213</v>
      </c>
      <c r="B217" s="11" t="n">
        <f aca="false">Parametros!$B$5/(1+Parametros!$D$5*Parametros!$C$5*A217/12)^(1/Parametros!$D$5)</f>
        <v>2.27630284600765</v>
      </c>
      <c r="C217" s="12" t="n">
        <f aca="false">B217*30.4</f>
        <v>69.1996065186324</v>
      </c>
      <c r="D217" s="13" t="n">
        <f aca="false">IF(Parametros!$B$18*C217-Parametros!$B$14&gt;0,1,0)</f>
        <v>0</v>
      </c>
      <c r="E217" s="12" t="n">
        <f aca="false">(C217*Parametros!$B$18-Parametros!$B$14)*D217/(1+Parametros!$B$16)^(A217/12)</f>
        <v>-0</v>
      </c>
      <c r="F217" s="11" t="n">
        <f aca="false">Parametros!$B$6/(1+Parametros!$D$6*Parametros!$C$6*A217/12)^(1/Parametros!$D$6)</f>
        <v>19.4173261445565</v>
      </c>
      <c r="G217" s="12" t="n">
        <f aca="false">F217*30.4</f>
        <v>590.286714794518</v>
      </c>
      <c r="H217" s="13" t="n">
        <f aca="false">IF(Parametros!$B$18*G217-Parametros!$B$14&gt;0,1,0)</f>
        <v>1</v>
      </c>
      <c r="I217" s="12" t="n">
        <f aca="false">(G217*Parametros!$B$18-Parametros!$B$14)*H217/(1+Parametros!$B$16)^(A217/12)</f>
        <v>3582.94443264386</v>
      </c>
      <c r="J217" s="11" t="n">
        <f aca="false">Parametros!$B$7/(1+Parametros!$D$7*Parametros!$C$7*A217/12)^(1/Parametros!$D$7)</f>
        <v>54.9144336181443</v>
      </c>
      <c r="K217" s="12" t="n">
        <f aca="false">J217*30.4</f>
        <v>1669.39878199159</v>
      </c>
      <c r="L217" s="13" t="n">
        <f aca="false">IF(Parametros!$B$18*K217-Parametros!$B$14&gt;0,1,0)</f>
        <v>1</v>
      </c>
      <c r="M217" s="12" t="n">
        <f aca="false">(K217*Parametros!$B$18-Parametros!$B$14)*L217/(1+Parametros!$B$16)^(A217/12)</f>
        <v>13163.5602598328</v>
      </c>
    </row>
    <row r="218" customFormat="false" ht="15" hidden="false" customHeight="false" outlineLevel="0" collapsed="false">
      <c r="A218" s="0" t="n">
        <v>214</v>
      </c>
      <c r="B218" s="11" t="n">
        <f aca="false">Parametros!$B$5/(1+Parametros!$D$5*Parametros!$C$5*A218/12)^(1/Parametros!$D$5)</f>
        <v>2.25320074641529</v>
      </c>
      <c r="C218" s="12" t="n">
        <f aca="false">B218*30.4</f>
        <v>68.4973026910249</v>
      </c>
      <c r="D218" s="13" t="n">
        <f aca="false">IF(Parametros!$B$18*C218-Parametros!$B$14&gt;0,1,0)</f>
        <v>0</v>
      </c>
      <c r="E218" s="12" t="n">
        <f aca="false">(C218*Parametros!$B$18-Parametros!$B$14)*D218/(1+Parametros!$B$16)^(A218/12)</f>
        <v>-0</v>
      </c>
      <c r="F218" s="11" t="n">
        <f aca="false">Parametros!$B$6/(1+Parametros!$D$6*Parametros!$C$6*A218/12)^(1/Parametros!$D$6)</f>
        <v>19.3131001149494</v>
      </c>
      <c r="G218" s="12" t="n">
        <f aca="false">F218*30.4</f>
        <v>587.118243494463</v>
      </c>
      <c r="H218" s="13" t="n">
        <f aca="false">IF(Parametros!$B$18*G218-Parametros!$B$14&gt;0,1,0)</f>
        <v>1</v>
      </c>
      <c r="I218" s="12" t="n">
        <f aca="false">(G218*Parametros!$B$18-Parametros!$B$14)*H218/(1+Parametros!$B$16)^(A218/12)</f>
        <v>3526.69164981475</v>
      </c>
      <c r="J218" s="11" t="n">
        <f aca="false">Parametros!$B$7/(1+Parametros!$D$7*Parametros!$C$7*A218/12)^(1/Parametros!$D$7)</f>
        <v>54.7148619026801</v>
      </c>
      <c r="K218" s="12" t="n">
        <f aca="false">J218*30.4</f>
        <v>1663.33180184148</v>
      </c>
      <c r="L218" s="13" t="n">
        <f aca="false">IF(Parametros!$B$18*K218-Parametros!$B$14&gt;0,1,0)</f>
        <v>1</v>
      </c>
      <c r="M218" s="12" t="n">
        <f aca="false">(K218*Parametros!$B$18-Parametros!$B$14)*L218/(1+Parametros!$B$16)^(A218/12)</f>
        <v>13005.9846068327</v>
      </c>
    </row>
    <row r="219" customFormat="false" ht="15" hidden="false" customHeight="false" outlineLevel="0" collapsed="false">
      <c r="A219" s="0" t="n">
        <v>215</v>
      </c>
      <c r="B219" s="11" t="n">
        <f aca="false">Parametros!$B$5/(1+Parametros!$D$5*Parametros!$C$5*A219/12)^(1/Parametros!$D$5)</f>
        <v>2.23042556609632</v>
      </c>
      <c r="C219" s="12" t="n">
        <f aca="false">B219*30.4</f>
        <v>67.8049372093281</v>
      </c>
      <c r="D219" s="13" t="n">
        <f aca="false">IF(Parametros!$B$18*C219-Parametros!$B$14&gt;0,1,0)</f>
        <v>0</v>
      </c>
      <c r="E219" s="12" t="n">
        <f aca="false">(C219*Parametros!$B$18-Parametros!$B$14)*D219/(1+Parametros!$B$16)^(A219/12)</f>
        <v>-0</v>
      </c>
      <c r="F219" s="11" t="n">
        <f aca="false">Parametros!$B$6/(1+Parametros!$D$6*Parametros!$C$6*A219/12)^(1/Parametros!$D$6)</f>
        <v>19.2098767930919</v>
      </c>
      <c r="G219" s="12" t="n">
        <f aca="false">F219*30.4</f>
        <v>583.980254509993</v>
      </c>
      <c r="H219" s="13" t="n">
        <f aca="false">IF(Parametros!$B$18*G219-Parametros!$B$14&gt;0,1,0)</f>
        <v>1</v>
      </c>
      <c r="I219" s="12" t="n">
        <f aca="false">(G219*Parametros!$B$18-Parametros!$B$14)*H219/(1+Parametros!$B$16)^(A219/12)</f>
        <v>3471.37103128144</v>
      </c>
      <c r="J219" s="11" t="n">
        <f aca="false">Parametros!$B$7/(1+Parametros!$D$7*Parametros!$C$7*A219/12)^(1/Parametros!$D$7)</f>
        <v>54.5168788963523</v>
      </c>
      <c r="K219" s="12" t="n">
        <f aca="false">J219*30.4</f>
        <v>1657.31311844911</v>
      </c>
      <c r="L219" s="13" t="n">
        <f aca="false">IF(Parametros!$B$18*K219-Parametros!$B$14&gt;0,1,0)</f>
        <v>1</v>
      </c>
      <c r="M219" s="12" t="n">
        <f aca="false">(K219*Parametros!$B$18-Parametros!$B$14)*L219/(1+Parametros!$B$16)^(A219/12)</f>
        <v>12850.5003273142</v>
      </c>
    </row>
    <row r="220" customFormat="false" ht="15" hidden="false" customHeight="false" outlineLevel="0" collapsed="false">
      <c r="A220" s="0" t="n">
        <v>216</v>
      </c>
      <c r="B220" s="11" t="n">
        <f aca="false">Parametros!$B$5/(1+Parametros!$D$5*Parametros!$C$5*A220/12)^(1/Parametros!$D$5)</f>
        <v>2.20797138097221</v>
      </c>
      <c r="C220" s="12" t="n">
        <f aca="false">B220*30.4</f>
        <v>67.1223299815553</v>
      </c>
      <c r="D220" s="13" t="n">
        <f aca="false">IF(Parametros!$B$18*C220-Parametros!$B$14&gt;0,1,0)</f>
        <v>0</v>
      </c>
      <c r="E220" s="12" t="n">
        <f aca="false">(C220*Parametros!$B$18-Parametros!$B$14)*D220/(1+Parametros!$B$16)^(A220/12)</f>
        <v>-0</v>
      </c>
      <c r="F220" s="11" t="n">
        <f aca="false">Parametros!$B$6/(1+Parametros!$D$6*Parametros!$C$6*A220/12)^(1/Parametros!$D$6)</f>
        <v>19.1076423043913</v>
      </c>
      <c r="G220" s="12" t="n">
        <f aca="false">F220*30.4</f>
        <v>580.872326053497</v>
      </c>
      <c r="H220" s="13" t="n">
        <f aca="false">IF(Parametros!$B$18*G220-Parametros!$B$14&gt;0,1,0)</f>
        <v>1</v>
      </c>
      <c r="I220" s="12" t="n">
        <f aca="false">(G220*Parametros!$B$18-Parametros!$B$14)*H220/(1+Parametros!$B$16)^(A220/12)</f>
        <v>3416.96558502336</v>
      </c>
      <c r="J220" s="11" t="n">
        <f aca="false">Parametros!$B$7/(1+Parametros!$D$7*Parametros!$C$7*A220/12)^(1/Parametros!$D$7)</f>
        <v>54.3204651381919</v>
      </c>
      <c r="K220" s="12" t="n">
        <f aca="false">J220*30.4</f>
        <v>1651.34214020103</v>
      </c>
      <c r="L220" s="13" t="n">
        <f aca="false">IF(Parametros!$B$18*K220-Parametros!$B$14&gt;0,1,0)</f>
        <v>1</v>
      </c>
      <c r="M220" s="12" t="n">
        <f aca="false">(K220*Parametros!$B$18-Parametros!$B$14)*L220/(1+Parametros!$B$16)^(A220/12)</f>
        <v>12697.0757256367</v>
      </c>
    </row>
    <row r="221" customFormat="false" ht="15" hidden="false" customHeight="false" outlineLevel="0" collapsed="false">
      <c r="A221" s="0" t="n">
        <v>217</v>
      </c>
      <c r="B221" s="11" t="n">
        <f aca="false">Parametros!$B$5/(1+Parametros!$D$5*Parametros!$C$5*A221/12)^(1/Parametros!$D$5)</f>
        <v>2.18583239764325</v>
      </c>
      <c r="C221" s="12" t="n">
        <f aca="false">B221*30.4</f>
        <v>66.4493048883549</v>
      </c>
      <c r="D221" s="13" t="n">
        <f aca="false">IF(Parametros!$B$18*C221-Parametros!$B$14&gt;0,1,0)</f>
        <v>0</v>
      </c>
      <c r="E221" s="12" t="n">
        <f aca="false">(C221*Parametros!$B$18-Parametros!$B$14)*D221/(1+Parametros!$B$16)^(A221/12)</f>
        <v>-0</v>
      </c>
      <c r="F221" s="11" t="n">
        <f aca="false">Parametros!$B$6/(1+Parametros!$D$6*Parametros!$C$6*A221/12)^(1/Parametros!$D$6)</f>
        <v>19.0063830242474</v>
      </c>
      <c r="G221" s="12" t="n">
        <f aca="false">F221*30.4</f>
        <v>577.794043937122</v>
      </c>
      <c r="H221" s="13" t="n">
        <f aca="false">IF(Parametros!$B$18*G221-Parametros!$B$14&gt;0,1,0)</f>
        <v>1</v>
      </c>
      <c r="I221" s="12" t="n">
        <f aca="false">(G221*Parametros!$B$18-Parametros!$B$14)*H221/(1+Parametros!$B$16)^(A221/12)</f>
        <v>3363.45866941771</v>
      </c>
      <c r="J221" s="11" t="n">
        <f aca="false">Parametros!$B$7/(1+Parametros!$D$7*Parametros!$C$7*A221/12)^(1/Parametros!$D$7)</f>
        <v>54.1256014883667</v>
      </c>
      <c r="K221" s="12" t="n">
        <f aca="false">J221*30.4</f>
        <v>1645.41828524635</v>
      </c>
      <c r="L221" s="13" t="n">
        <f aca="false">IF(Parametros!$B$18*K221-Parametros!$B$14&gt;0,1,0)</f>
        <v>1</v>
      </c>
      <c r="M221" s="12" t="n">
        <f aca="false">(K221*Parametros!$B$18-Parametros!$B$14)*L221/(1+Parametros!$B$16)^(A221/12)</f>
        <v>12545.6796682891</v>
      </c>
    </row>
    <row r="222" customFormat="false" ht="15" hidden="false" customHeight="false" outlineLevel="0" collapsed="false">
      <c r="A222" s="0" t="n">
        <v>218</v>
      </c>
      <c r="B222" s="11" t="n">
        <f aca="false">Parametros!$B$5/(1+Parametros!$D$5*Parametros!$C$5*A222/12)^(1/Parametros!$D$5)</f>
        <v>2.16400294999534</v>
      </c>
      <c r="C222" s="12" t="n">
        <f aca="false">B222*30.4</f>
        <v>65.7856896798585</v>
      </c>
      <c r="D222" s="13" t="n">
        <f aca="false">IF(Parametros!$B$18*C222-Parametros!$B$14&gt;0,1,0)</f>
        <v>0</v>
      </c>
      <c r="E222" s="12" t="n">
        <f aca="false">(C222*Parametros!$B$18-Parametros!$B$14)*D222/(1+Parametros!$B$16)^(A222/12)</f>
        <v>-0</v>
      </c>
      <c r="F222" s="11" t="n">
        <f aca="false">Parametros!$B$6/(1+Parametros!$D$6*Parametros!$C$6*A222/12)^(1/Parametros!$D$6)</f>
        <v>18.9060855725112</v>
      </c>
      <c r="G222" s="12" t="n">
        <f aca="false">F222*30.4</f>
        <v>574.745001404342</v>
      </c>
      <c r="H222" s="13" t="n">
        <f aca="false">IF(Parametros!$B$18*G222-Parametros!$B$14&gt;0,1,0)</f>
        <v>1</v>
      </c>
      <c r="I222" s="12" t="n">
        <f aca="false">(G222*Parametros!$B$18-Parametros!$B$14)*H222/(1+Parametros!$B$16)^(A222/12)</f>
        <v>3310.83398495198</v>
      </c>
      <c r="J222" s="11" t="n">
        <f aca="false">Parametros!$B$7/(1+Parametros!$D$7*Parametros!$C$7*A222/12)^(1/Parametros!$D$7)</f>
        <v>53.9322691215282</v>
      </c>
      <c r="K222" s="12" t="n">
        <f aca="false">J222*30.4</f>
        <v>1639.54098129446</v>
      </c>
      <c r="L222" s="13" t="n">
        <f aca="false">IF(Parametros!$B$18*K222-Parametros!$B$14&gt;0,1,0)</f>
        <v>1</v>
      </c>
      <c r="M222" s="12" t="n">
        <f aca="false">(K222*Parametros!$B$18-Parametros!$B$14)*L222/(1+Parametros!$B$16)^(A222/12)</f>
        <v>12396.2815720885</v>
      </c>
    </row>
    <row r="223" customFormat="false" ht="15" hidden="false" customHeight="false" outlineLevel="0" collapsed="false">
      <c r="A223" s="0" t="n">
        <v>219</v>
      </c>
      <c r="B223" s="11" t="n">
        <f aca="false">Parametros!$B$5/(1+Parametros!$D$5*Parametros!$C$5*A223/12)^(1/Parametros!$D$5)</f>
        <v>2.14247749590816</v>
      </c>
      <c r="C223" s="12" t="n">
        <f aca="false">B223*30.4</f>
        <v>65.1313158756082</v>
      </c>
      <c r="D223" s="13" t="n">
        <f aca="false">IF(Parametros!$B$18*C223-Parametros!$B$14&gt;0,1,0)</f>
        <v>0</v>
      </c>
      <c r="E223" s="12" t="n">
        <f aca="false">(C223*Parametros!$B$18-Parametros!$B$14)*D223/(1+Parametros!$B$16)^(A223/12)</f>
        <v>-0</v>
      </c>
      <c r="F223" s="11" t="n">
        <f aca="false">Parametros!$B$6/(1+Parametros!$D$6*Parametros!$C$6*A223/12)^(1/Parametros!$D$6)</f>
        <v>18.8067368080902</v>
      </c>
      <c r="G223" s="12" t="n">
        <f aca="false">F223*30.4</f>
        <v>571.724798965943</v>
      </c>
      <c r="H223" s="13" t="n">
        <f aca="false">IF(Parametros!$B$18*G223-Parametros!$B$14&gt;0,1,0)</f>
        <v>1</v>
      </c>
      <c r="I223" s="12" t="n">
        <f aca="false">(G223*Parametros!$B$18-Parametros!$B$14)*H223/(1+Parametros!$B$16)^(A223/12)</f>
        <v>3259.0755661615</v>
      </c>
      <c r="J223" s="11" t="n">
        <f aca="false">Parametros!$B$7/(1+Parametros!$D$7*Parametros!$C$7*A223/12)^(1/Parametros!$D$7)</f>
        <v>53.7404495203243</v>
      </c>
      <c r="K223" s="12" t="n">
        <f aca="false">J223*30.4</f>
        <v>1633.70966541786</v>
      </c>
      <c r="L223" s="13" t="n">
        <f aca="false">IF(Parametros!$B$18*K223-Parametros!$B$14&gt;0,1,0)</f>
        <v>1</v>
      </c>
      <c r="M223" s="12" t="n">
        <f aca="false">(K223*Parametros!$B$18-Parametros!$B$14)*L223/(1+Parametros!$B$16)^(A223/12)</f>
        <v>12248.8513926717</v>
      </c>
    </row>
    <row r="224" customFormat="false" ht="15" hidden="false" customHeight="false" outlineLevel="0" collapsed="false">
      <c r="A224" s="0" t="n">
        <v>220</v>
      </c>
      <c r="B224" s="11" t="n">
        <f aca="false">Parametros!$B$5/(1+Parametros!$D$5*Parametros!$C$5*A224/12)^(1/Parametros!$D$5)</f>
        <v>2.12125061406112</v>
      </c>
      <c r="C224" s="12" t="n">
        <f aca="false">B224*30.4</f>
        <v>64.486018667458</v>
      </c>
      <c r="D224" s="13" t="n">
        <f aca="false">IF(Parametros!$B$18*C224-Parametros!$B$14&gt;0,1,0)</f>
        <v>0</v>
      </c>
      <c r="E224" s="12" t="n">
        <f aca="false">(C224*Parametros!$B$18-Parametros!$B$14)*D224/(1+Parametros!$B$16)^(A224/12)</f>
        <v>-0</v>
      </c>
      <c r="F224" s="11" t="n">
        <f aca="false">Parametros!$B$6/(1+Parametros!$D$6*Parametros!$C$6*A224/12)^(1/Parametros!$D$6)</f>
        <v>18.7083238236941</v>
      </c>
      <c r="G224" s="12" t="n">
        <f aca="false">F224*30.4</f>
        <v>568.7330442403</v>
      </c>
      <c r="H224" s="13" t="n">
        <f aca="false">IF(Parametros!$B$18*G224-Parametros!$B$14&gt;0,1,0)</f>
        <v>1</v>
      </c>
      <c r="I224" s="12" t="n">
        <f aca="false">(G224*Parametros!$B$18-Parametros!$B$14)*H224/(1+Parametros!$B$16)^(A224/12)</f>
        <v>3208.16777378489</v>
      </c>
      <c r="J224" s="11" t="n">
        <f aca="false">Parametros!$B$7/(1+Parametros!$D$7*Parametros!$C$7*A224/12)^(1/Parametros!$D$7)</f>
        <v>53.5501244690724</v>
      </c>
      <c r="K224" s="12" t="n">
        <f aca="false">J224*30.4</f>
        <v>1627.9237838598</v>
      </c>
      <c r="L224" s="13" t="n">
        <f aca="false">IF(Parametros!$B$18*K224-Parametros!$B$14&gt;0,1,0)</f>
        <v>1</v>
      </c>
      <c r="M224" s="12" t="n">
        <f aca="false">(K224*Parametros!$B$18-Parametros!$B$14)*L224/(1+Parametros!$B$16)^(A224/12)</f>
        <v>12103.3596132704</v>
      </c>
    </row>
    <row r="225" customFormat="false" ht="15" hidden="false" customHeight="false" outlineLevel="0" collapsed="false">
      <c r="A225" s="0" t="n">
        <v>221</v>
      </c>
      <c r="B225" s="11" t="n">
        <f aca="false">Parametros!$B$5/(1+Parametros!$D$5*Parametros!$C$5*A225/12)^(1/Parametros!$D$5)</f>
        <v>2.10031700083386</v>
      </c>
      <c r="C225" s="12" t="n">
        <f aca="false">B225*30.4</f>
        <v>63.8496368253495</v>
      </c>
      <c r="D225" s="13" t="n">
        <f aca="false">IF(Parametros!$B$18*C225-Parametros!$B$14&gt;0,1,0)</f>
        <v>0</v>
      </c>
      <c r="E225" s="12" t="n">
        <f aca="false">(C225*Parametros!$B$18-Parametros!$B$14)*D225/(1+Parametros!$B$16)^(A225/12)</f>
        <v>-0</v>
      </c>
      <c r="F225" s="11" t="n">
        <f aca="false">Parametros!$B$6/(1+Parametros!$D$6*Parametros!$C$6*A225/12)^(1/Parametros!$D$6)</f>
        <v>18.6108339407179</v>
      </c>
      <c r="G225" s="12" t="n">
        <f aca="false">F225*30.4</f>
        <v>565.769351797823</v>
      </c>
      <c r="H225" s="13" t="n">
        <f aca="false">IF(Parametros!$B$18*G225-Parametros!$B$14&gt;0,1,0)</f>
        <v>1</v>
      </c>
      <c r="I225" s="12" t="n">
        <f aca="false">(G225*Parametros!$B$18-Parametros!$B$14)*H225/(1+Parametros!$B$16)^(A225/12)</f>
        <v>3158.09528713086</v>
      </c>
      <c r="J225" s="11" t="n">
        <f aca="false">Parametros!$B$7/(1+Parametros!$D$7*Parametros!$C$7*A225/12)^(1/Parametros!$D$7)</f>
        <v>53.3612760475893</v>
      </c>
      <c r="K225" s="12" t="n">
        <f aca="false">J225*30.4</f>
        <v>1622.18279184671</v>
      </c>
      <c r="L225" s="13" t="n">
        <f aca="false">IF(Parametros!$B$18*K225-Parametros!$B$14&gt;0,1,0)</f>
        <v>1</v>
      </c>
      <c r="M225" s="12" t="n">
        <f aca="false">(K225*Parametros!$B$18-Parametros!$B$14)*L225/(1+Parametros!$B$16)^(A225/12)</f>
        <v>11959.7772337616</v>
      </c>
    </row>
    <row r="226" customFormat="false" ht="15" hidden="false" customHeight="false" outlineLevel="0" collapsed="false">
      <c r="A226" s="0" t="n">
        <v>222</v>
      </c>
      <c r="B226" s="11" t="n">
        <f aca="false">Parametros!$B$5/(1+Parametros!$D$5*Parametros!$C$5*A226/12)^(1/Parametros!$D$5)</f>
        <v>2.07967146729824</v>
      </c>
      <c r="C226" s="12" t="n">
        <f aca="false">B226*30.4</f>
        <v>63.2220126058665</v>
      </c>
      <c r="D226" s="13" t="n">
        <f aca="false">IF(Parametros!$B$18*C226-Parametros!$B$14&gt;0,1,0)</f>
        <v>0</v>
      </c>
      <c r="E226" s="12" t="n">
        <f aca="false">(C226*Parametros!$B$18-Parametros!$B$14)*D226/(1+Parametros!$B$16)^(A226/12)</f>
        <v>-0</v>
      </c>
      <c r="F226" s="11" t="n">
        <f aca="false">Parametros!$B$6/(1+Parametros!$D$6*Parametros!$C$6*A226/12)^(1/Parametros!$D$6)</f>
        <v>18.5142547042575</v>
      </c>
      <c r="G226" s="12" t="n">
        <f aca="false">F226*30.4</f>
        <v>562.833343009429</v>
      </c>
      <c r="H226" s="13" t="n">
        <f aca="false">IF(Parametros!$B$18*G226-Parametros!$B$14&gt;0,1,0)</f>
        <v>1</v>
      </c>
      <c r="I226" s="12" t="n">
        <f aca="false">(G226*Parametros!$B$18-Parametros!$B$14)*H226/(1+Parametros!$B$16)^(A226/12)</f>
        <v>3108.84309664991</v>
      </c>
      <c r="J226" s="11" t="n">
        <f aca="false">Parametros!$B$7/(1+Parametros!$D$7*Parametros!$C$7*A226/12)^(1/Parametros!$D$7)</f>
        <v>53.1738866251725</v>
      </c>
      <c r="K226" s="12" t="n">
        <f aca="false">J226*30.4</f>
        <v>1616.48615340524</v>
      </c>
      <c r="L226" s="13" t="n">
        <f aca="false">IF(Parametros!$B$18*K226-Parametros!$B$14&gt;0,1,0)</f>
        <v>1</v>
      </c>
      <c r="M226" s="12" t="n">
        <f aca="false">(K226*Parametros!$B$18-Parametros!$B$14)*L226/(1+Parametros!$B$16)^(A226/12)</f>
        <v>11818.0757599863</v>
      </c>
    </row>
    <row r="227" customFormat="false" ht="15" hidden="false" customHeight="false" outlineLevel="0" collapsed="false">
      <c r="A227" s="0" t="n">
        <v>223</v>
      </c>
      <c r="B227" s="11" t="n">
        <f aca="false">Parametros!$B$5/(1+Parametros!$D$5*Parametros!$C$5*A227/12)^(1/Parametros!$D$5)</f>
        <v>2.05930893629856</v>
      </c>
      <c r="C227" s="12" t="n">
        <f aca="false">B227*30.4</f>
        <v>62.6029916634761</v>
      </c>
      <c r="D227" s="13" t="n">
        <f aca="false">IF(Parametros!$B$18*C227-Parametros!$B$14&gt;0,1,0)</f>
        <v>0</v>
      </c>
      <c r="E227" s="12" t="n">
        <f aca="false">(C227*Parametros!$B$18-Parametros!$B$14)*D227/(1+Parametros!$B$16)^(A227/12)</f>
        <v>-0</v>
      </c>
      <c r="F227" s="11" t="n">
        <f aca="false">Parametros!$B$6/(1+Parametros!$D$6*Parametros!$C$6*A227/12)^(1/Parametros!$D$6)</f>
        <v>18.4185738782545</v>
      </c>
      <c r="G227" s="12" t="n">
        <f aca="false">F227*30.4</f>
        <v>559.924645898938</v>
      </c>
      <c r="H227" s="13" t="n">
        <f aca="false">IF(Parametros!$B$18*G227-Parametros!$B$14&gt;0,1,0)</f>
        <v>1</v>
      </c>
      <c r="I227" s="12" t="n">
        <f aca="false">(G227*Parametros!$B$18-Parametros!$B$14)*H227/(1+Parametros!$B$16)^(A227/12)</f>
        <v>3060.39649670446</v>
      </c>
      <c r="J227" s="11" t="n">
        <f aca="false">Parametros!$B$7/(1+Parametros!$D$7*Parametros!$C$7*A227/12)^(1/Parametros!$D$7)</f>
        <v>52.9879388547287</v>
      </c>
      <c r="K227" s="12" t="n">
        <f aca="false">J227*30.4</f>
        <v>1610.83334118375</v>
      </c>
      <c r="L227" s="13" t="n">
        <f aca="false">IF(Parametros!$B$18*K227-Parametros!$B$14&gt;0,1,0)</f>
        <v>1</v>
      </c>
      <c r="M227" s="12" t="n">
        <f aca="false">(K227*Parametros!$B$18-Parametros!$B$14)*L227/(1+Parametros!$B$16)^(A227/12)</f>
        <v>11678.227193327</v>
      </c>
    </row>
    <row r="228" customFormat="false" ht="15" hidden="false" customHeight="false" outlineLevel="0" collapsed="false">
      <c r="A228" s="0" t="n">
        <v>224</v>
      </c>
      <c r="B228" s="11" t="n">
        <f aca="false">Parametros!$B$5/(1+Parametros!$D$5*Parametros!$C$5*A228/12)^(1/Parametros!$D$5)</f>
        <v>2.03922443961728</v>
      </c>
      <c r="C228" s="12" t="n">
        <f aca="false">B228*30.4</f>
        <v>61.9924229643653</v>
      </c>
      <c r="D228" s="13" t="n">
        <f aca="false">IF(Parametros!$B$18*C228-Parametros!$B$14&gt;0,1,0)</f>
        <v>0</v>
      </c>
      <c r="E228" s="12" t="n">
        <f aca="false">(C228*Parametros!$B$18-Parametros!$B$14)*D228/(1+Parametros!$B$16)^(A228/12)</f>
        <v>-0</v>
      </c>
      <c r="F228" s="11" t="n">
        <f aca="false">Parametros!$B$6/(1+Parametros!$D$6*Parametros!$C$6*A228/12)^(1/Parametros!$D$6)</f>
        <v>18.3237794407652</v>
      </c>
      <c r="G228" s="12" t="n">
        <f aca="false">F228*30.4</f>
        <v>557.042894999261</v>
      </c>
      <c r="H228" s="13" t="n">
        <f aca="false">IF(Parametros!$B$18*G228-Parametros!$B$14&gt;0,1,0)</f>
        <v>1</v>
      </c>
      <c r="I228" s="12" t="n">
        <f aca="false">(G228*Parametros!$B$18-Parametros!$B$14)*H228/(1+Parametros!$B$16)^(A228/12)</f>
        <v>3012.7410785316</v>
      </c>
      <c r="J228" s="11" t="n">
        <f aca="false">Parametros!$B$7/(1+Parametros!$D$7*Parametros!$C$7*A228/12)^(1/Parametros!$D$7)</f>
        <v>52.8034156670453</v>
      </c>
      <c r="K228" s="12" t="n">
        <f aca="false">J228*30.4</f>
        <v>1605.22383627818</v>
      </c>
      <c r="L228" s="13" t="n">
        <f aca="false">IF(Parametros!$B$18*K228-Parametros!$B$14&gt;0,1,0)</f>
        <v>1</v>
      </c>
      <c r="M228" s="12" t="n">
        <f aca="false">(K228*Parametros!$B$18-Parametros!$B$14)*L228/(1+Parametros!$B$16)^(A228/12)</f>
        <v>11540.20402054</v>
      </c>
    </row>
    <row r="229" customFormat="false" ht="15" hidden="false" customHeight="false" outlineLevel="0" collapsed="false">
      <c r="A229" s="0" t="n">
        <v>225</v>
      </c>
      <c r="B229" s="11" t="n">
        <f aca="false">Parametros!$B$5/(1+Parametros!$D$5*Parametros!$C$5*A229/12)^(1/Parametros!$D$5)</f>
        <v>2.01941311522338</v>
      </c>
      <c r="C229" s="12" t="n">
        <f aca="false">B229*30.4</f>
        <v>61.3901587027907</v>
      </c>
      <c r="D229" s="13" t="n">
        <f aca="false">IF(Parametros!$B$18*C229-Parametros!$B$14&gt;0,1,0)</f>
        <v>0</v>
      </c>
      <c r="E229" s="12" t="n">
        <f aca="false">(C229*Parametros!$B$18-Parametros!$B$14)*D229/(1+Parametros!$B$16)^(A229/12)</f>
        <v>-0</v>
      </c>
      <c r="F229" s="11" t="n">
        <f aca="false">Parametros!$B$6/(1+Parametros!$D$6*Parametros!$C$6*A229/12)^(1/Parametros!$D$6)</f>
        <v>18.2298595793513</v>
      </c>
      <c r="G229" s="12" t="n">
        <f aca="false">F229*30.4</f>
        <v>554.18773121228</v>
      </c>
      <c r="H229" s="13" t="n">
        <f aca="false">IF(Parametros!$B$18*G229-Parametros!$B$14&gt;0,1,0)</f>
        <v>1</v>
      </c>
      <c r="I229" s="12" t="n">
        <f aca="false">(G229*Parametros!$B$18-Parametros!$B$14)*H229/(1+Parametros!$B$16)^(A229/12)</f>
        <v>2965.86272339252</v>
      </c>
      <c r="J229" s="11" t="n">
        <f aca="false">Parametros!$B$7/(1+Parametros!$D$7*Parametros!$C$7*A229/12)^(1/Parametros!$D$7)</f>
        <v>52.6203002652018</v>
      </c>
      <c r="K229" s="12" t="n">
        <f aca="false">J229*30.4</f>
        <v>1599.65712806214</v>
      </c>
      <c r="L229" s="13" t="n">
        <f aca="false">IF(Parametros!$B$18*K229-Parametros!$B$14&gt;0,1,0)</f>
        <v>1</v>
      </c>
      <c r="M229" s="12" t="n">
        <f aca="false">(K229*Parametros!$B$18-Parametros!$B$14)*L229/(1+Parametros!$B$16)^(A229/12)</f>
        <v>11403.9792038312</v>
      </c>
    </row>
    <row r="230" customFormat="false" ht="15" hidden="false" customHeight="false" outlineLevel="0" collapsed="false">
      <c r="A230" s="0" t="n">
        <v>226</v>
      </c>
      <c r="B230" s="11" t="n">
        <f aca="false">Parametros!$B$5/(1+Parametros!$D$5*Parametros!$C$5*A230/12)^(1/Parametros!$D$5)</f>
        <v>1.99987020460051</v>
      </c>
      <c r="C230" s="12" t="n">
        <f aca="false">B230*30.4</f>
        <v>60.7960542198556</v>
      </c>
      <c r="D230" s="13" t="n">
        <f aca="false">IF(Parametros!$B$18*C230-Parametros!$B$14&gt;0,1,0)</f>
        <v>0</v>
      </c>
      <c r="E230" s="12" t="n">
        <f aca="false">(C230*Parametros!$B$18-Parametros!$B$14)*D230/(1+Parametros!$B$16)^(A230/12)</f>
        <v>-0</v>
      </c>
      <c r="F230" s="11" t="n">
        <f aca="false">Parametros!$B$6/(1+Parametros!$D$6*Parametros!$C$6*A230/12)^(1/Parametros!$D$6)</f>
        <v>18.1368026865887</v>
      </c>
      <c r="G230" s="12" t="n">
        <f aca="false">F230*30.4</f>
        <v>551.358801672295</v>
      </c>
      <c r="H230" s="13" t="n">
        <f aca="false">IF(Parametros!$B$18*G230-Parametros!$B$14&gt;0,1,0)</f>
        <v>1</v>
      </c>
      <c r="I230" s="12" t="n">
        <f aca="false">(G230*Parametros!$B$18-Parametros!$B$14)*H230/(1+Parametros!$B$16)^(A230/12)</f>
        <v>2919.74759590297</v>
      </c>
      <c r="J230" s="11" t="n">
        <f aca="false">Parametros!$B$7/(1+Parametros!$D$7*Parametros!$C$7*A230/12)^(1/Parametros!$D$7)</f>
        <v>52.4385761191153</v>
      </c>
      <c r="K230" s="12" t="n">
        <f aca="false">J230*30.4</f>
        <v>1594.1327140211</v>
      </c>
      <c r="L230" s="13" t="n">
        <f aca="false">IF(Parametros!$B$18*K230-Parametros!$B$14&gt;0,1,0)</f>
        <v>1</v>
      </c>
      <c r="M230" s="12" t="n">
        <f aca="false">(K230*Parametros!$B$18-Parametros!$B$14)*L230/(1+Parametros!$B$16)^(A230/12)</f>
        <v>11269.5261711721</v>
      </c>
    </row>
    <row r="231" customFormat="false" ht="15" hidden="false" customHeight="false" outlineLevel="0" collapsed="false">
      <c r="A231" s="0" t="n">
        <v>227</v>
      </c>
      <c r="B231" s="11" t="n">
        <f aca="false">Parametros!$B$5/(1+Parametros!$D$5*Parametros!$C$5*A231/12)^(1/Parametros!$D$5)</f>
        <v>1.9805910501525</v>
      </c>
      <c r="C231" s="12" t="n">
        <f aca="false">B231*30.4</f>
        <v>60.2099679246361</v>
      </c>
      <c r="D231" s="13" t="n">
        <f aca="false">IF(Parametros!$B$18*C231-Parametros!$B$14&gt;0,1,0)</f>
        <v>0</v>
      </c>
      <c r="E231" s="12" t="n">
        <f aca="false">(C231*Parametros!$B$18-Parametros!$B$14)*D231/(1+Parametros!$B$16)^(A231/12)</f>
        <v>-0</v>
      </c>
      <c r="F231" s="11" t="n">
        <f aca="false">Parametros!$B$6/(1+Parametros!$D$6*Parametros!$C$6*A231/12)^(1/Parametros!$D$6)</f>
        <v>18.0445973556893</v>
      </c>
      <c r="G231" s="12" t="n">
        <f aca="false">F231*30.4</f>
        <v>548.555759612954</v>
      </c>
      <c r="H231" s="13" t="n">
        <f aca="false">IF(Parametros!$B$18*G231-Parametros!$B$14&gt;0,1,0)</f>
        <v>1</v>
      </c>
      <c r="I231" s="12" t="n">
        <f aca="false">(G231*Parametros!$B$18-Parametros!$B$14)*H231/(1+Parametros!$B$16)^(A231/12)</f>
        <v>2874.38213753936</v>
      </c>
      <c r="J231" s="11" t="n">
        <f aca="false">Parametros!$B$7/(1+Parametros!$D$7*Parametros!$C$7*A231/12)^(1/Parametros!$D$7)</f>
        <v>52.2582269602175</v>
      </c>
      <c r="K231" s="12" t="n">
        <f aca="false">J231*30.4</f>
        <v>1588.65009959061</v>
      </c>
      <c r="L231" s="13" t="n">
        <f aca="false">IF(Parametros!$B$18*K231-Parametros!$B$14&gt;0,1,0)</f>
        <v>1</v>
      </c>
      <c r="M231" s="12" t="n">
        <f aca="false">(K231*Parametros!$B$18-Parametros!$B$14)*L231/(1+Parametros!$B$16)^(A231/12)</f>
        <v>11136.8188068473</v>
      </c>
    </row>
    <row r="232" customFormat="false" ht="15" hidden="false" customHeight="false" outlineLevel="0" collapsed="false">
      <c r="A232" s="0" t="n">
        <v>228</v>
      </c>
      <c r="B232" s="11" t="n">
        <f aca="false">Parametros!$B$5/(1+Parametros!$D$5*Parametros!$C$5*A232/12)^(1/Parametros!$D$5)</f>
        <v>1.96157109268356</v>
      </c>
      <c r="C232" s="12" t="n">
        <f aca="false">B232*30.4</f>
        <v>59.6317612175801</v>
      </c>
      <c r="D232" s="13" t="n">
        <f aca="false">IF(Parametros!$B$18*C232-Parametros!$B$14&gt;0,1,0)</f>
        <v>0</v>
      </c>
      <c r="E232" s="12" t="n">
        <f aca="false">(C232*Parametros!$B$18-Parametros!$B$14)*D232/(1+Parametros!$B$16)^(A232/12)</f>
        <v>-0</v>
      </c>
      <c r="F232" s="11" t="n">
        <f aca="false">Parametros!$B$6/(1+Parametros!$D$6*Parametros!$C$6*A232/12)^(1/Parametros!$D$6)</f>
        <v>17.953232376235</v>
      </c>
      <c r="G232" s="12" t="n">
        <f aca="false">F232*30.4</f>
        <v>545.778264237542</v>
      </c>
      <c r="H232" s="13" t="n">
        <f aca="false">IF(Parametros!$B$18*G232-Parametros!$B$14&gt;0,1,0)</f>
        <v>1</v>
      </c>
      <c r="I232" s="12" t="n">
        <f aca="false">(G232*Parametros!$B$18-Parametros!$B$14)*H232/(1+Parametros!$B$16)^(A232/12)</f>
        <v>2829.7530603152</v>
      </c>
      <c r="J232" s="11" t="n">
        <f aca="false">Parametros!$B$7/(1+Parametros!$D$7*Parametros!$C$7*A232/12)^(1/Parametros!$D$7)</f>
        <v>52.0792367762602</v>
      </c>
      <c r="K232" s="12" t="n">
        <f aca="false">J232*30.4</f>
        <v>1583.20879799831</v>
      </c>
      <c r="L232" s="13" t="n">
        <f aca="false">IF(Parametros!$B$18*K232-Parametros!$B$14&gt;0,1,0)</f>
        <v>1</v>
      </c>
      <c r="M232" s="12" t="n">
        <f aca="false">(K232*Parametros!$B$18-Parametros!$B$14)*L232/(1+Parametros!$B$16)^(A232/12)</f>
        <v>11005.8314422273</v>
      </c>
    </row>
    <row r="233" customFormat="false" ht="15" hidden="false" customHeight="false" outlineLevel="0" collapsed="false">
      <c r="A233" s="0" t="n">
        <v>229</v>
      </c>
      <c r="B233" s="11" t="n">
        <f aca="false">Parametros!$B$5/(1+Parametros!$D$5*Parametros!$C$5*A233/12)^(1/Parametros!$D$5)</f>
        <v>1.9428058689508</v>
      </c>
      <c r="C233" s="12" t="n">
        <f aca="false">B233*30.4</f>
        <v>59.0612984161044</v>
      </c>
      <c r="D233" s="13" t="n">
        <f aca="false">IF(Parametros!$B$18*C233-Parametros!$B$14&gt;0,1,0)</f>
        <v>0</v>
      </c>
      <c r="E233" s="12" t="n">
        <f aca="false">(C233*Parametros!$B$18-Parametros!$B$14)*D233/(1+Parametros!$B$16)^(A233/12)</f>
        <v>-0</v>
      </c>
      <c r="F233" s="11" t="n">
        <f aca="false">Parametros!$B$6/(1+Parametros!$D$6*Parametros!$C$6*A233/12)^(1/Parametros!$D$6)</f>
        <v>17.8626967300179</v>
      </c>
      <c r="G233" s="12" t="n">
        <f aca="false">F233*30.4</f>
        <v>543.025980592545</v>
      </c>
      <c r="H233" s="13" t="n">
        <f aca="false">IF(Parametros!$B$18*G233-Parametros!$B$14&gt;0,1,0)</f>
        <v>1</v>
      </c>
      <c r="I233" s="12" t="n">
        <f aca="false">(G233*Parametros!$B$18-Parametros!$B$14)*H233/(1+Parametros!$B$16)^(A233/12)</f>
        <v>2785.84734062283</v>
      </c>
      <c r="J233" s="11" t="n">
        <f aca="false">Parametros!$B$7/(1+Parametros!$D$7*Parametros!$C$7*A233/12)^(1/Parametros!$D$7)</f>
        <v>51.9015898062435</v>
      </c>
      <c r="K233" s="12" t="n">
        <f aca="false">J233*30.4</f>
        <v>1577.8083301098</v>
      </c>
      <c r="L233" s="13" t="n">
        <f aca="false">IF(Parametros!$B$18*K233-Parametros!$B$14&gt;0,1,0)</f>
        <v>1</v>
      </c>
      <c r="M233" s="12" t="n">
        <f aca="false">(K233*Parametros!$B$18-Parametros!$B$14)*L233/(1+Parametros!$B$16)^(A233/12)</f>
        <v>10876.5388467613</v>
      </c>
    </row>
    <row r="234" customFormat="false" ht="15" hidden="false" customHeight="false" outlineLevel="0" collapsed="false">
      <c r="A234" s="0" t="n">
        <v>230</v>
      </c>
      <c r="B234" s="11" t="n">
        <f aca="false">Parametros!$B$5/(1+Parametros!$D$5*Parametros!$C$5*A234/12)^(1/Parametros!$D$5)</f>
        <v>1.92429100928679</v>
      </c>
      <c r="C234" s="12" t="n">
        <f aca="false">B234*30.4</f>
        <v>58.4984466823184</v>
      </c>
      <c r="D234" s="13" t="n">
        <f aca="false">IF(Parametros!$B$18*C234-Parametros!$B$14&gt;0,1,0)</f>
        <v>0</v>
      </c>
      <c r="E234" s="12" t="n">
        <f aca="false">(C234*Parametros!$B$18-Parametros!$B$14)*D234/(1+Parametros!$B$16)^(A234/12)</f>
        <v>-0</v>
      </c>
      <c r="F234" s="11" t="n">
        <f aca="false">Parametros!$B$6/(1+Parametros!$D$6*Parametros!$C$6*A234/12)^(1/Parametros!$D$6)</f>
        <v>17.7729795869864</v>
      </c>
      <c r="G234" s="12" t="n">
        <f aca="false">F234*30.4</f>
        <v>540.298579444388</v>
      </c>
      <c r="H234" s="13" t="n">
        <f aca="false">IF(Parametros!$B$18*G234-Parametros!$B$14&gt;0,1,0)</f>
        <v>1</v>
      </c>
      <c r="I234" s="12" t="n">
        <f aca="false">(G234*Parametros!$B$18-Parametros!$B$14)*H234/(1+Parametros!$B$16)^(A234/12)</f>
        <v>2742.65221323551</v>
      </c>
      <c r="J234" s="11" t="n">
        <f aca="false">Parametros!$B$7/(1+Parametros!$D$7*Parametros!$C$7*A234/12)^(1/Parametros!$D$7)</f>
        <v>51.7252705354657</v>
      </c>
      <c r="K234" s="12" t="n">
        <f aca="false">J234*30.4</f>
        <v>1572.44822427816</v>
      </c>
      <c r="L234" s="13" t="n">
        <f aca="false">IF(Parametros!$B$18*K234-Parametros!$B$14&gt;0,1,0)</f>
        <v>1</v>
      </c>
      <c r="M234" s="12" t="n">
        <f aca="false">(K234*Parametros!$B$18-Parametros!$B$14)*L234/(1+Parametros!$B$16)^(A234/12)</f>
        <v>10748.9162191828</v>
      </c>
    </row>
    <row r="235" customFormat="false" ht="15" hidden="false" customHeight="false" outlineLevel="0" collapsed="false">
      <c r="A235" s="0" t="n">
        <v>231</v>
      </c>
      <c r="B235" s="11" t="n">
        <f aca="false">Parametros!$B$5/(1+Parametros!$D$5*Parametros!$C$5*A235/12)^(1/Parametros!$D$5)</f>
        <v>1.90602223528972</v>
      </c>
      <c r="C235" s="12" t="n">
        <f aca="false">B235*30.4</f>
        <v>57.9430759528075</v>
      </c>
      <c r="D235" s="13" t="n">
        <f aca="false">IF(Parametros!$B$18*C235-Parametros!$B$14&gt;0,1,0)</f>
        <v>0</v>
      </c>
      <c r="E235" s="12" t="n">
        <f aca="false">(C235*Parametros!$B$18-Parametros!$B$14)*D235/(1+Parametros!$B$16)^(A235/12)</f>
        <v>-0</v>
      </c>
      <c r="F235" s="11" t="n">
        <f aca="false">Parametros!$B$6/(1+Parametros!$D$6*Parametros!$C$6*A235/12)^(1/Parametros!$D$6)</f>
        <v>17.6840703012913</v>
      </c>
      <c r="G235" s="12" t="n">
        <f aca="false">F235*30.4</f>
        <v>537.595737159256</v>
      </c>
      <c r="H235" s="13" t="n">
        <f aca="false">IF(Parametros!$B$18*G235-Parametros!$B$14&gt;0,1,0)</f>
        <v>1</v>
      </c>
      <c r="I235" s="12" t="n">
        <f aca="false">(G235*Parametros!$B$18-Parametros!$B$14)*H235/(1+Parametros!$B$16)^(A235/12)</f>
        <v>2700.15516546511</v>
      </c>
      <c r="J235" s="11" t="n">
        <f aca="false">Parametros!$B$7/(1+Parametros!$D$7*Parametros!$C$7*A235/12)^(1/Parametros!$D$7)</f>
        <v>51.55026369069</v>
      </c>
      <c r="K235" s="12" t="n">
        <f aca="false">J235*30.4</f>
        <v>1567.12801619698</v>
      </c>
      <c r="L235" s="13" t="n">
        <f aca="false">IF(Parametros!$B$18*K235-Parametros!$B$14&gt;0,1,0)</f>
        <v>1</v>
      </c>
      <c r="M235" s="12" t="n">
        <f aca="false">(K235*Parametros!$B$18-Parametros!$B$14)*L235/(1+Parametros!$B$16)^(A235/12)</f>
        <v>10622.9391789228</v>
      </c>
    </row>
    <row r="236" customFormat="false" ht="15" hidden="false" customHeight="false" outlineLevel="0" collapsed="false">
      <c r="A236" s="0" t="n">
        <v>232</v>
      </c>
      <c r="B236" s="11" t="n">
        <f aca="false">Parametros!$B$5/(1+Parametros!$D$5*Parametros!$C$5*A236/12)^(1/Parametros!$D$5)</f>
        <v>1.88799535757919</v>
      </c>
      <c r="C236" s="12" t="n">
        <f aca="false">B236*30.4</f>
        <v>57.3950588704075</v>
      </c>
      <c r="D236" s="13" t="n">
        <f aca="false">IF(Parametros!$B$18*C236-Parametros!$B$14&gt;0,1,0)</f>
        <v>0</v>
      </c>
      <c r="E236" s="12" t="n">
        <f aca="false">(C236*Parametros!$B$18-Parametros!$B$14)*D236/(1+Parametros!$B$16)^(A236/12)</f>
        <v>-0</v>
      </c>
      <c r="F236" s="11" t="n">
        <f aca="false">Parametros!$B$6/(1+Parametros!$D$6*Parametros!$C$6*A236/12)^(1/Parametros!$D$6)</f>
        <v>17.5959584074313</v>
      </c>
      <c r="G236" s="12" t="n">
        <f aca="false">F236*30.4</f>
        <v>534.917135585912</v>
      </c>
      <c r="H236" s="13" t="n">
        <f aca="false">IF(Parametros!$B$18*G236-Parametros!$B$14&gt;0,1,0)</f>
        <v>1</v>
      </c>
      <c r="I236" s="12" t="n">
        <f aca="false">(G236*Parametros!$B$18-Parametros!$B$14)*H236/(1+Parametros!$B$16)^(A236/12)</f>
        <v>2658.34393147083</v>
      </c>
      <c r="J236" s="11" t="n">
        <f aca="false">Parametros!$B$7/(1+Parametros!$D$7*Parametros!$C$7*A236/12)^(1/Parametros!$D$7)</f>
        <v>51.3765542354249</v>
      </c>
      <c r="K236" s="12" t="n">
        <f aca="false">J236*30.4</f>
        <v>1561.84724875692</v>
      </c>
      <c r="L236" s="13" t="n">
        <f aca="false">IF(Parametros!$B$18*K236-Parametros!$B$14&gt;0,1,0)</f>
        <v>1</v>
      </c>
      <c r="M236" s="12" t="n">
        <f aca="false">(K236*Parametros!$B$18-Parametros!$B$14)*L236/(1+Parametros!$B$16)^(A236/12)</f>
        <v>10498.5837577248</v>
      </c>
    </row>
    <row r="237" customFormat="false" ht="15" hidden="false" customHeight="false" outlineLevel="0" collapsed="false">
      <c r="A237" s="0" t="n">
        <v>233</v>
      </c>
      <c r="B237" s="11" t="n">
        <f aca="false">Parametros!$B$5/(1+Parametros!$D$5*Parametros!$C$5*A237/12)^(1/Parametros!$D$5)</f>
        <v>1.8702062736154</v>
      </c>
      <c r="C237" s="12" t="n">
        <f aca="false">B237*30.4</f>
        <v>56.8542707179083</v>
      </c>
      <c r="D237" s="13" t="n">
        <f aca="false">IF(Parametros!$B$18*C237-Parametros!$B$14&gt;0,1,0)</f>
        <v>0</v>
      </c>
      <c r="E237" s="12" t="n">
        <f aca="false">(C237*Parametros!$B$18-Parametros!$B$14)*D237/(1+Parametros!$B$16)^(A237/12)</f>
        <v>-0</v>
      </c>
      <c r="F237" s="11" t="n">
        <f aca="false">Parametros!$B$6/(1+Parametros!$D$6*Parametros!$C$6*A237/12)^(1/Parametros!$D$6)</f>
        <v>17.508633616494</v>
      </c>
      <c r="G237" s="12" t="n">
        <f aca="false">F237*30.4</f>
        <v>532.262461941417</v>
      </c>
      <c r="H237" s="13" t="n">
        <f aca="false">IF(Parametros!$B$18*G237-Parametros!$B$14&gt;0,1,0)</f>
        <v>1</v>
      </c>
      <c r="I237" s="12" t="n">
        <f aca="false">(G237*Parametros!$B$18-Parametros!$B$14)*H237/(1+Parametros!$B$16)^(A237/12)</f>
        <v>2617.20648671455</v>
      </c>
      <c r="J237" s="11" t="n">
        <f aca="false">Parametros!$B$7/(1+Parametros!$D$7*Parametros!$C$7*A237/12)^(1/Parametros!$D$7)</f>
        <v>51.2041273653163</v>
      </c>
      <c r="K237" s="12" t="n">
        <f aca="false">J237*30.4</f>
        <v>1556.60547190561</v>
      </c>
      <c r="L237" s="13" t="n">
        <f aca="false">IF(Parametros!$B$18*K237-Parametros!$B$14&gt;0,1,0)</f>
        <v>1</v>
      </c>
      <c r="M237" s="12" t="n">
        <f aca="false">(K237*Parametros!$B$18-Parametros!$B$14)*L237/(1+Parametros!$B$16)^(A237/12)</f>
        <v>10375.8263914557</v>
      </c>
    </row>
    <row r="238" customFormat="false" ht="15" hidden="false" customHeight="false" outlineLevel="0" collapsed="false">
      <c r="A238" s="0" t="n">
        <v>234</v>
      </c>
      <c r="B238" s="11" t="n">
        <f aca="false">Parametros!$B$5/(1+Parametros!$D$5*Parametros!$C$5*A238/12)^(1/Parametros!$D$5)</f>
        <v>1.85265096557974</v>
      </c>
      <c r="C238" s="12" t="n">
        <f aca="false">B238*30.4</f>
        <v>56.3205893536242</v>
      </c>
      <c r="D238" s="13" t="n">
        <f aca="false">IF(Parametros!$B$18*C238-Parametros!$B$14&gt;0,1,0)</f>
        <v>0</v>
      </c>
      <c r="E238" s="12" t="n">
        <f aca="false">(C238*Parametros!$B$18-Parametros!$B$14)*D238/(1+Parametros!$B$16)^(A238/12)</f>
        <v>-0</v>
      </c>
      <c r="F238" s="11" t="n">
        <f aca="false">Parametros!$B$6/(1+Parametros!$D$6*Parametros!$C$6*A238/12)^(1/Parametros!$D$6)</f>
        <v>17.4220858124895</v>
      </c>
      <c r="G238" s="12" t="n">
        <f aca="false">F238*30.4</f>
        <v>529.63140869968</v>
      </c>
      <c r="H238" s="13" t="n">
        <f aca="false">IF(Parametros!$B$18*G238-Parametros!$B$14&gt;0,1,0)</f>
        <v>1</v>
      </c>
      <c r="I238" s="12" t="n">
        <f aca="false">(G238*Parametros!$B$18-Parametros!$B$14)*H238/(1+Parametros!$B$16)^(A238/12)</f>
        <v>2576.73104255842</v>
      </c>
      <c r="J238" s="11" t="n">
        <f aca="false">Parametros!$B$7/(1+Parametros!$D$7*Parametros!$C$7*A238/12)^(1/Parametros!$D$7)</f>
        <v>51.0329685036463</v>
      </c>
      <c r="K238" s="12" t="n">
        <f aca="false">J238*30.4</f>
        <v>1551.40224251085</v>
      </c>
      <c r="L238" s="13" t="n">
        <f aca="false">IF(Parametros!$B$18*K238-Parametros!$B$14&gt;0,1,0)</f>
        <v>1</v>
      </c>
      <c r="M238" s="12" t="n">
        <f aca="false">(K238*Parametros!$B$18-Parametros!$B$14)*L238/(1+Parametros!$B$16)^(A238/12)</f>
        <v>10254.643912108</v>
      </c>
    </row>
    <row r="239" customFormat="false" ht="15" hidden="false" customHeight="false" outlineLevel="0" collapsed="false">
      <c r="A239" s="0" t="n">
        <v>235</v>
      </c>
      <c r="B239" s="11" t="n">
        <f aca="false">Parametros!$B$5/(1+Parametros!$D$5*Parametros!$C$5*A239/12)^(1/Parametros!$D$5)</f>
        <v>1.83532549831487</v>
      </c>
      <c r="C239" s="12" t="n">
        <f aca="false">B239*30.4</f>
        <v>55.793895148772</v>
      </c>
      <c r="D239" s="13" t="n">
        <f aca="false">IF(Parametros!$B$18*C239-Parametros!$B$14&gt;0,1,0)</f>
        <v>0</v>
      </c>
      <c r="E239" s="12" t="n">
        <f aca="false">(C239*Parametros!$B$18-Parametros!$B$14)*D239/(1+Parametros!$B$16)^(A239/12)</f>
        <v>-0</v>
      </c>
      <c r="F239" s="11" t="n">
        <f aca="false">Parametros!$B$6/(1+Parametros!$D$6*Parametros!$C$6*A239/12)^(1/Parametros!$D$6)</f>
        <v>17.3363050487746</v>
      </c>
      <c r="G239" s="12" t="n">
        <f aca="false">F239*30.4</f>
        <v>527.023673482748</v>
      </c>
      <c r="H239" s="13" t="n">
        <f aca="false">IF(Parametros!$B$18*G239-Parametros!$B$14&gt;0,1,0)</f>
        <v>1</v>
      </c>
      <c r="I239" s="12" t="n">
        <f aca="false">(G239*Parametros!$B$18-Parametros!$B$14)*H239/(1+Parametros!$B$16)^(A239/12)</f>
        <v>2536.90604100061</v>
      </c>
      <c r="J239" s="11" t="n">
        <f aca="false">Parametros!$B$7/(1+Parametros!$D$7*Parametros!$C$7*A239/12)^(1/Parametros!$D$7)</f>
        <v>50.8630632969383</v>
      </c>
      <c r="K239" s="12" t="n">
        <f aca="false">J239*30.4</f>
        <v>1546.23712422692</v>
      </c>
      <c r="L239" s="13" t="n">
        <f aca="false">IF(Parametros!$B$18*K239-Parametros!$B$14&gt;0,1,0)</f>
        <v>1</v>
      </c>
      <c r="M239" s="12" t="n">
        <f aca="false">(K239*Parametros!$B$18-Parametros!$B$14)*L239/(1+Parametros!$B$16)^(A239/12)</f>
        <v>10135.0135399878</v>
      </c>
    </row>
    <row r="240" customFormat="false" ht="15" hidden="false" customHeight="false" outlineLevel="0" collapsed="false">
      <c r="A240" s="0" t="n">
        <v>236</v>
      </c>
      <c r="B240" s="11" t="n">
        <f aca="false">Parametros!$B$5/(1+Parametros!$D$5*Parametros!$C$5*A240/12)^(1/Parametros!$D$5)</f>
        <v>1.81822601732234</v>
      </c>
      <c r="C240" s="12" t="n">
        <f aca="false">B240*30.4</f>
        <v>55.2740709265991</v>
      </c>
      <c r="D240" s="13" t="n">
        <f aca="false">IF(Parametros!$B$18*C240-Parametros!$B$14&gt;0,1,0)</f>
        <v>0</v>
      </c>
      <c r="E240" s="12" t="n">
        <f aca="false">(C240*Parametros!$B$18-Parametros!$B$14)*D240/(1+Parametros!$B$16)^(A240/12)</f>
        <v>-0</v>
      </c>
      <c r="F240" s="11" t="n">
        <f aca="false">Parametros!$B$6/(1+Parametros!$D$6*Parametros!$C$6*A240/12)^(1/Parametros!$D$6)</f>
        <v>17.2512815445646</v>
      </c>
      <c r="G240" s="12" t="n">
        <f aca="false">F240*30.4</f>
        <v>524.438958954763</v>
      </c>
      <c r="H240" s="13" t="n">
        <f aca="false">IF(Parametros!$B$18*G240-Parametros!$B$14&gt;0,1,0)</f>
        <v>1</v>
      </c>
      <c r="I240" s="12" t="n">
        <f aca="false">(G240*Parametros!$B$18-Parametros!$B$14)*H240/(1+Parametros!$B$16)^(A240/12)</f>
        <v>2497.72014954526</v>
      </c>
      <c r="J240" s="11" t="n">
        <f aca="false">Parametros!$B$7/(1+Parametros!$D$7*Parametros!$C$7*A240/12)^(1/Parametros!$D$7)</f>
        <v>50.6943976106626</v>
      </c>
      <c r="K240" s="12" t="n">
        <f aca="false">J240*30.4</f>
        <v>1541.10968736414</v>
      </c>
      <c r="L240" s="13" t="n">
        <f aca="false">IF(Parametros!$B$18*K240-Parametros!$B$14&gt;0,1,0)</f>
        <v>1</v>
      </c>
      <c r="M240" s="12" t="n">
        <f aca="false">(K240*Parametros!$B$18-Parametros!$B$14)*L240/(1+Parametros!$B$16)^(A240/12)</f>
        <v>10016.9128760828</v>
      </c>
    </row>
    <row r="241" customFormat="false" ht="15" hidden="false" customHeight="false" outlineLevel="0" collapsed="false">
      <c r="A241" s="0" t="n">
        <v>237</v>
      </c>
      <c r="B241" s="11" t="n">
        <f aca="false">Parametros!$B$5/(1+Parametros!$D$5*Parametros!$C$5*A241/12)^(1/Parametros!$D$5)</f>
        <v>1.80134874681602</v>
      </c>
      <c r="C241" s="12" t="n">
        <f aca="false">B241*30.4</f>
        <v>54.761001903207</v>
      </c>
      <c r="D241" s="13" t="n">
        <f aca="false">IF(Parametros!$B$18*C241-Parametros!$B$14&gt;0,1,0)</f>
        <v>0</v>
      </c>
      <c r="E241" s="12" t="n">
        <f aca="false">(C241*Parametros!$B$18-Parametros!$B$14)*D241/(1+Parametros!$B$16)^(A241/12)</f>
        <v>-0</v>
      </c>
      <c r="F241" s="11" t="n">
        <f aca="false">Parametros!$B$6/(1+Parametros!$D$6*Parametros!$C$6*A241/12)^(1/Parametros!$D$6)</f>
        <v>17.1670056815299</v>
      </c>
      <c r="G241" s="12" t="n">
        <f aca="false">F241*30.4</f>
        <v>521.87697271851</v>
      </c>
      <c r="H241" s="13" t="n">
        <f aca="false">IF(Parametros!$B$18*G241-Parametros!$B$14&gt;0,1,0)</f>
        <v>1</v>
      </c>
      <c r="I241" s="12" t="n">
        <f aca="false">(G241*Parametros!$B$18-Parametros!$B$14)*H241/(1+Parametros!$B$16)^(A241/12)</f>
        <v>2459.16225620263</v>
      </c>
      <c r="J241" s="11" t="n">
        <f aca="false">Parametros!$B$7/(1+Parametros!$D$7*Parametros!$C$7*A241/12)^(1/Parametros!$D$7)</f>
        <v>50.5269575250426</v>
      </c>
      <c r="K241" s="12" t="n">
        <f aca="false">J241*30.4</f>
        <v>1536.01950876129</v>
      </c>
      <c r="L241" s="13" t="n">
        <f aca="false">IF(Parametros!$B$18*K241-Parametros!$B$14&gt;0,1,0)</f>
        <v>1</v>
      </c>
      <c r="M241" s="12" t="n">
        <f aca="false">(K241*Parametros!$B$18-Parametros!$B$14)*L241/(1+Parametros!$B$16)^(A241/12)</f>
        <v>9900.31989460739</v>
      </c>
    </row>
    <row r="242" customFormat="false" ht="15" hidden="false" customHeight="false" outlineLevel="0" collapsed="false">
      <c r="A242" s="0" t="n">
        <v>238</v>
      </c>
      <c r="B242" s="11" t="n">
        <f aca="false">Parametros!$B$5/(1+Parametros!$D$5*Parametros!$C$5*A242/12)^(1/Parametros!$D$5)</f>
        <v>1.78468998782948</v>
      </c>
      <c r="C242" s="12" t="n">
        <f aca="false">B242*30.4</f>
        <v>54.254575630016</v>
      </c>
      <c r="D242" s="13" t="n">
        <f aca="false">IF(Parametros!$B$18*C242-Parametros!$B$14&gt;0,1,0)</f>
        <v>0</v>
      </c>
      <c r="E242" s="12" t="n">
        <f aca="false">(C242*Parametros!$B$18-Parametros!$B$14)*D242/(1+Parametros!$B$16)^(A242/12)</f>
        <v>-0</v>
      </c>
      <c r="F242" s="11" t="n">
        <f aca="false">Parametros!$B$6/(1+Parametros!$D$6*Parametros!$C$6*A242/12)^(1/Parametros!$D$6)</f>
        <v>17.0834680004764</v>
      </c>
      <c r="G242" s="12" t="n">
        <f aca="false">F242*30.4</f>
        <v>519.337427214484</v>
      </c>
      <c r="H242" s="13" t="n">
        <f aca="false">IF(Parametros!$B$18*G242-Parametros!$B$14&gt;0,1,0)</f>
        <v>1</v>
      </c>
      <c r="I242" s="12" t="n">
        <f aca="false">(G242*Parametros!$B$18-Parametros!$B$14)*H242/(1+Parametros!$B$16)^(A242/12)</f>
        <v>2421.22146461572</v>
      </c>
      <c r="J242" s="11" t="n">
        <f aca="false">Parametros!$B$7/(1+Parametros!$D$7*Parametros!$C$7*A242/12)^(1/Parametros!$D$7)</f>
        <v>50.3607293309565</v>
      </c>
      <c r="K242" s="12" t="n">
        <f aca="false">J242*30.4</f>
        <v>1530.96617166108</v>
      </c>
      <c r="L242" s="13" t="n">
        <f aca="false">IF(Parametros!$B$18*K242-Parametros!$B$14&gt;0,1,0)</f>
        <v>1</v>
      </c>
      <c r="M242" s="12" t="n">
        <f aca="false">(K242*Parametros!$B$18-Parametros!$B$14)*L242/(1+Parametros!$B$16)^(A242/12)</f>
        <v>9785.21293571764</v>
      </c>
    </row>
    <row r="243" customFormat="false" ht="15" hidden="false" customHeight="false" outlineLevel="0" collapsed="false">
      <c r="A243" s="0" t="n">
        <v>239</v>
      </c>
      <c r="B243" s="11" t="n">
        <f aca="false">Parametros!$B$5/(1+Parametros!$D$5*Parametros!$C$5*A243/12)^(1/Parametros!$D$5)</f>
        <v>1.7682461163757</v>
      </c>
      <c r="C243" s="12" t="n">
        <f aca="false">B243*30.4</f>
        <v>53.7546819378213</v>
      </c>
      <c r="D243" s="13" t="n">
        <f aca="false">IF(Parametros!$B$18*C243-Parametros!$B$14&gt;0,1,0)</f>
        <v>0</v>
      </c>
      <c r="E243" s="12" t="n">
        <f aca="false">(C243*Parametros!$B$18-Parametros!$B$14)*D243/(1+Parametros!$B$16)^(A243/12)</f>
        <v>-0</v>
      </c>
      <c r="F243" s="11" t="n">
        <f aca="false">Parametros!$B$6/(1+Parametros!$D$6*Parametros!$C$6*A243/12)^(1/Parametros!$D$6)</f>
        <v>17.0006591981051</v>
      </c>
      <c r="G243" s="12" t="n">
        <f aca="false">F243*30.4</f>
        <v>516.820039622394</v>
      </c>
      <c r="H243" s="13" t="n">
        <f aca="false">IF(Parametros!$B$18*G243-Parametros!$B$14&gt;0,1,0)</f>
        <v>1</v>
      </c>
      <c r="I243" s="12" t="n">
        <f aca="false">(G243*Parametros!$B$18-Parametros!$B$14)*H243/(1+Parametros!$B$16)^(A243/12)</f>
        <v>2383.88708930984</v>
      </c>
      <c r="J243" s="11" t="n">
        <f aca="false">Parametros!$B$7/(1+Parametros!$D$7*Parametros!$C$7*A243/12)^(1/Parametros!$D$7)</f>
        <v>50.195699525934</v>
      </c>
      <c r="K243" s="12" t="n">
        <f aca="false">J243*30.4</f>
        <v>1525.94926558839</v>
      </c>
      <c r="L243" s="13" t="n">
        <f aca="false">IF(Parametros!$B$18*K243-Parametros!$B$14&gt;0,1,0)</f>
        <v>1</v>
      </c>
      <c r="M243" s="12" t="n">
        <f aca="false">(K243*Parametros!$B$18-Parametros!$B$14)*L243/(1+Parametros!$B$16)^(A243/12)</f>
        <v>9671.57069839383</v>
      </c>
    </row>
    <row r="244" customFormat="false" ht="15" hidden="false" customHeight="false" outlineLevel="0" collapsed="false">
      <c r="A244" s="0" t="n">
        <v>240</v>
      </c>
      <c r="B244" s="11" t="n">
        <f aca="false">Parametros!$B$5/(1+Parametros!$D$5*Parametros!$C$5*A244/12)^(1/Parametros!$D$5)</f>
        <v>1.75201358165752</v>
      </c>
      <c r="C244" s="12" t="n">
        <f aca="false">B244*30.4</f>
        <v>53.2612128823885</v>
      </c>
      <c r="D244" s="13" t="n">
        <f aca="false">IF(Parametros!$B$18*C244-Parametros!$B$14&gt;0,1,0)</f>
        <v>0</v>
      </c>
      <c r="E244" s="12" t="n">
        <f aca="false">(C244*Parametros!$B$18-Parametros!$B$14)*D244/(1+Parametros!$B$16)^(A244/12)</f>
        <v>-0</v>
      </c>
      <c r="F244" s="11" t="n">
        <f aca="false">Parametros!$B$6/(1+Parametros!$D$6*Parametros!$C$6*A244/12)^(1/Parametros!$D$6)</f>
        <v>16.9185701238506</v>
      </c>
      <c r="G244" s="12" t="n">
        <f aca="false">F244*30.4</f>
        <v>514.324531765058</v>
      </c>
      <c r="H244" s="13" t="n">
        <f aca="false">IF(Parametros!$B$18*G244-Parametros!$B$14&gt;0,1,0)</f>
        <v>1</v>
      </c>
      <c r="I244" s="12" t="n">
        <f aca="false">(G244*Parametros!$B$18-Parametros!$B$14)*H244/(1+Parametros!$B$16)^(A244/12)</f>
        <v>2347.14865106148</v>
      </c>
      <c r="J244" s="11" t="n">
        <f aca="false">Parametros!$B$7/(1+Parametros!$D$7*Parametros!$C$7*A244/12)^(1/Parametros!$D$7)</f>
        <v>50.0318548102438</v>
      </c>
      <c r="K244" s="12" t="n">
        <f aca="false">J244*30.4</f>
        <v>1520.96838623141</v>
      </c>
      <c r="L244" s="13" t="n">
        <f aca="false">IF(Parametros!$B$18*K244-Parametros!$B$14&gt;0,1,0)</f>
        <v>1</v>
      </c>
      <c r="M244" s="12" t="n">
        <f aca="false">(K244*Parametros!$B$18-Parametros!$B$14)*L244/(1+Parametros!$B$16)^(A244/12)</f>
        <v>9559.37223348486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customFormat="false" ht="15" hidden="false" customHeight="false" outlineLevel="0" collapsed="false">
      <c r="A5" s="0" t="s">
        <v>7</v>
      </c>
      <c r="B5" s="14" t="n">
        <f aca="false">SUMPRODUCT(Pronostico!C5:C244,Pronostico!D5:D244)/1000</f>
        <v>216.965970038764</v>
      </c>
      <c r="C5" s="15" t="n">
        <f aca="false">(SUM(Pronostico!E5:E244)-Parametros!$B$15)/1000000</f>
        <v>1.38725190974655</v>
      </c>
      <c r="D5" s="16" t="str">
        <f aca="false">IF(C5&gt;0,"Sí","No")</f>
        <v>Sí</v>
      </c>
      <c r="E5" s="13" t="n">
        <f aca="false">SUM(Pronostico!D5:D244)</f>
        <v>132</v>
      </c>
      <c r="F5" s="17" t="n">
        <f aca="false">SUM(Pronostico!C5:C244)/1000</f>
        <v>227.883698062682</v>
      </c>
    </row>
    <row r="6" customFormat="false" ht="15" hidden="false" customHeight="false" outlineLevel="0" collapsed="false">
      <c r="A6" s="0" t="s">
        <v>9</v>
      </c>
      <c r="B6" s="14" t="n">
        <f aca="false">SUMPRODUCT(Pronostico!G5:G244,Pronostico!H5:H244)/1000</f>
        <v>487.167038527478</v>
      </c>
      <c r="C6" s="15" t="n">
        <f aca="false">(SUM(Pronostico!I5:I244)-Parametros!$B$15)/1000000</f>
        <v>8.36503754980114</v>
      </c>
      <c r="D6" s="16" t="str">
        <f aca="false">IF(C6&gt;0,"Sí","No")</f>
        <v>Sí</v>
      </c>
      <c r="E6" s="13" t="n">
        <f aca="false">SUM(Pronostico!H5:H244)</f>
        <v>240</v>
      </c>
      <c r="F6" s="17" t="n">
        <f aca="false">SUM(Pronostico!G5:G244)/1000</f>
        <v>487.167038527478</v>
      </c>
    </row>
    <row r="7" customFormat="false" ht="15" hidden="false" customHeight="false" outlineLevel="0" collapsed="false">
      <c r="A7" s="0" t="s">
        <v>11</v>
      </c>
      <c r="B7" s="14" t="n">
        <f aca="false">SUMPRODUCT(Pronostico!K5:K244,Pronostico!L5:L244)/1000</f>
        <v>864.318958093491</v>
      </c>
      <c r="C7" s="15" t="n">
        <f aca="false">(SUM(Pronostico!M5:M244)-Parametros!$B$15)/1000000</f>
        <v>17.6568733911088</v>
      </c>
      <c r="D7" s="16" t="str">
        <f aca="false">IF(C7&gt;0,"Sí","No")</f>
        <v>Sí</v>
      </c>
      <c r="E7" s="13" t="n">
        <f aca="false">SUM(Pronostico!L5:L244)</f>
        <v>240</v>
      </c>
      <c r="F7" s="17" t="n">
        <f aca="false">SUM(Pronostico!K5:K244)/1000</f>
        <v>864.318958093491</v>
      </c>
    </row>
    <row r="9" customFormat="false" ht="15" hidden="false" customHeight="false" outlineLevel="0" collapsed="false">
      <c r="A9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2026-10-31T04:45:50Z</dcterms:created>
  <dc:creator>openpyxl</dc:creator>
  <dc:description/>
  <dc:language>en-US</dc:language>
  <cp:lastModifiedBy/>
  <dcterms:modified xsi:type="dcterms:W3CDTF">2026-10-31T04:45:51Z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