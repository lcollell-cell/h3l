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Inventario" sheetId="2" state="visible" r:id="rId4"/>
    <sheet name="M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<sst xmlns="http://schemas.openxmlformats.org/spreadsheetml/2006/main" count="76" uniqueCount="66">
  <si>
    <t xml:space="preserve">Inventario GEI (ejemplo) y parámetros de conversión</t>
  </si>
  <si>
    <t xml:space="preserve">Datos de ejemplo (sintéticos) con fines didácticos. Celdas azules sobre fondo crema = entradas editables; el resto son fórmulas.</t>
  </si>
  <si>
    <t xml:space="preserve">Horizonte GWP (100 o 20 años)</t>
  </si>
  <si>
    <t xml:space="preserve">Gas</t>
  </si>
  <si>
    <t xml:space="preserve">GWP-100</t>
  </si>
  <si>
    <t xml:space="preserve">GWP-20</t>
  </si>
  <si>
    <t xml:space="preserve">GWP aplicado</t>
  </si>
  <si>
    <t xml:space="preserve">Fuente</t>
  </si>
  <si>
    <t xml:space="preserve">CO₂</t>
  </si>
  <si>
    <t xml:space="preserve">IPCC AR6 WGI, cap. 7 (tabla 7.15)</t>
  </si>
  <si>
    <t xml:space="preserve">CH₄ fósil</t>
  </si>
  <si>
    <t xml:space="preserve">N₂O</t>
  </si>
  <si>
    <t xml:space="preserve">Valores de GWP de AR6; verificar versión vigente del inventario que se reporte (el marco exige consistencia).</t>
  </si>
  <si>
    <t xml:space="preserve">Inventario por fuente (datos de ejemplo)</t>
  </si>
  <si>
    <t xml:space="preserve">Alcance</t>
  </si>
  <si>
    <t xml:space="preserve">CO₂ (t/año)</t>
  </si>
  <si>
    <t xml:space="preserve">CH₄ (t/año)</t>
  </si>
  <si>
    <t xml:space="preserve">N₂O (t/año)</t>
  </si>
  <si>
    <t xml:space="preserve">Total (tCO₂e)</t>
  </si>
  <si>
    <t xml:space="preserve">Aporte CH₄ (tCO₂e)</t>
  </si>
  <si>
    <t xml:space="preserve">% del total</t>
  </si>
  <si>
    <t xml:space="preserve">Combustión en turbinas y calderas</t>
  </si>
  <si>
    <t xml:space="preserve">Antorcha (flare)</t>
  </si>
  <si>
    <t xml:space="preserve">Venteo de gas</t>
  </si>
  <si>
    <t xml:space="preserve">Emisiones fugitivas (válvulas, bridas)</t>
  </si>
  <si>
    <t xml:space="preserve">Controladores neumáticos</t>
  </si>
  <si>
    <t xml:space="preserve">Compresores sellos</t>
  </si>
  <si>
    <t xml:space="preserve">Electricidad comprada</t>
  </si>
  <si>
    <t xml:space="preserve">Transporte de insumos</t>
  </si>
  <si>
    <t xml:space="preserve">TOTAL</t>
  </si>
  <si>
    <t xml:space="preserve">Por alcance</t>
  </si>
  <si>
    <t xml:space="preserve">tCO₂e</t>
  </si>
  <si>
    <t xml:space="preserve">%</t>
  </si>
  <si>
    <t xml:space="preserve">Alcance 1</t>
  </si>
  <si>
    <t xml:space="preserve">Alcance 2</t>
  </si>
  <si>
    <t xml:space="preserve">Alcance 3</t>
  </si>
  <si>
    <t xml:space="preserve">Peso del metano en el total</t>
  </si>
  <si>
    <t xml:space="preserve">Cambiá el horizonte en Parametros!B4 (100 → 20) y mirá cuánto sube.</t>
  </si>
  <si>
    <t xml:space="preserve">Curva de costo marginal de abatimiento (MACC) – ejemplo</t>
  </si>
  <si>
    <t xml:space="preserve">Precio del carbono (USD/tCO₂e)</t>
  </si>
  <si>
    <t xml:space="preserve">Precio del gas (USD/MMBtu)</t>
  </si>
  <si>
    <t xml:space="preserve">Tasa de descuento</t>
  </si>
  <si>
    <t xml:space="preserve">MMBtu por t de CH₄</t>
  </si>
  <si>
    <t xml:space="preserve">Medida</t>
  </si>
  <si>
    <t xml:space="preserve">CH₄ evitado (t/año)</t>
  </si>
  <si>
    <t xml:space="preserve">CO₂ evitado (t/año)</t>
  </si>
  <si>
    <t xml:space="preserve">Gas ahorrado (MMBtu/año)</t>
  </si>
  <si>
    <t xml:space="preserve">CAPEX (USD)</t>
  </si>
  <si>
    <t xml:space="preserve">Vida (años)</t>
  </si>
  <si>
    <t xml:space="preserve">Opex (USD/año)</t>
  </si>
  <si>
    <t xml:space="preserve">Abatimiento (tCO₂e/año)</t>
  </si>
  <si>
    <t xml:space="preserve">Costo neto (USD/tCO₂e)</t>
  </si>
  <si>
    <t xml:space="preserve">¿Viable al precio de carbono?</t>
  </si>
  <si>
    <t xml:space="preserve">Orden</t>
  </si>
  <si>
    <t xml:space="preserve">Recuperación de gas de venteo a gasoducto</t>
  </si>
  <si>
    <t xml:space="preserve">Reemplazo de controladores neumáticos</t>
  </si>
  <si>
    <t xml:space="preserve">Programa LDAR (detección y reparación de fugas)</t>
  </si>
  <si>
    <t xml:space="preserve">Recuperadora de vapores en tanques</t>
  </si>
  <si>
    <t xml:space="preserve">Cambio de sellos de compresor</t>
  </si>
  <si>
    <t xml:space="preserve">Eficiencia en turbinas (recuperación de calor)</t>
  </si>
  <si>
    <t xml:space="preserve">Electrificación con energía renovable</t>
  </si>
  <si>
    <t xml:space="preserve">Reducción de antorcha (gas a uso)</t>
  </si>
  <si>
    <t xml:space="preserve">Curva ordenada (menor a mayor costo)</t>
  </si>
  <si>
    <t xml:space="preserve">Abatimiento acumulado</t>
  </si>
  <si>
    <t xml:space="preserve">Abatimiento viable (tCO₂e/año)</t>
  </si>
  <si>
    <t xml:space="preserve">Costo negativo = la medida se paga sola con el gas que ahorra. Datos de ejemplo: no representan ninguna operación real.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</si>
</sst>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"/>
    <numFmt numFmtId="168" formatCode="#,##0.0"/>
    <numFmt numFmtId="169" formatCode="0.0%"/>
    <numFmt numFmtId="170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0B1A30"/>
        <bgColor rgb="FF000000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100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customFormat="false" ht="15" hidden="false" customHeight="false" outlineLevel="0" collapsed="false">
      <c r="A7" s="0" t="s">
        <v>8</v>
      </c>
      <c r="B7" s="5" t="n">
        <v>1</v>
      </c>
      <c r="C7" s="5" t="n">
        <v>1</v>
      </c>
      <c r="D7" s="6" t="n">
        <f aca="false">IF($B$4=20,C7,B7)</f>
        <v>1</v>
      </c>
      <c r="E7" s="2" t="s">
        <v>9</v>
      </c>
    </row>
    <row r="8" customFormat="false" ht="15" hidden="false" customHeight="false" outlineLevel="0" collapsed="false">
      <c r="A8" s="0" t="s">
        <v>10</v>
      </c>
      <c r="B8" s="5" t="n">
        <v>29.8</v>
      </c>
      <c r="C8" s="5" t="n">
        <v>82.5</v>
      </c>
      <c r="D8" s="6" t="n">
        <f aca="false">IF($B$4=20,C8,B8)</f>
        <v>29.8</v>
      </c>
      <c r="E8" s="2" t="s">
        <v>9</v>
      </c>
    </row>
    <row r="9" customFormat="false" ht="15" hidden="false" customHeight="false" outlineLevel="0" collapsed="false">
      <c r="A9" s="0" t="s">
        <v>11</v>
      </c>
      <c r="B9" s="5" t="n">
        <v>273</v>
      </c>
      <c r="C9" s="5" t="n">
        <v>273</v>
      </c>
      <c r="D9" s="6" t="n">
        <f aca="false">IF($B$4=20,C9,B9)</f>
        <v>273</v>
      </c>
      <c r="E9" s="2" t="s">
        <v>9</v>
      </c>
    </row>
    <row r="11" customFormat="false" ht="15" hidden="false" customHeight="false" outlineLevel="0" collapsed="false">
      <c r="A11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4" t="s">
        <v>7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</row>
    <row r="5" customFormat="false" ht="15" hidden="false" customHeight="false" outlineLevel="0" collapsed="false">
      <c r="A5" s="0" t="s">
        <v>21</v>
      </c>
      <c r="B5" s="3" t="n">
        <v>1</v>
      </c>
      <c r="C5" s="7" t="n">
        <v>95000</v>
      </c>
      <c r="D5" s="7" t="n">
        <v>12</v>
      </c>
      <c r="E5" s="8" t="n">
        <v>2</v>
      </c>
      <c r="F5" s="9" t="n">
        <f aca="false">C5*Parametros!$D$7+D5*Parametros!$D$8+E5*Parametros!$D$9</f>
        <v>95903.6</v>
      </c>
      <c r="G5" s="10" t="n">
        <f aca="false">D5*Parametros!$D$8</f>
        <v>357.6</v>
      </c>
      <c r="H5" s="11" t="n">
        <f aca="false">F5/$F$13</f>
        <v>0.289405326065177</v>
      </c>
    </row>
    <row r="6" customFormat="false" ht="15" hidden="false" customHeight="false" outlineLevel="0" collapsed="false">
      <c r="A6" s="0" t="s">
        <v>22</v>
      </c>
      <c r="B6" s="3" t="n">
        <v>1</v>
      </c>
      <c r="C6" s="7" t="n">
        <v>40000</v>
      </c>
      <c r="D6" s="7" t="n">
        <v>35</v>
      </c>
      <c r="E6" s="8" t="n">
        <v>1</v>
      </c>
      <c r="F6" s="9" t="n">
        <f aca="false">C6*Parametros!$D$7+D6*Parametros!$D$8+E6*Parametros!$D$9</f>
        <v>41316</v>
      </c>
      <c r="G6" s="10" t="n">
        <f aca="false">D6*Parametros!$D$8</f>
        <v>1043</v>
      </c>
      <c r="H6" s="11" t="n">
        <f aca="false">F6/$F$13</f>
        <v>0.12467801471174</v>
      </c>
    </row>
    <row r="7" customFormat="false" ht="15" hidden="false" customHeight="false" outlineLevel="0" collapsed="false">
      <c r="A7" s="0" t="s">
        <v>23</v>
      </c>
      <c r="B7" s="3" t="n">
        <v>1</v>
      </c>
      <c r="C7" s="7" t="n">
        <v>2500</v>
      </c>
      <c r="D7" s="7" t="n">
        <v>1800</v>
      </c>
      <c r="E7" s="8" t="n">
        <v>0</v>
      </c>
      <c r="F7" s="9" t="n">
        <f aca="false">C7*Parametros!$D$7+D7*Parametros!$D$8+E7*Parametros!$D$9</f>
        <v>56140</v>
      </c>
      <c r="G7" s="10" t="n">
        <f aca="false">D7*Parametros!$D$8</f>
        <v>53640</v>
      </c>
      <c r="H7" s="11" t="n">
        <f aca="false">F7/$F$13</f>
        <v>0.169411940795747</v>
      </c>
    </row>
    <row r="8" customFormat="false" ht="15" hidden="false" customHeight="false" outlineLevel="0" collapsed="false">
      <c r="A8" s="0" t="s">
        <v>24</v>
      </c>
      <c r="B8" s="3" t="n">
        <v>1</v>
      </c>
      <c r="C8" s="7" t="n">
        <v>0</v>
      </c>
      <c r="D8" s="7" t="n">
        <v>950</v>
      </c>
      <c r="E8" s="8" t="n">
        <v>0</v>
      </c>
      <c r="F8" s="9" t="n">
        <f aca="false">C8*Parametros!$D$7+D8*Parametros!$D$8+E8*Parametros!$D$9</f>
        <v>28310</v>
      </c>
      <c r="G8" s="10" t="n">
        <f aca="false">D8*Parametros!$D$8</f>
        <v>28310</v>
      </c>
      <c r="H8" s="11" t="n">
        <f aca="false">F8/$F$13</f>
        <v>0.085430210971279</v>
      </c>
    </row>
    <row r="9" customFormat="false" ht="15" hidden="false" customHeight="false" outlineLevel="0" collapsed="false">
      <c r="A9" s="0" t="s">
        <v>25</v>
      </c>
      <c r="B9" s="3" t="n">
        <v>1</v>
      </c>
      <c r="C9" s="7" t="n">
        <v>0</v>
      </c>
      <c r="D9" s="7" t="n">
        <v>600</v>
      </c>
      <c r="E9" s="8" t="n">
        <v>0</v>
      </c>
      <c r="F9" s="9" t="n">
        <f aca="false">C9*Parametros!$D$7+D9*Parametros!$D$8+E9*Parametros!$D$9</f>
        <v>17880</v>
      </c>
      <c r="G9" s="10" t="n">
        <f aca="false">D9*Parametros!$D$8</f>
        <v>17880</v>
      </c>
      <c r="H9" s="11" t="n">
        <f aca="false">F9/$F$13</f>
        <v>0.0539559227187026</v>
      </c>
    </row>
    <row r="10" customFormat="false" ht="15" hidden="false" customHeight="false" outlineLevel="0" collapsed="false">
      <c r="A10" s="0" t="s">
        <v>26</v>
      </c>
      <c r="B10" s="3" t="n">
        <v>1</v>
      </c>
      <c r="C10" s="7" t="n">
        <v>0</v>
      </c>
      <c r="D10" s="7" t="n">
        <v>450</v>
      </c>
      <c r="E10" s="8" t="n">
        <v>0</v>
      </c>
      <c r="F10" s="9" t="n">
        <f aca="false">C10*Parametros!$D$7+D10*Parametros!$D$8+E10*Parametros!$D$9</f>
        <v>13410</v>
      </c>
      <c r="G10" s="10" t="n">
        <f aca="false">D10*Parametros!$D$8</f>
        <v>13410</v>
      </c>
      <c r="H10" s="11" t="n">
        <f aca="false">F10/$F$13</f>
        <v>0.0404669420390269</v>
      </c>
    </row>
    <row r="11" customFormat="false" ht="15" hidden="false" customHeight="false" outlineLevel="0" collapsed="false">
      <c r="A11" s="0" t="s">
        <v>27</v>
      </c>
      <c r="B11" s="3" t="n">
        <v>2</v>
      </c>
      <c r="C11" s="7" t="n">
        <v>60000</v>
      </c>
      <c r="D11" s="7" t="n">
        <v>0</v>
      </c>
      <c r="E11" s="8" t="n">
        <v>0</v>
      </c>
      <c r="F11" s="9" t="n">
        <f aca="false">C11*Parametros!$D$7+D11*Parametros!$D$8+E11*Parametros!$D$9</f>
        <v>60000</v>
      </c>
      <c r="G11" s="10" t="n">
        <f aca="false">D11*Parametros!$D$8</f>
        <v>0</v>
      </c>
      <c r="H11" s="11" t="n">
        <f aca="false">F11/$F$13</f>
        <v>0.181060143351351</v>
      </c>
    </row>
    <row r="12" customFormat="false" ht="15" hidden="false" customHeight="false" outlineLevel="0" collapsed="false">
      <c r="A12" s="0" t="s">
        <v>28</v>
      </c>
      <c r="B12" s="3" t="n">
        <v>3</v>
      </c>
      <c r="C12" s="7" t="n">
        <v>18000</v>
      </c>
      <c r="D12" s="7" t="n">
        <v>5</v>
      </c>
      <c r="E12" s="8" t="n">
        <v>1</v>
      </c>
      <c r="F12" s="9" t="n">
        <f aca="false">C12*Parametros!$D$7+D12*Parametros!$D$8+E12*Parametros!$D$9</f>
        <v>18422</v>
      </c>
      <c r="G12" s="10" t="n">
        <f aca="false">D12*Parametros!$D$8</f>
        <v>149</v>
      </c>
      <c r="H12" s="11" t="n">
        <f aca="false">F12/$F$13</f>
        <v>0.0555914993469764</v>
      </c>
    </row>
    <row r="13" customFormat="false" ht="15" hidden="false" customHeight="false" outlineLevel="0" collapsed="false">
      <c r="A13" s="12" t="s">
        <v>29</v>
      </c>
      <c r="C13" s="9" t="n">
        <f aca="false">SUM(C5:C12)</f>
        <v>215500</v>
      </c>
      <c r="D13" s="9" t="n">
        <f aca="false">SUM(D5:D12)</f>
        <v>3852</v>
      </c>
      <c r="E13" s="9" t="n">
        <f aca="false">SUM(E5:E12)</f>
        <v>4</v>
      </c>
      <c r="F13" s="9" t="n">
        <f aca="false">SUM(F5:F12)</f>
        <v>331381.6</v>
      </c>
      <c r="G13" s="9" t="n">
        <f aca="false">SUM(G5:G12)</f>
        <v>114789.6</v>
      </c>
    </row>
    <row r="15" customFormat="false" ht="15" hidden="false" customHeight="false" outlineLevel="0" collapsed="false">
      <c r="A15" s="12" t="s">
        <v>30</v>
      </c>
    </row>
    <row r="16" customFormat="false" ht="15" hidden="false" customHeight="false" outlineLevel="0" collapsed="false">
      <c r="A16" s="4" t="s">
        <v>14</v>
      </c>
      <c r="B16" s="4" t="s">
        <v>31</v>
      </c>
      <c r="C16" s="4" t="s">
        <v>32</v>
      </c>
    </row>
    <row r="17" customFormat="false" ht="15" hidden="false" customHeight="false" outlineLevel="0" collapsed="false">
      <c r="A17" s="0" t="s">
        <v>33</v>
      </c>
      <c r="B17" s="10" t="n">
        <f aca="false">SUMIF($B$5:$B$12,1,$F$5:$F$12)</f>
        <v>252959.6</v>
      </c>
      <c r="C17" s="11" t="n">
        <f aca="false">B17/$F$13</f>
        <v>0.763348357301673</v>
      </c>
    </row>
    <row r="18" customFormat="false" ht="15" hidden="false" customHeight="false" outlineLevel="0" collapsed="false">
      <c r="A18" s="0" t="s">
        <v>34</v>
      </c>
      <c r="B18" s="10" t="n">
        <f aca="false">SUMIF($B$5:$B$12,2,$F$5:$F$12)</f>
        <v>60000</v>
      </c>
      <c r="C18" s="11" t="n">
        <f aca="false">B18/$F$13</f>
        <v>0.181060143351351</v>
      </c>
    </row>
    <row r="19" customFormat="false" ht="15" hidden="false" customHeight="false" outlineLevel="0" collapsed="false">
      <c r="A19" s="0" t="s">
        <v>35</v>
      </c>
      <c r="B19" s="10" t="n">
        <f aca="false">SUMIF($B$5:$B$12,3,$F$5:$F$12)</f>
        <v>18422</v>
      </c>
      <c r="C19" s="11" t="n">
        <f aca="false">B19/$F$13</f>
        <v>0.0555914993469764</v>
      </c>
    </row>
    <row r="21" customFormat="false" ht="15" hidden="false" customHeight="false" outlineLevel="0" collapsed="false">
      <c r="A21" s="0" t="s">
        <v>36</v>
      </c>
      <c r="B21" s="13" t="n">
        <f aca="false">G13/F13</f>
        <v>0.34639702385407</v>
      </c>
    </row>
    <row r="22" customFormat="false" ht="15" hidden="false" customHeight="false" outlineLevel="0" collapsed="false">
      <c r="A22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10" min="8" style="0" width="18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39</v>
      </c>
      <c r="B4" s="3" t="n">
        <v>50</v>
      </c>
    </row>
    <row r="5" customFormat="false" ht="15" hidden="false" customHeight="false" outlineLevel="0" collapsed="false">
      <c r="A5" s="0" t="s">
        <v>40</v>
      </c>
      <c r="B5" s="14" t="n">
        <v>3</v>
      </c>
    </row>
    <row r="6" customFormat="false" ht="15" hidden="false" customHeight="false" outlineLevel="0" collapsed="false">
      <c r="A6" s="0" t="s">
        <v>41</v>
      </c>
      <c r="B6" s="14" t="n">
        <v>0.1</v>
      </c>
    </row>
    <row r="7" customFormat="false" ht="15" hidden="false" customHeight="false" outlineLevel="0" collapsed="false">
      <c r="A7" s="0" t="s">
        <v>42</v>
      </c>
      <c r="B7" s="3" t="n">
        <v>52</v>
      </c>
    </row>
    <row r="9" customFormat="false" ht="28.35" hidden="false" customHeight="false" outlineLevel="0" collapsed="false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</row>
    <row r="10" customFormat="false" ht="15" hidden="false" customHeight="false" outlineLevel="0" collapsed="false">
      <c r="A10" s="0" t="s">
        <v>54</v>
      </c>
      <c r="B10" s="7" t="n">
        <v>1500</v>
      </c>
      <c r="C10" s="7" t="n">
        <v>0</v>
      </c>
      <c r="D10" s="10" t="n">
        <f aca="false">B10*$B$7</f>
        <v>78000</v>
      </c>
      <c r="E10" s="7" t="n">
        <v>1200000</v>
      </c>
      <c r="F10" s="3" t="n">
        <v>10</v>
      </c>
      <c r="G10" s="7" t="n">
        <v>60000</v>
      </c>
      <c r="H10" s="9" t="n">
        <f aca="false">B10*Parametros!$D$8+C10</f>
        <v>44700</v>
      </c>
      <c r="I10" s="15" t="n">
        <f aca="false">(PMT($B$6,F10,-E10)+G10-D10*$B$5)/H10</f>
        <v>0.476386439798969</v>
      </c>
      <c r="J10" s="16" t="str">
        <f aca="false">IF(I10&lt;=$B$4,"Sí","No")</f>
        <v>Sí</v>
      </c>
      <c r="K10" s="17" t="n">
        <f aca="false">RANK(I10,$I$10:$I$17,1)+COUNTIF($I$10:I10,I10)-1</f>
        <v>3</v>
      </c>
    </row>
    <row r="11" customFormat="false" ht="15" hidden="false" customHeight="false" outlineLevel="0" collapsed="false">
      <c r="A11" s="0" t="s">
        <v>55</v>
      </c>
      <c r="B11" s="7" t="n">
        <v>550</v>
      </c>
      <c r="C11" s="7" t="n">
        <v>0</v>
      </c>
      <c r="D11" s="10" t="n">
        <f aca="false">B11*$B$7</f>
        <v>28600</v>
      </c>
      <c r="E11" s="7" t="n">
        <v>350000</v>
      </c>
      <c r="F11" s="3" t="n">
        <v>10</v>
      </c>
      <c r="G11" s="7" t="n">
        <v>5000</v>
      </c>
      <c r="H11" s="9" t="n">
        <f aca="false">B11*Parametros!$D$8+C11</f>
        <v>16390</v>
      </c>
      <c r="I11" s="15" t="n">
        <f aca="false">(PMT($B$6,F11,-E11)+G11-D11*$B$5)/H11</f>
        <v>-1.45449126242349</v>
      </c>
      <c r="J11" s="16" t="str">
        <f aca="false">IF(I11&lt;=$B$4,"Sí","No")</f>
        <v>Sí</v>
      </c>
      <c r="K11" s="17" t="n">
        <f aca="false">RANK(I11,$I$10:$I$17,1)+COUNTIF($I$10:I11,I11)-1</f>
        <v>1</v>
      </c>
    </row>
    <row r="12" customFormat="false" ht="15" hidden="false" customHeight="false" outlineLevel="0" collapsed="false">
      <c r="A12" s="0" t="s">
        <v>56</v>
      </c>
      <c r="B12" s="7" t="n">
        <v>700</v>
      </c>
      <c r="C12" s="7" t="n">
        <v>0</v>
      </c>
      <c r="D12" s="10" t="n">
        <f aca="false">B12*$B$7</f>
        <v>36400</v>
      </c>
      <c r="E12" s="7" t="n">
        <v>250000</v>
      </c>
      <c r="F12" s="3" t="n">
        <v>5</v>
      </c>
      <c r="G12" s="7" t="n">
        <v>150000</v>
      </c>
      <c r="H12" s="9" t="n">
        <f aca="false">B12*Parametros!$D$8+C12</f>
        <v>20860</v>
      </c>
      <c r="I12" s="15" t="n">
        <f aca="false">(PMT($B$6,F12,-E12)+G12-D12*$B$5)/H12</f>
        <v>5.117419472612</v>
      </c>
      <c r="J12" s="16" t="str">
        <f aca="false">IF(I12&lt;=$B$4,"Sí","No")</f>
        <v>Sí</v>
      </c>
      <c r="K12" s="17" t="n">
        <f aca="false">RANK(I12,$I$10:$I$17,1)+COUNTIF($I$10:I12,I12)-1</f>
        <v>5</v>
      </c>
    </row>
    <row r="13" customFormat="false" ht="15" hidden="false" customHeight="false" outlineLevel="0" collapsed="false">
      <c r="A13" s="0" t="s">
        <v>57</v>
      </c>
      <c r="B13" s="7" t="n">
        <v>300</v>
      </c>
      <c r="C13" s="7" t="n">
        <v>0</v>
      </c>
      <c r="D13" s="10" t="n">
        <f aca="false">B13*$B$7</f>
        <v>15600</v>
      </c>
      <c r="E13" s="7" t="n">
        <v>420000</v>
      </c>
      <c r="F13" s="3" t="n">
        <v>10</v>
      </c>
      <c r="G13" s="7" t="n">
        <v>30000</v>
      </c>
      <c r="H13" s="9" t="n">
        <f aca="false">B13*Parametros!$D$8+C13</f>
        <v>8940</v>
      </c>
      <c r="I13" s="15" t="n">
        <f aca="false">(PMT($B$6,F13,-E13)+G13-D13*$B$5)/H13</f>
        <v>5.76656217568847</v>
      </c>
      <c r="J13" s="16" t="str">
        <f aca="false">IF(I13&lt;=$B$4,"Sí","No")</f>
        <v>Sí</v>
      </c>
      <c r="K13" s="17" t="n">
        <f aca="false">RANK(I13,$I$10:$I$17,1)+COUNTIF($I$10:I13,I13)-1</f>
        <v>6</v>
      </c>
    </row>
    <row r="14" customFormat="false" ht="15" hidden="false" customHeight="false" outlineLevel="0" collapsed="false">
      <c r="A14" s="0" t="s">
        <v>58</v>
      </c>
      <c r="B14" s="7" t="n">
        <v>380</v>
      </c>
      <c r="C14" s="7" t="n">
        <v>0</v>
      </c>
      <c r="D14" s="10" t="n">
        <f aca="false">B14*$B$7</f>
        <v>19760</v>
      </c>
      <c r="E14" s="7" t="n">
        <v>300000</v>
      </c>
      <c r="F14" s="3" t="n">
        <v>8</v>
      </c>
      <c r="G14" s="7" t="n">
        <v>10000</v>
      </c>
      <c r="H14" s="9" t="n">
        <f aca="false">B14*Parametros!$D$8+C14</f>
        <v>11324</v>
      </c>
      <c r="I14" s="15" t="n">
        <f aca="false">(PMT($B$6,F14,-E14)+G14-D14*$B$5)/H14</f>
        <v>0.614023778915933</v>
      </c>
      <c r="J14" s="16" t="str">
        <f aca="false">IF(I14&lt;=$B$4,"Sí","No")</f>
        <v>Sí</v>
      </c>
      <c r="K14" s="17" t="n">
        <f aca="false">RANK(I14,$I$10:$I$17,1)+COUNTIF($I$10:I14,I14)-1</f>
        <v>4</v>
      </c>
    </row>
    <row r="15" customFormat="false" ht="15" hidden="false" customHeight="false" outlineLevel="0" collapsed="false">
      <c r="A15" s="0" t="s">
        <v>59</v>
      </c>
      <c r="B15" s="7" t="n">
        <v>0</v>
      </c>
      <c r="C15" s="7" t="n">
        <v>12000</v>
      </c>
      <c r="D15" s="7" t="n">
        <v>180000</v>
      </c>
      <c r="E15" s="7" t="n">
        <v>3500000</v>
      </c>
      <c r="F15" s="3" t="n">
        <v>15</v>
      </c>
      <c r="G15" s="7" t="n">
        <v>80000</v>
      </c>
      <c r="H15" s="9" t="n">
        <f aca="false">B15*Parametros!$D$8+C15</f>
        <v>12000</v>
      </c>
      <c r="I15" s="15" t="n">
        <f aca="false">(PMT($B$6,F15,-E15)+G15-D15*$B$5)/H15</f>
        <v>0.0131849254835591</v>
      </c>
      <c r="J15" s="16" t="str">
        <f aca="false">IF(I15&lt;=$B$4,"Sí","No")</f>
        <v>Sí</v>
      </c>
      <c r="K15" s="17" t="n">
        <f aca="false">RANK(I15,$I$10:$I$17,1)+COUNTIF($I$10:I15,I15)-1</f>
        <v>2</v>
      </c>
    </row>
    <row r="16" customFormat="false" ht="15" hidden="false" customHeight="false" outlineLevel="0" collapsed="false">
      <c r="A16" s="0" t="s">
        <v>60</v>
      </c>
      <c r="B16" s="7" t="n">
        <v>0</v>
      </c>
      <c r="C16" s="7" t="n">
        <v>50000</v>
      </c>
      <c r="D16" s="7" t="n">
        <v>0</v>
      </c>
      <c r="E16" s="7" t="n">
        <v>20000000</v>
      </c>
      <c r="F16" s="3" t="n">
        <v>20</v>
      </c>
      <c r="G16" s="7" t="n">
        <v>250000</v>
      </c>
      <c r="H16" s="9" t="n">
        <f aca="false">B16*Parametros!$D$8+C16</f>
        <v>50000</v>
      </c>
      <c r="I16" s="15" t="n">
        <f aca="false">(PMT($B$6,F16,-E16)+G16-D16*$B$5)/H16</f>
        <v>51.9838499090183</v>
      </c>
      <c r="J16" s="16" t="str">
        <f aca="false">IF(I16&lt;=$B$4,"Sí","No")</f>
        <v>No</v>
      </c>
      <c r="K16" s="17" t="n">
        <f aca="false">RANK(I16,$I$10:$I$17,1)+COUNTIF($I$10:I16,I16)-1</f>
        <v>8</v>
      </c>
    </row>
    <row r="17" customFormat="false" ht="15" hidden="false" customHeight="false" outlineLevel="0" collapsed="false">
      <c r="A17" s="0" t="s">
        <v>61</v>
      </c>
      <c r="B17" s="7" t="n">
        <v>20</v>
      </c>
      <c r="C17" s="7" t="n">
        <v>8000</v>
      </c>
      <c r="D17" s="10" t="n">
        <f aca="false">B17*$B$7</f>
        <v>1040</v>
      </c>
      <c r="E17" s="7" t="n">
        <v>800000</v>
      </c>
      <c r="F17" s="3" t="n">
        <v>10</v>
      </c>
      <c r="G17" s="7" t="n">
        <v>40000</v>
      </c>
      <c r="H17" s="9" t="n">
        <f aca="false">B17*Parametros!$D$8+C17</f>
        <v>8596</v>
      </c>
      <c r="I17" s="15" t="n">
        <f aca="false">(PMT($B$6,F17,-E17)+G17-D17*$B$5)/H17</f>
        <v>19.4365188350406</v>
      </c>
      <c r="J17" s="16" t="str">
        <f aca="false">IF(I17&lt;=$B$4,"Sí","No")</f>
        <v>Sí</v>
      </c>
      <c r="K17" s="17" t="n">
        <f aca="false">RANK(I17,$I$10:$I$17,1)+COUNTIF($I$10:I17,I17)-1</f>
        <v>7</v>
      </c>
    </row>
    <row r="19" customFormat="false" ht="15" hidden="false" customHeight="false" outlineLevel="0" collapsed="false">
      <c r="A19" s="12" t="s">
        <v>62</v>
      </c>
    </row>
    <row r="20" customFormat="false" ht="28.35" hidden="false" customHeight="false" outlineLevel="0" collapsed="false">
      <c r="A20" s="4" t="s">
        <v>53</v>
      </c>
      <c r="B20" s="4" t="s">
        <v>43</v>
      </c>
      <c r="C20" s="4" t="s">
        <v>50</v>
      </c>
      <c r="D20" s="4" t="s">
        <v>63</v>
      </c>
      <c r="E20" s="4" t="s">
        <v>51</v>
      </c>
    </row>
    <row r="21" customFormat="false" ht="15" hidden="false" customHeight="false" outlineLevel="0" collapsed="false">
      <c r="A21" s="0" t="n">
        <v>1</v>
      </c>
      <c r="B21" s="16" t="str">
        <f aca="false">INDEX($A$10:$A$17,MATCH(A21,$K$10:$K$17,0))</f>
        <v>Reemplazo de controladores neumáticos</v>
      </c>
      <c r="C21" s="10" t="n">
        <f aca="false">INDEX($H$10:$H$17,MATCH(A21,$K$10:$K$17,0))</f>
        <v>16390</v>
      </c>
      <c r="D21" s="10" t="n">
        <f aca="false">SUM($C$21:C21)</f>
        <v>16390</v>
      </c>
      <c r="E21" s="6" t="n">
        <f aca="false">INDEX($I$10:$I$17,MATCH(A21,$K$10:$K$17,0))</f>
        <v>-1.45449126242349</v>
      </c>
    </row>
    <row r="22" customFormat="false" ht="15" hidden="false" customHeight="false" outlineLevel="0" collapsed="false">
      <c r="A22" s="0" t="n">
        <v>2</v>
      </c>
      <c r="B22" s="16" t="str">
        <f aca="false">INDEX($A$10:$A$17,MATCH(A22,$K$10:$K$17,0))</f>
        <v>Eficiencia en turbinas (recuperación de calor)</v>
      </c>
      <c r="C22" s="10" t="n">
        <f aca="false">INDEX($H$10:$H$17,MATCH(A22,$K$10:$K$17,0))</f>
        <v>12000</v>
      </c>
      <c r="D22" s="10" t="n">
        <f aca="false">SUM($C$21:C22)</f>
        <v>28390</v>
      </c>
      <c r="E22" s="6" t="n">
        <f aca="false">INDEX($I$10:$I$17,MATCH(A22,$K$10:$K$17,0))</f>
        <v>0.0131849254835591</v>
      </c>
    </row>
    <row r="23" customFormat="false" ht="15" hidden="false" customHeight="false" outlineLevel="0" collapsed="false">
      <c r="A23" s="0" t="n">
        <v>3</v>
      </c>
      <c r="B23" s="16" t="str">
        <f aca="false">INDEX($A$10:$A$17,MATCH(A23,$K$10:$K$17,0))</f>
        <v>Recuperación de gas de venteo a gasoducto</v>
      </c>
      <c r="C23" s="10" t="n">
        <f aca="false">INDEX($H$10:$H$17,MATCH(A23,$K$10:$K$17,0))</f>
        <v>44700</v>
      </c>
      <c r="D23" s="10" t="n">
        <f aca="false">SUM($C$21:C23)</f>
        <v>73090</v>
      </c>
      <c r="E23" s="6" t="n">
        <f aca="false">INDEX($I$10:$I$17,MATCH(A23,$K$10:$K$17,0))</f>
        <v>0.476386439798969</v>
      </c>
    </row>
    <row r="24" customFormat="false" ht="15" hidden="false" customHeight="false" outlineLevel="0" collapsed="false">
      <c r="A24" s="0" t="n">
        <v>4</v>
      </c>
      <c r="B24" s="16" t="str">
        <f aca="false">INDEX($A$10:$A$17,MATCH(A24,$K$10:$K$17,0))</f>
        <v>Cambio de sellos de compresor</v>
      </c>
      <c r="C24" s="10" t="n">
        <f aca="false">INDEX($H$10:$H$17,MATCH(A24,$K$10:$K$17,0))</f>
        <v>11324</v>
      </c>
      <c r="D24" s="10" t="n">
        <f aca="false">SUM($C$21:C24)</f>
        <v>84414</v>
      </c>
      <c r="E24" s="6" t="n">
        <f aca="false">INDEX($I$10:$I$17,MATCH(A24,$K$10:$K$17,0))</f>
        <v>0.614023778915933</v>
      </c>
    </row>
    <row r="25" customFormat="false" ht="15" hidden="false" customHeight="false" outlineLevel="0" collapsed="false">
      <c r="A25" s="0" t="n">
        <v>5</v>
      </c>
      <c r="B25" s="16" t="str">
        <f aca="false">INDEX($A$10:$A$17,MATCH(A25,$K$10:$K$17,0))</f>
        <v>Programa LDAR (detección y reparación de fugas)</v>
      </c>
      <c r="C25" s="10" t="n">
        <f aca="false">INDEX($H$10:$H$17,MATCH(A25,$K$10:$K$17,0))</f>
        <v>20860</v>
      </c>
      <c r="D25" s="10" t="n">
        <f aca="false">SUM($C$21:C25)</f>
        <v>105274</v>
      </c>
      <c r="E25" s="6" t="n">
        <f aca="false">INDEX($I$10:$I$17,MATCH(A25,$K$10:$K$17,0))</f>
        <v>5.117419472612</v>
      </c>
    </row>
    <row r="26" customFormat="false" ht="15" hidden="false" customHeight="false" outlineLevel="0" collapsed="false">
      <c r="A26" s="0" t="n">
        <v>6</v>
      </c>
      <c r="B26" s="16" t="str">
        <f aca="false">INDEX($A$10:$A$17,MATCH(A26,$K$10:$K$17,0))</f>
        <v>Recuperadora de vapores en tanques</v>
      </c>
      <c r="C26" s="10" t="n">
        <f aca="false">INDEX($H$10:$H$17,MATCH(A26,$K$10:$K$17,0))</f>
        <v>8940</v>
      </c>
      <c r="D26" s="10" t="n">
        <f aca="false">SUM($C$21:C26)</f>
        <v>114214</v>
      </c>
      <c r="E26" s="6" t="n">
        <f aca="false">INDEX($I$10:$I$17,MATCH(A26,$K$10:$K$17,0))</f>
        <v>5.76656217568847</v>
      </c>
    </row>
    <row r="27" customFormat="false" ht="15" hidden="false" customHeight="false" outlineLevel="0" collapsed="false">
      <c r="A27" s="0" t="n">
        <v>7</v>
      </c>
      <c r="B27" s="16" t="str">
        <f aca="false">INDEX($A$10:$A$17,MATCH(A27,$K$10:$K$17,0))</f>
        <v>Reducción de antorcha (gas a uso)</v>
      </c>
      <c r="C27" s="10" t="n">
        <f aca="false">INDEX($H$10:$H$17,MATCH(A27,$K$10:$K$17,0))</f>
        <v>8596</v>
      </c>
      <c r="D27" s="10" t="n">
        <f aca="false">SUM($C$21:C27)</f>
        <v>122810</v>
      </c>
      <c r="E27" s="6" t="n">
        <f aca="false">INDEX($I$10:$I$17,MATCH(A27,$K$10:$K$17,0))</f>
        <v>19.4365188350406</v>
      </c>
    </row>
    <row r="28" customFormat="false" ht="15" hidden="false" customHeight="false" outlineLevel="0" collapsed="false">
      <c r="A28" s="0" t="n">
        <v>8</v>
      </c>
      <c r="B28" s="16" t="str">
        <f aca="false">INDEX($A$10:$A$17,MATCH(A28,$K$10:$K$17,0))</f>
        <v>Electrificación con energía renovable</v>
      </c>
      <c r="C28" s="10" t="n">
        <f aca="false">INDEX($H$10:$H$17,MATCH(A28,$K$10:$K$17,0))</f>
        <v>50000</v>
      </c>
      <c r="D28" s="10" t="n">
        <f aca="false">SUM($C$21:C28)</f>
        <v>172810</v>
      </c>
      <c r="E28" s="6" t="n">
        <f aca="false">INDEX($I$10:$I$17,MATCH(A28,$K$10:$K$17,0))</f>
        <v>51.9838499090183</v>
      </c>
    </row>
    <row r="30" customFormat="false" ht="15" hidden="false" customHeight="false" outlineLevel="0" collapsed="false">
      <c r="A30" s="0" t="s">
        <v>64</v>
      </c>
      <c r="C30" s="9" t="n">
        <f aca="false">SUMIF($J$10:$J$17,"Sí",$H$10:$H$17)</f>
        <v>122810</v>
      </c>
    </row>
    <row r="31" customFormat="false" ht="15" hidden="false" customHeight="false" outlineLevel="0" collapsed="false">
      <c r="A31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2026-10-31T04:45:51Z</dcterms:created>
  <dc:creator>openpyxl</dc:creator>
  <dc:description/>
  <dc:language>en-US</dc:language>
  <cp:lastModifiedBy/>
  <dcterms:modified xsi:type="dcterms:W3CDTF">2026-10-31T04:45:51Z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