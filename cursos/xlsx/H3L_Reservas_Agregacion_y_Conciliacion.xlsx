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rtafolio" sheetId="1" state="visible" r:id="rId3"/>
    <sheet name="Sorteos" sheetId="2" state="visible" r:id="rId4"/>
    <sheet name="Conciliac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<sst xmlns="http://schemas.openxmlformats.org/spreadsheetml/2006/main" count="40" uniqueCount="37">
  <si>
    <t xml:space="preserve">Suma de P90 frente al P90 del portafolio</t>
  </si>
  <si>
    <t xml:space="preserve">500 sorteos fijos (hoja Sorteos). EUR por pozo lognormal con mediana editable. Datos de ejemplo.</t>
  </si>
  <si>
    <t xml:space="preserve">Parámetro</t>
  </si>
  <si>
    <t xml:space="preserve">Valor</t>
  </si>
  <si>
    <t xml:space="preserve">Unidad</t>
  </si>
  <si>
    <t xml:space="preserve">Cantidad de pozos (1 a 30)</t>
  </si>
  <si>
    <t xml:space="preserve">Dispersión σ (log natural)</t>
  </si>
  <si>
    <t xml:space="preserve">EUR mediano por pozo</t>
  </si>
  <si>
    <t xml:space="preserve">Mbbl</t>
  </si>
  <si>
    <t xml:space="preserve">P90 del portafolio</t>
  </si>
  <si>
    <t xml:space="preserve">MMbbl</t>
  </si>
  <si>
    <t xml:space="preserve">P50 del portafolio</t>
  </si>
  <si>
    <t xml:space="preserve">P10 del portafolio</t>
  </si>
  <si>
    <t xml:space="preserve">Suma aritmética de los P90 individuales</t>
  </si>
  <si>
    <t xml:space="preserve">Diferencia: suma de P90 frente al P90 del portafolio</t>
  </si>
  <si>
    <t xml:space="preserve">Rango P10 / P90 del portafolio</t>
  </si>
  <si>
    <t xml:space="preserve">La suma aritmética de P90 es la que se usa para reportar a la SEC; la agregación probabilista sirve para planificar y valuar. Con más pozos independientes, el P90 del portafolio se acerca al P50.</t>
  </si>
  <si>
    <t xml:space="preserve">Sorteos normales estándar fijos (valores); total por sorteo en la columna AG (MMbbl)</t>
  </si>
  <si>
    <t xml:space="preserve">n pozo →</t>
  </si>
  <si>
    <t xml:space="preserve">Total (MMbbl)</t>
  </si>
  <si>
    <t xml:space="preserve">Conciliación anual de reservas</t>
  </si>
  <si>
    <t xml:space="preserve">MMboe. Datos de ejemplo.</t>
  </si>
  <si>
    <t xml:space="preserve">Concepto</t>
  </si>
  <si>
    <t xml:space="preserve">Año 1</t>
  </si>
  <si>
    <t xml:space="preserve">Año 2</t>
  </si>
  <si>
    <t xml:space="preserve">Año 3</t>
  </si>
  <si>
    <t xml:space="preserve">Reservas iniciales</t>
  </si>
  <si>
    <t xml:space="preserve">Producción</t>
  </si>
  <si>
    <t xml:space="preserve">Revisiones</t>
  </si>
  <si>
    <t xml:space="preserve">Extensiones y descubrimientos</t>
  </si>
  <si>
    <t xml:space="preserve">Compras</t>
  </si>
  <si>
    <t xml:space="preserve">Ventas</t>
  </si>
  <si>
    <t xml:space="preserve">Reservas de cierre</t>
  </si>
  <si>
    <t xml:space="preserve">Adiciones netas</t>
  </si>
  <si>
    <t xml:space="preserve">Tasa de reposición</t>
  </si>
  <si>
    <t xml:space="preserve">Relación reservas / producción (años)</t>
  </si>
  <si>
    <t xml:space="preserve">Producción y ventas se cargan con signo negativo. Tasa de reposición = adiciones netas / producción (cada empresa define su versión). Tarea: cargá una revisión de −15 y mirá el efecto.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</si>
</sst>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%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20</v>
      </c>
      <c r="C5" s="2"/>
    </row>
    <row r="6" customFormat="false" ht="15" hidden="false" customHeight="false" outlineLevel="0" collapsed="false">
      <c r="A6" s="0" t="s">
        <v>6</v>
      </c>
      <c r="B6" s="5" t="n">
        <v>0.6</v>
      </c>
      <c r="C6" s="2"/>
    </row>
    <row r="7" customFormat="false" ht="15" hidden="false" customHeight="false" outlineLevel="0" collapsed="false">
      <c r="A7" s="0" t="s">
        <v>7</v>
      </c>
      <c r="B7" s="4" t="n">
        <v>100</v>
      </c>
      <c r="C7" s="2" t="s">
        <v>8</v>
      </c>
    </row>
    <row r="9" customFormat="false" ht="15" hidden="false" customHeight="false" outlineLevel="0" collapsed="false">
      <c r="A9" s="0" t="s">
        <v>9</v>
      </c>
      <c r="B9" s="6" t="n">
        <f aca="false">PERCENTILE(Sorteos!AG3:AG502,0.1)</f>
        <v>1.96732201015016</v>
      </c>
      <c r="C9" s="2" t="s">
        <v>10</v>
      </c>
    </row>
    <row r="10" customFormat="false" ht="15" hidden="false" customHeight="false" outlineLevel="0" collapsed="false">
      <c r="A10" s="0" t="s">
        <v>11</v>
      </c>
      <c r="B10" s="6" t="n">
        <f aca="false">PERCENTILE(Sorteos!AG3:AG502,0.5)</f>
        <v>2.38729481714053</v>
      </c>
      <c r="C10" s="2" t="s">
        <v>10</v>
      </c>
    </row>
    <row r="11" customFormat="false" ht="15" hidden="false" customHeight="false" outlineLevel="0" collapsed="false">
      <c r="A11" s="0" t="s">
        <v>12</v>
      </c>
      <c r="B11" s="6" t="n">
        <f aca="false">PERCENTILE(Sorteos!AG3:AG502,0.9)</f>
        <v>2.89270715475647</v>
      </c>
      <c r="C11" s="2" t="s">
        <v>10</v>
      </c>
    </row>
    <row r="12" customFormat="false" ht="15" hidden="false" customHeight="false" outlineLevel="0" collapsed="false">
      <c r="A12" s="0" t="s">
        <v>13</v>
      </c>
      <c r="B12" s="6" t="n">
        <f aca="false">B5*B7*EXP(-1.2816*B6)/1000</f>
        <v>0.926989704773132</v>
      </c>
      <c r="C12" s="2" t="s">
        <v>10</v>
      </c>
    </row>
    <row r="13" customFormat="false" ht="15" hidden="false" customHeight="false" outlineLevel="0" collapsed="false">
      <c r="A13" s="0" t="s">
        <v>14</v>
      </c>
      <c r="B13" s="7" t="n">
        <f aca="false">B12/B9-1</f>
        <v>-0.52880631640858</v>
      </c>
    </row>
    <row r="14" customFormat="false" ht="15" hidden="false" customHeight="false" outlineLevel="0" collapsed="false">
      <c r="A14" s="0" t="s">
        <v>15</v>
      </c>
      <c r="B14" s="6" t="n">
        <f aca="false">B11/B9</f>
        <v>1.4703780773213</v>
      </c>
    </row>
    <row r="16" customFormat="false" ht="15" hidden="false" customHeight="false" outlineLevel="0" collapsed="false">
      <c r="A16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17</v>
      </c>
    </row>
    <row r="2" customFormat="false" ht="15" hidden="false" customHeight="false" outlineLevel="0" collapsed="false">
      <c r="A2" s="0" t="s">
        <v>18</v>
      </c>
      <c r="B2" s="8" t="n">
        <v>1</v>
      </c>
      <c r="C2" s="8" t="n">
        <v>2</v>
      </c>
      <c r="D2" s="8" t="n">
        <v>3</v>
      </c>
      <c r="E2" s="8" t="n">
        <v>4</v>
      </c>
      <c r="F2" s="8" t="n">
        <v>5</v>
      </c>
      <c r="G2" s="8" t="n">
        <v>6</v>
      </c>
      <c r="H2" s="8" t="n">
        <v>7</v>
      </c>
      <c r="I2" s="8" t="n">
        <v>8</v>
      </c>
      <c r="J2" s="8" t="n">
        <v>9</v>
      </c>
      <c r="K2" s="8" t="n">
        <v>10</v>
      </c>
      <c r="L2" s="8" t="n">
        <v>11</v>
      </c>
      <c r="M2" s="8" t="n">
        <v>12</v>
      </c>
      <c r="N2" s="8" t="n">
        <v>13</v>
      </c>
      <c r="O2" s="8" t="n">
        <v>14</v>
      </c>
      <c r="P2" s="8" t="n">
        <v>15</v>
      </c>
      <c r="Q2" s="8" t="n">
        <v>16</v>
      </c>
      <c r="R2" s="8" t="n">
        <v>17</v>
      </c>
      <c r="S2" s="8" t="n">
        <v>18</v>
      </c>
      <c r="T2" s="8" t="n">
        <v>19</v>
      </c>
      <c r="U2" s="8" t="n">
        <v>20</v>
      </c>
      <c r="V2" s="8" t="n">
        <v>21</v>
      </c>
      <c r="W2" s="8" t="n">
        <v>22</v>
      </c>
      <c r="X2" s="8" t="n">
        <v>23</v>
      </c>
      <c r="Y2" s="8" t="n">
        <v>24</v>
      </c>
      <c r="Z2" s="8" t="n">
        <v>25</v>
      </c>
      <c r="AA2" s="8" t="n">
        <v>26</v>
      </c>
      <c r="AB2" s="8" t="n">
        <v>27</v>
      </c>
      <c r="AC2" s="8" t="n">
        <v>28</v>
      </c>
      <c r="AD2" s="8" t="n">
        <v>29</v>
      </c>
      <c r="AE2" s="8" t="n">
        <v>30</v>
      </c>
      <c r="AG2" s="8" t="s">
        <v>19</v>
      </c>
    </row>
    <row r="3" customFormat="false" ht="15" hidden="false" customHeight="false" outlineLevel="0" collapsed="false">
      <c r="A3" s="0" t="n">
        <v>1</v>
      </c>
      <c r="B3" s="0" t="n">
        <v>-1.2241</v>
      </c>
      <c r="C3" s="0" t="n">
        <v>0.3776</v>
      </c>
      <c r="D3" s="0" t="n">
        <v>0.995</v>
      </c>
      <c r="E3" s="0" t="n">
        <v>-0.5132</v>
      </c>
      <c r="F3" s="0" t="n">
        <v>-1.329</v>
      </c>
      <c r="G3" s="0" t="n">
        <v>-0.0655</v>
      </c>
      <c r="H3" s="0" t="n">
        <v>0.478</v>
      </c>
      <c r="I3" s="0" t="n">
        <v>1.0982</v>
      </c>
      <c r="J3" s="0" t="n">
        <v>-1.2159</v>
      </c>
      <c r="K3" s="0" t="n">
        <v>-1.2929</v>
      </c>
      <c r="L3" s="0" t="n">
        <v>0.7059</v>
      </c>
      <c r="M3" s="0" t="n">
        <v>0.4741</v>
      </c>
      <c r="N3" s="0" t="n">
        <v>1.5338</v>
      </c>
      <c r="O3" s="0" t="n">
        <v>0.9825</v>
      </c>
      <c r="P3" s="0" t="n">
        <v>-0.1018</v>
      </c>
      <c r="Q3" s="0" t="n">
        <v>-0.2742</v>
      </c>
      <c r="R3" s="0" t="n">
        <v>2.5705</v>
      </c>
      <c r="S3" s="0" t="n">
        <v>-0.2888</v>
      </c>
      <c r="T3" s="0" t="n">
        <v>-0.7849</v>
      </c>
      <c r="U3" s="0" t="n">
        <v>-1.1383</v>
      </c>
      <c r="V3" s="0" t="n">
        <v>0.0955</v>
      </c>
      <c r="W3" s="0" t="n">
        <v>0.1453</v>
      </c>
      <c r="X3" s="0" t="n">
        <v>-0.3449</v>
      </c>
      <c r="Y3" s="0" t="n">
        <v>-0.0622</v>
      </c>
      <c r="Z3" s="0" t="n">
        <v>0.2731</v>
      </c>
      <c r="AA3" s="0" t="n">
        <v>0.6924</v>
      </c>
      <c r="AB3" s="0" t="n">
        <v>1.0968</v>
      </c>
      <c r="AC3" s="0" t="n">
        <v>0.2098</v>
      </c>
      <c r="AD3" s="0" t="n">
        <v>-1.7898</v>
      </c>
      <c r="AE3" s="0" t="n">
        <v>0.7017</v>
      </c>
      <c r="AG3" s="9" t="n">
        <f aca="false">SUMPRODUCT(($B$2:$AE$2&lt;=Portafolio!$B$5)*EXP(LN(Portafolio!$B$7)+Portafolio!$B$6*B3:AE3))/1000</f>
        <v>2.5509282759036</v>
      </c>
    </row>
    <row r="4" customFormat="false" ht="15" hidden="false" customHeight="false" outlineLevel="0" collapsed="false">
      <c r="A4" s="0" t="n">
        <v>2</v>
      </c>
      <c r="B4" s="0" t="n">
        <v>-1.4197</v>
      </c>
      <c r="C4" s="0" t="n">
        <v>-0.1714</v>
      </c>
      <c r="D4" s="0" t="n">
        <v>-1.4738</v>
      </c>
      <c r="E4" s="0" t="n">
        <v>0.0021</v>
      </c>
      <c r="F4" s="0" t="n">
        <v>-0.7786</v>
      </c>
      <c r="G4" s="0" t="n">
        <v>0.2139</v>
      </c>
      <c r="H4" s="0" t="n">
        <v>3.3003</v>
      </c>
      <c r="I4" s="0" t="n">
        <v>-0.0486</v>
      </c>
      <c r="J4" s="0" t="n">
        <v>0.8423</v>
      </c>
      <c r="K4" s="0" t="n">
        <v>-1.3233</v>
      </c>
      <c r="L4" s="0" t="n">
        <v>-0.2881</v>
      </c>
      <c r="M4" s="0" t="n">
        <v>0.6625</v>
      </c>
      <c r="N4" s="0" t="n">
        <v>-0.0927</v>
      </c>
      <c r="O4" s="0" t="n">
        <v>0.3702</v>
      </c>
      <c r="P4" s="0" t="n">
        <v>0.1033</v>
      </c>
      <c r="Q4" s="0" t="n">
        <v>-1.0061</v>
      </c>
      <c r="R4" s="0" t="n">
        <v>0.5637</v>
      </c>
      <c r="S4" s="0" t="n">
        <v>-0.812</v>
      </c>
      <c r="T4" s="0" t="n">
        <v>1.8718</v>
      </c>
      <c r="U4" s="0" t="n">
        <v>-0.5052</v>
      </c>
      <c r="V4" s="0" t="n">
        <v>0.6861</v>
      </c>
      <c r="W4" s="0" t="n">
        <v>0.0023</v>
      </c>
      <c r="X4" s="0" t="n">
        <v>0.9524</v>
      </c>
      <c r="Y4" s="0" t="n">
        <v>-0.6022</v>
      </c>
      <c r="Z4" s="0" t="n">
        <v>0.9989</v>
      </c>
      <c r="AA4" s="0" t="n">
        <v>-0.1239</v>
      </c>
      <c r="AB4" s="0" t="n">
        <v>1.2633</v>
      </c>
      <c r="AC4" s="0" t="n">
        <v>0.6242</v>
      </c>
      <c r="AD4" s="0" t="n">
        <v>0.1413</v>
      </c>
      <c r="AE4" s="0" t="n">
        <v>-0.7803</v>
      </c>
      <c r="AG4" s="9" t="n">
        <f aca="false">SUMPRODUCT(($B$2:$AE$2&lt;=Portafolio!$B$5)*EXP(LN(Portafolio!$B$7)+Portafolio!$B$6*B4:AE4))/1000</f>
        <v>2.67962005757126</v>
      </c>
    </row>
    <row r="5" customFormat="false" ht="15" hidden="false" customHeight="false" outlineLevel="0" collapsed="false">
      <c r="A5" s="0" t="n">
        <v>3</v>
      </c>
      <c r="B5" s="0" t="n">
        <v>0.7678</v>
      </c>
      <c r="C5" s="0" t="n">
        <v>0.4682</v>
      </c>
      <c r="D5" s="0" t="n">
        <v>1.6419</v>
      </c>
      <c r="E5" s="0" t="n">
        <v>-0.377</v>
      </c>
      <c r="F5" s="0" t="n">
        <v>0.5548</v>
      </c>
      <c r="G5" s="0" t="n">
        <v>0.5079</v>
      </c>
      <c r="H5" s="0" t="n">
        <v>0.283</v>
      </c>
      <c r="I5" s="0" t="n">
        <v>0.2084</v>
      </c>
      <c r="J5" s="0" t="n">
        <v>0.1821</v>
      </c>
      <c r="K5" s="0" t="n">
        <v>-0.5984</v>
      </c>
      <c r="L5" s="0" t="n">
        <v>-1.0145</v>
      </c>
      <c r="M5" s="0" t="n">
        <v>-0.3965</v>
      </c>
      <c r="N5" s="0" t="n">
        <v>0.5908</v>
      </c>
      <c r="O5" s="0" t="n">
        <v>1.5112</v>
      </c>
      <c r="P5" s="0" t="n">
        <v>0.9771</v>
      </c>
      <c r="Q5" s="0" t="n">
        <v>1.0533</v>
      </c>
      <c r="R5" s="0" t="n">
        <v>0.7773</v>
      </c>
      <c r="S5" s="0" t="n">
        <v>0.6985</v>
      </c>
      <c r="T5" s="0" t="n">
        <v>0.1834</v>
      </c>
      <c r="U5" s="0" t="n">
        <v>0.7715</v>
      </c>
      <c r="V5" s="0" t="n">
        <v>1.7737</v>
      </c>
      <c r="W5" s="0" t="n">
        <v>-0.3276</v>
      </c>
      <c r="X5" s="0" t="n">
        <v>-0.6938</v>
      </c>
      <c r="Y5" s="0" t="n">
        <v>1.9601</v>
      </c>
      <c r="Z5" s="0" t="n">
        <v>0.2447</v>
      </c>
      <c r="AA5" s="0" t="n">
        <v>0.971</v>
      </c>
      <c r="AB5" s="0" t="n">
        <v>0.8739</v>
      </c>
      <c r="AC5" s="0" t="n">
        <v>-1.1357</v>
      </c>
      <c r="AD5" s="0" t="n">
        <v>2.4335</v>
      </c>
      <c r="AE5" s="0" t="n">
        <v>1.7758</v>
      </c>
      <c r="AG5" s="9" t="n">
        <f aca="false">SUMPRODUCT(($B$2:$AE$2&lt;=Portafolio!$B$5)*EXP(LN(Portafolio!$B$7)+Portafolio!$B$6*B5:AE5))/1000</f>
        <v>2.80009111595806</v>
      </c>
    </row>
    <row r="6" customFormat="false" ht="15" hidden="false" customHeight="false" outlineLevel="0" collapsed="false">
      <c r="A6" s="0" t="n">
        <v>4</v>
      </c>
      <c r="B6" s="0" t="n">
        <v>0.1769</v>
      </c>
      <c r="C6" s="0" t="n">
        <v>0.7525</v>
      </c>
      <c r="D6" s="0" t="n">
        <v>0.1269</v>
      </c>
      <c r="E6" s="0" t="n">
        <v>-0.8842</v>
      </c>
      <c r="F6" s="0" t="n">
        <v>-0.1121</v>
      </c>
      <c r="G6" s="0" t="n">
        <v>0.374</v>
      </c>
      <c r="H6" s="0" t="n">
        <v>1.1158</v>
      </c>
      <c r="I6" s="0" t="n">
        <v>0.7093</v>
      </c>
      <c r="J6" s="0" t="n">
        <v>0.0595</v>
      </c>
      <c r="K6" s="0" t="n">
        <v>1.3548</v>
      </c>
      <c r="L6" s="0" t="n">
        <v>-0.7607</v>
      </c>
      <c r="M6" s="0" t="n">
        <v>0.7929</v>
      </c>
      <c r="N6" s="0" t="n">
        <v>1.1122</v>
      </c>
      <c r="O6" s="0" t="n">
        <v>-0.292</v>
      </c>
      <c r="P6" s="0" t="n">
        <v>-1.7906</v>
      </c>
      <c r="Q6" s="0" t="n">
        <v>-0.9063</v>
      </c>
      <c r="R6" s="0" t="n">
        <v>0.237</v>
      </c>
      <c r="S6" s="0" t="n">
        <v>0.5278</v>
      </c>
      <c r="T6" s="0" t="n">
        <v>1.5482</v>
      </c>
      <c r="U6" s="0" t="n">
        <v>-1.0042</v>
      </c>
      <c r="V6" s="0" t="n">
        <v>0.002</v>
      </c>
      <c r="W6" s="0" t="n">
        <v>0.6488</v>
      </c>
      <c r="X6" s="0" t="n">
        <v>-0.1577</v>
      </c>
      <c r="Y6" s="0" t="n">
        <v>-2.3697</v>
      </c>
      <c r="Z6" s="0" t="n">
        <v>0.8065</v>
      </c>
      <c r="AA6" s="0" t="n">
        <v>2.3123</v>
      </c>
      <c r="AB6" s="0" t="n">
        <v>1.0043</v>
      </c>
      <c r="AC6" s="0" t="n">
        <v>-0.9174</v>
      </c>
      <c r="AD6" s="0" t="n">
        <v>-0.4124</v>
      </c>
      <c r="AE6" s="0" t="n">
        <v>0.2218</v>
      </c>
      <c r="AG6" s="9" t="n">
        <f aca="false">SUMPRODUCT(($B$2:$AE$2&lt;=Portafolio!$B$5)*EXP(LN(Portafolio!$B$7)+Portafolio!$B$6*B6:AE6))/1000</f>
        <v>2.48687041015273</v>
      </c>
    </row>
    <row r="7" customFormat="false" ht="15" hidden="false" customHeight="false" outlineLevel="0" collapsed="false">
      <c r="A7" s="0" t="n">
        <v>5</v>
      </c>
      <c r="B7" s="0" t="n">
        <v>2.489</v>
      </c>
      <c r="C7" s="0" t="n">
        <v>0.6174</v>
      </c>
      <c r="D7" s="0" t="n">
        <v>0.1136</v>
      </c>
      <c r="E7" s="0" t="n">
        <v>1.5575</v>
      </c>
      <c r="F7" s="0" t="n">
        <v>-0.0817</v>
      </c>
      <c r="G7" s="0" t="n">
        <v>1.8614</v>
      </c>
      <c r="H7" s="0" t="n">
        <v>-0.685</v>
      </c>
      <c r="I7" s="0" t="n">
        <v>-0.4748</v>
      </c>
      <c r="J7" s="0" t="n">
        <v>0.7209</v>
      </c>
      <c r="K7" s="0" t="n">
        <v>1.4244</v>
      </c>
      <c r="L7" s="0" t="n">
        <v>0.6539</v>
      </c>
      <c r="M7" s="0" t="n">
        <v>0.3016</v>
      </c>
      <c r="N7" s="0" t="n">
        <v>-1.8216</v>
      </c>
      <c r="O7" s="0" t="n">
        <v>-0.7129</v>
      </c>
      <c r="P7" s="0" t="n">
        <v>-0.6106</v>
      </c>
      <c r="Q7" s="0" t="n">
        <v>-0.5336</v>
      </c>
      <c r="R7" s="0" t="n">
        <v>0.5864</v>
      </c>
      <c r="S7" s="0" t="n">
        <v>-0.3352</v>
      </c>
      <c r="T7" s="0" t="n">
        <v>0.7877</v>
      </c>
      <c r="U7" s="0" t="n">
        <v>0.0823</v>
      </c>
      <c r="V7" s="0" t="n">
        <v>-0.3328</v>
      </c>
      <c r="W7" s="0" t="n">
        <v>0.1182</v>
      </c>
      <c r="X7" s="0" t="n">
        <v>0.4288</v>
      </c>
      <c r="Y7" s="0" t="n">
        <v>0.8581</v>
      </c>
      <c r="Z7" s="0" t="n">
        <v>-0.4775</v>
      </c>
      <c r="AA7" s="0" t="n">
        <v>-0.2327</v>
      </c>
      <c r="AB7" s="0" t="n">
        <v>-1.3636</v>
      </c>
      <c r="AC7" s="0" t="n">
        <v>1.6038</v>
      </c>
      <c r="AD7" s="0" t="n">
        <v>1.4518</v>
      </c>
      <c r="AE7" s="0" t="n">
        <v>-0.1788</v>
      </c>
      <c r="AG7" s="9" t="n">
        <f aca="false">SUMPRODUCT(($B$2:$AE$2&lt;=Portafolio!$B$5)*EXP(LN(Portafolio!$B$7)+Portafolio!$B$6*B7:AE7))/1000</f>
        <v>2.8810793503951</v>
      </c>
    </row>
    <row r="8" customFormat="false" ht="15" hidden="false" customHeight="false" outlineLevel="0" collapsed="false">
      <c r="A8" s="0" t="n">
        <v>6</v>
      </c>
      <c r="B8" s="0" t="n">
        <v>-0.4784</v>
      </c>
      <c r="C8" s="0" t="n">
        <v>-1.2359</v>
      </c>
      <c r="D8" s="0" t="n">
        <v>0.1699</v>
      </c>
      <c r="E8" s="0" t="n">
        <v>0.2063</v>
      </c>
      <c r="F8" s="0" t="n">
        <v>2.1817</v>
      </c>
      <c r="G8" s="0" t="n">
        <v>0.2463</v>
      </c>
      <c r="H8" s="0" t="n">
        <v>-0.7779</v>
      </c>
      <c r="I8" s="0" t="n">
        <v>-2.4446</v>
      </c>
      <c r="J8" s="0" t="n">
        <v>1.4094</v>
      </c>
      <c r="K8" s="0" t="n">
        <v>0.1894</v>
      </c>
      <c r="L8" s="0" t="n">
        <v>-1.6093</v>
      </c>
      <c r="M8" s="0" t="n">
        <v>0.1804</v>
      </c>
      <c r="N8" s="0" t="n">
        <v>-1.6086</v>
      </c>
      <c r="O8" s="0" t="n">
        <v>3.4804</v>
      </c>
      <c r="P8" s="0" t="n">
        <v>1.1189</v>
      </c>
      <c r="Q8" s="0" t="n">
        <v>0.5725</v>
      </c>
      <c r="R8" s="0" t="n">
        <v>-0.1751</v>
      </c>
      <c r="S8" s="0" t="n">
        <v>-2.1397</v>
      </c>
      <c r="T8" s="0" t="n">
        <v>-0.1264</v>
      </c>
      <c r="U8" s="0" t="n">
        <v>-1.5546</v>
      </c>
      <c r="V8" s="0" t="n">
        <v>0.5962</v>
      </c>
      <c r="W8" s="0" t="n">
        <v>-2.1389</v>
      </c>
      <c r="X8" s="0" t="n">
        <v>-0.9077</v>
      </c>
      <c r="Y8" s="0" t="n">
        <v>1.2196</v>
      </c>
      <c r="Z8" s="0" t="n">
        <v>1.6439</v>
      </c>
      <c r="AA8" s="0" t="n">
        <v>-1.1812</v>
      </c>
      <c r="AB8" s="0" t="n">
        <v>-1.534</v>
      </c>
      <c r="AC8" s="0" t="n">
        <v>0.8794</v>
      </c>
      <c r="AD8" s="0" t="n">
        <v>0.8531</v>
      </c>
      <c r="AE8" s="0" t="n">
        <v>-0.9866</v>
      </c>
      <c r="AG8" s="9" t="n">
        <f aca="false">SUMPRODUCT(($B$2:$AE$2&lt;=Portafolio!$B$5)*EXP(LN(Portafolio!$B$7)+Portafolio!$B$6*B8:AE8))/1000</f>
        <v>2.84463859448071</v>
      </c>
    </row>
    <row r="9" customFormat="false" ht="15" hidden="false" customHeight="false" outlineLevel="0" collapsed="false">
      <c r="A9" s="0" t="n">
        <v>7</v>
      </c>
      <c r="B9" s="0" t="n">
        <v>-0.6943</v>
      </c>
      <c r="C9" s="0" t="n">
        <v>-0.694</v>
      </c>
      <c r="D9" s="0" t="n">
        <v>-1.1894</v>
      </c>
      <c r="E9" s="0" t="n">
        <v>-0.6802</v>
      </c>
      <c r="F9" s="0" t="n">
        <v>1.2507</v>
      </c>
      <c r="G9" s="0" t="n">
        <v>0.6897</v>
      </c>
      <c r="H9" s="0" t="n">
        <v>2.0566</v>
      </c>
      <c r="I9" s="0" t="n">
        <v>-0.0863</v>
      </c>
      <c r="J9" s="0" t="n">
        <v>-0.1354</v>
      </c>
      <c r="K9" s="0" t="n">
        <v>-0.9824</v>
      </c>
      <c r="L9" s="0" t="n">
        <v>-0.1238</v>
      </c>
      <c r="M9" s="0" t="n">
        <v>-1.3131</v>
      </c>
      <c r="N9" s="0" t="n">
        <v>-1.7774</v>
      </c>
      <c r="O9" s="0" t="n">
        <v>0.697</v>
      </c>
      <c r="P9" s="0" t="n">
        <v>1.4401</v>
      </c>
      <c r="Q9" s="0" t="n">
        <v>0.8369</v>
      </c>
      <c r="R9" s="0" t="n">
        <v>1.3324</v>
      </c>
      <c r="S9" s="0" t="n">
        <v>0.2523</v>
      </c>
      <c r="T9" s="0" t="n">
        <v>-0.7182</v>
      </c>
      <c r="U9" s="0" t="n">
        <v>0.0863</v>
      </c>
      <c r="V9" s="0" t="n">
        <v>-0.374</v>
      </c>
      <c r="W9" s="0" t="n">
        <v>-1.1115</v>
      </c>
      <c r="X9" s="0" t="n">
        <v>-1.6925</v>
      </c>
      <c r="Y9" s="0" t="n">
        <v>-1.4828</v>
      </c>
      <c r="Z9" s="0" t="n">
        <v>-0.0055</v>
      </c>
      <c r="AA9" s="0" t="n">
        <v>0.1507</v>
      </c>
      <c r="AB9" s="0" t="n">
        <v>-0.4746</v>
      </c>
      <c r="AC9" s="0" t="n">
        <v>1.429</v>
      </c>
      <c r="AD9" s="0" t="n">
        <v>0.179</v>
      </c>
      <c r="AE9" s="0" t="n">
        <v>0.5828</v>
      </c>
      <c r="AG9" s="9" t="n">
        <f aca="false">SUMPRODUCT(($B$2:$AE$2&lt;=Portafolio!$B$5)*EXP(LN(Portafolio!$B$7)+Portafolio!$B$6*B9:AE9))/1000</f>
        <v>2.4327399326427</v>
      </c>
    </row>
    <row r="10" customFormat="false" ht="15" hidden="false" customHeight="false" outlineLevel="0" collapsed="false">
      <c r="A10" s="0" t="n">
        <v>8</v>
      </c>
      <c r="B10" s="0" t="n">
        <v>1.2186</v>
      </c>
      <c r="C10" s="0" t="n">
        <v>-0.8201</v>
      </c>
      <c r="D10" s="0" t="n">
        <v>-1.9698</v>
      </c>
      <c r="E10" s="0" t="n">
        <v>0.7524</v>
      </c>
      <c r="F10" s="0" t="n">
        <v>-0.6884</v>
      </c>
      <c r="G10" s="0" t="n">
        <v>1.311</v>
      </c>
      <c r="H10" s="0" t="n">
        <v>0.3376</v>
      </c>
      <c r="I10" s="0" t="n">
        <v>1.0067</v>
      </c>
      <c r="J10" s="0" t="n">
        <v>0.7637</v>
      </c>
      <c r="K10" s="0" t="n">
        <v>-2.0806</v>
      </c>
      <c r="L10" s="0" t="n">
        <v>0.7192</v>
      </c>
      <c r="M10" s="0" t="n">
        <v>-0.6731</v>
      </c>
      <c r="N10" s="0" t="n">
        <v>-0.7561</v>
      </c>
      <c r="O10" s="0" t="n">
        <v>-0.4351</v>
      </c>
      <c r="P10" s="0" t="n">
        <v>0.7682</v>
      </c>
      <c r="Q10" s="0" t="n">
        <v>0.8844</v>
      </c>
      <c r="R10" s="0" t="n">
        <v>1.0113</v>
      </c>
      <c r="S10" s="0" t="n">
        <v>-1.6597</v>
      </c>
      <c r="T10" s="0" t="n">
        <v>-0.5906</v>
      </c>
      <c r="U10" s="0" t="n">
        <v>-2.3754</v>
      </c>
      <c r="V10" s="0" t="n">
        <v>-0.102</v>
      </c>
      <c r="W10" s="0" t="n">
        <v>0.6001</v>
      </c>
      <c r="X10" s="0" t="n">
        <v>-0.764</v>
      </c>
      <c r="Y10" s="0" t="n">
        <v>0.2448</v>
      </c>
      <c r="Z10" s="0" t="n">
        <v>0.2314</v>
      </c>
      <c r="AA10" s="0" t="n">
        <v>1.0076</v>
      </c>
      <c r="AB10" s="0" t="n">
        <v>-0.8214</v>
      </c>
      <c r="AC10" s="0" t="n">
        <v>-0.829</v>
      </c>
      <c r="AD10" s="0" t="n">
        <v>-0.7633</v>
      </c>
      <c r="AE10" s="0" t="n">
        <v>1.7526</v>
      </c>
      <c r="AG10" s="9" t="n">
        <f aca="false">SUMPRODUCT(($B$2:$AE$2&lt;=Portafolio!$B$5)*EXP(LN(Portafolio!$B$7)+Portafolio!$B$6*B10:AE10))/1000</f>
        <v>2.2390333014518</v>
      </c>
    </row>
    <row r="11" customFormat="false" ht="15" hidden="false" customHeight="false" outlineLevel="0" collapsed="false">
      <c r="A11" s="0" t="n">
        <v>9</v>
      </c>
      <c r="B11" s="0" t="n">
        <v>1.0906</v>
      </c>
      <c r="C11" s="0" t="n">
        <v>-0.1236</v>
      </c>
      <c r="D11" s="0" t="n">
        <v>0.2256</v>
      </c>
      <c r="E11" s="0" t="n">
        <v>0.1144</v>
      </c>
      <c r="F11" s="0" t="n">
        <v>0.203</v>
      </c>
      <c r="G11" s="0" t="n">
        <v>-0.2086</v>
      </c>
      <c r="H11" s="0" t="n">
        <v>-0.3342</v>
      </c>
      <c r="I11" s="0" t="n">
        <v>-1.2566</v>
      </c>
      <c r="J11" s="0" t="n">
        <v>-0.6418</v>
      </c>
      <c r="K11" s="0" t="n">
        <v>1.6504</v>
      </c>
      <c r="L11" s="0" t="n">
        <v>0.5366</v>
      </c>
      <c r="M11" s="0" t="n">
        <v>0.0648</v>
      </c>
      <c r="N11" s="0" t="n">
        <v>-0.2148</v>
      </c>
      <c r="O11" s="0" t="n">
        <v>0.0627</v>
      </c>
      <c r="P11" s="0" t="n">
        <v>0.3533</v>
      </c>
      <c r="Q11" s="0" t="n">
        <v>-0.6459</v>
      </c>
      <c r="R11" s="0" t="n">
        <v>0.1963</v>
      </c>
      <c r="S11" s="0" t="n">
        <v>0.24</v>
      </c>
      <c r="T11" s="0" t="n">
        <v>-0.7486</v>
      </c>
      <c r="U11" s="0" t="n">
        <v>-0.789</v>
      </c>
      <c r="V11" s="0" t="n">
        <v>-0.999</v>
      </c>
      <c r="W11" s="0" t="n">
        <v>-1.0633</v>
      </c>
      <c r="X11" s="0" t="n">
        <v>0.8899</v>
      </c>
      <c r="Y11" s="0" t="n">
        <v>-2.3602</v>
      </c>
      <c r="Z11" s="0" t="n">
        <v>-0.2668</v>
      </c>
      <c r="AA11" s="0" t="n">
        <v>-0.6111</v>
      </c>
      <c r="AB11" s="0" t="n">
        <v>-0.6198</v>
      </c>
      <c r="AC11" s="0" t="n">
        <v>0.0976</v>
      </c>
      <c r="AD11" s="0" t="n">
        <v>1.1279</v>
      </c>
      <c r="AE11" s="0" t="n">
        <v>0.0764</v>
      </c>
      <c r="AG11" s="9" t="n">
        <f aca="false">SUMPRODUCT(($B$2:$AE$2&lt;=Portafolio!$B$5)*EXP(LN(Portafolio!$B$7)+Portafolio!$B$6*B11:AE11))/1000</f>
        <v>2.15340632649947</v>
      </c>
    </row>
    <row r="12" customFormat="false" ht="15" hidden="false" customHeight="false" outlineLevel="0" collapsed="false">
      <c r="A12" s="0" t="n">
        <v>10</v>
      </c>
      <c r="B12" s="0" t="n">
        <v>-0.1402</v>
      </c>
      <c r="C12" s="0" t="n">
        <v>-0.6124</v>
      </c>
      <c r="D12" s="0" t="n">
        <v>-0.129</v>
      </c>
      <c r="E12" s="0" t="n">
        <v>0.9121</v>
      </c>
      <c r="F12" s="0" t="n">
        <v>-0.394</v>
      </c>
      <c r="G12" s="0" t="n">
        <v>-1.1465</v>
      </c>
      <c r="H12" s="0" t="n">
        <v>-1.2641</v>
      </c>
      <c r="I12" s="0" t="n">
        <v>-1.1067</v>
      </c>
      <c r="J12" s="0" t="n">
        <v>-1.3899</v>
      </c>
      <c r="K12" s="0" t="n">
        <v>1.099</v>
      </c>
      <c r="L12" s="0" t="n">
        <v>0.3552</v>
      </c>
      <c r="M12" s="0" t="n">
        <v>-0.2374</v>
      </c>
      <c r="N12" s="0" t="n">
        <v>1.4595</v>
      </c>
      <c r="O12" s="0" t="n">
        <v>-0.6579</v>
      </c>
      <c r="P12" s="0" t="n">
        <v>0.753</v>
      </c>
      <c r="Q12" s="0" t="n">
        <v>0.801</v>
      </c>
      <c r="R12" s="0" t="n">
        <v>-1.5463</v>
      </c>
      <c r="S12" s="0" t="n">
        <v>-1.557</v>
      </c>
      <c r="T12" s="0" t="n">
        <v>-0.9275</v>
      </c>
      <c r="U12" s="0" t="n">
        <v>0.9067</v>
      </c>
      <c r="V12" s="0" t="n">
        <v>1.2961</v>
      </c>
      <c r="W12" s="0" t="n">
        <v>-1.2276</v>
      </c>
      <c r="X12" s="0" t="n">
        <v>1.0485</v>
      </c>
      <c r="Y12" s="0" t="n">
        <v>-0.383</v>
      </c>
      <c r="Z12" s="0" t="n">
        <v>-0.3935</v>
      </c>
      <c r="AA12" s="0" t="n">
        <v>-0.5511</v>
      </c>
      <c r="AB12" s="0" t="n">
        <v>-0.324</v>
      </c>
      <c r="AC12" s="0" t="n">
        <v>-1.8183</v>
      </c>
      <c r="AD12" s="0" t="n">
        <v>-1.0012</v>
      </c>
      <c r="AE12" s="0" t="n">
        <v>-1.2356</v>
      </c>
      <c r="AG12" s="9" t="n">
        <f aca="false">SUMPRODUCT(($B$2:$AE$2&lt;=Portafolio!$B$5)*EXP(LN(Portafolio!$B$7)+Portafolio!$B$6*B12:AE12))/1000</f>
        <v>2.03609091032712</v>
      </c>
    </row>
    <row r="13" customFormat="false" ht="15" hidden="false" customHeight="false" outlineLevel="0" collapsed="false">
      <c r="A13" s="0" t="n">
        <v>11</v>
      </c>
      <c r="B13" s="0" t="n">
        <v>0.4905</v>
      </c>
      <c r="C13" s="0" t="n">
        <v>2.0891</v>
      </c>
      <c r="D13" s="0" t="n">
        <v>2.7318</v>
      </c>
      <c r="E13" s="0" t="n">
        <v>-0.3365</v>
      </c>
      <c r="F13" s="0" t="n">
        <v>-1.7214</v>
      </c>
      <c r="G13" s="0" t="n">
        <v>-0.4071</v>
      </c>
      <c r="H13" s="0" t="n">
        <v>-0.9393</v>
      </c>
      <c r="I13" s="0" t="n">
        <v>1.9833</v>
      </c>
      <c r="J13" s="0" t="n">
        <v>0.571</v>
      </c>
      <c r="K13" s="0" t="n">
        <v>-0.7287</v>
      </c>
      <c r="L13" s="0" t="n">
        <v>0.9358</v>
      </c>
      <c r="M13" s="0" t="n">
        <v>0.5359</v>
      </c>
      <c r="N13" s="0" t="n">
        <v>-1.6253</v>
      </c>
      <c r="O13" s="0" t="n">
        <v>-0.5315</v>
      </c>
      <c r="P13" s="0" t="n">
        <v>-0.2393</v>
      </c>
      <c r="Q13" s="0" t="n">
        <v>0.0189</v>
      </c>
      <c r="R13" s="0" t="n">
        <v>0.1321</v>
      </c>
      <c r="S13" s="0" t="n">
        <v>-0.339</v>
      </c>
      <c r="T13" s="0" t="n">
        <v>0.1899</v>
      </c>
      <c r="U13" s="0" t="n">
        <v>-0.5862</v>
      </c>
      <c r="V13" s="0" t="n">
        <v>-0.8965</v>
      </c>
      <c r="W13" s="0" t="n">
        <v>1.5158</v>
      </c>
      <c r="X13" s="0" t="n">
        <v>0.3603</v>
      </c>
      <c r="Y13" s="0" t="n">
        <v>0.4383</v>
      </c>
      <c r="Z13" s="0" t="n">
        <v>-1.595</v>
      </c>
      <c r="AA13" s="0" t="n">
        <v>-0.1662</v>
      </c>
      <c r="AB13" s="0" t="n">
        <v>0.8192</v>
      </c>
      <c r="AC13" s="0" t="n">
        <v>-1.2912</v>
      </c>
      <c r="AD13" s="0" t="n">
        <v>1.0978</v>
      </c>
      <c r="AE13" s="0" t="n">
        <v>-0.3894</v>
      </c>
      <c r="AG13" s="9" t="n">
        <f aca="false">SUMPRODUCT(($B$2:$AE$2&lt;=Portafolio!$B$5)*EXP(LN(Portafolio!$B$7)+Portafolio!$B$6*B13:AE13))/1000</f>
        <v>2.76989726003497</v>
      </c>
    </row>
    <row r="14" customFormat="false" ht="15" hidden="false" customHeight="false" outlineLevel="0" collapsed="false">
      <c r="A14" s="0" t="n">
        <v>12</v>
      </c>
      <c r="B14" s="0" t="n">
        <v>0.4027</v>
      </c>
      <c r="C14" s="0" t="n">
        <v>-0.1332</v>
      </c>
      <c r="D14" s="0" t="n">
        <v>0.2185</v>
      </c>
      <c r="E14" s="0" t="n">
        <v>1.2034</v>
      </c>
      <c r="F14" s="0" t="n">
        <v>-0.4034</v>
      </c>
      <c r="G14" s="0" t="n">
        <v>1.5644</v>
      </c>
      <c r="H14" s="0" t="n">
        <v>-0.782</v>
      </c>
      <c r="I14" s="0" t="n">
        <v>-0.9317</v>
      </c>
      <c r="J14" s="0" t="n">
        <v>0.711</v>
      </c>
      <c r="K14" s="0" t="n">
        <v>-1.066</v>
      </c>
      <c r="L14" s="0" t="n">
        <v>-0.3704</v>
      </c>
      <c r="M14" s="0" t="n">
        <v>0.9071</v>
      </c>
      <c r="N14" s="0" t="n">
        <v>1.2105</v>
      </c>
      <c r="O14" s="0" t="n">
        <v>-1.7749</v>
      </c>
      <c r="P14" s="0" t="n">
        <v>0.5059</v>
      </c>
      <c r="Q14" s="0" t="n">
        <v>1.8838</v>
      </c>
      <c r="R14" s="0" t="n">
        <v>1.195</v>
      </c>
      <c r="S14" s="0" t="n">
        <v>-0.2401</v>
      </c>
      <c r="T14" s="0" t="n">
        <v>-0.6006</v>
      </c>
      <c r="U14" s="0" t="n">
        <v>-0.2965</v>
      </c>
      <c r="V14" s="0" t="n">
        <v>-1.1528</v>
      </c>
      <c r="W14" s="0" t="n">
        <v>-0.2646</v>
      </c>
      <c r="X14" s="0" t="n">
        <v>-0.1873</v>
      </c>
      <c r="Y14" s="0" t="n">
        <v>-0.1457</v>
      </c>
      <c r="Z14" s="0" t="n">
        <v>1.1826</v>
      </c>
      <c r="AA14" s="0" t="n">
        <v>-0.2302</v>
      </c>
      <c r="AB14" s="0" t="n">
        <v>-1.4578</v>
      </c>
      <c r="AC14" s="0" t="n">
        <v>1.051</v>
      </c>
      <c r="AD14" s="0" t="n">
        <v>-1.0727</v>
      </c>
      <c r="AE14" s="0" t="n">
        <v>-0.4472</v>
      </c>
      <c r="AG14" s="9" t="n">
        <f aca="false">SUMPRODUCT(($B$2:$AE$2&lt;=Portafolio!$B$5)*EXP(LN(Portafolio!$B$7)+Portafolio!$B$6*B14:AE14))/1000</f>
        <v>2.58295092439004</v>
      </c>
    </row>
    <row r="15" customFormat="false" ht="15" hidden="false" customHeight="false" outlineLevel="0" collapsed="false">
      <c r="A15" s="0" t="n">
        <v>13</v>
      </c>
      <c r="B15" s="0" t="n">
        <v>-0.1338</v>
      </c>
      <c r="C15" s="0" t="n">
        <v>-0.3442</v>
      </c>
      <c r="D15" s="0" t="n">
        <v>-1.0031</v>
      </c>
      <c r="E15" s="0" t="n">
        <v>-0.2489</v>
      </c>
      <c r="F15" s="0" t="n">
        <v>2.1841</v>
      </c>
      <c r="G15" s="0" t="n">
        <v>-0.6069</v>
      </c>
      <c r="H15" s="0" t="n">
        <v>-0.1363</v>
      </c>
      <c r="I15" s="0" t="n">
        <v>1.1239</v>
      </c>
      <c r="J15" s="0" t="n">
        <v>0.7447</v>
      </c>
      <c r="K15" s="0" t="n">
        <v>0.7633</v>
      </c>
      <c r="L15" s="0" t="n">
        <v>0.8622</v>
      </c>
      <c r="M15" s="0" t="n">
        <v>-1.968</v>
      </c>
      <c r="N15" s="0" t="n">
        <v>-0.8641</v>
      </c>
      <c r="O15" s="0" t="n">
        <v>0.1283</v>
      </c>
      <c r="P15" s="0" t="n">
        <v>0.4989</v>
      </c>
      <c r="Q15" s="0" t="n">
        <v>1.2943</v>
      </c>
      <c r="R15" s="0" t="n">
        <v>0.4696</v>
      </c>
      <c r="S15" s="0" t="n">
        <v>-0.2383</v>
      </c>
      <c r="T15" s="0" t="n">
        <v>0.0393</v>
      </c>
      <c r="U15" s="0" t="n">
        <v>-0.2111</v>
      </c>
      <c r="V15" s="0" t="n">
        <v>0.247</v>
      </c>
      <c r="W15" s="0" t="n">
        <v>0.6742</v>
      </c>
      <c r="X15" s="0" t="n">
        <v>-0.3398</v>
      </c>
      <c r="Y15" s="0" t="n">
        <v>-0.8136</v>
      </c>
      <c r="Z15" s="0" t="n">
        <v>-0.8547</v>
      </c>
      <c r="AA15" s="0" t="n">
        <v>1.097</v>
      </c>
      <c r="AB15" s="0" t="n">
        <v>1.281</v>
      </c>
      <c r="AC15" s="0" t="n">
        <v>0.9922</v>
      </c>
      <c r="AD15" s="0" t="n">
        <v>0.8569</v>
      </c>
      <c r="AE15" s="0" t="n">
        <v>0.8333</v>
      </c>
      <c r="AG15" s="9" t="n">
        <f aca="false">SUMPRODUCT(($B$2:$AE$2&lt;=Portafolio!$B$5)*EXP(LN(Portafolio!$B$7)+Portafolio!$B$6*B15:AE15))/1000</f>
        <v>2.48565649307066</v>
      </c>
    </row>
    <row r="16" customFormat="false" ht="15" hidden="false" customHeight="false" outlineLevel="0" collapsed="false">
      <c r="A16" s="0" t="n">
        <v>14</v>
      </c>
      <c r="B16" s="0" t="n">
        <v>-0.0023</v>
      </c>
      <c r="C16" s="0" t="n">
        <v>0.6638</v>
      </c>
      <c r="D16" s="0" t="n">
        <v>-1.0521</v>
      </c>
      <c r="E16" s="0" t="n">
        <v>-0.2031</v>
      </c>
      <c r="F16" s="0" t="n">
        <v>-0.7337</v>
      </c>
      <c r="G16" s="0" t="n">
        <v>0.727</v>
      </c>
      <c r="H16" s="0" t="n">
        <v>-0.58</v>
      </c>
      <c r="I16" s="0" t="n">
        <v>-0.1082</v>
      </c>
      <c r="J16" s="0" t="n">
        <v>0.4004</v>
      </c>
      <c r="K16" s="0" t="n">
        <v>1.3547</v>
      </c>
      <c r="L16" s="0" t="n">
        <v>-0.7919</v>
      </c>
      <c r="M16" s="0" t="n">
        <v>-0.9387</v>
      </c>
      <c r="N16" s="0" t="n">
        <v>0.8173</v>
      </c>
      <c r="O16" s="0" t="n">
        <v>-1.1064</v>
      </c>
      <c r="P16" s="0" t="n">
        <v>0.4524</v>
      </c>
      <c r="Q16" s="0" t="n">
        <v>-0.5701</v>
      </c>
      <c r="R16" s="0" t="n">
        <v>-0.1057</v>
      </c>
      <c r="S16" s="0" t="n">
        <v>-1.8209</v>
      </c>
      <c r="T16" s="0" t="n">
        <v>0.7134</v>
      </c>
      <c r="U16" s="0" t="n">
        <v>-0.5002</v>
      </c>
      <c r="V16" s="0" t="n">
        <v>-0.8987</v>
      </c>
      <c r="W16" s="0" t="n">
        <v>2.0771</v>
      </c>
      <c r="X16" s="0" t="n">
        <v>0.7118</v>
      </c>
      <c r="Y16" s="0" t="n">
        <v>3.5088</v>
      </c>
      <c r="Z16" s="0" t="n">
        <v>0.4079</v>
      </c>
      <c r="AA16" s="0" t="n">
        <v>-0.3482</v>
      </c>
      <c r="AB16" s="0" t="n">
        <v>0.1077</v>
      </c>
      <c r="AC16" s="0" t="n">
        <v>1.6068</v>
      </c>
      <c r="AD16" s="0" t="n">
        <v>-0.0269</v>
      </c>
      <c r="AE16" s="0" t="n">
        <v>0.451</v>
      </c>
      <c r="AG16" s="9" t="n">
        <f aca="false">SUMPRODUCT(($B$2:$AE$2&lt;=Portafolio!$B$5)*EXP(LN(Portafolio!$B$7)+Portafolio!$B$6*B16:AE16))/1000</f>
        <v>2.01748649619479</v>
      </c>
    </row>
    <row r="17" customFormat="false" ht="15" hidden="false" customHeight="false" outlineLevel="0" collapsed="false">
      <c r="A17" s="0" t="n">
        <v>15</v>
      </c>
      <c r="B17" s="0" t="n">
        <v>0.5166</v>
      </c>
      <c r="C17" s="0" t="n">
        <v>-0.9101</v>
      </c>
      <c r="D17" s="0" t="n">
        <v>0.1289</v>
      </c>
      <c r="E17" s="0" t="n">
        <v>-0.5027</v>
      </c>
      <c r="F17" s="0" t="n">
        <v>-1.2455</v>
      </c>
      <c r="G17" s="0" t="n">
        <v>0.8721</v>
      </c>
      <c r="H17" s="0" t="n">
        <v>0.6656</v>
      </c>
      <c r="I17" s="0" t="n">
        <v>0.0746</v>
      </c>
      <c r="J17" s="0" t="n">
        <v>-0.9074</v>
      </c>
      <c r="K17" s="0" t="n">
        <v>-2.0058</v>
      </c>
      <c r="L17" s="0" t="n">
        <v>0.4855</v>
      </c>
      <c r="M17" s="0" t="n">
        <v>-0.0978</v>
      </c>
      <c r="N17" s="0" t="n">
        <v>-1.6838</v>
      </c>
      <c r="O17" s="0" t="n">
        <v>-0.0601</v>
      </c>
      <c r="P17" s="0" t="n">
        <v>-1.5212</v>
      </c>
      <c r="Q17" s="0" t="n">
        <v>-0.0266</v>
      </c>
      <c r="R17" s="0" t="n">
        <v>0.143</v>
      </c>
      <c r="S17" s="0" t="n">
        <v>0.3548</v>
      </c>
      <c r="T17" s="0" t="n">
        <v>0.217</v>
      </c>
      <c r="U17" s="0" t="n">
        <v>0.1709</v>
      </c>
      <c r="V17" s="0" t="n">
        <v>-1.1399</v>
      </c>
      <c r="W17" s="0" t="n">
        <v>-0.3836</v>
      </c>
      <c r="X17" s="0" t="n">
        <v>-0.5113</v>
      </c>
      <c r="Y17" s="0" t="n">
        <v>-0.2357</v>
      </c>
      <c r="Z17" s="0" t="n">
        <v>0.27</v>
      </c>
      <c r="AA17" s="0" t="n">
        <v>0.619</v>
      </c>
      <c r="AB17" s="0" t="n">
        <v>1.635</v>
      </c>
      <c r="AC17" s="0" t="n">
        <v>-2.5687</v>
      </c>
      <c r="AD17" s="0" t="n">
        <v>0.401</v>
      </c>
      <c r="AE17" s="0" t="n">
        <v>-0.1984</v>
      </c>
      <c r="AG17" s="9" t="n">
        <f aca="false">SUMPRODUCT(($B$2:$AE$2&lt;=Portafolio!$B$5)*EXP(LN(Portafolio!$B$7)+Portafolio!$B$6*B17:AE17))/1000</f>
        <v>1.89100854632098</v>
      </c>
    </row>
    <row r="18" customFormat="false" ht="15" hidden="false" customHeight="false" outlineLevel="0" collapsed="false">
      <c r="A18" s="0" t="n">
        <v>16</v>
      </c>
      <c r="B18" s="0" t="n">
        <v>2.2761</v>
      </c>
      <c r="C18" s="0" t="n">
        <v>0.9335</v>
      </c>
      <c r="D18" s="0" t="n">
        <v>-1.6531</v>
      </c>
      <c r="E18" s="0" t="n">
        <v>0.4016</v>
      </c>
      <c r="F18" s="0" t="n">
        <v>-0.5207</v>
      </c>
      <c r="G18" s="0" t="n">
        <v>0.9936</v>
      </c>
      <c r="H18" s="0" t="n">
        <v>-1.0555</v>
      </c>
      <c r="I18" s="0" t="n">
        <v>-0.1017</v>
      </c>
      <c r="J18" s="0" t="n">
        <v>-0.1316</v>
      </c>
      <c r="K18" s="0" t="n">
        <v>-0.0968</v>
      </c>
      <c r="L18" s="0" t="n">
        <v>-0.5841</v>
      </c>
      <c r="M18" s="0" t="n">
        <v>-1.8379</v>
      </c>
      <c r="N18" s="0" t="n">
        <v>0.4604</v>
      </c>
      <c r="O18" s="0" t="n">
        <v>0.9991</v>
      </c>
      <c r="P18" s="0" t="n">
        <v>-0.0683</v>
      </c>
      <c r="Q18" s="0" t="n">
        <v>-1.0172</v>
      </c>
      <c r="R18" s="0" t="n">
        <v>0.203</v>
      </c>
      <c r="S18" s="0" t="n">
        <v>0.5653</v>
      </c>
      <c r="T18" s="0" t="n">
        <v>-0.1757</v>
      </c>
      <c r="U18" s="0" t="n">
        <v>-0.0139</v>
      </c>
      <c r="V18" s="0" t="n">
        <v>1.4087</v>
      </c>
      <c r="W18" s="0" t="n">
        <v>-1.1187</v>
      </c>
      <c r="X18" s="0" t="n">
        <v>-0.5579</v>
      </c>
      <c r="Y18" s="0" t="n">
        <v>-1.9056</v>
      </c>
      <c r="Z18" s="0" t="n">
        <v>-0.6999</v>
      </c>
      <c r="AA18" s="0" t="n">
        <v>-0.7395</v>
      </c>
      <c r="AB18" s="0" t="n">
        <v>-0.9602</v>
      </c>
      <c r="AC18" s="0" t="n">
        <v>-0.694</v>
      </c>
      <c r="AD18" s="0" t="n">
        <v>1.797</v>
      </c>
      <c r="AE18" s="0" t="n">
        <v>-0.1963</v>
      </c>
      <c r="AG18" s="9" t="n">
        <f aca="false">SUMPRODUCT(($B$2:$AE$2&lt;=Portafolio!$B$5)*EXP(LN(Portafolio!$B$7)+Portafolio!$B$6*B18:AE18))/1000</f>
        <v>2.33022288080437</v>
      </c>
    </row>
    <row r="19" customFormat="false" ht="15" hidden="false" customHeight="false" outlineLevel="0" collapsed="false">
      <c r="A19" s="0" t="n">
        <v>17</v>
      </c>
      <c r="B19" s="0" t="n">
        <v>-0.1142</v>
      </c>
      <c r="C19" s="0" t="n">
        <v>2.1982</v>
      </c>
      <c r="D19" s="0" t="n">
        <v>-0.0607</v>
      </c>
      <c r="E19" s="0" t="n">
        <v>-1.7339</v>
      </c>
      <c r="F19" s="0" t="n">
        <v>0.403</v>
      </c>
      <c r="G19" s="0" t="n">
        <v>-0.9371</v>
      </c>
      <c r="H19" s="0" t="n">
        <v>1.6388</v>
      </c>
      <c r="I19" s="0" t="n">
        <v>-1.2459</v>
      </c>
      <c r="J19" s="0" t="n">
        <v>-0.5804</v>
      </c>
      <c r="K19" s="0" t="n">
        <v>-1.6059</v>
      </c>
      <c r="L19" s="0" t="n">
        <v>0.0975</v>
      </c>
      <c r="M19" s="0" t="n">
        <v>-1.0156</v>
      </c>
      <c r="N19" s="0" t="n">
        <v>-0.0654</v>
      </c>
      <c r="O19" s="0" t="n">
        <v>-0.3769</v>
      </c>
      <c r="P19" s="0" t="n">
        <v>-0.613</v>
      </c>
      <c r="Q19" s="0" t="n">
        <v>0.9432</v>
      </c>
      <c r="R19" s="0" t="n">
        <v>0.9355</v>
      </c>
      <c r="S19" s="0" t="n">
        <v>0.0624</v>
      </c>
      <c r="T19" s="0" t="n">
        <v>-0.9003</v>
      </c>
      <c r="U19" s="0" t="n">
        <v>-1.0705</v>
      </c>
      <c r="V19" s="0" t="n">
        <v>0.2699</v>
      </c>
      <c r="W19" s="0" t="n">
        <v>2.3909</v>
      </c>
      <c r="X19" s="0" t="n">
        <v>-0.4568</v>
      </c>
      <c r="Y19" s="0" t="n">
        <v>-0.7847</v>
      </c>
      <c r="Z19" s="0" t="n">
        <v>-0.6974</v>
      </c>
      <c r="AA19" s="0" t="n">
        <v>-1.0953</v>
      </c>
      <c r="AB19" s="0" t="n">
        <v>-0.9722</v>
      </c>
      <c r="AC19" s="0" t="n">
        <v>-0.205</v>
      </c>
      <c r="AD19" s="0" t="n">
        <v>1.4339</v>
      </c>
      <c r="AE19" s="0" t="n">
        <v>-0.001</v>
      </c>
      <c r="AG19" s="9" t="n">
        <f aca="false">SUMPRODUCT(($B$2:$AE$2&lt;=Portafolio!$B$5)*EXP(LN(Portafolio!$B$7)+Portafolio!$B$6*B19:AE19))/1000</f>
        <v>2.17846104084736</v>
      </c>
    </row>
    <row r="20" customFormat="false" ht="15" hidden="false" customHeight="false" outlineLevel="0" collapsed="false">
      <c r="A20" s="0" t="n">
        <v>18</v>
      </c>
      <c r="B20" s="0" t="n">
        <v>-0.5107</v>
      </c>
      <c r="C20" s="0" t="n">
        <v>-1.6149</v>
      </c>
      <c r="D20" s="0" t="n">
        <v>0.2132</v>
      </c>
      <c r="E20" s="0" t="n">
        <v>-0.0268</v>
      </c>
      <c r="F20" s="0" t="n">
        <v>-1.2264</v>
      </c>
      <c r="G20" s="0" t="n">
        <v>-1.0867</v>
      </c>
      <c r="H20" s="0" t="n">
        <v>-0.0422</v>
      </c>
      <c r="I20" s="0" t="n">
        <v>1.0125</v>
      </c>
      <c r="J20" s="0" t="n">
        <v>0.6266</v>
      </c>
      <c r="K20" s="0" t="n">
        <v>0.2056</v>
      </c>
      <c r="L20" s="0" t="n">
        <v>-0.3233</v>
      </c>
      <c r="M20" s="0" t="n">
        <v>0.3206</v>
      </c>
      <c r="N20" s="0" t="n">
        <v>-0.0121</v>
      </c>
      <c r="O20" s="0" t="n">
        <v>2.1728</v>
      </c>
      <c r="P20" s="0" t="n">
        <v>-1.1323</v>
      </c>
      <c r="Q20" s="0" t="n">
        <v>-0.3684</v>
      </c>
      <c r="R20" s="0" t="n">
        <v>1.2681</v>
      </c>
      <c r="S20" s="0" t="n">
        <v>-0.2656</v>
      </c>
      <c r="T20" s="0" t="n">
        <v>1.4249</v>
      </c>
      <c r="U20" s="0" t="n">
        <v>-0.0438</v>
      </c>
      <c r="V20" s="0" t="n">
        <v>0.1455</v>
      </c>
      <c r="W20" s="0" t="n">
        <v>-0.3706</v>
      </c>
      <c r="X20" s="0" t="n">
        <v>-1.3805</v>
      </c>
      <c r="Y20" s="0" t="n">
        <v>-0.9707</v>
      </c>
      <c r="Z20" s="0" t="n">
        <v>2.2151</v>
      </c>
      <c r="AA20" s="0" t="n">
        <v>0.6453</v>
      </c>
      <c r="AB20" s="0" t="n">
        <v>0.6058</v>
      </c>
      <c r="AC20" s="0" t="n">
        <v>0.9536</v>
      </c>
      <c r="AD20" s="0" t="n">
        <v>0.5692</v>
      </c>
      <c r="AE20" s="0" t="n">
        <v>1.022</v>
      </c>
      <c r="AG20" s="9" t="n">
        <f aca="false">SUMPRODUCT(($B$2:$AE$2&lt;=Portafolio!$B$5)*EXP(LN(Portafolio!$B$7)+Portafolio!$B$6*B20:AE20))/1000</f>
        <v>2.39727714332123</v>
      </c>
    </row>
    <row r="21" customFormat="false" ht="15" hidden="false" customHeight="false" outlineLevel="0" collapsed="false">
      <c r="A21" s="0" t="n">
        <v>19</v>
      </c>
      <c r="B21" s="0" t="n">
        <v>-0.266</v>
      </c>
      <c r="C21" s="0" t="n">
        <v>-0.2234</v>
      </c>
      <c r="D21" s="0" t="n">
        <v>0.9838</v>
      </c>
      <c r="E21" s="0" t="n">
        <v>-0.3523</v>
      </c>
      <c r="F21" s="0" t="n">
        <v>-1.3307</v>
      </c>
      <c r="G21" s="0" t="n">
        <v>-0.2259</v>
      </c>
      <c r="H21" s="0" t="n">
        <v>-0.5448</v>
      </c>
      <c r="I21" s="0" t="n">
        <v>0.6134</v>
      </c>
      <c r="J21" s="0" t="n">
        <v>-0.7201</v>
      </c>
      <c r="K21" s="0" t="n">
        <v>-1.0613</v>
      </c>
      <c r="L21" s="0" t="n">
        <v>-0.3321</v>
      </c>
      <c r="M21" s="0" t="n">
        <v>1.5529</v>
      </c>
      <c r="N21" s="0" t="n">
        <v>-0.0479</v>
      </c>
      <c r="O21" s="0" t="n">
        <v>0.161</v>
      </c>
      <c r="P21" s="0" t="n">
        <v>0.0092</v>
      </c>
      <c r="Q21" s="0" t="n">
        <v>0.2955</v>
      </c>
      <c r="R21" s="0" t="n">
        <v>0.9284</v>
      </c>
      <c r="S21" s="0" t="n">
        <v>1.3958</v>
      </c>
      <c r="T21" s="0" t="n">
        <v>-1.6444</v>
      </c>
      <c r="U21" s="0" t="n">
        <v>1.3611</v>
      </c>
      <c r="V21" s="0" t="n">
        <v>-0.0033</v>
      </c>
      <c r="W21" s="0" t="n">
        <v>-0.3208</v>
      </c>
      <c r="X21" s="0" t="n">
        <v>2.3984</v>
      </c>
      <c r="Y21" s="0" t="n">
        <v>-0.1695</v>
      </c>
      <c r="Z21" s="0" t="n">
        <v>1.9448</v>
      </c>
      <c r="AA21" s="0" t="n">
        <v>0.968</v>
      </c>
      <c r="AB21" s="0" t="n">
        <v>-1.0297</v>
      </c>
      <c r="AC21" s="0" t="n">
        <v>0.4884</v>
      </c>
      <c r="AD21" s="0" t="n">
        <v>0.7368</v>
      </c>
      <c r="AE21" s="0" t="n">
        <v>-0.1254</v>
      </c>
      <c r="AG21" s="9" t="n">
        <f aca="false">SUMPRODUCT(($B$2:$AE$2&lt;=Portafolio!$B$5)*EXP(LN(Portafolio!$B$7)+Portafolio!$B$6*B21:AE21))/1000</f>
        <v>2.33311818298637</v>
      </c>
    </row>
    <row r="22" customFormat="false" ht="15" hidden="false" customHeight="false" outlineLevel="0" collapsed="false">
      <c r="A22" s="0" t="n">
        <v>20</v>
      </c>
      <c r="B22" s="0" t="n">
        <v>-2.328</v>
      </c>
      <c r="C22" s="0" t="n">
        <v>-0.3442</v>
      </c>
      <c r="D22" s="0" t="n">
        <v>-0.1916</v>
      </c>
      <c r="E22" s="0" t="n">
        <v>-1.1076</v>
      </c>
      <c r="F22" s="0" t="n">
        <v>1.8258</v>
      </c>
      <c r="G22" s="0" t="n">
        <v>-0.2444</v>
      </c>
      <c r="H22" s="0" t="n">
        <v>-0.3934</v>
      </c>
      <c r="I22" s="0" t="n">
        <v>-0.2997</v>
      </c>
      <c r="J22" s="0" t="n">
        <v>-0.7836</v>
      </c>
      <c r="K22" s="0" t="n">
        <v>-0.7762</v>
      </c>
      <c r="L22" s="0" t="n">
        <v>0.0939</v>
      </c>
      <c r="M22" s="0" t="n">
        <v>0.3132</v>
      </c>
      <c r="N22" s="0" t="n">
        <v>-0.5073</v>
      </c>
      <c r="O22" s="0" t="n">
        <v>-0.0905</v>
      </c>
      <c r="P22" s="0" t="n">
        <v>-1.3901</v>
      </c>
      <c r="Q22" s="0" t="n">
        <v>0.5217</v>
      </c>
      <c r="R22" s="0" t="n">
        <v>-0.7495</v>
      </c>
      <c r="S22" s="0" t="n">
        <v>0.2149</v>
      </c>
      <c r="T22" s="0" t="n">
        <v>-0.9068</v>
      </c>
      <c r="U22" s="0" t="n">
        <v>-0.5153</v>
      </c>
      <c r="V22" s="0" t="n">
        <v>0.2151</v>
      </c>
      <c r="W22" s="0" t="n">
        <v>-1.2112</v>
      </c>
      <c r="X22" s="0" t="n">
        <v>2.4695</v>
      </c>
      <c r="Y22" s="0" t="n">
        <v>-0.0367</v>
      </c>
      <c r="Z22" s="0" t="n">
        <v>-0.0728</v>
      </c>
      <c r="AA22" s="0" t="n">
        <v>-0.7344</v>
      </c>
      <c r="AB22" s="0" t="n">
        <v>1.5948</v>
      </c>
      <c r="AC22" s="0" t="n">
        <v>1.386</v>
      </c>
      <c r="AD22" s="0" t="n">
        <v>0.2996</v>
      </c>
      <c r="AE22" s="0" t="n">
        <v>-1.3681</v>
      </c>
      <c r="AG22" s="9" t="n">
        <f aca="false">SUMPRODUCT(($B$2:$AE$2&lt;=Portafolio!$B$5)*EXP(LN(Portafolio!$B$7)+Portafolio!$B$6*B22:AE22))/1000</f>
        <v>1.80397961823927</v>
      </c>
    </row>
    <row r="23" customFormat="false" ht="15" hidden="false" customHeight="false" outlineLevel="0" collapsed="false">
      <c r="A23" s="0" t="n">
        <v>21</v>
      </c>
      <c r="B23" s="0" t="n">
        <v>-0.5042</v>
      </c>
      <c r="C23" s="0" t="n">
        <v>0.6159</v>
      </c>
      <c r="D23" s="0" t="n">
        <v>-0.5121</v>
      </c>
      <c r="E23" s="0" t="n">
        <v>-1.1841</v>
      </c>
      <c r="F23" s="0" t="n">
        <v>-1.1876</v>
      </c>
      <c r="G23" s="0" t="n">
        <v>-0.7713</v>
      </c>
      <c r="H23" s="0" t="n">
        <v>0.0137</v>
      </c>
      <c r="I23" s="0" t="n">
        <v>-0.6487</v>
      </c>
      <c r="J23" s="0" t="n">
        <v>0.0182</v>
      </c>
      <c r="K23" s="0" t="n">
        <v>2.7921</v>
      </c>
      <c r="L23" s="0" t="n">
        <v>1.773</v>
      </c>
      <c r="M23" s="0" t="n">
        <v>-1.0377</v>
      </c>
      <c r="N23" s="0" t="n">
        <v>0.3433</v>
      </c>
      <c r="O23" s="0" t="n">
        <v>0.087</v>
      </c>
      <c r="P23" s="0" t="n">
        <v>-0.1381</v>
      </c>
      <c r="Q23" s="0" t="n">
        <v>1.0433</v>
      </c>
      <c r="R23" s="0" t="n">
        <v>-0.3322</v>
      </c>
      <c r="S23" s="0" t="n">
        <v>-0.3254</v>
      </c>
      <c r="T23" s="0" t="n">
        <v>-0.3747</v>
      </c>
      <c r="U23" s="0" t="n">
        <v>-0.1004</v>
      </c>
      <c r="V23" s="0" t="n">
        <v>1.2858</v>
      </c>
      <c r="W23" s="0" t="n">
        <v>0.7762</v>
      </c>
      <c r="X23" s="0" t="n">
        <v>-1.3414</v>
      </c>
      <c r="Y23" s="0" t="n">
        <v>-0.4417</v>
      </c>
      <c r="Z23" s="0" t="n">
        <v>-0.7977</v>
      </c>
      <c r="AA23" s="0" t="n">
        <v>0.8161</v>
      </c>
      <c r="AB23" s="0" t="n">
        <v>0.2247</v>
      </c>
      <c r="AC23" s="0" t="n">
        <v>0.8898</v>
      </c>
      <c r="AD23" s="0" t="n">
        <v>-0.0621</v>
      </c>
      <c r="AE23" s="0" t="n">
        <v>-1.9087</v>
      </c>
      <c r="AG23" s="9" t="n">
        <f aca="false">SUMPRODUCT(($B$2:$AE$2&lt;=Portafolio!$B$5)*EXP(LN(Portafolio!$B$7)+Portafolio!$B$6*B23:AE23))/1000</f>
        <v>2.4458713724423</v>
      </c>
    </row>
    <row r="24" customFormat="false" ht="15" hidden="false" customHeight="false" outlineLevel="0" collapsed="false">
      <c r="A24" s="0" t="n">
        <v>22</v>
      </c>
      <c r="B24" s="0" t="n">
        <v>0.451</v>
      </c>
      <c r="C24" s="0" t="n">
        <v>0.2275</v>
      </c>
      <c r="D24" s="0" t="n">
        <v>0.508</v>
      </c>
      <c r="E24" s="0" t="n">
        <v>-1.3026</v>
      </c>
      <c r="F24" s="0" t="n">
        <v>0.0814</v>
      </c>
      <c r="G24" s="0" t="n">
        <v>-0.6876</v>
      </c>
      <c r="H24" s="0" t="n">
        <v>-0.687</v>
      </c>
      <c r="I24" s="0" t="n">
        <v>0.3535</v>
      </c>
      <c r="J24" s="0" t="n">
        <v>0.3525</v>
      </c>
      <c r="K24" s="0" t="n">
        <v>-0.8924</v>
      </c>
      <c r="L24" s="0" t="n">
        <v>-1.7121</v>
      </c>
      <c r="M24" s="0" t="n">
        <v>-2.4742</v>
      </c>
      <c r="N24" s="0" t="n">
        <v>-0.5754</v>
      </c>
      <c r="O24" s="0" t="n">
        <v>1.1224</v>
      </c>
      <c r="P24" s="0" t="n">
        <v>-0.0551</v>
      </c>
      <c r="Q24" s="0" t="n">
        <v>-2.2515</v>
      </c>
      <c r="R24" s="0" t="n">
        <v>-0.8626</v>
      </c>
      <c r="S24" s="0" t="n">
        <v>0.4215</v>
      </c>
      <c r="T24" s="0" t="n">
        <v>1.6726</v>
      </c>
      <c r="U24" s="0" t="n">
        <v>1.168</v>
      </c>
      <c r="V24" s="0" t="n">
        <v>0.3667</v>
      </c>
      <c r="W24" s="0" t="n">
        <v>0.1971</v>
      </c>
      <c r="X24" s="0" t="n">
        <v>-1.0593</v>
      </c>
      <c r="Y24" s="0" t="n">
        <v>-0.4522</v>
      </c>
      <c r="Z24" s="0" t="n">
        <v>-0.3331</v>
      </c>
      <c r="AA24" s="0" t="n">
        <v>-0.7741</v>
      </c>
      <c r="AB24" s="0" t="n">
        <v>0.0635</v>
      </c>
      <c r="AC24" s="0" t="n">
        <v>-0.3927</v>
      </c>
      <c r="AD24" s="0" t="n">
        <v>0.337</v>
      </c>
      <c r="AE24" s="0" t="n">
        <v>1.434</v>
      </c>
      <c r="AG24" s="9" t="n">
        <f aca="false">SUMPRODUCT(($B$2:$AE$2&lt;=Portafolio!$B$5)*EXP(LN(Portafolio!$B$7)+Portafolio!$B$6*B24:AE24))/1000</f>
        <v>2.08096364365506</v>
      </c>
    </row>
    <row r="25" customFormat="false" ht="15" hidden="false" customHeight="false" outlineLevel="0" collapsed="false">
      <c r="A25" s="0" t="n">
        <v>23</v>
      </c>
      <c r="B25" s="0" t="n">
        <v>0.7413</v>
      </c>
      <c r="C25" s="0" t="n">
        <v>0.418</v>
      </c>
      <c r="D25" s="0" t="n">
        <v>-0.2408</v>
      </c>
      <c r="E25" s="0" t="n">
        <v>-1.5199</v>
      </c>
      <c r="F25" s="0" t="n">
        <v>-0.114</v>
      </c>
      <c r="G25" s="0" t="n">
        <v>0.5435</v>
      </c>
      <c r="H25" s="0" t="n">
        <v>-1.0084</v>
      </c>
      <c r="I25" s="0" t="n">
        <v>1.2539</v>
      </c>
      <c r="J25" s="0" t="n">
        <v>-0.3337</v>
      </c>
      <c r="K25" s="0" t="n">
        <v>0.3719</v>
      </c>
      <c r="L25" s="0" t="n">
        <v>-0.3285</v>
      </c>
      <c r="M25" s="0" t="n">
        <v>-1.2556</v>
      </c>
      <c r="N25" s="0" t="n">
        <v>2.0678</v>
      </c>
      <c r="O25" s="0" t="n">
        <v>-1.1613</v>
      </c>
      <c r="P25" s="0" t="n">
        <v>0.9184</v>
      </c>
      <c r="Q25" s="0" t="n">
        <v>-0.5559</v>
      </c>
      <c r="R25" s="0" t="n">
        <v>0.279</v>
      </c>
      <c r="S25" s="0" t="n">
        <v>-0.8057</v>
      </c>
      <c r="T25" s="0" t="n">
        <v>-0.4164</v>
      </c>
      <c r="U25" s="0" t="n">
        <v>0.9203</v>
      </c>
      <c r="V25" s="0" t="n">
        <v>1.9456</v>
      </c>
      <c r="W25" s="0" t="n">
        <v>-0.8468</v>
      </c>
      <c r="X25" s="0" t="n">
        <v>0.0101</v>
      </c>
      <c r="Y25" s="0" t="n">
        <v>0.9475</v>
      </c>
      <c r="Z25" s="0" t="n">
        <v>-0.6309</v>
      </c>
      <c r="AA25" s="0" t="n">
        <v>0.7106</v>
      </c>
      <c r="AB25" s="0" t="n">
        <v>-0.7848</v>
      </c>
      <c r="AC25" s="0" t="n">
        <v>0.604</v>
      </c>
      <c r="AD25" s="0" t="n">
        <v>0.4366</v>
      </c>
      <c r="AE25" s="0" t="n">
        <v>1.2119</v>
      </c>
      <c r="AG25" s="9" t="n">
        <f aca="false">SUMPRODUCT(($B$2:$AE$2&lt;=Portafolio!$B$5)*EXP(LN(Portafolio!$B$7)+Portafolio!$B$6*B25:AE25))/1000</f>
        <v>2.31827556270802</v>
      </c>
    </row>
    <row r="26" customFormat="false" ht="15" hidden="false" customHeight="false" outlineLevel="0" collapsed="false">
      <c r="A26" s="0" t="n">
        <v>24</v>
      </c>
      <c r="B26" s="0" t="n">
        <v>0.3636</v>
      </c>
      <c r="C26" s="0" t="n">
        <v>-1.193</v>
      </c>
      <c r="D26" s="0" t="n">
        <v>0.6643</v>
      </c>
      <c r="E26" s="0" t="n">
        <v>-1.1015</v>
      </c>
      <c r="F26" s="0" t="n">
        <v>0.7507</v>
      </c>
      <c r="G26" s="0" t="n">
        <v>1.5106</v>
      </c>
      <c r="H26" s="0" t="n">
        <v>0.5958</v>
      </c>
      <c r="I26" s="0" t="n">
        <v>-0.5532</v>
      </c>
      <c r="J26" s="0" t="n">
        <v>1.1924</v>
      </c>
      <c r="K26" s="0" t="n">
        <v>0.1676</v>
      </c>
      <c r="L26" s="0" t="n">
        <v>-1.2452</v>
      </c>
      <c r="M26" s="0" t="n">
        <v>-0.3546</v>
      </c>
      <c r="N26" s="0" t="n">
        <v>1.4192</v>
      </c>
      <c r="O26" s="0" t="n">
        <v>-0.304</v>
      </c>
      <c r="P26" s="0" t="n">
        <v>0.1218</v>
      </c>
      <c r="Q26" s="0" t="n">
        <v>-0.3429</v>
      </c>
      <c r="R26" s="0" t="n">
        <v>-1.6859</v>
      </c>
      <c r="S26" s="0" t="n">
        <v>-0.5107</v>
      </c>
      <c r="T26" s="0" t="n">
        <v>0.3566</v>
      </c>
      <c r="U26" s="0" t="n">
        <v>0.208</v>
      </c>
      <c r="V26" s="0" t="n">
        <v>-0.1739</v>
      </c>
      <c r="W26" s="0" t="n">
        <v>-2.1346</v>
      </c>
      <c r="X26" s="0" t="n">
        <v>1.222</v>
      </c>
      <c r="Y26" s="0" t="n">
        <v>0.7196</v>
      </c>
      <c r="Z26" s="0" t="n">
        <v>1.0236</v>
      </c>
      <c r="AA26" s="0" t="n">
        <v>1.3006</v>
      </c>
      <c r="AB26" s="0" t="n">
        <v>-0.4449</v>
      </c>
      <c r="AC26" s="0" t="n">
        <v>-0.6044</v>
      </c>
      <c r="AD26" s="0" t="n">
        <v>0.3143</v>
      </c>
      <c r="AE26" s="0" t="n">
        <v>1.6735</v>
      </c>
      <c r="AG26" s="9" t="n">
        <f aca="false">SUMPRODUCT(($B$2:$AE$2&lt;=Portafolio!$B$5)*EXP(LN(Portafolio!$B$7)+Portafolio!$B$6*B26:AE26))/1000</f>
        <v>2.29007362225525</v>
      </c>
    </row>
    <row r="27" customFormat="false" ht="15" hidden="false" customHeight="false" outlineLevel="0" collapsed="false">
      <c r="A27" s="0" t="n">
        <v>25</v>
      </c>
      <c r="B27" s="0" t="n">
        <v>-1.6856</v>
      </c>
      <c r="C27" s="0" t="n">
        <v>-0.2297</v>
      </c>
      <c r="D27" s="0" t="n">
        <v>-0.7153</v>
      </c>
      <c r="E27" s="0" t="n">
        <v>0.5593</v>
      </c>
      <c r="F27" s="0" t="n">
        <v>1.4643</v>
      </c>
      <c r="G27" s="0" t="n">
        <v>-0.2959</v>
      </c>
      <c r="H27" s="0" t="n">
        <v>-1.2406</v>
      </c>
      <c r="I27" s="0" t="n">
        <v>0.0494</v>
      </c>
      <c r="J27" s="0" t="n">
        <v>-0.285</v>
      </c>
      <c r="K27" s="0" t="n">
        <v>-1.5433</v>
      </c>
      <c r="L27" s="0" t="n">
        <v>0.885</v>
      </c>
      <c r="M27" s="0" t="n">
        <v>-0.5236</v>
      </c>
      <c r="N27" s="0" t="n">
        <v>0.6832</v>
      </c>
      <c r="O27" s="0" t="n">
        <v>-1.3156</v>
      </c>
      <c r="P27" s="0" t="n">
        <v>1.0963</v>
      </c>
      <c r="Q27" s="0" t="n">
        <v>-1.4411</v>
      </c>
      <c r="R27" s="0" t="n">
        <v>1.0533</v>
      </c>
      <c r="S27" s="0" t="n">
        <v>-1.8113</v>
      </c>
      <c r="T27" s="0" t="n">
        <v>1.38</v>
      </c>
      <c r="U27" s="0" t="n">
        <v>-0.3748</v>
      </c>
      <c r="V27" s="0" t="n">
        <v>-1.556</v>
      </c>
      <c r="W27" s="0" t="n">
        <v>-0.235</v>
      </c>
      <c r="X27" s="0" t="n">
        <v>0.3374</v>
      </c>
      <c r="Y27" s="0" t="n">
        <v>-0.9905</v>
      </c>
      <c r="Z27" s="0" t="n">
        <v>-0.4935</v>
      </c>
      <c r="AA27" s="0" t="n">
        <v>0.2694</v>
      </c>
      <c r="AB27" s="0" t="n">
        <v>-0.169</v>
      </c>
      <c r="AC27" s="0" t="n">
        <v>-3.0651</v>
      </c>
      <c r="AD27" s="0" t="n">
        <v>-0.4298</v>
      </c>
      <c r="AE27" s="0" t="n">
        <v>0.427</v>
      </c>
      <c r="AG27" s="9" t="n">
        <f aca="false">SUMPRODUCT(($B$2:$AE$2&lt;=Portafolio!$B$5)*EXP(LN(Portafolio!$B$7)+Portafolio!$B$6*B27:AE27))/1000</f>
        <v>2.13232112014098</v>
      </c>
    </row>
    <row r="28" customFormat="false" ht="15" hidden="false" customHeight="false" outlineLevel="0" collapsed="false">
      <c r="A28" s="0" t="n">
        <v>26</v>
      </c>
      <c r="B28" s="0" t="n">
        <v>0.2975</v>
      </c>
      <c r="C28" s="0" t="n">
        <v>1.009</v>
      </c>
      <c r="D28" s="0" t="n">
        <v>-0.6904</v>
      </c>
      <c r="E28" s="0" t="n">
        <v>2.5535</v>
      </c>
      <c r="F28" s="0" t="n">
        <v>0.8001</v>
      </c>
      <c r="G28" s="0" t="n">
        <v>0.3122</v>
      </c>
      <c r="H28" s="0" t="n">
        <v>1.0851</v>
      </c>
      <c r="I28" s="0" t="n">
        <v>0.9543</v>
      </c>
      <c r="J28" s="0" t="n">
        <v>0.102</v>
      </c>
      <c r="K28" s="0" t="n">
        <v>-0.6206</v>
      </c>
      <c r="L28" s="0" t="n">
        <v>1.0241</v>
      </c>
      <c r="M28" s="0" t="n">
        <v>0.423</v>
      </c>
      <c r="N28" s="0" t="n">
        <v>-1.8924</v>
      </c>
      <c r="O28" s="0" t="n">
        <v>-1.1042</v>
      </c>
      <c r="P28" s="0" t="n">
        <v>0.4672</v>
      </c>
      <c r="Q28" s="0" t="n">
        <v>0.1087</v>
      </c>
      <c r="R28" s="0" t="n">
        <v>0.2799</v>
      </c>
      <c r="S28" s="0" t="n">
        <v>0.6417</v>
      </c>
      <c r="T28" s="0" t="n">
        <v>0.1455</v>
      </c>
      <c r="U28" s="0" t="n">
        <v>1.5828</v>
      </c>
      <c r="V28" s="0" t="n">
        <v>-0.5895</v>
      </c>
      <c r="W28" s="0" t="n">
        <v>-0.3995</v>
      </c>
      <c r="X28" s="0" t="n">
        <v>0.3227</v>
      </c>
      <c r="Y28" s="0" t="n">
        <v>0.7455</v>
      </c>
      <c r="Z28" s="0" t="n">
        <v>0.7875</v>
      </c>
      <c r="AA28" s="0" t="n">
        <v>1.4877</v>
      </c>
      <c r="AB28" s="0" t="n">
        <v>-0.4768</v>
      </c>
      <c r="AC28" s="0" t="n">
        <v>1.167</v>
      </c>
      <c r="AD28" s="0" t="n">
        <v>0.4678</v>
      </c>
      <c r="AE28" s="0" t="n">
        <v>-1.0426</v>
      </c>
      <c r="AG28" s="9" t="n">
        <f aca="false">SUMPRODUCT(($B$2:$AE$2&lt;=Portafolio!$B$5)*EXP(LN(Portafolio!$B$7)+Portafolio!$B$6*B28:AE28))/1000</f>
        <v>2.92749109606342</v>
      </c>
    </row>
    <row r="29" customFormat="false" ht="15" hidden="false" customHeight="false" outlineLevel="0" collapsed="false">
      <c r="A29" s="0" t="n">
        <v>27</v>
      </c>
      <c r="B29" s="0" t="n">
        <v>-0.1373</v>
      </c>
      <c r="C29" s="0" t="n">
        <v>2.0855</v>
      </c>
      <c r="D29" s="0" t="n">
        <v>0.7854</v>
      </c>
      <c r="E29" s="0" t="n">
        <v>-0.4695</v>
      </c>
      <c r="F29" s="0" t="n">
        <v>-2.3986</v>
      </c>
      <c r="G29" s="0" t="n">
        <v>-0.7354</v>
      </c>
      <c r="H29" s="0" t="n">
        <v>-0.7025</v>
      </c>
      <c r="I29" s="0" t="n">
        <v>0.0771</v>
      </c>
      <c r="J29" s="0" t="n">
        <v>2.3104</v>
      </c>
      <c r="K29" s="0" t="n">
        <v>0.746</v>
      </c>
      <c r="L29" s="0" t="n">
        <v>0.313</v>
      </c>
      <c r="M29" s="0" t="n">
        <v>-0.935</v>
      </c>
      <c r="N29" s="0" t="n">
        <v>-1.1864</v>
      </c>
      <c r="O29" s="0" t="n">
        <v>-0.2077</v>
      </c>
      <c r="P29" s="0" t="n">
        <v>-0.4675</v>
      </c>
      <c r="Q29" s="0" t="n">
        <v>3.0069</v>
      </c>
      <c r="R29" s="0" t="n">
        <v>-0.4042</v>
      </c>
      <c r="S29" s="0" t="n">
        <v>-0.6158</v>
      </c>
      <c r="T29" s="0" t="n">
        <v>1.1286</v>
      </c>
      <c r="U29" s="0" t="n">
        <v>0.0773</v>
      </c>
      <c r="V29" s="0" t="n">
        <v>-1.2347</v>
      </c>
      <c r="W29" s="0" t="n">
        <v>1.2893</v>
      </c>
      <c r="X29" s="0" t="n">
        <v>-0.3121</v>
      </c>
      <c r="Y29" s="0" t="n">
        <v>-1.3288</v>
      </c>
      <c r="Z29" s="0" t="n">
        <v>0.3214</v>
      </c>
      <c r="AA29" s="0" t="n">
        <v>0.4879</v>
      </c>
      <c r="AB29" s="0" t="n">
        <v>-0.3379</v>
      </c>
      <c r="AC29" s="0" t="n">
        <v>0.6975</v>
      </c>
      <c r="AD29" s="0" t="n">
        <v>0.8207</v>
      </c>
      <c r="AE29" s="0" t="n">
        <v>-0.8823</v>
      </c>
      <c r="AG29" s="9" t="n">
        <f aca="false">SUMPRODUCT(($B$2:$AE$2&lt;=Portafolio!$B$5)*EXP(LN(Portafolio!$B$7)+Portafolio!$B$6*B29:AE29))/1000</f>
        <v>2.93928416746531</v>
      </c>
    </row>
    <row r="30" customFormat="false" ht="15" hidden="false" customHeight="false" outlineLevel="0" collapsed="false">
      <c r="A30" s="0" t="n">
        <v>28</v>
      </c>
      <c r="B30" s="0" t="n">
        <v>-2.0574</v>
      </c>
      <c r="C30" s="0" t="n">
        <v>-2.3927</v>
      </c>
      <c r="D30" s="0" t="n">
        <v>-0.1281</v>
      </c>
      <c r="E30" s="0" t="n">
        <v>1.2301</v>
      </c>
      <c r="F30" s="0" t="n">
        <v>1.0026</v>
      </c>
      <c r="G30" s="0" t="n">
        <v>1.3919</v>
      </c>
      <c r="H30" s="0" t="n">
        <v>1.8561</v>
      </c>
      <c r="I30" s="0" t="n">
        <v>0.0159</v>
      </c>
      <c r="J30" s="0" t="n">
        <v>1.0559</v>
      </c>
      <c r="K30" s="0" t="n">
        <v>-1.5291</v>
      </c>
      <c r="L30" s="0" t="n">
        <v>0.6892</v>
      </c>
      <c r="M30" s="0" t="n">
        <v>0.3927</v>
      </c>
      <c r="N30" s="0" t="n">
        <v>-0.0944</v>
      </c>
      <c r="O30" s="0" t="n">
        <v>-0.4422</v>
      </c>
      <c r="P30" s="0" t="n">
        <v>-1.1158</v>
      </c>
      <c r="Q30" s="0" t="n">
        <v>0.1402</v>
      </c>
      <c r="R30" s="0" t="n">
        <v>1.2776</v>
      </c>
      <c r="S30" s="0" t="n">
        <v>-0.3669</v>
      </c>
      <c r="T30" s="0" t="n">
        <v>0.5312</v>
      </c>
      <c r="U30" s="0" t="n">
        <v>-0.6644</v>
      </c>
      <c r="V30" s="0" t="n">
        <v>0.254</v>
      </c>
      <c r="W30" s="0" t="n">
        <v>-1.0072</v>
      </c>
      <c r="X30" s="0" t="n">
        <v>0.3783</v>
      </c>
      <c r="Y30" s="0" t="n">
        <v>-0.2181</v>
      </c>
      <c r="Z30" s="0" t="n">
        <v>0.3154</v>
      </c>
      <c r="AA30" s="0" t="n">
        <v>-0.6066</v>
      </c>
      <c r="AB30" s="0" t="n">
        <v>-1.1763</v>
      </c>
      <c r="AC30" s="0" t="n">
        <v>-0.3287</v>
      </c>
      <c r="AD30" s="0" t="n">
        <v>1.0365</v>
      </c>
      <c r="AE30" s="0" t="n">
        <v>1.579</v>
      </c>
      <c r="AG30" s="9" t="n">
        <f aca="false">SUMPRODUCT(($B$2:$AE$2&lt;=Portafolio!$B$5)*EXP(LN(Portafolio!$B$7)+Portafolio!$B$6*B30:AE30))/1000</f>
        <v>2.51066379124587</v>
      </c>
    </row>
    <row r="31" customFormat="false" ht="15" hidden="false" customHeight="false" outlineLevel="0" collapsed="false">
      <c r="A31" s="0" t="n">
        <v>29</v>
      </c>
      <c r="B31" s="0" t="n">
        <v>-0.3247</v>
      </c>
      <c r="C31" s="0" t="n">
        <v>0.7993</v>
      </c>
      <c r="D31" s="0" t="n">
        <v>0.7586</v>
      </c>
      <c r="E31" s="0" t="n">
        <v>0.3927</v>
      </c>
      <c r="F31" s="0" t="n">
        <v>-1.5513</v>
      </c>
      <c r="G31" s="0" t="n">
        <v>0.324</v>
      </c>
      <c r="H31" s="0" t="n">
        <v>-0.9695</v>
      </c>
      <c r="I31" s="0" t="n">
        <v>1.1763</v>
      </c>
      <c r="J31" s="0" t="n">
        <v>0.7882</v>
      </c>
      <c r="K31" s="0" t="n">
        <v>0.6174</v>
      </c>
      <c r="L31" s="0" t="n">
        <v>-2.5359</v>
      </c>
      <c r="M31" s="0" t="n">
        <v>0.6213</v>
      </c>
      <c r="N31" s="0" t="n">
        <v>0.6997</v>
      </c>
      <c r="O31" s="0" t="n">
        <v>-1.2777</v>
      </c>
      <c r="P31" s="0" t="n">
        <v>0.9701</v>
      </c>
      <c r="Q31" s="0" t="n">
        <v>0.0754</v>
      </c>
      <c r="R31" s="0" t="n">
        <v>-0.1831</v>
      </c>
      <c r="S31" s="0" t="n">
        <v>-0.7132</v>
      </c>
      <c r="T31" s="0" t="n">
        <v>-1.0183</v>
      </c>
      <c r="U31" s="0" t="n">
        <v>-0.434</v>
      </c>
      <c r="V31" s="0" t="n">
        <v>3.086</v>
      </c>
      <c r="W31" s="0" t="n">
        <v>0.2033</v>
      </c>
      <c r="X31" s="0" t="n">
        <v>0.2081</v>
      </c>
      <c r="Y31" s="0" t="n">
        <v>-0.648</v>
      </c>
      <c r="Z31" s="0" t="n">
        <v>-0.6176</v>
      </c>
      <c r="AA31" s="0" t="n">
        <v>-0.5519</v>
      </c>
      <c r="AB31" s="0" t="n">
        <v>-0.8864</v>
      </c>
      <c r="AC31" s="0" t="n">
        <v>0.8754</v>
      </c>
      <c r="AD31" s="0" t="n">
        <v>-0.2706</v>
      </c>
      <c r="AE31" s="0" t="n">
        <v>0.866</v>
      </c>
      <c r="AG31" s="9" t="n">
        <f aca="false">SUMPRODUCT(($B$2:$AE$2&lt;=Portafolio!$B$5)*EXP(LN(Portafolio!$B$7)+Portafolio!$B$6*B31:AE31))/1000</f>
        <v>2.18805374977684</v>
      </c>
    </row>
    <row r="32" customFormat="false" ht="15" hidden="false" customHeight="false" outlineLevel="0" collapsed="false">
      <c r="A32" s="0" t="n">
        <v>30</v>
      </c>
      <c r="B32" s="0" t="n">
        <v>-1.1551</v>
      </c>
      <c r="C32" s="0" t="n">
        <v>0.929</v>
      </c>
      <c r="D32" s="0" t="n">
        <v>-0.027</v>
      </c>
      <c r="E32" s="0" t="n">
        <v>0.6674</v>
      </c>
      <c r="F32" s="0" t="n">
        <v>-0.104</v>
      </c>
      <c r="G32" s="0" t="n">
        <v>-0.8879</v>
      </c>
      <c r="H32" s="0" t="n">
        <v>1.2104</v>
      </c>
      <c r="I32" s="0" t="n">
        <v>-0.4355</v>
      </c>
      <c r="J32" s="0" t="n">
        <v>-0.1472</v>
      </c>
      <c r="K32" s="0" t="n">
        <v>-0.8856</v>
      </c>
      <c r="L32" s="0" t="n">
        <v>0.2044</v>
      </c>
      <c r="M32" s="0" t="n">
        <v>-0.3897</v>
      </c>
      <c r="N32" s="0" t="n">
        <v>0.2821</v>
      </c>
      <c r="O32" s="0" t="n">
        <v>0.3446</v>
      </c>
      <c r="P32" s="0" t="n">
        <v>-0.6888</v>
      </c>
      <c r="Q32" s="0" t="n">
        <v>-1.4105</v>
      </c>
      <c r="R32" s="0" t="n">
        <v>0.4327</v>
      </c>
      <c r="S32" s="0" t="n">
        <v>0.9176</v>
      </c>
      <c r="T32" s="0" t="n">
        <v>0.6962</v>
      </c>
      <c r="U32" s="0" t="n">
        <v>-1.1454</v>
      </c>
      <c r="V32" s="0" t="n">
        <v>0.605</v>
      </c>
      <c r="W32" s="0" t="n">
        <v>0.3845</v>
      </c>
      <c r="X32" s="0" t="n">
        <v>0.2838</v>
      </c>
      <c r="Y32" s="0" t="n">
        <v>0.4295</v>
      </c>
      <c r="Z32" s="0" t="n">
        <v>-0.3238</v>
      </c>
      <c r="AA32" s="0" t="n">
        <v>0.2146</v>
      </c>
      <c r="AB32" s="0" t="n">
        <v>0.9268</v>
      </c>
      <c r="AC32" s="0" t="n">
        <v>-0.5048</v>
      </c>
      <c r="AD32" s="0" t="n">
        <v>-1.4398</v>
      </c>
      <c r="AE32" s="0" t="n">
        <v>-0.1048</v>
      </c>
      <c r="AG32" s="9" t="n">
        <f aca="false">SUMPRODUCT(($B$2:$AE$2&lt;=Portafolio!$B$5)*EXP(LN(Portafolio!$B$7)+Portafolio!$B$6*B32:AE32))/1000</f>
        <v>2.10683916159906</v>
      </c>
    </row>
    <row r="33" customFormat="false" ht="15" hidden="false" customHeight="false" outlineLevel="0" collapsed="false">
      <c r="A33" s="0" t="n">
        <v>31</v>
      </c>
      <c r="B33" s="0" t="n">
        <v>0.1962</v>
      </c>
      <c r="C33" s="0" t="n">
        <v>-1.8448</v>
      </c>
      <c r="D33" s="0" t="n">
        <v>-0.6766</v>
      </c>
      <c r="E33" s="0" t="n">
        <v>0.5894</v>
      </c>
      <c r="F33" s="0" t="n">
        <v>-0.1501</v>
      </c>
      <c r="G33" s="0" t="n">
        <v>0.0925</v>
      </c>
      <c r="H33" s="0" t="n">
        <v>-1.2592</v>
      </c>
      <c r="I33" s="0" t="n">
        <v>0.9064</v>
      </c>
      <c r="J33" s="0" t="n">
        <v>1.7545</v>
      </c>
      <c r="K33" s="0" t="n">
        <v>-0.1998</v>
      </c>
      <c r="L33" s="0" t="n">
        <v>-0.7323</v>
      </c>
      <c r="M33" s="0" t="n">
        <v>-1.1575</v>
      </c>
      <c r="N33" s="0" t="n">
        <v>0.8906</v>
      </c>
      <c r="O33" s="0" t="n">
        <v>0.1042</v>
      </c>
      <c r="P33" s="0" t="n">
        <v>-0.7943</v>
      </c>
      <c r="Q33" s="0" t="n">
        <v>1.2136</v>
      </c>
      <c r="R33" s="0" t="n">
        <v>0.7647</v>
      </c>
      <c r="S33" s="0" t="n">
        <v>0.603</v>
      </c>
      <c r="T33" s="0" t="n">
        <v>-1.7598</v>
      </c>
      <c r="U33" s="0" t="n">
        <v>-0.1036</v>
      </c>
      <c r="V33" s="0" t="n">
        <v>0.6257</v>
      </c>
      <c r="W33" s="0" t="n">
        <v>-1.2244</v>
      </c>
      <c r="X33" s="0" t="n">
        <v>0.9289</v>
      </c>
      <c r="Y33" s="0" t="n">
        <v>1.4305</v>
      </c>
      <c r="Z33" s="0" t="n">
        <v>1.0337</v>
      </c>
      <c r="AA33" s="0" t="n">
        <v>-0.7217</v>
      </c>
      <c r="AB33" s="0" t="n">
        <v>-0.7077</v>
      </c>
      <c r="AC33" s="0" t="n">
        <v>0.9419</v>
      </c>
      <c r="AD33" s="0" t="n">
        <v>0.9943</v>
      </c>
      <c r="AE33" s="0" t="n">
        <v>1.2292</v>
      </c>
      <c r="AG33" s="9" t="n">
        <f aca="false">SUMPRODUCT(($B$2:$AE$2&lt;=Portafolio!$B$5)*EXP(LN(Portafolio!$B$7)+Portafolio!$B$6*B33:AE33))/1000</f>
        <v>2.23743587518703</v>
      </c>
    </row>
    <row r="34" customFormat="false" ht="15" hidden="false" customHeight="false" outlineLevel="0" collapsed="false">
      <c r="A34" s="0" t="n">
        <v>32</v>
      </c>
      <c r="B34" s="0" t="n">
        <v>1.2006</v>
      </c>
      <c r="C34" s="0" t="n">
        <v>-0.1</v>
      </c>
      <c r="D34" s="0" t="n">
        <v>-0.41</v>
      </c>
      <c r="E34" s="0" t="n">
        <v>-1.8552</v>
      </c>
      <c r="F34" s="0" t="n">
        <v>0.7841</v>
      </c>
      <c r="G34" s="0" t="n">
        <v>2.2764</v>
      </c>
      <c r="H34" s="0" t="n">
        <v>-0.4633</v>
      </c>
      <c r="I34" s="0" t="n">
        <v>-0.4758</v>
      </c>
      <c r="J34" s="0" t="n">
        <v>0.6489</v>
      </c>
      <c r="K34" s="0" t="n">
        <v>0.3741</v>
      </c>
      <c r="L34" s="0" t="n">
        <v>-1.3705</v>
      </c>
      <c r="M34" s="0" t="n">
        <v>-0.7145</v>
      </c>
      <c r="N34" s="0" t="n">
        <v>-1.0979</v>
      </c>
      <c r="O34" s="0" t="n">
        <v>2.0215</v>
      </c>
      <c r="P34" s="0" t="n">
        <v>-0.7173</v>
      </c>
      <c r="Q34" s="0" t="n">
        <v>0.8539</v>
      </c>
      <c r="R34" s="0" t="n">
        <v>1.9178</v>
      </c>
      <c r="S34" s="0" t="n">
        <v>1.8945</v>
      </c>
      <c r="T34" s="0" t="n">
        <v>1.4257</v>
      </c>
      <c r="U34" s="0" t="n">
        <v>1.6296</v>
      </c>
      <c r="V34" s="0" t="n">
        <v>-1.2352</v>
      </c>
      <c r="W34" s="0" t="n">
        <v>-0.3457</v>
      </c>
      <c r="X34" s="0" t="n">
        <v>-0.728</v>
      </c>
      <c r="Y34" s="0" t="n">
        <v>-0.2901</v>
      </c>
      <c r="Z34" s="0" t="n">
        <v>2.6212</v>
      </c>
      <c r="AA34" s="0" t="n">
        <v>-1.679</v>
      </c>
      <c r="AB34" s="0" t="n">
        <v>0.5583</v>
      </c>
      <c r="AC34" s="0" t="n">
        <v>-1.2363</v>
      </c>
      <c r="AD34" s="0" t="n">
        <v>1.3388</v>
      </c>
      <c r="AE34" s="0" t="n">
        <v>1.2999</v>
      </c>
      <c r="AG34" s="9" t="n">
        <f aca="false">SUMPRODUCT(($B$2:$AE$2&lt;=Portafolio!$B$5)*EXP(LN(Portafolio!$B$7)+Portafolio!$B$6*B34:AE34))/1000</f>
        <v>3.24423757555444</v>
      </c>
    </row>
    <row r="35" customFormat="false" ht="15" hidden="false" customHeight="false" outlineLevel="0" collapsed="false">
      <c r="A35" s="0" t="n">
        <v>33</v>
      </c>
      <c r="B35" s="0" t="n">
        <v>-0.5118</v>
      </c>
      <c r="C35" s="0" t="n">
        <v>2.0698</v>
      </c>
      <c r="D35" s="0" t="n">
        <v>0.0749</v>
      </c>
      <c r="E35" s="0" t="n">
        <v>1.3035</v>
      </c>
      <c r="F35" s="0" t="n">
        <v>0.3113</v>
      </c>
      <c r="G35" s="0" t="n">
        <v>-0.56</v>
      </c>
      <c r="H35" s="0" t="n">
        <v>-0.3805</v>
      </c>
      <c r="I35" s="0" t="n">
        <v>-0.118</v>
      </c>
      <c r="J35" s="0" t="n">
        <v>0.6174</v>
      </c>
      <c r="K35" s="0" t="n">
        <v>0.1259</v>
      </c>
      <c r="L35" s="0" t="n">
        <v>2.3603</v>
      </c>
      <c r="M35" s="0" t="n">
        <v>-0.1931</v>
      </c>
      <c r="N35" s="0" t="n">
        <v>-0.4669</v>
      </c>
      <c r="O35" s="0" t="n">
        <v>-0.7193</v>
      </c>
      <c r="P35" s="0" t="n">
        <v>-0.777</v>
      </c>
      <c r="Q35" s="0" t="n">
        <v>-1.4397</v>
      </c>
      <c r="R35" s="0" t="n">
        <v>-0.9854</v>
      </c>
      <c r="S35" s="0" t="n">
        <v>0.9064</v>
      </c>
      <c r="T35" s="0" t="n">
        <v>0.0602</v>
      </c>
      <c r="U35" s="0" t="n">
        <v>-0.1713</v>
      </c>
      <c r="V35" s="0" t="n">
        <v>0.3503</v>
      </c>
      <c r="W35" s="0" t="n">
        <v>1.0675</v>
      </c>
      <c r="X35" s="0" t="n">
        <v>0.6156</v>
      </c>
      <c r="Y35" s="0" t="n">
        <v>0.7732</v>
      </c>
      <c r="Z35" s="0" t="n">
        <v>-0.5597</v>
      </c>
      <c r="AA35" s="0" t="n">
        <v>-0.2613</v>
      </c>
      <c r="AB35" s="0" t="n">
        <v>-0.7764</v>
      </c>
      <c r="AC35" s="0" t="n">
        <v>-0.0969</v>
      </c>
      <c r="AD35" s="0" t="n">
        <v>-0.8176</v>
      </c>
      <c r="AE35" s="0" t="n">
        <v>-0.3725</v>
      </c>
      <c r="AG35" s="9" t="n">
        <f aca="false">SUMPRODUCT(($B$2:$AE$2&lt;=Portafolio!$B$5)*EXP(LN(Portafolio!$B$7)+Portafolio!$B$6*B35:AE35))/1000</f>
        <v>2.52854803836711</v>
      </c>
    </row>
    <row r="36" customFormat="false" ht="15" hidden="false" customHeight="false" outlineLevel="0" collapsed="false">
      <c r="A36" s="0" t="n">
        <v>34</v>
      </c>
      <c r="B36" s="0" t="n">
        <v>-0.1748</v>
      </c>
      <c r="C36" s="0" t="n">
        <v>-0.216</v>
      </c>
      <c r="D36" s="0" t="n">
        <v>-0.2663</v>
      </c>
      <c r="E36" s="0" t="n">
        <v>-0.4917</v>
      </c>
      <c r="F36" s="0" t="n">
        <v>1.3099</v>
      </c>
      <c r="G36" s="0" t="n">
        <v>-0.3422</v>
      </c>
      <c r="H36" s="0" t="n">
        <v>-1.0113</v>
      </c>
      <c r="I36" s="0" t="n">
        <v>0.1935</v>
      </c>
      <c r="J36" s="0" t="n">
        <v>-1.0893</v>
      </c>
      <c r="K36" s="0" t="n">
        <v>-1.073</v>
      </c>
      <c r="L36" s="0" t="n">
        <v>0.0842</v>
      </c>
      <c r="M36" s="0" t="n">
        <v>-1.6671</v>
      </c>
      <c r="N36" s="0" t="n">
        <v>-3.2195</v>
      </c>
      <c r="O36" s="0" t="n">
        <v>0.2882</v>
      </c>
      <c r="P36" s="0" t="n">
        <v>1.0347</v>
      </c>
      <c r="Q36" s="0" t="n">
        <v>-1.671</v>
      </c>
      <c r="R36" s="0" t="n">
        <v>-0.8972</v>
      </c>
      <c r="S36" s="0" t="n">
        <v>0.5772</v>
      </c>
      <c r="T36" s="0" t="n">
        <v>-1.9871</v>
      </c>
      <c r="U36" s="0" t="n">
        <v>-0.8743</v>
      </c>
      <c r="V36" s="0" t="n">
        <v>-1.204</v>
      </c>
      <c r="W36" s="0" t="n">
        <v>-0.1982</v>
      </c>
      <c r="X36" s="0" t="n">
        <v>-1.9728</v>
      </c>
      <c r="Y36" s="0" t="n">
        <v>0.8949</v>
      </c>
      <c r="Z36" s="0" t="n">
        <v>-0.1441</v>
      </c>
      <c r="AA36" s="0" t="n">
        <v>0.3028</v>
      </c>
      <c r="AB36" s="0" t="n">
        <v>-0.328</v>
      </c>
      <c r="AC36" s="0" t="n">
        <v>-2.1214</v>
      </c>
      <c r="AD36" s="0" t="n">
        <v>-0.1522</v>
      </c>
      <c r="AE36" s="0" t="n">
        <v>-1.3405</v>
      </c>
      <c r="AG36" s="9" t="n">
        <f aca="false">SUMPRODUCT(($B$2:$AE$2&lt;=Portafolio!$B$5)*EXP(LN(Portafolio!$B$7)+Portafolio!$B$6*B36:AE36))/1000</f>
        <v>1.69718398787459</v>
      </c>
    </row>
    <row r="37" customFormat="false" ht="15" hidden="false" customHeight="false" outlineLevel="0" collapsed="false">
      <c r="A37" s="0" t="n">
        <v>35</v>
      </c>
      <c r="B37" s="0" t="n">
        <v>0.0101</v>
      </c>
      <c r="C37" s="0" t="n">
        <v>-0.8526</v>
      </c>
      <c r="D37" s="0" t="n">
        <v>-0.3167</v>
      </c>
      <c r="E37" s="0" t="n">
        <v>-0.2107</v>
      </c>
      <c r="F37" s="0" t="n">
        <v>0.7723</v>
      </c>
      <c r="G37" s="0" t="n">
        <v>0.7669</v>
      </c>
      <c r="H37" s="0" t="n">
        <v>-1.0052</v>
      </c>
      <c r="I37" s="0" t="n">
        <v>-0.0166</v>
      </c>
      <c r="J37" s="0" t="n">
        <v>1.4595</v>
      </c>
      <c r="K37" s="0" t="n">
        <v>0.4942</v>
      </c>
      <c r="L37" s="0" t="n">
        <v>-0.7293</v>
      </c>
      <c r="M37" s="0" t="n">
        <v>-0.1213</v>
      </c>
      <c r="N37" s="0" t="n">
        <v>-0.3476</v>
      </c>
      <c r="O37" s="0" t="n">
        <v>0.9413</v>
      </c>
      <c r="P37" s="0" t="n">
        <v>0.0334</v>
      </c>
      <c r="Q37" s="0" t="n">
        <v>0.3751</v>
      </c>
      <c r="R37" s="0" t="n">
        <v>2.2115</v>
      </c>
      <c r="S37" s="0" t="n">
        <v>-1.3784</v>
      </c>
      <c r="T37" s="0" t="n">
        <v>-1.0139</v>
      </c>
      <c r="U37" s="0" t="n">
        <v>-1.7318</v>
      </c>
      <c r="V37" s="0" t="n">
        <v>-1.5928</v>
      </c>
      <c r="W37" s="0" t="n">
        <v>0.8574</v>
      </c>
      <c r="X37" s="0" t="n">
        <v>0.2923</v>
      </c>
      <c r="Y37" s="0" t="n">
        <v>1.631</v>
      </c>
      <c r="Z37" s="0" t="n">
        <v>-1.9744</v>
      </c>
      <c r="AA37" s="0" t="n">
        <v>-0.8811</v>
      </c>
      <c r="AB37" s="0" t="n">
        <v>1.4438</v>
      </c>
      <c r="AC37" s="0" t="n">
        <v>1.0292</v>
      </c>
      <c r="AD37" s="0" t="n">
        <v>0.8849</v>
      </c>
      <c r="AE37" s="0" t="n">
        <v>0.8716</v>
      </c>
      <c r="AG37" s="9" t="n">
        <f aca="false">SUMPRODUCT(($B$2:$AE$2&lt;=Portafolio!$B$5)*EXP(LN(Portafolio!$B$7)+Portafolio!$B$6*B37:AE37))/1000</f>
        <v>2.32940452871755</v>
      </c>
    </row>
    <row r="38" customFormat="false" ht="15" hidden="false" customHeight="false" outlineLevel="0" collapsed="false">
      <c r="A38" s="0" t="n">
        <v>36</v>
      </c>
      <c r="B38" s="0" t="n">
        <v>0.0324</v>
      </c>
      <c r="C38" s="0" t="n">
        <v>-0.0103</v>
      </c>
      <c r="D38" s="0" t="n">
        <v>0.0322</v>
      </c>
      <c r="E38" s="0" t="n">
        <v>0.8427</v>
      </c>
      <c r="F38" s="0" t="n">
        <v>-0.1628</v>
      </c>
      <c r="G38" s="0" t="n">
        <v>0.3207</v>
      </c>
      <c r="H38" s="0" t="n">
        <v>1.4535</v>
      </c>
      <c r="I38" s="0" t="n">
        <v>-1.1256</v>
      </c>
      <c r="J38" s="0" t="n">
        <v>-0.75</v>
      </c>
      <c r="K38" s="0" t="n">
        <v>0.5649</v>
      </c>
      <c r="L38" s="0" t="n">
        <v>-0.2633</v>
      </c>
      <c r="M38" s="0" t="n">
        <v>-0.1569</v>
      </c>
      <c r="N38" s="0" t="n">
        <v>2.0983</v>
      </c>
      <c r="O38" s="0" t="n">
        <v>0.4158</v>
      </c>
      <c r="P38" s="0" t="n">
        <v>-0.4176</v>
      </c>
      <c r="Q38" s="0" t="n">
        <v>1.098</v>
      </c>
      <c r="R38" s="0" t="n">
        <v>2.5175</v>
      </c>
      <c r="S38" s="0" t="n">
        <v>-1.1095</v>
      </c>
      <c r="T38" s="0" t="n">
        <v>-0.6701</v>
      </c>
      <c r="U38" s="0" t="n">
        <v>0.1163</v>
      </c>
      <c r="V38" s="0" t="n">
        <v>-0.636</v>
      </c>
      <c r="W38" s="0" t="n">
        <v>2.1713</v>
      </c>
      <c r="X38" s="0" t="n">
        <v>0.5257</v>
      </c>
      <c r="Y38" s="0" t="n">
        <v>-0.3984</v>
      </c>
      <c r="Z38" s="0" t="n">
        <v>0.4907</v>
      </c>
      <c r="AA38" s="0" t="n">
        <v>-0.796</v>
      </c>
      <c r="AB38" s="0" t="n">
        <v>-0.605</v>
      </c>
      <c r="AC38" s="0" t="n">
        <v>0.1056</v>
      </c>
      <c r="AD38" s="0" t="n">
        <v>2.3878</v>
      </c>
      <c r="AE38" s="0" t="n">
        <v>-2.2503</v>
      </c>
      <c r="AG38" s="9" t="n">
        <f aca="false">SUMPRODUCT(($B$2:$AE$2&lt;=Portafolio!$B$5)*EXP(LN(Portafolio!$B$7)+Portafolio!$B$6*B38:AE38))/1000</f>
        <v>2.78162634162016</v>
      </c>
    </row>
    <row r="39" customFormat="false" ht="15" hidden="false" customHeight="false" outlineLevel="0" collapsed="false">
      <c r="A39" s="0" t="n">
        <v>37</v>
      </c>
      <c r="B39" s="0" t="n">
        <v>0.4201</v>
      </c>
      <c r="C39" s="0" t="n">
        <v>1.3509</v>
      </c>
      <c r="D39" s="0" t="n">
        <v>0.7401</v>
      </c>
      <c r="E39" s="0" t="n">
        <v>1.9224</v>
      </c>
      <c r="F39" s="0" t="n">
        <v>0.4504</v>
      </c>
      <c r="G39" s="0" t="n">
        <v>0.1464</v>
      </c>
      <c r="H39" s="0" t="n">
        <v>-0.1314</v>
      </c>
      <c r="I39" s="0" t="n">
        <v>-0.8565</v>
      </c>
      <c r="J39" s="0" t="n">
        <v>1.6352</v>
      </c>
      <c r="K39" s="0" t="n">
        <v>-1.1833</v>
      </c>
      <c r="L39" s="0" t="n">
        <v>-0.1235</v>
      </c>
      <c r="M39" s="0" t="n">
        <v>-0.5239</v>
      </c>
      <c r="N39" s="0" t="n">
        <v>-0.7851</v>
      </c>
      <c r="O39" s="0" t="n">
        <v>-2.2223</v>
      </c>
      <c r="P39" s="0" t="n">
        <v>-0.3818</v>
      </c>
      <c r="Q39" s="0" t="n">
        <v>0.137</v>
      </c>
      <c r="R39" s="0" t="n">
        <v>0.1434</v>
      </c>
      <c r="S39" s="0" t="n">
        <v>0.8446</v>
      </c>
      <c r="T39" s="0" t="n">
        <v>-0.1623</v>
      </c>
      <c r="U39" s="0" t="n">
        <v>-0.6412</v>
      </c>
      <c r="V39" s="0" t="n">
        <v>0.3078</v>
      </c>
      <c r="W39" s="0" t="n">
        <v>0.665</v>
      </c>
      <c r="X39" s="0" t="n">
        <v>-0.9039</v>
      </c>
      <c r="Y39" s="0" t="n">
        <v>-1.5195</v>
      </c>
      <c r="Z39" s="0" t="n">
        <v>-1.0251</v>
      </c>
      <c r="AA39" s="0" t="n">
        <v>1.0576</v>
      </c>
      <c r="AB39" s="0" t="n">
        <v>0.9984</v>
      </c>
      <c r="AC39" s="0" t="n">
        <v>-0.8865</v>
      </c>
      <c r="AD39" s="0" t="n">
        <v>0.1114</v>
      </c>
      <c r="AE39" s="0" t="n">
        <v>0.8388</v>
      </c>
      <c r="AG39" s="9" t="n">
        <f aca="false">SUMPRODUCT(($B$2:$AE$2&lt;=Portafolio!$B$5)*EXP(LN(Portafolio!$B$7)+Portafolio!$B$6*B39:AE39))/1000</f>
        <v>2.41127486735361</v>
      </c>
    </row>
    <row r="40" customFormat="false" ht="15" hidden="false" customHeight="false" outlineLevel="0" collapsed="false">
      <c r="A40" s="0" t="n">
        <v>38</v>
      </c>
      <c r="B40" s="0" t="n">
        <v>1.3287</v>
      </c>
      <c r="C40" s="0" t="n">
        <v>-0.6587</v>
      </c>
      <c r="D40" s="0" t="n">
        <v>-0.2399</v>
      </c>
      <c r="E40" s="0" t="n">
        <v>1.409</v>
      </c>
      <c r="F40" s="0" t="n">
        <v>2.4109</v>
      </c>
      <c r="G40" s="0" t="n">
        <v>1.5297</v>
      </c>
      <c r="H40" s="0" t="n">
        <v>-1.1408</v>
      </c>
      <c r="I40" s="0" t="n">
        <v>0.4488</v>
      </c>
      <c r="J40" s="0" t="n">
        <v>-0.2989</v>
      </c>
      <c r="K40" s="0" t="n">
        <v>-0.0586</v>
      </c>
      <c r="L40" s="0" t="n">
        <v>-0.6629</v>
      </c>
      <c r="M40" s="0" t="n">
        <v>-0.4798</v>
      </c>
      <c r="N40" s="0" t="n">
        <v>-0.0102</v>
      </c>
      <c r="O40" s="0" t="n">
        <v>1.8031</v>
      </c>
      <c r="P40" s="0" t="n">
        <v>0.6995</v>
      </c>
      <c r="Q40" s="0" t="n">
        <v>0.4267</v>
      </c>
      <c r="R40" s="0" t="n">
        <v>0.0268</v>
      </c>
      <c r="S40" s="0" t="n">
        <v>-0.7508</v>
      </c>
      <c r="T40" s="0" t="n">
        <v>-0.2292</v>
      </c>
      <c r="U40" s="0" t="n">
        <v>1.2394</v>
      </c>
      <c r="V40" s="0" t="n">
        <v>0.8301</v>
      </c>
      <c r="W40" s="0" t="n">
        <v>1.9641</v>
      </c>
      <c r="X40" s="0" t="n">
        <v>0.2607</v>
      </c>
      <c r="Y40" s="0" t="n">
        <v>-0.0201</v>
      </c>
      <c r="Z40" s="0" t="n">
        <v>-1.6183</v>
      </c>
      <c r="AA40" s="0" t="n">
        <v>0.3979</v>
      </c>
      <c r="AB40" s="0" t="n">
        <v>-1.7237</v>
      </c>
      <c r="AC40" s="0" t="n">
        <v>1.5252</v>
      </c>
      <c r="AD40" s="0" t="n">
        <v>-0.6298</v>
      </c>
      <c r="AE40" s="0" t="n">
        <v>0.0004</v>
      </c>
      <c r="AG40" s="9" t="n">
        <f aca="false">SUMPRODUCT(($B$2:$AE$2&lt;=Portafolio!$B$5)*EXP(LN(Portafolio!$B$7)+Portafolio!$B$6*B40:AE40))/1000</f>
        <v>2.92622655993339</v>
      </c>
    </row>
    <row r="41" customFormat="false" ht="15" hidden="false" customHeight="false" outlineLevel="0" collapsed="false">
      <c r="A41" s="0" t="n">
        <v>39</v>
      </c>
      <c r="B41" s="0" t="n">
        <v>-1.3509</v>
      </c>
      <c r="C41" s="0" t="n">
        <v>-0.496</v>
      </c>
      <c r="D41" s="0" t="n">
        <v>-0.9314</v>
      </c>
      <c r="E41" s="0" t="n">
        <v>1.1313</v>
      </c>
      <c r="F41" s="0" t="n">
        <v>0.2482</v>
      </c>
      <c r="G41" s="0" t="n">
        <v>-1.1802</v>
      </c>
      <c r="H41" s="0" t="n">
        <v>-1.9311</v>
      </c>
      <c r="I41" s="0" t="n">
        <v>-0.0683</v>
      </c>
      <c r="J41" s="0" t="n">
        <v>-0.4867</v>
      </c>
      <c r="K41" s="0" t="n">
        <v>-1.1105</v>
      </c>
      <c r="L41" s="0" t="n">
        <v>0.5897</v>
      </c>
      <c r="M41" s="0" t="n">
        <v>-0.1854</v>
      </c>
      <c r="N41" s="0" t="n">
        <v>0.1113</v>
      </c>
      <c r="O41" s="0" t="n">
        <v>-0.5905</v>
      </c>
      <c r="P41" s="0" t="n">
        <v>-0.57</v>
      </c>
      <c r="Q41" s="0" t="n">
        <v>-0.4601</v>
      </c>
      <c r="R41" s="0" t="n">
        <v>-1.603</v>
      </c>
      <c r="S41" s="0" t="n">
        <v>0.6296</v>
      </c>
      <c r="T41" s="0" t="n">
        <v>0.403</v>
      </c>
      <c r="U41" s="0" t="n">
        <v>-1.7233</v>
      </c>
      <c r="V41" s="0" t="n">
        <v>0.1023</v>
      </c>
      <c r="W41" s="0" t="n">
        <v>1.1545</v>
      </c>
      <c r="X41" s="0" t="n">
        <v>0.2368</v>
      </c>
      <c r="Y41" s="0" t="n">
        <v>1.2959</v>
      </c>
      <c r="Z41" s="0" t="n">
        <v>-0.2682</v>
      </c>
      <c r="AA41" s="0" t="n">
        <v>0.0017</v>
      </c>
      <c r="AB41" s="0" t="n">
        <v>-1.2997</v>
      </c>
      <c r="AC41" s="0" t="n">
        <v>-0.9052</v>
      </c>
      <c r="AD41" s="0" t="n">
        <v>-1.8232</v>
      </c>
      <c r="AE41" s="0" t="n">
        <v>-0.8952</v>
      </c>
      <c r="AG41" s="9" t="n">
        <f aca="false">SUMPRODUCT(($B$2:$AE$2&lt;=Portafolio!$B$5)*EXP(LN(Portafolio!$B$7)+Portafolio!$B$6*B41:AE41))/1000</f>
        <v>1.69472311520995</v>
      </c>
    </row>
    <row r="42" customFormat="false" ht="15" hidden="false" customHeight="false" outlineLevel="0" collapsed="false">
      <c r="A42" s="0" t="n">
        <v>40</v>
      </c>
      <c r="B42" s="0" t="n">
        <v>0.2442</v>
      </c>
      <c r="C42" s="0" t="n">
        <v>0.5193</v>
      </c>
      <c r="D42" s="0" t="n">
        <v>1.1635</v>
      </c>
      <c r="E42" s="0" t="n">
        <v>0.1306</v>
      </c>
      <c r="F42" s="0" t="n">
        <v>-0.9899</v>
      </c>
      <c r="G42" s="0" t="n">
        <v>0.431</v>
      </c>
      <c r="H42" s="0" t="n">
        <v>-0.1454</v>
      </c>
      <c r="I42" s="0" t="n">
        <v>1.7841</v>
      </c>
      <c r="J42" s="0" t="n">
        <v>1.9584</v>
      </c>
      <c r="K42" s="0" t="n">
        <v>0.96</v>
      </c>
      <c r="L42" s="0" t="n">
        <v>-1.1364</v>
      </c>
      <c r="M42" s="0" t="n">
        <v>-0.5252</v>
      </c>
      <c r="N42" s="0" t="n">
        <v>0.1906</v>
      </c>
      <c r="O42" s="0" t="n">
        <v>-0.7122</v>
      </c>
      <c r="P42" s="0" t="n">
        <v>0.5237</v>
      </c>
      <c r="Q42" s="0" t="n">
        <v>0.6861</v>
      </c>
      <c r="R42" s="0" t="n">
        <v>0.8383</v>
      </c>
      <c r="S42" s="0" t="n">
        <v>0.2283</v>
      </c>
      <c r="T42" s="0" t="n">
        <v>-0.8837</v>
      </c>
      <c r="U42" s="0" t="n">
        <v>-0.8425</v>
      </c>
      <c r="V42" s="0" t="n">
        <v>-0.1231</v>
      </c>
      <c r="W42" s="0" t="n">
        <v>1.3273</v>
      </c>
      <c r="X42" s="0" t="n">
        <v>1.5745</v>
      </c>
      <c r="Y42" s="0" t="n">
        <v>0.9782</v>
      </c>
      <c r="Z42" s="0" t="n">
        <v>0.3627</v>
      </c>
      <c r="AA42" s="0" t="n">
        <v>0.6758</v>
      </c>
      <c r="AB42" s="0" t="n">
        <v>0.8224</v>
      </c>
      <c r="AC42" s="0" t="n">
        <v>1.2924</v>
      </c>
      <c r="AD42" s="0" t="n">
        <v>0.8558</v>
      </c>
      <c r="AE42" s="0" t="n">
        <v>-1.5355</v>
      </c>
      <c r="AG42" s="9" t="n">
        <f aca="false">SUMPRODUCT(($B$2:$AE$2&lt;=Portafolio!$B$5)*EXP(LN(Portafolio!$B$7)+Portafolio!$B$6*B42:AE42))/1000</f>
        <v>2.61918794049569</v>
      </c>
    </row>
    <row r="43" customFormat="false" ht="15" hidden="false" customHeight="false" outlineLevel="0" collapsed="false">
      <c r="A43" s="0" t="n">
        <v>41</v>
      </c>
      <c r="B43" s="0" t="n">
        <v>0.9533</v>
      </c>
      <c r="C43" s="0" t="n">
        <v>0.3854</v>
      </c>
      <c r="D43" s="0" t="n">
        <v>-0.4599</v>
      </c>
      <c r="E43" s="0" t="n">
        <v>0.5255</v>
      </c>
      <c r="F43" s="0" t="n">
        <v>0.2883</v>
      </c>
      <c r="G43" s="0" t="n">
        <v>-0.054</v>
      </c>
      <c r="H43" s="0" t="n">
        <v>-1.6889</v>
      </c>
      <c r="I43" s="0" t="n">
        <v>0.1112</v>
      </c>
      <c r="J43" s="0" t="n">
        <v>0.5568</v>
      </c>
      <c r="K43" s="0" t="n">
        <v>-0.0484</v>
      </c>
      <c r="L43" s="0" t="n">
        <v>-1.5883</v>
      </c>
      <c r="M43" s="0" t="n">
        <v>0.458</v>
      </c>
      <c r="N43" s="0" t="n">
        <v>0.7195</v>
      </c>
      <c r="O43" s="0" t="n">
        <v>0.181</v>
      </c>
      <c r="P43" s="0" t="n">
        <v>0.4259</v>
      </c>
      <c r="Q43" s="0" t="n">
        <v>-0.3519</v>
      </c>
      <c r="R43" s="0" t="n">
        <v>-0.658</v>
      </c>
      <c r="S43" s="0" t="n">
        <v>0.5243</v>
      </c>
      <c r="T43" s="0" t="n">
        <v>-0.3548</v>
      </c>
      <c r="U43" s="0" t="n">
        <v>0.1824</v>
      </c>
      <c r="V43" s="0" t="n">
        <v>3.2555</v>
      </c>
      <c r="W43" s="0" t="n">
        <v>0.712</v>
      </c>
      <c r="X43" s="0" t="n">
        <v>0.1356</v>
      </c>
      <c r="Y43" s="0" t="n">
        <v>-1.6219</v>
      </c>
      <c r="Z43" s="0" t="n">
        <v>0.0964</v>
      </c>
      <c r="AA43" s="0" t="n">
        <v>0.7581</v>
      </c>
      <c r="AB43" s="0" t="n">
        <v>-0.7047</v>
      </c>
      <c r="AC43" s="0" t="n">
        <v>-0.2382</v>
      </c>
      <c r="AD43" s="0" t="n">
        <v>-2.2542</v>
      </c>
      <c r="AE43" s="0" t="n">
        <v>0.5553</v>
      </c>
      <c r="AG43" s="9" t="n">
        <f aca="false">SUMPRODUCT(($B$2:$AE$2&lt;=Portafolio!$B$5)*EXP(LN(Portafolio!$B$7)+Portafolio!$B$6*B43:AE43))/1000</f>
        <v>2.15431283739398</v>
      </c>
    </row>
    <row r="44" customFormat="false" ht="15" hidden="false" customHeight="false" outlineLevel="0" collapsed="false">
      <c r="A44" s="0" t="n">
        <v>42</v>
      </c>
      <c r="B44" s="0" t="n">
        <v>-0.5953</v>
      </c>
      <c r="C44" s="0" t="n">
        <v>0.6839</v>
      </c>
      <c r="D44" s="0" t="n">
        <v>1.3644</v>
      </c>
      <c r="E44" s="0" t="n">
        <v>-0.1615</v>
      </c>
      <c r="F44" s="0" t="n">
        <v>0.9844</v>
      </c>
      <c r="G44" s="0" t="n">
        <v>0.2506</v>
      </c>
      <c r="H44" s="0" t="n">
        <v>-0.2045</v>
      </c>
      <c r="I44" s="0" t="n">
        <v>-0.2807</v>
      </c>
      <c r="J44" s="0" t="n">
        <v>-0.8514</v>
      </c>
      <c r="K44" s="0" t="n">
        <v>1.2837</v>
      </c>
      <c r="L44" s="0" t="n">
        <v>0.8803</v>
      </c>
      <c r="M44" s="0" t="n">
        <v>-1.0058</v>
      </c>
      <c r="N44" s="0" t="n">
        <v>0.8423</v>
      </c>
      <c r="O44" s="0" t="n">
        <v>-0.7298</v>
      </c>
      <c r="P44" s="0" t="n">
        <v>-1.5052</v>
      </c>
      <c r="Q44" s="0" t="n">
        <v>1.1992</v>
      </c>
      <c r="R44" s="0" t="n">
        <v>-1.2796</v>
      </c>
      <c r="S44" s="0" t="n">
        <v>1.1846</v>
      </c>
      <c r="T44" s="0" t="n">
        <v>0.1993</v>
      </c>
      <c r="U44" s="0" t="n">
        <v>0.9022</v>
      </c>
      <c r="V44" s="0" t="n">
        <v>0.5117</v>
      </c>
      <c r="W44" s="0" t="n">
        <v>1.1546</v>
      </c>
      <c r="X44" s="0" t="n">
        <v>0.3476</v>
      </c>
      <c r="Y44" s="0" t="n">
        <v>0.5784</v>
      </c>
      <c r="Z44" s="0" t="n">
        <v>0.2487</v>
      </c>
      <c r="AA44" s="0" t="n">
        <v>1.0951</v>
      </c>
      <c r="AB44" s="0" t="n">
        <v>-0.3915</v>
      </c>
      <c r="AC44" s="0" t="n">
        <v>1.0158</v>
      </c>
      <c r="AD44" s="0" t="n">
        <v>1.5066</v>
      </c>
      <c r="AE44" s="0" t="n">
        <v>-0.0633</v>
      </c>
      <c r="AG44" s="9" t="n">
        <f aca="false">SUMPRODUCT(($B$2:$AE$2&lt;=Portafolio!$B$5)*EXP(LN(Portafolio!$B$7)+Portafolio!$B$6*B44:AE44))/1000</f>
        <v>2.51885972334048</v>
      </c>
    </row>
    <row r="45" customFormat="false" ht="15" hidden="false" customHeight="false" outlineLevel="0" collapsed="false">
      <c r="A45" s="0" t="n">
        <v>43</v>
      </c>
      <c r="B45" s="0" t="n">
        <v>0.4401</v>
      </c>
      <c r="C45" s="0" t="n">
        <v>-0.5139</v>
      </c>
      <c r="D45" s="0" t="n">
        <v>-0.2883</v>
      </c>
      <c r="E45" s="0" t="n">
        <v>0.2608</v>
      </c>
      <c r="F45" s="0" t="n">
        <v>-0.342</v>
      </c>
      <c r="G45" s="0" t="n">
        <v>-0.8857</v>
      </c>
      <c r="H45" s="0" t="n">
        <v>-0.0297</v>
      </c>
      <c r="I45" s="0" t="n">
        <v>0.1913</v>
      </c>
      <c r="J45" s="0" t="n">
        <v>0.323</v>
      </c>
      <c r="K45" s="0" t="n">
        <v>0.7101</v>
      </c>
      <c r="L45" s="0" t="n">
        <v>-1.7739</v>
      </c>
      <c r="M45" s="0" t="n">
        <v>1.4128</v>
      </c>
      <c r="N45" s="0" t="n">
        <v>-0.1716</v>
      </c>
      <c r="O45" s="0" t="n">
        <v>-0.7721</v>
      </c>
      <c r="P45" s="0" t="n">
        <v>-0.3711</v>
      </c>
      <c r="Q45" s="0" t="n">
        <v>0.4423</v>
      </c>
      <c r="R45" s="0" t="n">
        <v>0.8705</v>
      </c>
      <c r="S45" s="0" t="n">
        <v>-0.3661</v>
      </c>
      <c r="T45" s="0" t="n">
        <v>0.1578</v>
      </c>
      <c r="U45" s="0" t="n">
        <v>-1.5956</v>
      </c>
      <c r="V45" s="0" t="n">
        <v>0.1694</v>
      </c>
      <c r="W45" s="0" t="n">
        <v>-0.1119</v>
      </c>
      <c r="X45" s="0" t="n">
        <v>-0.431</v>
      </c>
      <c r="Y45" s="0" t="n">
        <v>0.8857</v>
      </c>
      <c r="Z45" s="0" t="n">
        <v>1.7929</v>
      </c>
      <c r="AA45" s="0" t="n">
        <v>1.0326</v>
      </c>
      <c r="AB45" s="0" t="n">
        <v>-0.7816</v>
      </c>
      <c r="AC45" s="0" t="n">
        <v>1.528</v>
      </c>
      <c r="AD45" s="0" t="n">
        <v>-0.3336</v>
      </c>
      <c r="AE45" s="0" t="n">
        <v>-0.0407</v>
      </c>
      <c r="AG45" s="9" t="n">
        <f aca="false">SUMPRODUCT(($B$2:$AE$2&lt;=Portafolio!$B$5)*EXP(LN(Portafolio!$B$7)+Portafolio!$B$6*B45:AE45))/1000</f>
        <v>2.05854889356494</v>
      </c>
    </row>
    <row r="46" customFormat="false" ht="15" hidden="false" customHeight="false" outlineLevel="0" collapsed="false">
      <c r="A46" s="0" t="n">
        <v>44</v>
      </c>
      <c r="B46" s="0" t="n">
        <v>-0.5801</v>
      </c>
      <c r="C46" s="0" t="n">
        <v>0.456</v>
      </c>
      <c r="D46" s="0" t="n">
        <v>0.5532</v>
      </c>
      <c r="E46" s="0" t="n">
        <v>0.1451</v>
      </c>
      <c r="F46" s="0" t="n">
        <v>-0.2098</v>
      </c>
      <c r="G46" s="0" t="n">
        <v>-0.1434</v>
      </c>
      <c r="H46" s="0" t="n">
        <v>-0.4007</v>
      </c>
      <c r="I46" s="0" t="n">
        <v>0.9711</v>
      </c>
      <c r="J46" s="0" t="n">
        <v>-0.5202</v>
      </c>
      <c r="K46" s="0" t="n">
        <v>-0.1475</v>
      </c>
      <c r="L46" s="0" t="n">
        <v>-0.2092</v>
      </c>
      <c r="M46" s="0" t="n">
        <v>-0.748</v>
      </c>
      <c r="N46" s="0" t="n">
        <v>-0.2273</v>
      </c>
      <c r="O46" s="0" t="n">
        <v>-1.4638</v>
      </c>
      <c r="P46" s="0" t="n">
        <v>0.4075</v>
      </c>
      <c r="Q46" s="0" t="n">
        <v>0.5406</v>
      </c>
      <c r="R46" s="0" t="n">
        <v>-0.2993</v>
      </c>
      <c r="S46" s="0" t="n">
        <v>1.5509</v>
      </c>
      <c r="T46" s="0" t="n">
        <v>-0.8187</v>
      </c>
      <c r="U46" s="0" t="n">
        <v>0.554</v>
      </c>
      <c r="V46" s="0" t="n">
        <v>0.4767</v>
      </c>
      <c r="W46" s="0" t="n">
        <v>-0.5341</v>
      </c>
      <c r="X46" s="0" t="n">
        <v>-0.2403</v>
      </c>
      <c r="Y46" s="0" t="n">
        <v>0.8879</v>
      </c>
      <c r="Z46" s="0" t="n">
        <v>0.0615</v>
      </c>
      <c r="AA46" s="0" t="n">
        <v>0.2816</v>
      </c>
      <c r="AB46" s="0" t="n">
        <v>1.3942</v>
      </c>
      <c r="AC46" s="0" t="n">
        <v>0.2166</v>
      </c>
      <c r="AD46" s="0" t="n">
        <v>-1.665</v>
      </c>
      <c r="AE46" s="0" t="n">
        <v>-0.7322</v>
      </c>
      <c r="AG46" s="9" t="n">
        <f aca="false">SUMPRODUCT(($B$2:$AE$2&lt;=Portafolio!$B$5)*EXP(LN(Portafolio!$B$7)+Portafolio!$B$6*B46:AE46))/1000</f>
        <v>2.13751738220858</v>
      </c>
    </row>
    <row r="47" customFormat="false" ht="15" hidden="false" customHeight="false" outlineLevel="0" collapsed="false">
      <c r="A47" s="0" t="n">
        <v>45</v>
      </c>
      <c r="B47" s="0" t="n">
        <v>0.8315</v>
      </c>
      <c r="C47" s="0" t="n">
        <v>-0.1285</v>
      </c>
      <c r="D47" s="0" t="n">
        <v>-1.0742</v>
      </c>
      <c r="E47" s="0" t="n">
        <v>-1.9684</v>
      </c>
      <c r="F47" s="0" t="n">
        <v>0.3222</v>
      </c>
      <c r="G47" s="0" t="n">
        <v>1.4945</v>
      </c>
      <c r="H47" s="0" t="n">
        <v>-1.2468</v>
      </c>
      <c r="I47" s="0" t="n">
        <v>-2.1573</v>
      </c>
      <c r="J47" s="0" t="n">
        <v>0.4951</v>
      </c>
      <c r="K47" s="0" t="n">
        <v>-0.5381</v>
      </c>
      <c r="L47" s="0" t="n">
        <v>-0.2921</v>
      </c>
      <c r="M47" s="0" t="n">
        <v>-0.3211</v>
      </c>
      <c r="N47" s="0" t="n">
        <v>-0.8971</v>
      </c>
      <c r="O47" s="0" t="n">
        <v>0.438</v>
      </c>
      <c r="P47" s="0" t="n">
        <v>0.914</v>
      </c>
      <c r="Q47" s="0" t="n">
        <v>0.3626</v>
      </c>
      <c r="R47" s="0" t="n">
        <v>-0.5531</v>
      </c>
      <c r="S47" s="0" t="n">
        <v>1.0339</v>
      </c>
      <c r="T47" s="0" t="n">
        <v>-0.1094</v>
      </c>
      <c r="U47" s="0" t="n">
        <v>0.5774</v>
      </c>
      <c r="V47" s="0" t="n">
        <v>-0.9289</v>
      </c>
      <c r="W47" s="0" t="n">
        <v>0.6533</v>
      </c>
      <c r="X47" s="0" t="n">
        <v>0.7393</v>
      </c>
      <c r="Y47" s="0" t="n">
        <v>1.2814</v>
      </c>
      <c r="Z47" s="0" t="n">
        <v>0.0283</v>
      </c>
      <c r="AA47" s="0" t="n">
        <v>0.4411</v>
      </c>
      <c r="AB47" s="0" t="n">
        <v>-0.5715</v>
      </c>
      <c r="AC47" s="0" t="n">
        <v>0.878</v>
      </c>
      <c r="AD47" s="0" t="n">
        <v>0.7717</v>
      </c>
      <c r="AE47" s="0" t="n">
        <v>1.0734</v>
      </c>
      <c r="AG47" s="9" t="n">
        <f aca="false">SUMPRODUCT(($B$2:$AE$2&lt;=Portafolio!$B$5)*EXP(LN(Portafolio!$B$7)+Portafolio!$B$6*B47:AE47))/1000</f>
        <v>2.13361572834363</v>
      </c>
    </row>
    <row r="48" customFormat="false" ht="15" hidden="false" customHeight="false" outlineLevel="0" collapsed="false">
      <c r="A48" s="0" t="n">
        <v>46</v>
      </c>
      <c r="B48" s="0" t="n">
        <v>-0.3818</v>
      </c>
      <c r="C48" s="0" t="n">
        <v>-1.2106</v>
      </c>
      <c r="D48" s="0" t="n">
        <v>-0.0665</v>
      </c>
      <c r="E48" s="0" t="n">
        <v>-0.2054</v>
      </c>
      <c r="F48" s="0" t="n">
        <v>-0.7386</v>
      </c>
      <c r="G48" s="0" t="n">
        <v>0.6004</v>
      </c>
      <c r="H48" s="0" t="n">
        <v>0.9394</v>
      </c>
      <c r="I48" s="0" t="n">
        <v>0.3921</v>
      </c>
      <c r="J48" s="0" t="n">
        <v>1.1017</v>
      </c>
      <c r="K48" s="0" t="n">
        <v>0.3936</v>
      </c>
      <c r="L48" s="0" t="n">
        <v>-0.9652</v>
      </c>
      <c r="M48" s="0" t="n">
        <v>-0.5781</v>
      </c>
      <c r="N48" s="0" t="n">
        <v>-0.3493</v>
      </c>
      <c r="O48" s="0" t="n">
        <v>0.68</v>
      </c>
      <c r="P48" s="0" t="n">
        <v>0.9133</v>
      </c>
      <c r="Q48" s="0" t="n">
        <v>0.136</v>
      </c>
      <c r="R48" s="0" t="n">
        <v>1.0042</v>
      </c>
      <c r="S48" s="0" t="n">
        <v>-0.8122</v>
      </c>
      <c r="T48" s="0" t="n">
        <v>-0.1109</v>
      </c>
      <c r="U48" s="0" t="n">
        <v>1.481</v>
      </c>
      <c r="V48" s="0" t="n">
        <v>0.4405</v>
      </c>
      <c r="W48" s="0" t="n">
        <v>1.0358</v>
      </c>
      <c r="X48" s="0" t="n">
        <v>-1.8631</v>
      </c>
      <c r="Y48" s="0" t="n">
        <v>-1.648</v>
      </c>
      <c r="Z48" s="0" t="n">
        <v>-0.8517</v>
      </c>
      <c r="AA48" s="0" t="n">
        <v>0.9957</v>
      </c>
      <c r="AB48" s="0" t="n">
        <v>1.6068</v>
      </c>
      <c r="AC48" s="0" t="n">
        <v>-0.6085</v>
      </c>
      <c r="AD48" s="0" t="n">
        <v>-0.9702</v>
      </c>
      <c r="AE48" s="0" t="n">
        <v>-0.9991</v>
      </c>
      <c r="AG48" s="9" t="n">
        <f aca="false">SUMPRODUCT(($B$2:$AE$2&lt;=Portafolio!$B$5)*EXP(LN(Portafolio!$B$7)+Portafolio!$B$6*B48:AE48))/1000</f>
        <v>2.36301238684894</v>
      </c>
    </row>
    <row r="49" customFormat="false" ht="15" hidden="false" customHeight="false" outlineLevel="0" collapsed="false">
      <c r="A49" s="0" t="n">
        <v>47</v>
      </c>
      <c r="B49" s="0" t="n">
        <v>-0.8784</v>
      </c>
      <c r="C49" s="0" t="n">
        <v>0.5501</v>
      </c>
      <c r="D49" s="0" t="n">
        <v>-0.308</v>
      </c>
      <c r="E49" s="0" t="n">
        <v>1.8559</v>
      </c>
      <c r="F49" s="0" t="n">
        <v>0.7139</v>
      </c>
      <c r="G49" s="0" t="n">
        <v>-0.6727</v>
      </c>
      <c r="H49" s="0" t="n">
        <v>0.2351</v>
      </c>
      <c r="I49" s="0" t="n">
        <v>-0.15</v>
      </c>
      <c r="J49" s="0" t="n">
        <v>0.7818</v>
      </c>
      <c r="K49" s="0" t="n">
        <v>0.8964</v>
      </c>
      <c r="L49" s="0" t="n">
        <v>-0.3403</v>
      </c>
      <c r="M49" s="0" t="n">
        <v>0.882</v>
      </c>
      <c r="N49" s="0" t="n">
        <v>0.5639</v>
      </c>
      <c r="O49" s="0" t="n">
        <v>-0.0821</v>
      </c>
      <c r="P49" s="0" t="n">
        <v>0.2548</v>
      </c>
      <c r="Q49" s="0" t="n">
        <v>0.6737</v>
      </c>
      <c r="R49" s="0" t="n">
        <v>-0.3106</v>
      </c>
      <c r="S49" s="0" t="n">
        <v>-0.6619</v>
      </c>
      <c r="T49" s="0" t="n">
        <v>1.2529</v>
      </c>
      <c r="U49" s="0" t="n">
        <v>0.0073</v>
      </c>
      <c r="V49" s="0" t="n">
        <v>-0.5813</v>
      </c>
      <c r="W49" s="0" t="n">
        <v>0.4574</v>
      </c>
      <c r="X49" s="0" t="n">
        <v>-1.4482</v>
      </c>
      <c r="Y49" s="0" t="n">
        <v>0.0582</v>
      </c>
      <c r="Z49" s="0" t="n">
        <v>-1.3359</v>
      </c>
      <c r="AA49" s="0" t="n">
        <v>-0.4168</v>
      </c>
      <c r="AB49" s="0" t="n">
        <v>-1.7502</v>
      </c>
      <c r="AC49" s="0" t="n">
        <v>-0.7027</v>
      </c>
      <c r="AD49" s="0" t="n">
        <v>0.8836</v>
      </c>
      <c r="AE49" s="0" t="n">
        <v>-0.1753</v>
      </c>
      <c r="AG49" s="9" t="n">
        <f aca="false">SUMPRODUCT(($B$2:$AE$2&lt;=Portafolio!$B$5)*EXP(LN(Portafolio!$B$7)+Portafolio!$B$6*B49:AE49))/1000</f>
        <v>2.55946986692561</v>
      </c>
    </row>
    <row r="50" customFormat="false" ht="15" hidden="false" customHeight="false" outlineLevel="0" collapsed="false">
      <c r="A50" s="0" t="n">
        <v>48</v>
      </c>
      <c r="B50" s="0" t="n">
        <v>-1.1902</v>
      </c>
      <c r="C50" s="0" t="n">
        <v>1.7124</v>
      </c>
      <c r="D50" s="0" t="n">
        <v>-0.615</v>
      </c>
      <c r="E50" s="0" t="n">
        <v>1.4625</v>
      </c>
      <c r="F50" s="0" t="n">
        <v>-0.5125</v>
      </c>
      <c r="G50" s="0" t="n">
        <v>-1.4344</v>
      </c>
      <c r="H50" s="0" t="n">
        <v>1.8175</v>
      </c>
      <c r="I50" s="0" t="n">
        <v>-0.4193</v>
      </c>
      <c r="J50" s="0" t="n">
        <v>0.7509</v>
      </c>
      <c r="K50" s="0" t="n">
        <v>1.1746</v>
      </c>
      <c r="L50" s="0" t="n">
        <v>-1.2859</v>
      </c>
      <c r="M50" s="0" t="n">
        <v>0.0756</v>
      </c>
      <c r="N50" s="0" t="n">
        <v>-0.5598</v>
      </c>
      <c r="O50" s="0" t="n">
        <v>0.5997</v>
      </c>
      <c r="P50" s="0" t="n">
        <v>-0.008</v>
      </c>
      <c r="Q50" s="0" t="n">
        <v>-1.2357</v>
      </c>
      <c r="R50" s="0" t="n">
        <v>0.0616</v>
      </c>
      <c r="S50" s="0" t="n">
        <v>0.7548</v>
      </c>
      <c r="T50" s="0" t="n">
        <v>-0.284</v>
      </c>
      <c r="U50" s="0" t="n">
        <v>0.5575</v>
      </c>
      <c r="V50" s="0" t="n">
        <v>-0.5171</v>
      </c>
      <c r="W50" s="0" t="n">
        <v>-0.0448</v>
      </c>
      <c r="X50" s="0" t="n">
        <v>0.3478</v>
      </c>
      <c r="Y50" s="0" t="n">
        <v>0.146</v>
      </c>
      <c r="Z50" s="0" t="n">
        <v>1.2508</v>
      </c>
      <c r="AA50" s="0" t="n">
        <v>0.9358</v>
      </c>
      <c r="AB50" s="0" t="n">
        <v>0.8323</v>
      </c>
      <c r="AC50" s="0" t="n">
        <v>0.7133</v>
      </c>
      <c r="AD50" s="0" t="n">
        <v>0.1585</v>
      </c>
      <c r="AE50" s="0" t="n">
        <v>-1.1338</v>
      </c>
      <c r="AG50" s="9" t="n">
        <f aca="false">SUMPRODUCT(($B$2:$AE$2&lt;=Portafolio!$B$5)*EXP(LN(Portafolio!$B$7)+Portafolio!$B$6*B50:AE50))/1000</f>
        <v>2.48630495608224</v>
      </c>
    </row>
    <row r="51" customFormat="false" ht="15" hidden="false" customHeight="false" outlineLevel="0" collapsed="false">
      <c r="A51" s="0" t="n">
        <v>49</v>
      </c>
      <c r="B51" s="0" t="n">
        <v>1.0474</v>
      </c>
      <c r="C51" s="0" t="n">
        <v>1.7109</v>
      </c>
      <c r="D51" s="0" t="n">
        <v>0.2266</v>
      </c>
      <c r="E51" s="0" t="n">
        <v>-0.2418</v>
      </c>
      <c r="F51" s="0" t="n">
        <v>-0.0291</v>
      </c>
      <c r="G51" s="0" t="n">
        <v>1.1897</v>
      </c>
      <c r="H51" s="0" t="n">
        <v>0.2872</v>
      </c>
      <c r="I51" s="0" t="n">
        <v>-0.9558</v>
      </c>
      <c r="J51" s="0" t="n">
        <v>-0.1617</v>
      </c>
      <c r="K51" s="0" t="n">
        <v>-0.7444</v>
      </c>
      <c r="L51" s="0" t="n">
        <v>-0.1901</v>
      </c>
      <c r="M51" s="0" t="n">
        <v>-0.8692</v>
      </c>
      <c r="N51" s="0" t="n">
        <v>-0.8485</v>
      </c>
      <c r="O51" s="0" t="n">
        <v>1.4588</v>
      </c>
      <c r="P51" s="0" t="n">
        <v>1.0331</v>
      </c>
      <c r="Q51" s="0" t="n">
        <v>-1.5683</v>
      </c>
      <c r="R51" s="0" t="n">
        <v>-0.9523</v>
      </c>
      <c r="S51" s="0" t="n">
        <v>-0.4297</v>
      </c>
      <c r="T51" s="0" t="n">
        <v>-0.3734</v>
      </c>
      <c r="U51" s="0" t="n">
        <v>-1.3459</v>
      </c>
      <c r="V51" s="0" t="n">
        <v>0.8759</v>
      </c>
      <c r="W51" s="0" t="n">
        <v>-1.5697</v>
      </c>
      <c r="X51" s="0" t="n">
        <v>0.6869</v>
      </c>
      <c r="Y51" s="0" t="n">
        <v>0.6888</v>
      </c>
      <c r="Z51" s="0" t="n">
        <v>-0.3518</v>
      </c>
      <c r="AA51" s="0" t="n">
        <v>-0.6338</v>
      </c>
      <c r="AB51" s="0" t="n">
        <v>0.0663</v>
      </c>
      <c r="AC51" s="0" t="n">
        <v>0.1524</v>
      </c>
      <c r="AD51" s="0" t="n">
        <v>-2.0439</v>
      </c>
      <c r="AE51" s="0" t="n">
        <v>-1.2179</v>
      </c>
      <c r="AG51" s="9" t="n">
        <f aca="false">SUMPRODUCT(($B$2:$AE$2&lt;=Portafolio!$B$5)*EXP(LN(Portafolio!$B$7)+Portafolio!$B$6*B51:AE51))/1000</f>
        <v>2.23180973094991</v>
      </c>
    </row>
    <row r="52" customFormat="false" ht="15" hidden="false" customHeight="false" outlineLevel="0" collapsed="false">
      <c r="A52" s="0" t="n">
        <v>50</v>
      </c>
      <c r="B52" s="0" t="n">
        <v>0.5267</v>
      </c>
      <c r="C52" s="0" t="n">
        <v>-0.099</v>
      </c>
      <c r="D52" s="0" t="n">
        <v>-0.3985</v>
      </c>
      <c r="E52" s="0" t="n">
        <v>-0.9635</v>
      </c>
      <c r="F52" s="0" t="n">
        <v>-0.6814</v>
      </c>
      <c r="G52" s="0" t="n">
        <v>-0.7392</v>
      </c>
      <c r="H52" s="0" t="n">
        <v>2.7387</v>
      </c>
      <c r="I52" s="0" t="n">
        <v>-1.2184</v>
      </c>
      <c r="J52" s="0" t="n">
        <v>1.5072</v>
      </c>
      <c r="K52" s="0" t="n">
        <v>0.4762</v>
      </c>
      <c r="L52" s="0" t="n">
        <v>0.2166</v>
      </c>
      <c r="M52" s="0" t="n">
        <v>0.1993</v>
      </c>
      <c r="N52" s="0" t="n">
        <v>-0.364</v>
      </c>
      <c r="O52" s="0" t="n">
        <v>1.5797</v>
      </c>
      <c r="P52" s="0" t="n">
        <v>0.5056</v>
      </c>
      <c r="Q52" s="0" t="n">
        <v>-0.0203</v>
      </c>
      <c r="R52" s="0" t="n">
        <v>-0.1118</v>
      </c>
      <c r="S52" s="0" t="n">
        <v>0.2031</v>
      </c>
      <c r="T52" s="0" t="n">
        <v>-1.1079</v>
      </c>
      <c r="U52" s="0" t="n">
        <v>-0.3036</v>
      </c>
      <c r="V52" s="0" t="n">
        <v>-0.6022</v>
      </c>
      <c r="W52" s="0" t="n">
        <v>0.6142</v>
      </c>
      <c r="X52" s="0" t="n">
        <v>0.5957</v>
      </c>
      <c r="Y52" s="0" t="n">
        <v>-1.8149</v>
      </c>
      <c r="Z52" s="0" t="n">
        <v>-0.2097</v>
      </c>
      <c r="AA52" s="0" t="n">
        <v>0.9747</v>
      </c>
      <c r="AB52" s="0" t="n">
        <v>-1.2575</v>
      </c>
      <c r="AC52" s="0" t="n">
        <v>-1.1481</v>
      </c>
      <c r="AD52" s="0" t="n">
        <v>0.9861</v>
      </c>
      <c r="AE52" s="0" t="n">
        <v>-0.1184</v>
      </c>
      <c r="AG52" s="9" t="n">
        <f aca="false">SUMPRODUCT(($B$2:$AE$2&lt;=Portafolio!$B$5)*EXP(LN(Portafolio!$B$7)+Portafolio!$B$6*B52:AE52))/1000</f>
        <v>2.58272325145074</v>
      </c>
    </row>
    <row r="53" customFormat="false" ht="15" hidden="false" customHeight="false" outlineLevel="0" collapsed="false">
      <c r="A53" s="0" t="n">
        <v>51</v>
      </c>
      <c r="B53" s="0" t="n">
        <v>-0.4327</v>
      </c>
      <c r="C53" s="0" t="n">
        <v>-1.1798</v>
      </c>
      <c r="D53" s="0" t="n">
        <v>0.1748</v>
      </c>
      <c r="E53" s="0" t="n">
        <v>-0.5359</v>
      </c>
      <c r="F53" s="0" t="n">
        <v>0.2159</v>
      </c>
      <c r="G53" s="0" t="n">
        <v>0.4243</v>
      </c>
      <c r="H53" s="0" t="n">
        <v>0.6956</v>
      </c>
      <c r="I53" s="0" t="n">
        <v>-0.3086</v>
      </c>
      <c r="J53" s="0" t="n">
        <v>-0.5051</v>
      </c>
      <c r="K53" s="0" t="n">
        <v>0.0373</v>
      </c>
      <c r="L53" s="0" t="n">
        <v>-0.088</v>
      </c>
      <c r="M53" s="0" t="n">
        <v>0.1764</v>
      </c>
      <c r="N53" s="0" t="n">
        <v>-0.5098</v>
      </c>
      <c r="O53" s="0" t="n">
        <v>-0.2241</v>
      </c>
      <c r="P53" s="0" t="n">
        <v>-0.5648</v>
      </c>
      <c r="Q53" s="0" t="n">
        <v>-0.5669</v>
      </c>
      <c r="R53" s="0" t="n">
        <v>0.1612</v>
      </c>
      <c r="S53" s="0" t="n">
        <v>1.1359</v>
      </c>
      <c r="T53" s="0" t="n">
        <v>-0.5158</v>
      </c>
      <c r="U53" s="0" t="n">
        <v>0.5788</v>
      </c>
      <c r="V53" s="0" t="n">
        <v>0.3461</v>
      </c>
      <c r="W53" s="0" t="n">
        <v>0.1154</v>
      </c>
      <c r="X53" s="0" t="n">
        <v>0.6719</v>
      </c>
      <c r="Y53" s="0" t="n">
        <v>-0.5373</v>
      </c>
      <c r="Z53" s="0" t="n">
        <v>0.5593</v>
      </c>
      <c r="AA53" s="0" t="n">
        <v>0.3003</v>
      </c>
      <c r="AB53" s="0" t="n">
        <v>-3.4059</v>
      </c>
      <c r="AC53" s="0" t="n">
        <v>0.3557</v>
      </c>
      <c r="AD53" s="0" t="n">
        <v>0.5945</v>
      </c>
      <c r="AE53" s="0" t="n">
        <v>1.9197</v>
      </c>
      <c r="AG53" s="9" t="n">
        <f aca="false">SUMPRODUCT(($B$2:$AE$2&lt;=Portafolio!$B$5)*EXP(LN(Portafolio!$B$7)+Portafolio!$B$6*B53:AE53))/1000</f>
        <v>1.99606011578522</v>
      </c>
    </row>
    <row r="54" customFormat="false" ht="15" hidden="false" customHeight="false" outlineLevel="0" collapsed="false">
      <c r="A54" s="0" t="n">
        <v>52</v>
      </c>
      <c r="B54" s="0" t="n">
        <v>-1.0297</v>
      </c>
      <c r="C54" s="0" t="n">
        <v>0.1022</v>
      </c>
      <c r="D54" s="0" t="n">
        <v>0.352</v>
      </c>
      <c r="E54" s="0" t="n">
        <v>-0.9403</v>
      </c>
      <c r="F54" s="0" t="n">
        <v>1.1827</v>
      </c>
      <c r="G54" s="0" t="n">
        <v>0.4481</v>
      </c>
      <c r="H54" s="0" t="n">
        <v>-0.7714</v>
      </c>
      <c r="I54" s="0" t="n">
        <v>-1.1645</v>
      </c>
      <c r="J54" s="0" t="n">
        <v>-0.4007</v>
      </c>
      <c r="K54" s="0" t="n">
        <v>2.3301</v>
      </c>
      <c r="L54" s="0" t="n">
        <v>2.1196</v>
      </c>
      <c r="M54" s="0" t="n">
        <v>-2.4165</v>
      </c>
      <c r="N54" s="0" t="n">
        <v>-1.7749</v>
      </c>
      <c r="O54" s="0" t="n">
        <v>0.6618</v>
      </c>
      <c r="P54" s="0" t="n">
        <v>-0.0974</v>
      </c>
      <c r="Q54" s="0" t="n">
        <v>-0.6143</v>
      </c>
      <c r="R54" s="0" t="n">
        <v>0.5996</v>
      </c>
      <c r="S54" s="0" t="n">
        <v>0.1019</v>
      </c>
      <c r="T54" s="0" t="n">
        <v>0.2892</v>
      </c>
      <c r="U54" s="0" t="n">
        <v>0.2674</v>
      </c>
      <c r="V54" s="0" t="n">
        <v>-1.0582</v>
      </c>
      <c r="W54" s="0" t="n">
        <v>1.2968</v>
      </c>
      <c r="X54" s="0" t="n">
        <v>-0.4424</v>
      </c>
      <c r="Y54" s="0" t="n">
        <v>1.1173</v>
      </c>
      <c r="Z54" s="0" t="n">
        <v>0.6854</v>
      </c>
      <c r="AA54" s="0" t="n">
        <v>0.0452</v>
      </c>
      <c r="AB54" s="0" t="n">
        <v>0.1441</v>
      </c>
      <c r="AC54" s="0" t="n">
        <v>-0.0377</v>
      </c>
      <c r="AD54" s="0" t="n">
        <v>-1.7962</v>
      </c>
      <c r="AE54" s="0" t="n">
        <v>-0.3106</v>
      </c>
      <c r="AG54" s="9" t="n">
        <f aca="false">SUMPRODUCT(($B$2:$AE$2&lt;=Portafolio!$B$5)*EXP(LN(Portafolio!$B$7)+Portafolio!$B$6*B54:AE54))/1000</f>
        <v>2.48368344835198</v>
      </c>
    </row>
    <row r="55" customFormat="false" ht="15" hidden="false" customHeight="false" outlineLevel="0" collapsed="false">
      <c r="A55" s="0" t="n">
        <v>53</v>
      </c>
      <c r="B55" s="0" t="n">
        <v>0.4282</v>
      </c>
      <c r="C55" s="0" t="n">
        <v>-1.5734</v>
      </c>
      <c r="D55" s="0" t="n">
        <v>-1.4536</v>
      </c>
      <c r="E55" s="0" t="n">
        <v>1.0663</v>
      </c>
      <c r="F55" s="0" t="n">
        <v>0.801</v>
      </c>
      <c r="G55" s="0" t="n">
        <v>-1.5093</v>
      </c>
      <c r="H55" s="0" t="n">
        <v>0.4593</v>
      </c>
      <c r="I55" s="0" t="n">
        <v>-0.0407</v>
      </c>
      <c r="J55" s="0" t="n">
        <v>0.9656</v>
      </c>
      <c r="K55" s="0" t="n">
        <v>-0.3112</v>
      </c>
      <c r="L55" s="0" t="n">
        <v>-0.2107</v>
      </c>
      <c r="M55" s="0" t="n">
        <v>-0.7296</v>
      </c>
      <c r="N55" s="0" t="n">
        <v>0.1838</v>
      </c>
      <c r="O55" s="0" t="n">
        <v>-0.1173</v>
      </c>
      <c r="P55" s="0" t="n">
        <v>-0.636</v>
      </c>
      <c r="Q55" s="0" t="n">
        <v>-0.3332</v>
      </c>
      <c r="R55" s="0" t="n">
        <v>-0.7336</v>
      </c>
      <c r="S55" s="0" t="n">
        <v>0.6194</v>
      </c>
      <c r="T55" s="0" t="n">
        <v>-1.0069</v>
      </c>
      <c r="U55" s="0" t="n">
        <v>-1.5217</v>
      </c>
      <c r="V55" s="0" t="n">
        <v>-0.9406</v>
      </c>
      <c r="W55" s="0" t="n">
        <v>1.0713</v>
      </c>
      <c r="X55" s="0" t="n">
        <v>-0.4922</v>
      </c>
      <c r="Y55" s="0" t="n">
        <v>0.6424</v>
      </c>
      <c r="Z55" s="0" t="n">
        <v>0.7291</v>
      </c>
      <c r="AA55" s="0" t="n">
        <v>-0.4945</v>
      </c>
      <c r="AB55" s="0" t="n">
        <v>0.7495</v>
      </c>
      <c r="AC55" s="0" t="n">
        <v>0.5035</v>
      </c>
      <c r="AD55" s="0" t="n">
        <v>-0.0362</v>
      </c>
      <c r="AE55" s="0" t="n">
        <v>-0.6881</v>
      </c>
      <c r="AG55" s="9" t="n">
        <f aca="false">SUMPRODUCT(($B$2:$AE$2&lt;=Portafolio!$B$5)*EXP(LN(Portafolio!$B$7)+Portafolio!$B$6*B55:AE55))/1000</f>
        <v>1.90440183550369</v>
      </c>
    </row>
    <row r="56" customFormat="false" ht="15" hidden="false" customHeight="false" outlineLevel="0" collapsed="false">
      <c r="A56" s="0" t="n">
        <v>54</v>
      </c>
      <c r="B56" s="0" t="n">
        <v>-0.0537</v>
      </c>
      <c r="C56" s="0" t="n">
        <v>-1.256</v>
      </c>
      <c r="D56" s="0" t="n">
        <v>-0.2652</v>
      </c>
      <c r="E56" s="0" t="n">
        <v>-0.5657</v>
      </c>
      <c r="F56" s="0" t="n">
        <v>0.4371</v>
      </c>
      <c r="G56" s="0" t="n">
        <v>0.3427</v>
      </c>
      <c r="H56" s="0" t="n">
        <v>-0.6258</v>
      </c>
      <c r="I56" s="0" t="n">
        <v>0.8575</v>
      </c>
      <c r="J56" s="0" t="n">
        <v>1.1797</v>
      </c>
      <c r="K56" s="0" t="n">
        <v>0.0701</v>
      </c>
      <c r="L56" s="0" t="n">
        <v>-0.7233</v>
      </c>
      <c r="M56" s="0" t="n">
        <v>0.5026</v>
      </c>
      <c r="N56" s="0" t="n">
        <v>-2.4</v>
      </c>
      <c r="O56" s="0" t="n">
        <v>-0.5704</v>
      </c>
      <c r="P56" s="0" t="n">
        <v>0.579</v>
      </c>
      <c r="Q56" s="0" t="n">
        <v>1.9782</v>
      </c>
      <c r="R56" s="0" t="n">
        <v>-0.7217</v>
      </c>
      <c r="S56" s="0" t="n">
        <v>1.5116</v>
      </c>
      <c r="T56" s="0" t="n">
        <v>2.3004</v>
      </c>
      <c r="U56" s="0" t="n">
        <v>1.8634</v>
      </c>
      <c r="V56" s="0" t="n">
        <v>-2.321</v>
      </c>
      <c r="W56" s="0" t="n">
        <v>1.0903</v>
      </c>
      <c r="X56" s="0" t="n">
        <v>0.1943</v>
      </c>
      <c r="Y56" s="0" t="n">
        <v>1.0057</v>
      </c>
      <c r="Z56" s="0" t="n">
        <v>-0.1706</v>
      </c>
      <c r="AA56" s="0" t="n">
        <v>-0.602</v>
      </c>
      <c r="AB56" s="0" t="n">
        <v>-0.22</v>
      </c>
      <c r="AC56" s="0" t="n">
        <v>1.4877</v>
      </c>
      <c r="AD56" s="0" t="n">
        <v>0.8348</v>
      </c>
      <c r="AE56" s="0" t="n">
        <v>-0.2847</v>
      </c>
      <c r="AG56" s="9" t="n">
        <f aca="false">SUMPRODUCT(($B$2:$AE$2&lt;=Portafolio!$B$5)*EXP(LN(Portafolio!$B$7)+Portafolio!$B$6*B56:AE56))/1000</f>
        <v>2.87638612762682</v>
      </c>
    </row>
    <row r="57" customFormat="false" ht="15" hidden="false" customHeight="false" outlineLevel="0" collapsed="false">
      <c r="A57" s="0" t="n">
        <v>55</v>
      </c>
      <c r="B57" s="0" t="n">
        <v>0.3818</v>
      </c>
      <c r="C57" s="0" t="n">
        <v>0.8591</v>
      </c>
      <c r="D57" s="0" t="n">
        <v>0.565</v>
      </c>
      <c r="E57" s="0" t="n">
        <v>-0.0374</v>
      </c>
      <c r="F57" s="0" t="n">
        <v>-0.6458</v>
      </c>
      <c r="G57" s="0" t="n">
        <v>-0.73</v>
      </c>
      <c r="H57" s="0" t="n">
        <v>-0.4273</v>
      </c>
      <c r="I57" s="0" t="n">
        <v>-0.5429</v>
      </c>
      <c r="J57" s="0" t="n">
        <v>-1.5573</v>
      </c>
      <c r="K57" s="0" t="n">
        <v>-1.3952</v>
      </c>
      <c r="L57" s="0" t="n">
        <v>0.8721</v>
      </c>
      <c r="M57" s="0" t="n">
        <v>-1.1047</v>
      </c>
      <c r="N57" s="0" t="n">
        <v>-1.2946</v>
      </c>
      <c r="O57" s="0" t="n">
        <v>-0.0395</v>
      </c>
      <c r="P57" s="0" t="n">
        <v>1.4367</v>
      </c>
      <c r="Q57" s="0" t="n">
        <v>1.2529</v>
      </c>
      <c r="R57" s="0" t="n">
        <v>-0.4055</v>
      </c>
      <c r="S57" s="0" t="n">
        <v>-1.0212</v>
      </c>
      <c r="T57" s="0" t="n">
        <v>-0.5282</v>
      </c>
      <c r="U57" s="0" t="n">
        <v>-0.899</v>
      </c>
      <c r="V57" s="0" t="n">
        <v>-0.5413</v>
      </c>
      <c r="W57" s="0" t="n">
        <v>0.4794</v>
      </c>
      <c r="X57" s="0" t="n">
        <v>-1.0519</v>
      </c>
      <c r="Y57" s="0" t="n">
        <v>-0.771</v>
      </c>
      <c r="Z57" s="0" t="n">
        <v>-0.2547</v>
      </c>
      <c r="AA57" s="0" t="n">
        <v>-0.0245</v>
      </c>
      <c r="AB57" s="0" t="n">
        <v>-0.7581</v>
      </c>
      <c r="AC57" s="0" t="n">
        <v>-0.7806</v>
      </c>
      <c r="AD57" s="0" t="n">
        <v>-1.1191</v>
      </c>
      <c r="AE57" s="0" t="n">
        <v>-0.7438</v>
      </c>
      <c r="AG57" s="9" t="n">
        <f aca="false">SUMPRODUCT(($B$2:$AE$2&lt;=Portafolio!$B$5)*EXP(LN(Portafolio!$B$7)+Portafolio!$B$6*B57:AE57))/1000</f>
        <v>1.97243334785139</v>
      </c>
    </row>
    <row r="58" customFormat="false" ht="15" hidden="false" customHeight="false" outlineLevel="0" collapsed="false">
      <c r="A58" s="0" t="n">
        <v>56</v>
      </c>
      <c r="B58" s="0" t="n">
        <v>0.5219</v>
      </c>
      <c r="C58" s="0" t="n">
        <v>-0.2392</v>
      </c>
      <c r="D58" s="0" t="n">
        <v>-3.0837</v>
      </c>
      <c r="E58" s="0" t="n">
        <v>0.6147</v>
      </c>
      <c r="F58" s="0" t="n">
        <v>-0.0653</v>
      </c>
      <c r="G58" s="0" t="n">
        <v>-0.864</v>
      </c>
      <c r="H58" s="0" t="n">
        <v>-0.2508</v>
      </c>
      <c r="I58" s="0" t="n">
        <v>-3.0057</v>
      </c>
      <c r="J58" s="0" t="n">
        <v>-1.6419</v>
      </c>
      <c r="K58" s="0" t="n">
        <v>1.1602</v>
      </c>
      <c r="L58" s="0" t="n">
        <v>2.1247</v>
      </c>
      <c r="M58" s="0" t="n">
        <v>2.1703</v>
      </c>
      <c r="N58" s="0" t="n">
        <v>-0.7292</v>
      </c>
      <c r="O58" s="0" t="n">
        <v>0.0409</v>
      </c>
      <c r="P58" s="0" t="n">
        <v>0.7773</v>
      </c>
      <c r="Q58" s="0" t="n">
        <v>-1.2211</v>
      </c>
      <c r="R58" s="0" t="n">
        <v>1.738</v>
      </c>
      <c r="S58" s="0" t="n">
        <v>-0.7174</v>
      </c>
      <c r="T58" s="0" t="n">
        <v>0.3533</v>
      </c>
      <c r="U58" s="0" t="n">
        <v>-1.1439</v>
      </c>
      <c r="V58" s="0" t="n">
        <v>0.3658</v>
      </c>
      <c r="W58" s="0" t="n">
        <v>-0.0145</v>
      </c>
      <c r="X58" s="0" t="n">
        <v>1.0803</v>
      </c>
      <c r="Y58" s="0" t="n">
        <v>-1.149</v>
      </c>
      <c r="Z58" s="0" t="n">
        <v>-0.0081</v>
      </c>
      <c r="AA58" s="0" t="n">
        <v>1.8143</v>
      </c>
      <c r="AB58" s="0" t="n">
        <v>-1.1885</v>
      </c>
      <c r="AC58" s="0" t="n">
        <v>0.3529</v>
      </c>
      <c r="AD58" s="0" t="n">
        <v>0.4385</v>
      </c>
      <c r="AE58" s="0" t="n">
        <v>-0.494</v>
      </c>
      <c r="AG58" s="9" t="n">
        <f aca="false">SUMPRODUCT(($B$2:$AE$2&lt;=Portafolio!$B$5)*EXP(LN(Portafolio!$B$7)+Portafolio!$B$6*B58:AE58))/1000</f>
        <v>2.50262610779902</v>
      </c>
    </row>
    <row r="59" customFormat="false" ht="15" hidden="false" customHeight="false" outlineLevel="0" collapsed="false">
      <c r="A59" s="0" t="n">
        <v>57</v>
      </c>
      <c r="B59" s="0" t="n">
        <v>-0.2658</v>
      </c>
      <c r="C59" s="0" t="n">
        <v>1.4119</v>
      </c>
      <c r="D59" s="0" t="n">
        <v>1.1391</v>
      </c>
      <c r="E59" s="0" t="n">
        <v>0.5674</v>
      </c>
      <c r="F59" s="0" t="n">
        <v>0.2686</v>
      </c>
      <c r="G59" s="0" t="n">
        <v>-1.1303</v>
      </c>
      <c r="H59" s="0" t="n">
        <v>0.0923</v>
      </c>
      <c r="I59" s="0" t="n">
        <v>1.7917</v>
      </c>
      <c r="J59" s="0" t="n">
        <v>1.0525</v>
      </c>
      <c r="K59" s="0" t="n">
        <v>-1.356</v>
      </c>
      <c r="L59" s="0" t="n">
        <v>-2.0697</v>
      </c>
      <c r="M59" s="0" t="n">
        <v>-0.6622</v>
      </c>
      <c r="N59" s="0" t="n">
        <v>0.1662</v>
      </c>
      <c r="O59" s="0" t="n">
        <v>-0.5492</v>
      </c>
      <c r="P59" s="0" t="n">
        <v>-0.306</v>
      </c>
      <c r="Q59" s="0" t="n">
        <v>0.3433</v>
      </c>
      <c r="R59" s="0" t="n">
        <v>0.8967</v>
      </c>
      <c r="S59" s="0" t="n">
        <v>0.2111</v>
      </c>
      <c r="T59" s="0" t="n">
        <v>1.2517</v>
      </c>
      <c r="U59" s="0" t="n">
        <v>-1.4224</v>
      </c>
      <c r="V59" s="0" t="n">
        <v>0.4687</v>
      </c>
      <c r="W59" s="0" t="n">
        <v>0.4259</v>
      </c>
      <c r="X59" s="0" t="n">
        <v>-1.4881</v>
      </c>
      <c r="Y59" s="0" t="n">
        <v>1.2527</v>
      </c>
      <c r="Z59" s="0" t="n">
        <v>-1.5975</v>
      </c>
      <c r="AA59" s="0" t="n">
        <v>-1.4455</v>
      </c>
      <c r="AB59" s="0" t="n">
        <v>2.6725</v>
      </c>
      <c r="AC59" s="0" t="n">
        <v>1.2964</v>
      </c>
      <c r="AD59" s="0" t="n">
        <v>0.3782</v>
      </c>
      <c r="AE59" s="0" t="n">
        <v>1.3569</v>
      </c>
      <c r="AG59" s="9" t="n">
        <f aca="false">SUMPRODUCT(($B$2:$AE$2&lt;=Portafolio!$B$5)*EXP(LN(Portafolio!$B$7)+Portafolio!$B$6*B59:AE59))/1000</f>
        <v>2.48037879711347</v>
      </c>
    </row>
    <row r="60" customFormat="false" ht="15" hidden="false" customHeight="false" outlineLevel="0" collapsed="false">
      <c r="A60" s="0" t="n">
        <v>58</v>
      </c>
      <c r="B60" s="0" t="n">
        <v>1.1516</v>
      </c>
      <c r="C60" s="0" t="n">
        <v>-1.1292</v>
      </c>
      <c r="D60" s="0" t="n">
        <v>0.4851</v>
      </c>
      <c r="E60" s="0" t="n">
        <v>1.4044</v>
      </c>
      <c r="F60" s="0" t="n">
        <v>-0.1596</v>
      </c>
      <c r="G60" s="0" t="n">
        <v>0.0742</v>
      </c>
      <c r="H60" s="0" t="n">
        <v>-0.4644</v>
      </c>
      <c r="I60" s="0" t="n">
        <v>0.7362</v>
      </c>
      <c r="J60" s="0" t="n">
        <v>-0.5542</v>
      </c>
      <c r="K60" s="0" t="n">
        <v>-0.588</v>
      </c>
      <c r="L60" s="0" t="n">
        <v>-1.2288</v>
      </c>
      <c r="M60" s="0" t="n">
        <v>-0.9295</v>
      </c>
      <c r="N60" s="0" t="n">
        <v>0.2209</v>
      </c>
      <c r="O60" s="0" t="n">
        <v>0.4746</v>
      </c>
      <c r="P60" s="0" t="n">
        <v>-0.3879</v>
      </c>
      <c r="Q60" s="0" t="n">
        <v>-1.0516</v>
      </c>
      <c r="R60" s="0" t="n">
        <v>0.342</v>
      </c>
      <c r="S60" s="0" t="n">
        <v>0.3601</v>
      </c>
      <c r="T60" s="0" t="n">
        <v>1.2792</v>
      </c>
      <c r="U60" s="0" t="n">
        <v>-0.4969</v>
      </c>
      <c r="V60" s="0" t="n">
        <v>-0.4133</v>
      </c>
      <c r="W60" s="0" t="n">
        <v>0.5156</v>
      </c>
      <c r="X60" s="0" t="n">
        <v>1.5332</v>
      </c>
      <c r="Y60" s="0" t="n">
        <v>-0.0497</v>
      </c>
      <c r="Z60" s="0" t="n">
        <v>-0.0815</v>
      </c>
      <c r="AA60" s="0" t="n">
        <v>-0.9418</v>
      </c>
      <c r="AB60" s="0" t="n">
        <v>-0.3787</v>
      </c>
      <c r="AC60" s="0" t="n">
        <v>0.9518</v>
      </c>
      <c r="AD60" s="0" t="n">
        <v>0.8568</v>
      </c>
      <c r="AE60" s="0" t="n">
        <v>1.123</v>
      </c>
      <c r="AG60" s="9" t="n">
        <f aca="false">SUMPRODUCT(($B$2:$AE$2&lt;=Portafolio!$B$5)*EXP(LN(Portafolio!$B$7)+Portafolio!$B$6*B60:AE60))/1000</f>
        <v>2.20621802386497</v>
      </c>
    </row>
    <row r="61" customFormat="false" ht="15" hidden="false" customHeight="false" outlineLevel="0" collapsed="false">
      <c r="A61" s="0" t="n">
        <v>59</v>
      </c>
      <c r="B61" s="0" t="n">
        <v>-1.649</v>
      </c>
      <c r="C61" s="0" t="n">
        <v>0.8438</v>
      </c>
      <c r="D61" s="0" t="n">
        <v>-0.929</v>
      </c>
      <c r="E61" s="0" t="n">
        <v>0.5979</v>
      </c>
      <c r="F61" s="0" t="n">
        <v>-2.3819</v>
      </c>
      <c r="G61" s="0" t="n">
        <v>-0.0971</v>
      </c>
      <c r="H61" s="0" t="n">
        <v>-0.8875</v>
      </c>
      <c r="I61" s="0" t="n">
        <v>1.2824</v>
      </c>
      <c r="J61" s="0" t="n">
        <v>0.1233</v>
      </c>
      <c r="K61" s="0" t="n">
        <v>1.3101</v>
      </c>
      <c r="L61" s="0" t="n">
        <v>-0.4413</v>
      </c>
      <c r="M61" s="0" t="n">
        <v>1.9816</v>
      </c>
      <c r="N61" s="0" t="n">
        <v>-0.4462</v>
      </c>
      <c r="O61" s="0" t="n">
        <v>1.912</v>
      </c>
      <c r="P61" s="0" t="n">
        <v>-0.4897</v>
      </c>
      <c r="Q61" s="0" t="n">
        <v>-0.9868</v>
      </c>
      <c r="R61" s="0" t="n">
        <v>0.9056</v>
      </c>
      <c r="S61" s="0" t="n">
        <v>-0.4008</v>
      </c>
      <c r="T61" s="0" t="n">
        <v>-0.0571</v>
      </c>
      <c r="U61" s="0" t="n">
        <v>-1.3549</v>
      </c>
      <c r="V61" s="0" t="n">
        <v>-0.3453</v>
      </c>
      <c r="W61" s="0" t="n">
        <v>0.116</v>
      </c>
      <c r="X61" s="0" t="n">
        <v>-0.71</v>
      </c>
      <c r="Y61" s="0" t="n">
        <v>0.3956</v>
      </c>
      <c r="Z61" s="0" t="n">
        <v>-2.3166</v>
      </c>
      <c r="AA61" s="0" t="n">
        <v>0.9021</v>
      </c>
      <c r="AB61" s="0" t="n">
        <v>-0.4108</v>
      </c>
      <c r="AC61" s="0" t="n">
        <v>1.4851</v>
      </c>
      <c r="AD61" s="0" t="n">
        <v>-0.3524</v>
      </c>
      <c r="AE61" s="0" t="n">
        <v>-0.6612</v>
      </c>
      <c r="AG61" s="9" t="n">
        <f aca="false">SUMPRODUCT(($B$2:$AE$2&lt;=Portafolio!$B$5)*EXP(LN(Portafolio!$B$7)+Portafolio!$B$6*B61:AE61))/1000</f>
        <v>2.44172721579734</v>
      </c>
    </row>
    <row r="62" customFormat="false" ht="15" hidden="false" customHeight="false" outlineLevel="0" collapsed="false">
      <c r="A62" s="0" t="n">
        <v>60</v>
      </c>
      <c r="B62" s="0" t="n">
        <v>-0.4523</v>
      </c>
      <c r="C62" s="0" t="n">
        <v>0.281</v>
      </c>
      <c r="D62" s="0" t="n">
        <v>0.6027</v>
      </c>
      <c r="E62" s="0" t="n">
        <v>-0.4653</v>
      </c>
      <c r="F62" s="0" t="n">
        <v>-0.8029</v>
      </c>
      <c r="G62" s="0" t="n">
        <v>0.4372</v>
      </c>
      <c r="H62" s="0" t="n">
        <v>0.8355</v>
      </c>
      <c r="I62" s="0" t="n">
        <v>-1.7606</v>
      </c>
      <c r="J62" s="0" t="n">
        <v>-1.058</v>
      </c>
      <c r="K62" s="0" t="n">
        <v>-0.678</v>
      </c>
      <c r="L62" s="0" t="n">
        <v>1.7277</v>
      </c>
      <c r="M62" s="0" t="n">
        <v>1.2458</v>
      </c>
      <c r="N62" s="0" t="n">
        <v>0.8078</v>
      </c>
      <c r="O62" s="0" t="n">
        <v>0.5012</v>
      </c>
      <c r="P62" s="0" t="n">
        <v>-1.1295</v>
      </c>
      <c r="Q62" s="0" t="n">
        <v>1.1368</v>
      </c>
      <c r="R62" s="0" t="n">
        <v>-0.4464</v>
      </c>
      <c r="S62" s="0" t="n">
        <v>-0.8022</v>
      </c>
      <c r="T62" s="0" t="n">
        <v>1.959</v>
      </c>
      <c r="U62" s="0" t="n">
        <v>-1.463</v>
      </c>
      <c r="V62" s="0" t="n">
        <v>1.4008</v>
      </c>
      <c r="W62" s="0" t="n">
        <v>0.2059</v>
      </c>
      <c r="X62" s="0" t="n">
        <v>-0.9299</v>
      </c>
      <c r="Y62" s="0" t="n">
        <v>0.1823</v>
      </c>
      <c r="Z62" s="0" t="n">
        <v>-0.8504</v>
      </c>
      <c r="AA62" s="0" t="n">
        <v>0.191</v>
      </c>
      <c r="AB62" s="0" t="n">
        <v>-0.6506</v>
      </c>
      <c r="AC62" s="0" t="n">
        <v>-1.1988</v>
      </c>
      <c r="AD62" s="0" t="n">
        <v>2.691</v>
      </c>
      <c r="AE62" s="0" t="n">
        <v>-0.5062</v>
      </c>
      <c r="AG62" s="9" t="n">
        <f aca="false">SUMPRODUCT(($B$2:$AE$2&lt;=Portafolio!$B$5)*EXP(LN(Portafolio!$B$7)+Portafolio!$B$6*B62:AE62))/1000</f>
        <v>2.46798166445747</v>
      </c>
    </row>
    <row r="63" customFormat="false" ht="15" hidden="false" customHeight="false" outlineLevel="0" collapsed="false">
      <c r="A63" s="0" t="n">
        <v>61</v>
      </c>
      <c r="B63" s="0" t="n">
        <v>1.0017</v>
      </c>
      <c r="C63" s="0" t="n">
        <v>-0.0466</v>
      </c>
      <c r="D63" s="0" t="n">
        <v>0.6874</v>
      </c>
      <c r="E63" s="0" t="n">
        <v>-1.2755</v>
      </c>
      <c r="F63" s="0" t="n">
        <v>-1.0527</v>
      </c>
      <c r="G63" s="0" t="n">
        <v>-3.3139</v>
      </c>
      <c r="H63" s="0" t="n">
        <v>1.0179</v>
      </c>
      <c r="I63" s="0" t="n">
        <v>0.4523</v>
      </c>
      <c r="J63" s="0" t="n">
        <v>-1.1889</v>
      </c>
      <c r="K63" s="0" t="n">
        <v>0.8492</v>
      </c>
      <c r="L63" s="0" t="n">
        <v>0.6032</v>
      </c>
      <c r="M63" s="0" t="n">
        <v>2.9662</v>
      </c>
      <c r="N63" s="0" t="n">
        <v>0.2424</v>
      </c>
      <c r="O63" s="0" t="n">
        <v>0.9301</v>
      </c>
      <c r="P63" s="0" t="n">
        <v>0.6242</v>
      </c>
      <c r="Q63" s="0" t="n">
        <v>0.7838</v>
      </c>
      <c r="R63" s="0" t="n">
        <v>-0.0215</v>
      </c>
      <c r="S63" s="0" t="n">
        <v>-0.4171</v>
      </c>
      <c r="T63" s="0" t="n">
        <v>0.722</v>
      </c>
      <c r="U63" s="0" t="n">
        <v>1.2539</v>
      </c>
      <c r="V63" s="0" t="n">
        <v>-1.1785</v>
      </c>
      <c r="W63" s="0" t="n">
        <v>-1.1493</v>
      </c>
      <c r="X63" s="0" t="n">
        <v>-0.0391</v>
      </c>
      <c r="Y63" s="0" t="n">
        <v>1.8256</v>
      </c>
      <c r="Z63" s="0" t="n">
        <v>-0.2074</v>
      </c>
      <c r="AA63" s="0" t="n">
        <v>-1.7173</v>
      </c>
      <c r="AB63" s="0" t="n">
        <v>0.8213</v>
      </c>
      <c r="AC63" s="0" t="n">
        <v>0.7682</v>
      </c>
      <c r="AD63" s="0" t="n">
        <v>1.9721</v>
      </c>
      <c r="AE63" s="0" t="n">
        <v>0.1964</v>
      </c>
      <c r="AG63" s="9" t="n">
        <f aca="false">SUMPRODUCT(($B$2:$AE$2&lt;=Portafolio!$B$5)*EXP(LN(Portafolio!$B$7)+Portafolio!$B$6*B63:AE63))/1000</f>
        <v>2.95015842305259</v>
      </c>
    </row>
    <row r="64" customFormat="false" ht="15" hidden="false" customHeight="false" outlineLevel="0" collapsed="false">
      <c r="A64" s="0" t="n">
        <v>62</v>
      </c>
      <c r="B64" s="0" t="n">
        <v>1.9989</v>
      </c>
      <c r="C64" s="0" t="n">
        <v>-0.7263</v>
      </c>
      <c r="D64" s="0" t="n">
        <v>0.9193</v>
      </c>
      <c r="E64" s="0" t="n">
        <v>0.1408</v>
      </c>
      <c r="F64" s="0" t="n">
        <v>-1.2039</v>
      </c>
      <c r="G64" s="0" t="n">
        <v>-0.2761</v>
      </c>
      <c r="H64" s="0" t="n">
        <v>1.351</v>
      </c>
      <c r="I64" s="0" t="n">
        <v>1.1352</v>
      </c>
      <c r="J64" s="0" t="n">
        <v>-0.3787</v>
      </c>
      <c r="K64" s="0" t="n">
        <v>1.128</v>
      </c>
      <c r="L64" s="0" t="n">
        <v>0.9183</v>
      </c>
      <c r="M64" s="0" t="n">
        <v>0.9136</v>
      </c>
      <c r="N64" s="0" t="n">
        <v>0.295</v>
      </c>
      <c r="O64" s="0" t="n">
        <v>0.313</v>
      </c>
      <c r="P64" s="0" t="n">
        <v>-0.8319</v>
      </c>
      <c r="Q64" s="0" t="n">
        <v>-0.0639</v>
      </c>
      <c r="R64" s="0" t="n">
        <v>0.1293</v>
      </c>
      <c r="S64" s="0" t="n">
        <v>-0.7417</v>
      </c>
      <c r="T64" s="0" t="n">
        <v>-0.2865</v>
      </c>
      <c r="U64" s="0" t="n">
        <v>0.172</v>
      </c>
      <c r="V64" s="0" t="n">
        <v>0.2214</v>
      </c>
      <c r="W64" s="0" t="n">
        <v>1.0737</v>
      </c>
      <c r="X64" s="0" t="n">
        <v>-1.036</v>
      </c>
      <c r="Y64" s="0" t="n">
        <v>-0.3961</v>
      </c>
      <c r="Z64" s="0" t="n">
        <v>0.2777</v>
      </c>
      <c r="AA64" s="0" t="n">
        <v>-0.3785</v>
      </c>
      <c r="AB64" s="0" t="n">
        <v>0.3413</v>
      </c>
      <c r="AC64" s="0" t="n">
        <v>-0.469</v>
      </c>
      <c r="AD64" s="0" t="n">
        <v>1.199</v>
      </c>
      <c r="AE64" s="0" t="n">
        <v>-0.2262</v>
      </c>
      <c r="AG64" s="9" t="n">
        <f aca="false">SUMPRODUCT(($B$2:$AE$2&lt;=Portafolio!$B$5)*EXP(LN(Portafolio!$B$7)+Portafolio!$B$6*B64:AE64))/1000</f>
        <v>2.62183810737337</v>
      </c>
    </row>
    <row r="65" customFormat="false" ht="15" hidden="false" customHeight="false" outlineLevel="0" collapsed="false">
      <c r="A65" s="0" t="n">
        <v>63</v>
      </c>
      <c r="B65" s="0" t="n">
        <v>-1.1454</v>
      </c>
      <c r="C65" s="0" t="n">
        <v>0.7633</v>
      </c>
      <c r="D65" s="0" t="n">
        <v>1.6895</v>
      </c>
      <c r="E65" s="0" t="n">
        <v>-1.9445</v>
      </c>
      <c r="F65" s="0" t="n">
        <v>-0.1255</v>
      </c>
      <c r="G65" s="0" t="n">
        <v>0.076</v>
      </c>
      <c r="H65" s="0" t="n">
        <v>1.0503</v>
      </c>
      <c r="I65" s="0" t="n">
        <v>1.5196</v>
      </c>
      <c r="J65" s="0" t="n">
        <v>-0.1542</v>
      </c>
      <c r="K65" s="0" t="n">
        <v>-1.5716</v>
      </c>
      <c r="L65" s="0" t="n">
        <v>0.6818</v>
      </c>
      <c r="M65" s="0" t="n">
        <v>1.0246</v>
      </c>
      <c r="N65" s="0" t="n">
        <v>0.4756</v>
      </c>
      <c r="O65" s="0" t="n">
        <v>0.0862</v>
      </c>
      <c r="P65" s="0" t="n">
        <v>-0.8161</v>
      </c>
      <c r="Q65" s="0" t="n">
        <v>2.4716</v>
      </c>
      <c r="R65" s="0" t="n">
        <v>-1.2077</v>
      </c>
      <c r="S65" s="0" t="n">
        <v>-1.5182</v>
      </c>
      <c r="T65" s="0" t="n">
        <v>0.9942</v>
      </c>
      <c r="U65" s="0" t="n">
        <v>0.2962</v>
      </c>
      <c r="V65" s="0" t="n">
        <v>0.6851</v>
      </c>
      <c r="W65" s="0" t="n">
        <v>0.3675</v>
      </c>
      <c r="X65" s="0" t="n">
        <v>1.711</v>
      </c>
      <c r="Y65" s="0" t="n">
        <v>1.4474</v>
      </c>
      <c r="Z65" s="0" t="n">
        <v>-0.5505</v>
      </c>
      <c r="AA65" s="0" t="n">
        <v>1.0197</v>
      </c>
      <c r="AB65" s="0" t="n">
        <v>-1.1836</v>
      </c>
      <c r="AC65" s="0" t="n">
        <v>-1.7188</v>
      </c>
      <c r="AD65" s="0" t="n">
        <v>1.2228</v>
      </c>
      <c r="AE65" s="0" t="n">
        <v>-0.4277</v>
      </c>
      <c r="AG65" s="9" t="n">
        <f aca="false">SUMPRODUCT(($B$2:$AE$2&lt;=Portafolio!$B$5)*EXP(LN(Portafolio!$B$7)+Portafolio!$B$6*B65:AE65))/1000</f>
        <v>2.7446595344041</v>
      </c>
    </row>
    <row r="66" customFormat="false" ht="15" hidden="false" customHeight="false" outlineLevel="0" collapsed="false">
      <c r="A66" s="0" t="n">
        <v>64</v>
      </c>
      <c r="B66" s="0" t="n">
        <v>-2.1642</v>
      </c>
      <c r="C66" s="0" t="n">
        <v>-0.0129</v>
      </c>
      <c r="D66" s="0" t="n">
        <v>-0.6647</v>
      </c>
      <c r="E66" s="0" t="n">
        <v>0.5193</v>
      </c>
      <c r="F66" s="0" t="n">
        <v>-0.0518</v>
      </c>
      <c r="G66" s="0" t="n">
        <v>-0.7713</v>
      </c>
      <c r="H66" s="0" t="n">
        <v>-0.7145</v>
      </c>
      <c r="I66" s="0" t="n">
        <v>0.7817</v>
      </c>
      <c r="J66" s="0" t="n">
        <v>-0.9323</v>
      </c>
      <c r="K66" s="0" t="n">
        <v>0.1364</v>
      </c>
      <c r="L66" s="0" t="n">
        <v>-0.9921</v>
      </c>
      <c r="M66" s="0" t="n">
        <v>0.4631</v>
      </c>
      <c r="N66" s="0" t="n">
        <v>1.809</v>
      </c>
      <c r="O66" s="0" t="n">
        <v>0.5823</v>
      </c>
      <c r="P66" s="0" t="n">
        <v>1.1341</v>
      </c>
      <c r="Q66" s="0" t="n">
        <v>0.4634</v>
      </c>
      <c r="R66" s="0" t="n">
        <v>-0.9656</v>
      </c>
      <c r="S66" s="0" t="n">
        <v>-0.2973</v>
      </c>
      <c r="T66" s="0" t="n">
        <v>0.0781</v>
      </c>
      <c r="U66" s="0" t="n">
        <v>0.4504</v>
      </c>
      <c r="V66" s="0" t="n">
        <v>-0.6024</v>
      </c>
      <c r="W66" s="0" t="n">
        <v>0.6261</v>
      </c>
      <c r="X66" s="0" t="n">
        <v>-0.7199</v>
      </c>
      <c r="Y66" s="0" t="n">
        <v>0.0725</v>
      </c>
      <c r="Z66" s="0" t="n">
        <v>-0.004</v>
      </c>
      <c r="AA66" s="0" t="n">
        <v>-1.1561</v>
      </c>
      <c r="AB66" s="0" t="n">
        <v>1.02</v>
      </c>
      <c r="AC66" s="0" t="n">
        <v>0.0575</v>
      </c>
      <c r="AD66" s="0" t="n">
        <v>0.1165</v>
      </c>
      <c r="AE66" s="0" t="n">
        <v>-0.025</v>
      </c>
      <c r="AG66" s="9" t="n">
        <f aca="false">SUMPRODUCT(($B$2:$AE$2&lt;=Portafolio!$B$5)*EXP(LN(Portafolio!$B$7)+Portafolio!$B$6*B66:AE66))/1000</f>
        <v>2.21084674321768</v>
      </c>
    </row>
    <row r="67" customFormat="false" ht="15" hidden="false" customHeight="false" outlineLevel="0" collapsed="false">
      <c r="A67" s="0" t="n">
        <v>65</v>
      </c>
      <c r="B67" s="0" t="n">
        <v>-2.1197</v>
      </c>
      <c r="C67" s="0" t="n">
        <v>-1.4089</v>
      </c>
      <c r="D67" s="0" t="n">
        <v>-0.8969</v>
      </c>
      <c r="E67" s="0" t="n">
        <v>1.0092</v>
      </c>
      <c r="F67" s="0" t="n">
        <v>-0.5752</v>
      </c>
      <c r="G67" s="0" t="n">
        <v>0.6211</v>
      </c>
      <c r="H67" s="0" t="n">
        <v>-1.0324</v>
      </c>
      <c r="I67" s="0" t="n">
        <v>-0.8453</v>
      </c>
      <c r="J67" s="0" t="n">
        <v>-0.4669</v>
      </c>
      <c r="K67" s="0" t="n">
        <v>1.0765</v>
      </c>
      <c r="L67" s="0" t="n">
        <v>-1.6656</v>
      </c>
      <c r="M67" s="0" t="n">
        <v>-0.17</v>
      </c>
      <c r="N67" s="0" t="n">
        <v>0.4171</v>
      </c>
      <c r="O67" s="0" t="n">
        <v>0.1444</v>
      </c>
      <c r="P67" s="0" t="n">
        <v>-0.0098</v>
      </c>
      <c r="Q67" s="0" t="n">
        <v>0.7935</v>
      </c>
      <c r="R67" s="0" t="n">
        <v>0.2979</v>
      </c>
      <c r="S67" s="0" t="n">
        <v>-1.0099</v>
      </c>
      <c r="T67" s="0" t="n">
        <v>0.647</v>
      </c>
      <c r="U67" s="0" t="n">
        <v>-0.7815</v>
      </c>
      <c r="V67" s="0" t="n">
        <v>-0.3364</v>
      </c>
      <c r="W67" s="0" t="n">
        <v>1.4714</v>
      </c>
      <c r="X67" s="0" t="n">
        <v>2.4729</v>
      </c>
      <c r="Y67" s="0" t="n">
        <v>1.4722</v>
      </c>
      <c r="Z67" s="0" t="n">
        <v>0.4372</v>
      </c>
      <c r="AA67" s="0" t="n">
        <v>-0.7774</v>
      </c>
      <c r="AB67" s="0" t="n">
        <v>-0.7598</v>
      </c>
      <c r="AC67" s="0" t="n">
        <v>1.6868</v>
      </c>
      <c r="AD67" s="0" t="n">
        <v>0.3417</v>
      </c>
      <c r="AE67" s="0" t="n">
        <v>-1.3925</v>
      </c>
      <c r="AG67" s="9" t="n">
        <f aca="false">SUMPRODUCT(($B$2:$AE$2&lt;=Portafolio!$B$5)*EXP(LN(Portafolio!$B$7)+Portafolio!$B$6*B67:AE67))/1000</f>
        <v>1.91805295710999</v>
      </c>
    </row>
    <row r="68" customFormat="false" ht="15" hidden="false" customHeight="false" outlineLevel="0" collapsed="false">
      <c r="A68" s="0" t="n">
        <v>66</v>
      </c>
      <c r="B68" s="0" t="n">
        <v>1.5915</v>
      </c>
      <c r="C68" s="0" t="n">
        <v>0.5927</v>
      </c>
      <c r="D68" s="0" t="n">
        <v>1.337</v>
      </c>
      <c r="E68" s="0" t="n">
        <v>0.4154</v>
      </c>
      <c r="F68" s="0" t="n">
        <v>-2.1683</v>
      </c>
      <c r="G68" s="0" t="n">
        <v>-0.7361</v>
      </c>
      <c r="H68" s="0" t="n">
        <v>-0.1369</v>
      </c>
      <c r="I68" s="0" t="n">
        <v>-0.1627</v>
      </c>
      <c r="J68" s="0" t="n">
        <v>1.5314</v>
      </c>
      <c r="K68" s="0" t="n">
        <v>-0.6704</v>
      </c>
      <c r="L68" s="0" t="n">
        <v>-0.0928</v>
      </c>
      <c r="M68" s="0" t="n">
        <v>-0.0509</v>
      </c>
      <c r="N68" s="0" t="n">
        <v>-0.0855</v>
      </c>
      <c r="O68" s="0" t="n">
        <v>-1.0375</v>
      </c>
      <c r="P68" s="0" t="n">
        <v>-1.2274</v>
      </c>
      <c r="Q68" s="0" t="n">
        <v>-2.5934</v>
      </c>
      <c r="R68" s="0" t="n">
        <v>0.342</v>
      </c>
      <c r="S68" s="0" t="n">
        <v>-0.1972</v>
      </c>
      <c r="T68" s="0" t="n">
        <v>0.2112</v>
      </c>
      <c r="U68" s="0" t="n">
        <v>-1.0568</v>
      </c>
      <c r="V68" s="0" t="n">
        <v>0.0095</v>
      </c>
      <c r="W68" s="0" t="n">
        <v>-0.9742</v>
      </c>
      <c r="X68" s="0" t="n">
        <v>-1.0143</v>
      </c>
      <c r="Y68" s="0" t="n">
        <v>0.346</v>
      </c>
      <c r="Z68" s="0" t="n">
        <v>0.6477</v>
      </c>
      <c r="AA68" s="0" t="n">
        <v>0.5929</v>
      </c>
      <c r="AB68" s="0" t="n">
        <v>-0.037</v>
      </c>
      <c r="AC68" s="0" t="n">
        <v>-0.3833</v>
      </c>
      <c r="AD68" s="0" t="n">
        <v>1.4148</v>
      </c>
      <c r="AE68" s="0" t="n">
        <v>1.261</v>
      </c>
      <c r="AG68" s="9" t="n">
        <f aca="false">SUMPRODUCT(($B$2:$AE$2&lt;=Portafolio!$B$5)*EXP(LN(Portafolio!$B$7)+Portafolio!$B$6*B68:AE68))/1000</f>
        <v>2.13313876853463</v>
      </c>
    </row>
    <row r="69" customFormat="false" ht="15" hidden="false" customHeight="false" outlineLevel="0" collapsed="false">
      <c r="A69" s="0" t="n">
        <v>67</v>
      </c>
      <c r="B69" s="0" t="n">
        <v>-0.6331</v>
      </c>
      <c r="C69" s="0" t="n">
        <v>-1.0899</v>
      </c>
      <c r="D69" s="0" t="n">
        <v>0.3802</v>
      </c>
      <c r="E69" s="0" t="n">
        <v>0.3278</v>
      </c>
      <c r="F69" s="0" t="n">
        <v>-0.9139</v>
      </c>
      <c r="G69" s="0" t="n">
        <v>2.3059</v>
      </c>
      <c r="H69" s="0" t="n">
        <v>-2.1005</v>
      </c>
      <c r="I69" s="0" t="n">
        <v>-0.8347</v>
      </c>
      <c r="J69" s="0" t="n">
        <v>0.2502</v>
      </c>
      <c r="K69" s="0" t="n">
        <v>1.0045</v>
      </c>
      <c r="L69" s="0" t="n">
        <v>-1.8625</v>
      </c>
      <c r="M69" s="0" t="n">
        <v>-0.4327</v>
      </c>
      <c r="N69" s="0" t="n">
        <v>1.4532</v>
      </c>
      <c r="O69" s="0" t="n">
        <v>1.4236</v>
      </c>
      <c r="P69" s="0" t="n">
        <v>-0.2487</v>
      </c>
      <c r="Q69" s="0" t="n">
        <v>0.0436</v>
      </c>
      <c r="R69" s="0" t="n">
        <v>-0.886</v>
      </c>
      <c r="S69" s="0" t="n">
        <v>0.4038</v>
      </c>
      <c r="T69" s="0" t="n">
        <v>-1.05</v>
      </c>
      <c r="U69" s="0" t="n">
        <v>-2.0407</v>
      </c>
      <c r="V69" s="0" t="n">
        <v>-1.5283</v>
      </c>
      <c r="W69" s="0" t="n">
        <v>0.0613</v>
      </c>
      <c r="X69" s="0" t="n">
        <v>-1.324</v>
      </c>
      <c r="Y69" s="0" t="n">
        <v>1.1236</v>
      </c>
      <c r="Z69" s="0" t="n">
        <v>1.2999</v>
      </c>
      <c r="AA69" s="0" t="n">
        <v>1.0112</v>
      </c>
      <c r="AB69" s="0" t="n">
        <v>0.665</v>
      </c>
      <c r="AC69" s="0" t="n">
        <v>1.1492</v>
      </c>
      <c r="AD69" s="0" t="n">
        <v>0.2732</v>
      </c>
      <c r="AE69" s="0" t="n">
        <v>0.8806</v>
      </c>
      <c r="AG69" s="9" t="n">
        <f aca="false">SUMPRODUCT(($B$2:$AE$2&lt;=Portafolio!$B$5)*EXP(LN(Portafolio!$B$7)+Portafolio!$B$6*B69:AE69))/1000</f>
        <v>2.25386268503816</v>
      </c>
    </row>
    <row r="70" customFormat="false" ht="15" hidden="false" customHeight="false" outlineLevel="0" collapsed="false">
      <c r="A70" s="0" t="n">
        <v>68</v>
      </c>
      <c r="B70" s="0" t="n">
        <v>0.478</v>
      </c>
      <c r="C70" s="0" t="n">
        <v>0.7952</v>
      </c>
      <c r="D70" s="0" t="n">
        <v>-1.0172</v>
      </c>
      <c r="E70" s="0" t="n">
        <v>-0.6582</v>
      </c>
      <c r="F70" s="0" t="n">
        <v>-0.9994</v>
      </c>
      <c r="G70" s="0" t="n">
        <v>0.8421</v>
      </c>
      <c r="H70" s="0" t="n">
        <v>0.5161</v>
      </c>
      <c r="I70" s="0" t="n">
        <v>-0.7879</v>
      </c>
      <c r="J70" s="0" t="n">
        <v>-0.9893</v>
      </c>
      <c r="K70" s="0" t="n">
        <v>-0.5753</v>
      </c>
      <c r="L70" s="0" t="n">
        <v>0.8851</v>
      </c>
      <c r="M70" s="0" t="n">
        <v>-0.1084</v>
      </c>
      <c r="N70" s="0" t="n">
        <v>-0.2366</v>
      </c>
      <c r="O70" s="0" t="n">
        <v>-0.69</v>
      </c>
      <c r="P70" s="0" t="n">
        <v>-0.1145</v>
      </c>
      <c r="Q70" s="0" t="n">
        <v>1.6151</v>
      </c>
      <c r="R70" s="0" t="n">
        <v>-0.6869</v>
      </c>
      <c r="S70" s="0" t="n">
        <v>-0.3499</v>
      </c>
      <c r="T70" s="0" t="n">
        <v>1.7169</v>
      </c>
      <c r="U70" s="0" t="n">
        <v>0.7324</v>
      </c>
      <c r="V70" s="0" t="n">
        <v>-1.1407</v>
      </c>
      <c r="W70" s="0" t="n">
        <v>1.1044</v>
      </c>
      <c r="X70" s="0" t="n">
        <v>-1.2646</v>
      </c>
      <c r="Y70" s="0" t="n">
        <v>0.5688</v>
      </c>
      <c r="Z70" s="0" t="n">
        <v>-2.5387</v>
      </c>
      <c r="AA70" s="0" t="n">
        <v>-0.9965</v>
      </c>
      <c r="AB70" s="0" t="n">
        <v>0.93</v>
      </c>
      <c r="AC70" s="0" t="n">
        <v>-0.5932</v>
      </c>
      <c r="AD70" s="0" t="n">
        <v>-0.7229</v>
      </c>
      <c r="AE70" s="0" t="n">
        <v>0.0601</v>
      </c>
      <c r="AG70" s="9" t="n">
        <f aca="false">SUMPRODUCT(($B$2:$AE$2&lt;=Portafolio!$B$5)*EXP(LN(Portafolio!$B$7)+Portafolio!$B$6*B70:AE70))/1000</f>
        <v>2.31752682167125</v>
      </c>
    </row>
    <row r="71" customFormat="false" ht="15" hidden="false" customHeight="false" outlineLevel="0" collapsed="false">
      <c r="A71" s="0" t="n">
        <v>69</v>
      </c>
      <c r="B71" s="0" t="n">
        <v>0.0091</v>
      </c>
      <c r="C71" s="0" t="n">
        <v>-0.4645</v>
      </c>
      <c r="D71" s="0" t="n">
        <v>-0.6746</v>
      </c>
      <c r="E71" s="0" t="n">
        <v>1.818</v>
      </c>
      <c r="F71" s="0" t="n">
        <v>1.511</v>
      </c>
      <c r="G71" s="0" t="n">
        <v>0.3385</v>
      </c>
      <c r="H71" s="0" t="n">
        <v>-1.1523</v>
      </c>
      <c r="I71" s="0" t="n">
        <v>-0.5253</v>
      </c>
      <c r="J71" s="0" t="n">
        <v>-0.2857</v>
      </c>
      <c r="K71" s="0" t="n">
        <v>0.4971</v>
      </c>
      <c r="L71" s="0" t="n">
        <v>1.6206</v>
      </c>
      <c r="M71" s="0" t="n">
        <v>-0.5173</v>
      </c>
      <c r="N71" s="0" t="n">
        <v>0.1556</v>
      </c>
      <c r="O71" s="0" t="n">
        <v>-0.4259</v>
      </c>
      <c r="P71" s="0" t="n">
        <v>0.1492</v>
      </c>
      <c r="Q71" s="0" t="n">
        <v>-0.6861</v>
      </c>
      <c r="R71" s="0" t="n">
        <v>0.3878</v>
      </c>
      <c r="S71" s="0" t="n">
        <v>1.1751</v>
      </c>
      <c r="T71" s="0" t="n">
        <v>-0.3913</v>
      </c>
      <c r="U71" s="0" t="n">
        <v>-0.323</v>
      </c>
      <c r="V71" s="0" t="n">
        <v>0.1234</v>
      </c>
      <c r="W71" s="0" t="n">
        <v>-1.3158</v>
      </c>
      <c r="X71" s="0" t="n">
        <v>1.8312</v>
      </c>
      <c r="Y71" s="0" t="n">
        <v>-1.3413</v>
      </c>
      <c r="Z71" s="0" t="n">
        <v>-0.3542</v>
      </c>
      <c r="AA71" s="0" t="n">
        <v>-0.883</v>
      </c>
      <c r="AB71" s="0" t="n">
        <v>1.5176</v>
      </c>
      <c r="AC71" s="0" t="n">
        <v>-0.4823</v>
      </c>
      <c r="AD71" s="0" t="n">
        <v>-0.5016</v>
      </c>
      <c r="AE71" s="0" t="n">
        <v>1.9097</v>
      </c>
      <c r="AG71" s="9" t="n">
        <f aca="false">SUMPRODUCT(($B$2:$AE$2&lt;=Portafolio!$B$5)*EXP(LN(Portafolio!$B$7)+Portafolio!$B$6*B71:AE71))/1000</f>
        <v>2.44340525626052</v>
      </c>
    </row>
    <row r="72" customFormat="false" ht="15" hidden="false" customHeight="false" outlineLevel="0" collapsed="false">
      <c r="A72" s="0" t="n">
        <v>70</v>
      </c>
      <c r="B72" s="0" t="n">
        <v>-0.1135</v>
      </c>
      <c r="C72" s="0" t="n">
        <v>-0.776</v>
      </c>
      <c r="D72" s="0" t="n">
        <v>0.001</v>
      </c>
      <c r="E72" s="0" t="n">
        <v>0.2027</v>
      </c>
      <c r="F72" s="0" t="n">
        <v>-0.744</v>
      </c>
      <c r="G72" s="0" t="n">
        <v>-0.1772</v>
      </c>
      <c r="H72" s="0" t="n">
        <v>-0.204</v>
      </c>
      <c r="I72" s="0" t="n">
        <v>0.7358</v>
      </c>
      <c r="J72" s="0" t="n">
        <v>0.7802</v>
      </c>
      <c r="K72" s="0" t="n">
        <v>0.8473</v>
      </c>
      <c r="L72" s="0" t="n">
        <v>-0.116</v>
      </c>
      <c r="M72" s="0" t="n">
        <v>0.8109</v>
      </c>
      <c r="N72" s="0" t="n">
        <v>-0.2058</v>
      </c>
      <c r="O72" s="0" t="n">
        <v>1.1752</v>
      </c>
      <c r="P72" s="0" t="n">
        <v>0.4146</v>
      </c>
      <c r="Q72" s="0" t="n">
        <v>-0.4208</v>
      </c>
      <c r="R72" s="0" t="n">
        <v>1.2484</v>
      </c>
      <c r="S72" s="0" t="n">
        <v>-1.5165</v>
      </c>
      <c r="T72" s="0" t="n">
        <v>-0.9684</v>
      </c>
      <c r="U72" s="0" t="n">
        <v>-0.7949</v>
      </c>
      <c r="V72" s="0" t="n">
        <v>-0.1248</v>
      </c>
      <c r="W72" s="0" t="n">
        <v>-1.2304</v>
      </c>
      <c r="X72" s="0" t="n">
        <v>-1.2027</v>
      </c>
      <c r="Y72" s="0" t="n">
        <v>-1.8939</v>
      </c>
      <c r="Z72" s="0" t="n">
        <v>0.1224</v>
      </c>
      <c r="AA72" s="0" t="n">
        <v>-0.7661</v>
      </c>
      <c r="AB72" s="0" t="n">
        <v>2.2135</v>
      </c>
      <c r="AC72" s="0" t="n">
        <v>0.7864</v>
      </c>
      <c r="AD72" s="0" t="n">
        <v>-1.1442</v>
      </c>
      <c r="AE72" s="0" t="n">
        <v>1.3366</v>
      </c>
      <c r="AG72" s="9" t="n">
        <f aca="false">SUMPRODUCT(($B$2:$AE$2&lt;=Portafolio!$B$5)*EXP(LN(Portafolio!$B$7)+Portafolio!$B$6*B72:AE72))/1000</f>
        <v>2.21545101702966</v>
      </c>
    </row>
    <row r="73" customFormat="false" ht="15" hidden="false" customHeight="false" outlineLevel="0" collapsed="false">
      <c r="A73" s="0" t="n">
        <v>71</v>
      </c>
      <c r="B73" s="0" t="n">
        <v>0.1141</v>
      </c>
      <c r="C73" s="0" t="n">
        <v>1.0922</v>
      </c>
      <c r="D73" s="0" t="n">
        <v>-1.1101</v>
      </c>
      <c r="E73" s="0" t="n">
        <v>1.175</v>
      </c>
      <c r="F73" s="0" t="n">
        <v>1.1133</v>
      </c>
      <c r="G73" s="0" t="n">
        <v>-0.4117</v>
      </c>
      <c r="H73" s="0" t="n">
        <v>-0.8476</v>
      </c>
      <c r="I73" s="0" t="n">
        <v>-0.3733</v>
      </c>
      <c r="J73" s="0" t="n">
        <v>0.2733</v>
      </c>
      <c r="K73" s="0" t="n">
        <v>2.4314</v>
      </c>
      <c r="L73" s="0" t="n">
        <v>1.8279</v>
      </c>
      <c r="M73" s="0" t="n">
        <v>1.5172</v>
      </c>
      <c r="N73" s="0" t="n">
        <v>-0.2126</v>
      </c>
      <c r="O73" s="0" t="n">
        <v>-0.3221</v>
      </c>
      <c r="P73" s="0" t="n">
        <v>0.3782</v>
      </c>
      <c r="Q73" s="0" t="n">
        <v>-0.2686</v>
      </c>
      <c r="R73" s="0" t="n">
        <v>-0.4629</v>
      </c>
      <c r="S73" s="0" t="n">
        <v>-0.2018</v>
      </c>
      <c r="T73" s="0" t="n">
        <v>0.8582</v>
      </c>
      <c r="U73" s="0" t="n">
        <v>-0.0604</v>
      </c>
      <c r="V73" s="0" t="n">
        <v>0.2472</v>
      </c>
      <c r="W73" s="0" t="n">
        <v>-0.2563</v>
      </c>
      <c r="X73" s="0" t="n">
        <v>-0.1881</v>
      </c>
      <c r="Y73" s="0" t="n">
        <v>-0.3243</v>
      </c>
      <c r="Z73" s="0" t="n">
        <v>1.2783</v>
      </c>
      <c r="AA73" s="0" t="n">
        <v>0.2411</v>
      </c>
      <c r="AB73" s="0" t="n">
        <v>1.5114</v>
      </c>
      <c r="AC73" s="0" t="n">
        <v>-0.1639</v>
      </c>
      <c r="AD73" s="0" t="n">
        <v>1.0771</v>
      </c>
      <c r="AE73" s="0" t="n">
        <v>-1.3829</v>
      </c>
      <c r="AG73" s="9" t="n">
        <f aca="false">SUMPRODUCT(($B$2:$AE$2&lt;=Portafolio!$B$5)*EXP(LN(Portafolio!$B$7)+Portafolio!$B$6*B73:AE73))/1000</f>
        <v>2.87167308154821</v>
      </c>
    </row>
    <row r="74" customFormat="false" ht="15" hidden="false" customHeight="false" outlineLevel="0" collapsed="false">
      <c r="A74" s="0" t="n">
        <v>72</v>
      </c>
      <c r="B74" s="0" t="n">
        <v>-0.3973</v>
      </c>
      <c r="C74" s="0" t="n">
        <v>-0.0532</v>
      </c>
      <c r="D74" s="0" t="n">
        <v>-0.6296</v>
      </c>
      <c r="E74" s="0" t="n">
        <v>-0.1078</v>
      </c>
      <c r="F74" s="0" t="n">
        <v>-0.9221</v>
      </c>
      <c r="G74" s="0" t="n">
        <v>-0.1562</v>
      </c>
      <c r="H74" s="0" t="n">
        <v>-0.6634</v>
      </c>
      <c r="I74" s="0" t="n">
        <v>0.0042</v>
      </c>
      <c r="J74" s="0" t="n">
        <v>-0.2896</v>
      </c>
      <c r="K74" s="0" t="n">
        <v>-0.9981</v>
      </c>
      <c r="L74" s="0" t="n">
        <v>-0.4033</v>
      </c>
      <c r="M74" s="0" t="n">
        <v>0.0358</v>
      </c>
      <c r="N74" s="0" t="n">
        <v>-1.2728</v>
      </c>
      <c r="O74" s="0" t="n">
        <v>0.1046</v>
      </c>
      <c r="P74" s="0" t="n">
        <v>1.2649</v>
      </c>
      <c r="Q74" s="0" t="n">
        <v>-0.2204</v>
      </c>
      <c r="R74" s="0" t="n">
        <v>0.5592</v>
      </c>
      <c r="S74" s="0" t="n">
        <v>0.6334</v>
      </c>
      <c r="T74" s="0" t="n">
        <v>-0.7975</v>
      </c>
      <c r="U74" s="0" t="n">
        <v>1.3364</v>
      </c>
      <c r="V74" s="0" t="n">
        <v>2.5327</v>
      </c>
      <c r="W74" s="0" t="n">
        <v>-1.0233</v>
      </c>
      <c r="X74" s="0" t="n">
        <v>2.1663</v>
      </c>
      <c r="Y74" s="0" t="n">
        <v>-0.7047</v>
      </c>
      <c r="Z74" s="0" t="n">
        <v>1.4747</v>
      </c>
      <c r="AA74" s="0" t="n">
        <v>-1.8141</v>
      </c>
      <c r="AB74" s="0" t="n">
        <v>1.1506</v>
      </c>
      <c r="AC74" s="0" t="n">
        <v>0.1467</v>
      </c>
      <c r="AD74" s="0" t="n">
        <v>-1.2813</v>
      </c>
      <c r="AE74" s="0" t="n">
        <v>-0.8205</v>
      </c>
      <c r="AG74" s="9" t="n">
        <f aca="false">SUMPRODUCT(($B$2:$AE$2&lt;=Portafolio!$B$5)*EXP(LN(Portafolio!$B$7)+Portafolio!$B$6*B74:AE74))/1000</f>
        <v>1.99889620744155</v>
      </c>
    </row>
    <row r="75" customFormat="false" ht="15" hidden="false" customHeight="false" outlineLevel="0" collapsed="false">
      <c r="A75" s="0" t="n">
        <v>73</v>
      </c>
      <c r="B75" s="0" t="n">
        <v>-1.0466</v>
      </c>
      <c r="C75" s="0" t="n">
        <v>-0.8966</v>
      </c>
      <c r="D75" s="0" t="n">
        <v>0.3883</v>
      </c>
      <c r="E75" s="0" t="n">
        <v>-0.1731</v>
      </c>
      <c r="F75" s="0" t="n">
        <v>-2.5136</v>
      </c>
      <c r="G75" s="0" t="n">
        <v>-0.3055</v>
      </c>
      <c r="H75" s="0" t="n">
        <v>0.4771</v>
      </c>
      <c r="I75" s="0" t="n">
        <v>0.0968</v>
      </c>
      <c r="J75" s="0" t="n">
        <v>1.7073</v>
      </c>
      <c r="K75" s="0" t="n">
        <v>-1.84</v>
      </c>
      <c r="L75" s="0" t="n">
        <v>0.252</v>
      </c>
      <c r="M75" s="0" t="n">
        <v>0.0384</v>
      </c>
      <c r="N75" s="0" t="n">
        <v>0.7336</v>
      </c>
      <c r="O75" s="0" t="n">
        <v>-1.3395</v>
      </c>
      <c r="P75" s="0" t="n">
        <v>-1.3072</v>
      </c>
      <c r="Q75" s="0" t="n">
        <v>-0.1632</v>
      </c>
      <c r="R75" s="0" t="n">
        <v>0.0841</v>
      </c>
      <c r="S75" s="0" t="n">
        <v>-1.8142</v>
      </c>
      <c r="T75" s="0" t="n">
        <v>0.375</v>
      </c>
      <c r="U75" s="0" t="n">
        <v>0.0016</v>
      </c>
      <c r="V75" s="0" t="n">
        <v>0.7458</v>
      </c>
      <c r="W75" s="0" t="n">
        <v>-2.618</v>
      </c>
      <c r="X75" s="0" t="n">
        <v>0.512</v>
      </c>
      <c r="Y75" s="0" t="n">
        <v>-0.8861</v>
      </c>
      <c r="Z75" s="0" t="n">
        <v>-0.4724</v>
      </c>
      <c r="AA75" s="0" t="n">
        <v>0.7927</v>
      </c>
      <c r="AB75" s="0" t="n">
        <v>1.7074</v>
      </c>
      <c r="AC75" s="0" t="n">
        <v>0.1609</v>
      </c>
      <c r="AD75" s="0" t="n">
        <v>-0.1022</v>
      </c>
      <c r="AE75" s="0" t="n">
        <v>1.3235</v>
      </c>
      <c r="AG75" s="9" t="n">
        <f aca="false">SUMPRODUCT(($B$2:$AE$2&lt;=Portafolio!$B$5)*EXP(LN(Portafolio!$B$7)+Portafolio!$B$6*B75:AE75))/1000</f>
        <v>1.90353749660757</v>
      </c>
    </row>
    <row r="76" customFormat="false" ht="15" hidden="false" customHeight="false" outlineLevel="0" collapsed="false">
      <c r="A76" s="0" t="n">
        <v>74</v>
      </c>
      <c r="B76" s="0" t="n">
        <v>-0.8918</v>
      </c>
      <c r="C76" s="0" t="n">
        <v>-0.1477</v>
      </c>
      <c r="D76" s="0" t="n">
        <v>-0.5007</v>
      </c>
      <c r="E76" s="0" t="n">
        <v>-0.9812</v>
      </c>
      <c r="F76" s="0" t="n">
        <v>0.2024</v>
      </c>
      <c r="G76" s="0" t="n">
        <v>2.0569</v>
      </c>
      <c r="H76" s="0" t="n">
        <v>0.2566</v>
      </c>
      <c r="I76" s="0" t="n">
        <v>0.5091</v>
      </c>
      <c r="J76" s="0" t="n">
        <v>-0.0246</v>
      </c>
      <c r="K76" s="0" t="n">
        <v>1.1417</v>
      </c>
      <c r="L76" s="0" t="n">
        <v>0.1889</v>
      </c>
      <c r="M76" s="0" t="n">
        <v>-0.8797</v>
      </c>
      <c r="N76" s="0" t="n">
        <v>0.1075</v>
      </c>
      <c r="O76" s="0" t="n">
        <v>1.4537</v>
      </c>
      <c r="P76" s="0" t="n">
        <v>-0.0782</v>
      </c>
      <c r="Q76" s="0" t="n">
        <v>1.2138</v>
      </c>
      <c r="R76" s="0" t="n">
        <v>-0.0634</v>
      </c>
      <c r="S76" s="0" t="n">
        <v>2.0463</v>
      </c>
      <c r="T76" s="0" t="n">
        <v>0.2907</v>
      </c>
      <c r="U76" s="0" t="n">
        <v>0.6663</v>
      </c>
      <c r="V76" s="0" t="n">
        <v>-0.2843</v>
      </c>
      <c r="W76" s="0" t="n">
        <v>0.8479</v>
      </c>
      <c r="X76" s="0" t="n">
        <v>-0.2209</v>
      </c>
      <c r="Y76" s="0" t="n">
        <v>-1.4811</v>
      </c>
      <c r="Z76" s="0" t="n">
        <v>0.3124</v>
      </c>
      <c r="AA76" s="0" t="n">
        <v>-1.2066</v>
      </c>
      <c r="AB76" s="0" t="n">
        <v>1.4953</v>
      </c>
      <c r="AC76" s="0" t="n">
        <v>0.8047</v>
      </c>
      <c r="AD76" s="0" t="n">
        <v>0.0245</v>
      </c>
      <c r="AE76" s="0" t="n">
        <v>0.7006</v>
      </c>
      <c r="AG76" s="9" t="n">
        <f aca="false">SUMPRODUCT(($B$2:$AE$2&lt;=Portafolio!$B$5)*EXP(LN(Portafolio!$B$7)+Portafolio!$B$6*B76:AE76))/1000</f>
        <v>2.81065488867898</v>
      </c>
    </row>
    <row r="77" customFormat="false" ht="15" hidden="false" customHeight="false" outlineLevel="0" collapsed="false">
      <c r="A77" s="0" t="n">
        <v>75</v>
      </c>
      <c r="B77" s="0" t="n">
        <v>-2.6005</v>
      </c>
      <c r="C77" s="0" t="n">
        <v>1.552</v>
      </c>
      <c r="D77" s="0" t="n">
        <v>-0.6459</v>
      </c>
      <c r="E77" s="0" t="n">
        <v>0.6815</v>
      </c>
      <c r="F77" s="0" t="n">
        <v>2.5855</v>
      </c>
      <c r="G77" s="0" t="n">
        <v>-1.618</v>
      </c>
      <c r="H77" s="0" t="n">
        <v>-0.4097</v>
      </c>
      <c r="I77" s="0" t="n">
        <v>0.3514</v>
      </c>
      <c r="J77" s="0" t="n">
        <v>0.4302</v>
      </c>
      <c r="K77" s="0" t="n">
        <v>-1.6924</v>
      </c>
      <c r="L77" s="0" t="n">
        <v>-0.9299</v>
      </c>
      <c r="M77" s="0" t="n">
        <v>1.5035</v>
      </c>
      <c r="N77" s="0" t="n">
        <v>-0.5978</v>
      </c>
      <c r="O77" s="0" t="n">
        <v>0.5651</v>
      </c>
      <c r="P77" s="0" t="n">
        <v>-1.3703</v>
      </c>
      <c r="Q77" s="0" t="n">
        <v>-0.91</v>
      </c>
      <c r="R77" s="0" t="n">
        <v>-1.8257</v>
      </c>
      <c r="S77" s="0" t="n">
        <v>0.2791</v>
      </c>
      <c r="T77" s="0" t="n">
        <v>1.1712</v>
      </c>
      <c r="U77" s="0" t="n">
        <v>0.1021</v>
      </c>
      <c r="V77" s="0" t="n">
        <v>-0.2681</v>
      </c>
      <c r="W77" s="0" t="n">
        <v>0.2505</v>
      </c>
      <c r="X77" s="0" t="n">
        <v>0.4782</v>
      </c>
      <c r="Y77" s="0" t="n">
        <v>-0.2847</v>
      </c>
      <c r="Z77" s="0" t="n">
        <v>0.5652</v>
      </c>
      <c r="AA77" s="0" t="n">
        <v>1.9724</v>
      </c>
      <c r="AB77" s="0" t="n">
        <v>2.2445</v>
      </c>
      <c r="AC77" s="0" t="n">
        <v>-0.5689</v>
      </c>
      <c r="AD77" s="0" t="n">
        <v>-1.2615</v>
      </c>
      <c r="AE77" s="0" t="n">
        <v>1.936</v>
      </c>
      <c r="AG77" s="9" t="n">
        <f aca="false">SUMPRODUCT(($B$2:$AE$2&lt;=Portafolio!$B$5)*EXP(LN(Portafolio!$B$7)+Portafolio!$B$6*B77:AE77))/1000</f>
        <v>2.44586359222425</v>
      </c>
    </row>
    <row r="78" customFormat="false" ht="15" hidden="false" customHeight="false" outlineLevel="0" collapsed="false">
      <c r="A78" s="0" t="n">
        <v>76</v>
      </c>
      <c r="B78" s="0" t="n">
        <v>0.9958</v>
      </c>
      <c r="C78" s="0" t="n">
        <v>1.2311</v>
      </c>
      <c r="D78" s="0" t="n">
        <v>0.6164</v>
      </c>
      <c r="E78" s="0" t="n">
        <v>-0.2193</v>
      </c>
      <c r="F78" s="0" t="n">
        <v>0.9909</v>
      </c>
      <c r="G78" s="0" t="n">
        <v>1.1339</v>
      </c>
      <c r="H78" s="0" t="n">
        <v>1.1911</v>
      </c>
      <c r="I78" s="0" t="n">
        <v>-1.0834</v>
      </c>
      <c r="J78" s="0" t="n">
        <v>1.0443</v>
      </c>
      <c r="K78" s="0" t="n">
        <v>-0.3447</v>
      </c>
      <c r="L78" s="0" t="n">
        <v>-0.3517</v>
      </c>
      <c r="M78" s="0" t="n">
        <v>0.3638</v>
      </c>
      <c r="N78" s="0" t="n">
        <v>-0.3405</v>
      </c>
      <c r="O78" s="0" t="n">
        <v>2.3396</v>
      </c>
      <c r="P78" s="0" t="n">
        <v>0.5756</v>
      </c>
      <c r="Q78" s="0" t="n">
        <v>0.2782</v>
      </c>
      <c r="R78" s="0" t="n">
        <v>-0.1828</v>
      </c>
      <c r="S78" s="0" t="n">
        <v>0.26</v>
      </c>
      <c r="T78" s="0" t="n">
        <v>-0.2226</v>
      </c>
      <c r="U78" s="0" t="n">
        <v>0.5952</v>
      </c>
      <c r="V78" s="0" t="n">
        <v>0.8771</v>
      </c>
      <c r="W78" s="0" t="n">
        <v>0.853</v>
      </c>
      <c r="X78" s="0" t="n">
        <v>-1.2538</v>
      </c>
      <c r="Y78" s="0" t="n">
        <v>-0.3246</v>
      </c>
      <c r="Z78" s="0" t="n">
        <v>0.0943</v>
      </c>
      <c r="AA78" s="0" t="n">
        <v>-1.2196</v>
      </c>
      <c r="AB78" s="0" t="n">
        <v>0.3898</v>
      </c>
      <c r="AC78" s="0" t="n">
        <v>-0.1345</v>
      </c>
      <c r="AD78" s="0" t="n">
        <v>0.0676</v>
      </c>
      <c r="AE78" s="0" t="n">
        <v>0.3937</v>
      </c>
      <c r="AG78" s="9" t="n">
        <f aca="false">SUMPRODUCT(($B$2:$AE$2&lt;=Portafolio!$B$5)*EXP(LN(Portafolio!$B$7)+Portafolio!$B$6*B78:AE78))/1000</f>
        <v>2.91741773426554</v>
      </c>
    </row>
    <row r="79" customFormat="false" ht="15" hidden="false" customHeight="false" outlineLevel="0" collapsed="false">
      <c r="A79" s="0" t="n">
        <v>77</v>
      </c>
      <c r="B79" s="0" t="n">
        <v>-0.6167</v>
      </c>
      <c r="C79" s="0" t="n">
        <v>1.5747</v>
      </c>
      <c r="D79" s="0" t="n">
        <v>1.0521</v>
      </c>
      <c r="E79" s="0" t="n">
        <v>-0.5428</v>
      </c>
      <c r="F79" s="0" t="n">
        <v>0.4783</v>
      </c>
      <c r="G79" s="0" t="n">
        <v>0.7572</v>
      </c>
      <c r="H79" s="0" t="n">
        <v>-0.7591</v>
      </c>
      <c r="I79" s="0" t="n">
        <v>-0.3482</v>
      </c>
      <c r="J79" s="0" t="n">
        <v>0.7125</v>
      </c>
      <c r="K79" s="0" t="n">
        <v>-2.5856</v>
      </c>
      <c r="L79" s="0" t="n">
        <v>-1.3162</v>
      </c>
      <c r="M79" s="0" t="n">
        <v>0.3401</v>
      </c>
      <c r="N79" s="0" t="n">
        <v>0.6346</v>
      </c>
      <c r="O79" s="0" t="n">
        <v>-0.9211</v>
      </c>
      <c r="P79" s="0" t="n">
        <v>0.8729</v>
      </c>
      <c r="Q79" s="0" t="n">
        <v>2.2372</v>
      </c>
      <c r="R79" s="0" t="n">
        <v>0.2203</v>
      </c>
      <c r="S79" s="0" t="n">
        <v>-0.0308</v>
      </c>
      <c r="T79" s="0" t="n">
        <v>0.0807</v>
      </c>
      <c r="U79" s="0" t="n">
        <v>-1.0084</v>
      </c>
      <c r="V79" s="0" t="n">
        <v>0.5648</v>
      </c>
      <c r="W79" s="0" t="n">
        <v>0.191</v>
      </c>
      <c r="X79" s="0" t="n">
        <v>0.7593</v>
      </c>
      <c r="Y79" s="0" t="n">
        <v>1.4457</v>
      </c>
      <c r="Z79" s="0" t="n">
        <v>0.0476</v>
      </c>
      <c r="AA79" s="0" t="n">
        <v>0.1933</v>
      </c>
      <c r="AB79" s="0" t="n">
        <v>0.3387</v>
      </c>
      <c r="AC79" s="0" t="n">
        <v>1.7595</v>
      </c>
      <c r="AD79" s="0" t="n">
        <v>-1.4545</v>
      </c>
      <c r="AE79" s="0" t="n">
        <v>0.0075</v>
      </c>
      <c r="AG79" s="9" t="n">
        <f aca="false">SUMPRODUCT(($B$2:$AE$2&lt;=Portafolio!$B$5)*EXP(LN(Portafolio!$B$7)+Portafolio!$B$6*B79:AE79))/1000</f>
        <v>2.49176481849121</v>
      </c>
    </row>
    <row r="80" customFormat="false" ht="15" hidden="false" customHeight="false" outlineLevel="0" collapsed="false">
      <c r="A80" s="0" t="n">
        <v>78</v>
      </c>
      <c r="B80" s="0" t="n">
        <v>-0.6197</v>
      </c>
      <c r="C80" s="0" t="n">
        <v>0.1381</v>
      </c>
      <c r="D80" s="0" t="n">
        <v>0.848</v>
      </c>
      <c r="E80" s="0" t="n">
        <v>0.0811</v>
      </c>
      <c r="F80" s="0" t="n">
        <v>0.7507</v>
      </c>
      <c r="G80" s="0" t="n">
        <v>0.2005</v>
      </c>
      <c r="H80" s="0" t="n">
        <v>-0.7051</v>
      </c>
      <c r="I80" s="0" t="n">
        <v>-0.6519</v>
      </c>
      <c r="J80" s="0" t="n">
        <v>-1.3783</v>
      </c>
      <c r="K80" s="0" t="n">
        <v>0.2367</v>
      </c>
      <c r="L80" s="0" t="n">
        <v>-0.3843</v>
      </c>
      <c r="M80" s="0" t="n">
        <v>0.8569</v>
      </c>
      <c r="N80" s="0" t="n">
        <v>0.9832</v>
      </c>
      <c r="O80" s="0" t="n">
        <v>-0.8791</v>
      </c>
      <c r="P80" s="0" t="n">
        <v>-1.0806</v>
      </c>
      <c r="Q80" s="0" t="n">
        <v>0.6212</v>
      </c>
      <c r="R80" s="0" t="n">
        <v>-0.8713</v>
      </c>
      <c r="S80" s="0" t="n">
        <v>0.2217</v>
      </c>
      <c r="T80" s="0" t="n">
        <v>0.6244</v>
      </c>
      <c r="U80" s="0" t="n">
        <v>-0.3762</v>
      </c>
      <c r="V80" s="0" t="n">
        <v>1.8012</v>
      </c>
      <c r="W80" s="0" t="n">
        <v>-0.768</v>
      </c>
      <c r="X80" s="0" t="n">
        <v>0.4394</v>
      </c>
      <c r="Y80" s="0" t="n">
        <v>-0.4024</v>
      </c>
      <c r="Z80" s="0" t="n">
        <v>-2.8835</v>
      </c>
      <c r="AA80" s="0" t="n">
        <v>-0.1605</v>
      </c>
      <c r="AB80" s="0" t="n">
        <v>-0.1473</v>
      </c>
      <c r="AC80" s="0" t="n">
        <v>0.5944</v>
      </c>
      <c r="AD80" s="0" t="n">
        <v>-0.1218</v>
      </c>
      <c r="AE80" s="0" t="n">
        <v>-0.722</v>
      </c>
      <c r="AG80" s="9" t="n">
        <f aca="false">SUMPRODUCT(($B$2:$AE$2&lt;=Portafolio!$B$5)*EXP(LN(Portafolio!$B$7)+Portafolio!$B$6*B80:AE80))/1000</f>
        <v>2.09294755324395</v>
      </c>
    </row>
    <row r="81" customFormat="false" ht="15" hidden="false" customHeight="false" outlineLevel="0" collapsed="false">
      <c r="A81" s="0" t="n">
        <v>79</v>
      </c>
      <c r="B81" s="0" t="n">
        <v>-0.5067</v>
      </c>
      <c r="C81" s="0" t="n">
        <v>-0.2938</v>
      </c>
      <c r="D81" s="0" t="n">
        <v>0.7734</v>
      </c>
      <c r="E81" s="0" t="n">
        <v>-0.2649</v>
      </c>
      <c r="F81" s="0" t="n">
        <v>1.2506</v>
      </c>
      <c r="G81" s="0" t="n">
        <v>0.8723</v>
      </c>
      <c r="H81" s="0" t="n">
        <v>-0.7335</v>
      </c>
      <c r="I81" s="0" t="n">
        <v>1.0492</v>
      </c>
      <c r="J81" s="0" t="n">
        <v>-2.2616</v>
      </c>
      <c r="K81" s="0" t="n">
        <v>0.0395</v>
      </c>
      <c r="L81" s="0" t="n">
        <v>-0.9722</v>
      </c>
      <c r="M81" s="0" t="n">
        <v>-0.087</v>
      </c>
      <c r="N81" s="0" t="n">
        <v>1.1714</v>
      </c>
      <c r="O81" s="0" t="n">
        <v>0.0121</v>
      </c>
      <c r="P81" s="0" t="n">
        <v>-0.1563</v>
      </c>
      <c r="Q81" s="0" t="n">
        <v>1.2974</v>
      </c>
      <c r="R81" s="0" t="n">
        <v>-0.7528</v>
      </c>
      <c r="S81" s="0" t="n">
        <v>-0.821</v>
      </c>
      <c r="T81" s="0" t="n">
        <v>0.9908</v>
      </c>
      <c r="U81" s="0" t="n">
        <v>0.6282</v>
      </c>
      <c r="V81" s="0" t="n">
        <v>-1.4226</v>
      </c>
      <c r="W81" s="0" t="n">
        <v>0.1635</v>
      </c>
      <c r="X81" s="0" t="n">
        <v>0.7965</v>
      </c>
      <c r="Y81" s="0" t="n">
        <v>-0.1513</v>
      </c>
      <c r="Z81" s="0" t="n">
        <v>-0.3936</v>
      </c>
      <c r="AA81" s="0" t="n">
        <v>0.1481</v>
      </c>
      <c r="AB81" s="0" t="n">
        <v>0.2256</v>
      </c>
      <c r="AC81" s="0" t="n">
        <v>-0.6953</v>
      </c>
      <c r="AD81" s="0" t="n">
        <v>0.8523</v>
      </c>
      <c r="AE81" s="0" t="n">
        <v>-1.5723</v>
      </c>
      <c r="AG81" s="9" t="n">
        <f aca="false">SUMPRODUCT(($B$2:$AE$2&lt;=Portafolio!$B$5)*EXP(LN(Portafolio!$B$7)+Portafolio!$B$6*B81:AE81))/1000</f>
        <v>2.37673274422045</v>
      </c>
    </row>
    <row r="82" customFormat="false" ht="15" hidden="false" customHeight="false" outlineLevel="0" collapsed="false">
      <c r="A82" s="0" t="n">
        <v>80</v>
      </c>
      <c r="B82" s="0" t="n">
        <v>-0.063</v>
      </c>
      <c r="C82" s="0" t="n">
        <v>2.1584</v>
      </c>
      <c r="D82" s="0" t="n">
        <v>-1.0537</v>
      </c>
      <c r="E82" s="0" t="n">
        <v>-0.0262</v>
      </c>
      <c r="F82" s="0" t="n">
        <v>-2.2715</v>
      </c>
      <c r="G82" s="0" t="n">
        <v>-0.8206</v>
      </c>
      <c r="H82" s="0" t="n">
        <v>-1.145</v>
      </c>
      <c r="I82" s="0" t="n">
        <v>0.0729</v>
      </c>
      <c r="J82" s="0" t="n">
        <v>-0.4842</v>
      </c>
      <c r="K82" s="0" t="n">
        <v>1.8561</v>
      </c>
      <c r="L82" s="0" t="n">
        <v>-0.9156</v>
      </c>
      <c r="M82" s="0" t="n">
        <v>-0.0174</v>
      </c>
      <c r="N82" s="0" t="n">
        <v>0.2297</v>
      </c>
      <c r="O82" s="0" t="n">
        <v>0.6572</v>
      </c>
      <c r="P82" s="0" t="n">
        <v>0.9099</v>
      </c>
      <c r="Q82" s="0" t="n">
        <v>-1.5576</v>
      </c>
      <c r="R82" s="0" t="n">
        <v>2.2117</v>
      </c>
      <c r="S82" s="0" t="n">
        <v>-0.2981</v>
      </c>
      <c r="T82" s="0" t="n">
        <v>-0.7085</v>
      </c>
      <c r="U82" s="0" t="n">
        <v>-1.6405</v>
      </c>
      <c r="V82" s="0" t="n">
        <v>-0.4346</v>
      </c>
      <c r="W82" s="0" t="n">
        <v>-1.7688</v>
      </c>
      <c r="X82" s="0" t="n">
        <v>0.1972</v>
      </c>
      <c r="Y82" s="0" t="n">
        <v>-0.5906</v>
      </c>
      <c r="Z82" s="0" t="n">
        <v>0.3363</v>
      </c>
      <c r="AA82" s="0" t="n">
        <v>-0.7808</v>
      </c>
      <c r="AB82" s="0" t="n">
        <v>0.0834</v>
      </c>
      <c r="AC82" s="0" t="n">
        <v>2.2435</v>
      </c>
      <c r="AD82" s="0" t="n">
        <v>1.1852</v>
      </c>
      <c r="AE82" s="0" t="n">
        <v>0.1714</v>
      </c>
      <c r="AG82" s="9" t="n">
        <f aca="false">SUMPRODUCT(($B$2:$AE$2&lt;=Portafolio!$B$5)*EXP(LN(Portafolio!$B$7)+Portafolio!$B$6*B82:AE82))/1000</f>
        <v>2.42886010875106</v>
      </c>
    </row>
    <row r="83" customFormat="false" ht="15" hidden="false" customHeight="false" outlineLevel="0" collapsed="false">
      <c r="A83" s="0" t="n">
        <v>81</v>
      </c>
      <c r="B83" s="0" t="n">
        <v>-0.9786</v>
      </c>
      <c r="C83" s="0" t="n">
        <v>1.4766</v>
      </c>
      <c r="D83" s="0" t="n">
        <v>-1.6905</v>
      </c>
      <c r="E83" s="0" t="n">
        <v>-1.4077</v>
      </c>
      <c r="F83" s="0" t="n">
        <v>1.3104</v>
      </c>
      <c r="G83" s="0" t="n">
        <v>-0.5917</v>
      </c>
      <c r="H83" s="0" t="n">
        <v>1.3632</v>
      </c>
      <c r="I83" s="0" t="n">
        <v>0.5849</v>
      </c>
      <c r="J83" s="0" t="n">
        <v>2.1939</v>
      </c>
      <c r="K83" s="0" t="n">
        <v>1.8006</v>
      </c>
      <c r="L83" s="0" t="n">
        <v>0.5958</v>
      </c>
      <c r="M83" s="0" t="n">
        <v>-0.6237</v>
      </c>
      <c r="N83" s="0" t="n">
        <v>0.6032</v>
      </c>
      <c r="O83" s="0" t="n">
        <v>1.4164</v>
      </c>
      <c r="P83" s="0" t="n">
        <v>0.1476</v>
      </c>
      <c r="Q83" s="0" t="n">
        <v>-2.8949</v>
      </c>
      <c r="R83" s="0" t="n">
        <v>-0.3707</v>
      </c>
      <c r="S83" s="0" t="n">
        <v>-0.361</v>
      </c>
      <c r="T83" s="0" t="n">
        <v>-0.0507</v>
      </c>
      <c r="U83" s="0" t="n">
        <v>-0.3437</v>
      </c>
      <c r="V83" s="0" t="n">
        <v>1.1534</v>
      </c>
      <c r="W83" s="0" t="n">
        <v>-1.2639</v>
      </c>
      <c r="X83" s="0" t="n">
        <v>0.4481</v>
      </c>
      <c r="Y83" s="0" t="n">
        <v>-1.9838</v>
      </c>
      <c r="Z83" s="0" t="n">
        <v>-2.1741</v>
      </c>
      <c r="AA83" s="0" t="n">
        <v>-1.0088</v>
      </c>
      <c r="AB83" s="0" t="n">
        <v>-0.7467</v>
      </c>
      <c r="AC83" s="0" t="n">
        <v>-0.8926</v>
      </c>
      <c r="AD83" s="0" t="n">
        <v>-0.6984</v>
      </c>
      <c r="AE83" s="0" t="n">
        <v>0.6199</v>
      </c>
      <c r="AG83" s="9" t="n">
        <f aca="false">SUMPRODUCT(($B$2:$AE$2&lt;=Portafolio!$B$5)*EXP(LN(Portafolio!$B$7)+Portafolio!$B$6*B83:AE83))/1000</f>
        <v>2.7582633764413</v>
      </c>
    </row>
    <row r="84" customFormat="false" ht="15" hidden="false" customHeight="false" outlineLevel="0" collapsed="false">
      <c r="A84" s="0" t="n">
        <v>82</v>
      </c>
      <c r="B84" s="0" t="n">
        <v>0.5865</v>
      </c>
      <c r="C84" s="0" t="n">
        <v>0.0849</v>
      </c>
      <c r="D84" s="0" t="n">
        <v>0.2039</v>
      </c>
      <c r="E84" s="0" t="n">
        <v>-0.6912</v>
      </c>
      <c r="F84" s="0" t="n">
        <v>-0.9836</v>
      </c>
      <c r="G84" s="0" t="n">
        <v>-1.4207</v>
      </c>
      <c r="H84" s="0" t="n">
        <v>-0.4119</v>
      </c>
      <c r="I84" s="0" t="n">
        <v>-1.1318</v>
      </c>
      <c r="J84" s="0" t="n">
        <v>-0.3215</v>
      </c>
      <c r="K84" s="0" t="n">
        <v>0.7307</v>
      </c>
      <c r="L84" s="0" t="n">
        <v>0.5543</v>
      </c>
      <c r="M84" s="0" t="n">
        <v>1.3342</v>
      </c>
      <c r="N84" s="0" t="n">
        <v>-0.9307</v>
      </c>
      <c r="O84" s="0" t="n">
        <v>-2.1991</v>
      </c>
      <c r="P84" s="0" t="n">
        <v>-1.1099</v>
      </c>
      <c r="Q84" s="0" t="n">
        <v>2.0014</v>
      </c>
      <c r="R84" s="0" t="n">
        <v>0.7038</v>
      </c>
      <c r="S84" s="0" t="n">
        <v>-0.4373</v>
      </c>
      <c r="T84" s="0" t="n">
        <v>1.3273</v>
      </c>
      <c r="U84" s="0" t="n">
        <v>-0.4125</v>
      </c>
      <c r="V84" s="0" t="n">
        <v>1.6775</v>
      </c>
      <c r="W84" s="0" t="n">
        <v>-0.4022</v>
      </c>
      <c r="X84" s="0" t="n">
        <v>-0.4044</v>
      </c>
      <c r="Y84" s="0" t="n">
        <v>0.7011</v>
      </c>
      <c r="Z84" s="0" t="n">
        <v>-1.1452</v>
      </c>
      <c r="AA84" s="0" t="n">
        <v>-0.1634</v>
      </c>
      <c r="AB84" s="0" t="n">
        <v>1.943</v>
      </c>
      <c r="AC84" s="0" t="n">
        <v>0.4394</v>
      </c>
      <c r="AD84" s="0" t="n">
        <v>-1.1039</v>
      </c>
      <c r="AE84" s="0" t="n">
        <v>-0.2501</v>
      </c>
      <c r="AG84" s="9" t="n">
        <f aca="false">SUMPRODUCT(($B$2:$AE$2&lt;=Portafolio!$B$5)*EXP(LN(Portafolio!$B$7)+Portafolio!$B$6*B84:AE84))/1000</f>
        <v>2.24984976494381</v>
      </c>
    </row>
    <row r="85" customFormat="false" ht="15" hidden="false" customHeight="false" outlineLevel="0" collapsed="false">
      <c r="A85" s="0" t="n">
        <v>83</v>
      </c>
      <c r="B85" s="0" t="n">
        <v>-0.0258</v>
      </c>
      <c r="C85" s="0" t="n">
        <v>-0.7577</v>
      </c>
      <c r="D85" s="0" t="n">
        <v>0.4135</v>
      </c>
      <c r="E85" s="0" t="n">
        <v>1.2521</v>
      </c>
      <c r="F85" s="0" t="n">
        <v>0.0485</v>
      </c>
      <c r="G85" s="0" t="n">
        <v>0.8895</v>
      </c>
      <c r="H85" s="0" t="n">
        <v>0.2962</v>
      </c>
      <c r="I85" s="0" t="n">
        <v>0.1393</v>
      </c>
      <c r="J85" s="0" t="n">
        <v>-0.7518</v>
      </c>
      <c r="K85" s="0" t="n">
        <v>0.9653</v>
      </c>
      <c r="L85" s="0" t="n">
        <v>1.3557</v>
      </c>
      <c r="M85" s="0" t="n">
        <v>-0.4507</v>
      </c>
      <c r="N85" s="0" t="n">
        <v>-0.8777</v>
      </c>
      <c r="O85" s="0" t="n">
        <v>0.5235</v>
      </c>
      <c r="P85" s="0" t="n">
        <v>0.1039</v>
      </c>
      <c r="Q85" s="0" t="n">
        <v>1.1286</v>
      </c>
      <c r="R85" s="0" t="n">
        <v>0.4932</v>
      </c>
      <c r="S85" s="0" t="n">
        <v>-0.1297</v>
      </c>
      <c r="T85" s="0" t="n">
        <v>-1.3884</v>
      </c>
      <c r="U85" s="0" t="n">
        <v>0.6218</v>
      </c>
      <c r="V85" s="0" t="n">
        <v>0.0992</v>
      </c>
      <c r="W85" s="0" t="n">
        <v>-1.2688</v>
      </c>
      <c r="X85" s="0" t="n">
        <v>-1.4914</v>
      </c>
      <c r="Y85" s="0" t="n">
        <v>-1.8299</v>
      </c>
      <c r="Z85" s="0" t="n">
        <v>0.6224</v>
      </c>
      <c r="AA85" s="0" t="n">
        <v>-0.4371</v>
      </c>
      <c r="AB85" s="0" t="n">
        <v>-3.3283</v>
      </c>
      <c r="AC85" s="0" t="n">
        <v>-0.8813</v>
      </c>
      <c r="AD85" s="0" t="n">
        <v>-0.6382</v>
      </c>
      <c r="AE85" s="0" t="n">
        <v>-0.1123</v>
      </c>
      <c r="AG85" s="9" t="n">
        <f aca="false">SUMPRODUCT(($B$2:$AE$2&lt;=Portafolio!$B$5)*EXP(LN(Portafolio!$B$7)+Portafolio!$B$6*B85:AE85))/1000</f>
        <v>2.46258365897644</v>
      </c>
    </row>
    <row r="86" customFormat="false" ht="15" hidden="false" customHeight="false" outlineLevel="0" collapsed="false">
      <c r="A86" s="0" t="n">
        <v>84</v>
      </c>
      <c r="B86" s="0" t="n">
        <v>0.0345</v>
      </c>
      <c r="C86" s="0" t="n">
        <v>-0.3407</v>
      </c>
      <c r="D86" s="0" t="n">
        <v>0.7421</v>
      </c>
      <c r="E86" s="0" t="n">
        <v>1.0257</v>
      </c>
      <c r="F86" s="0" t="n">
        <v>-0.2254</v>
      </c>
      <c r="G86" s="0" t="n">
        <v>1.5788</v>
      </c>
      <c r="H86" s="0" t="n">
        <v>-0.1275</v>
      </c>
      <c r="I86" s="0" t="n">
        <v>-0.8677</v>
      </c>
      <c r="J86" s="0" t="n">
        <v>0.1536</v>
      </c>
      <c r="K86" s="0" t="n">
        <v>-1.4364</v>
      </c>
      <c r="L86" s="0" t="n">
        <v>-0.3017</v>
      </c>
      <c r="M86" s="0" t="n">
        <v>-1.0625</v>
      </c>
      <c r="N86" s="0" t="n">
        <v>-0.4327</v>
      </c>
      <c r="O86" s="0" t="n">
        <v>0.1955</v>
      </c>
      <c r="P86" s="0" t="n">
        <v>-2.4566</v>
      </c>
      <c r="Q86" s="0" t="n">
        <v>0.3915</v>
      </c>
      <c r="R86" s="0" t="n">
        <v>0.2597</v>
      </c>
      <c r="S86" s="0" t="n">
        <v>-0.2191</v>
      </c>
      <c r="T86" s="0" t="n">
        <v>0.7147</v>
      </c>
      <c r="U86" s="0" t="n">
        <v>0.3421</v>
      </c>
      <c r="V86" s="0" t="n">
        <v>-0.3667</v>
      </c>
      <c r="W86" s="0" t="n">
        <v>-1.0083</v>
      </c>
      <c r="X86" s="0" t="n">
        <v>0.7312</v>
      </c>
      <c r="Y86" s="0" t="n">
        <v>0.7578</v>
      </c>
      <c r="Z86" s="0" t="n">
        <v>-1.4799</v>
      </c>
      <c r="AA86" s="0" t="n">
        <v>-0.7328</v>
      </c>
      <c r="AB86" s="0" t="n">
        <v>-1.1877</v>
      </c>
      <c r="AC86" s="0" t="n">
        <v>0.8289</v>
      </c>
      <c r="AD86" s="0" t="n">
        <v>-0.5785</v>
      </c>
      <c r="AE86" s="0" t="n">
        <v>-1.2561</v>
      </c>
      <c r="AG86" s="9" t="n">
        <f aca="false">SUMPRODUCT(($B$2:$AE$2&lt;=Portafolio!$B$5)*EXP(LN(Portafolio!$B$7)+Portafolio!$B$6*B86:AE86))/1000</f>
        <v>2.13003374823539</v>
      </c>
    </row>
    <row r="87" customFormat="false" ht="15" hidden="false" customHeight="false" outlineLevel="0" collapsed="false">
      <c r="A87" s="0" t="n">
        <v>85</v>
      </c>
      <c r="B87" s="0" t="n">
        <v>1.5081</v>
      </c>
      <c r="C87" s="0" t="n">
        <v>0.4527</v>
      </c>
      <c r="D87" s="0" t="n">
        <v>0.2319</v>
      </c>
      <c r="E87" s="0" t="n">
        <v>0.2425</v>
      </c>
      <c r="F87" s="0" t="n">
        <v>-0.1817</v>
      </c>
      <c r="G87" s="0" t="n">
        <v>0.0303</v>
      </c>
      <c r="H87" s="0" t="n">
        <v>0.8933</v>
      </c>
      <c r="I87" s="0" t="n">
        <v>0.4402</v>
      </c>
      <c r="J87" s="0" t="n">
        <v>-0.4633</v>
      </c>
      <c r="K87" s="0" t="n">
        <v>0.0927</v>
      </c>
      <c r="L87" s="0" t="n">
        <v>1.873</v>
      </c>
      <c r="M87" s="0" t="n">
        <v>-0.5605</v>
      </c>
      <c r="N87" s="0" t="n">
        <v>-1.3266</v>
      </c>
      <c r="O87" s="0" t="n">
        <v>0.1115</v>
      </c>
      <c r="P87" s="0" t="n">
        <v>-1.1491</v>
      </c>
      <c r="Q87" s="0" t="n">
        <v>2.6283</v>
      </c>
      <c r="R87" s="0" t="n">
        <v>0.6211</v>
      </c>
      <c r="S87" s="0" t="n">
        <v>0.5826</v>
      </c>
      <c r="T87" s="0" t="n">
        <v>0.3638</v>
      </c>
      <c r="U87" s="0" t="n">
        <v>1.9704</v>
      </c>
      <c r="V87" s="0" t="n">
        <v>-1.0264</v>
      </c>
      <c r="W87" s="0" t="n">
        <v>-0.0569</v>
      </c>
      <c r="X87" s="0" t="n">
        <v>-1.6804</v>
      </c>
      <c r="Y87" s="0" t="n">
        <v>1.2401</v>
      </c>
      <c r="Z87" s="0" t="n">
        <v>-0.0825</v>
      </c>
      <c r="AA87" s="0" t="n">
        <v>1.7683</v>
      </c>
      <c r="AB87" s="0" t="n">
        <v>-0.284</v>
      </c>
      <c r="AC87" s="0" t="n">
        <v>-1.0532</v>
      </c>
      <c r="AD87" s="0" t="n">
        <v>-0.7127</v>
      </c>
      <c r="AE87" s="0" t="n">
        <v>0.8003</v>
      </c>
      <c r="AG87" s="9" t="n">
        <f aca="false">SUMPRODUCT(($B$2:$AE$2&lt;=Portafolio!$B$5)*EXP(LN(Portafolio!$B$7)+Portafolio!$B$6*B87:AE87))/1000</f>
        <v>3.08596228163129</v>
      </c>
    </row>
    <row r="88" customFormat="false" ht="15" hidden="false" customHeight="false" outlineLevel="0" collapsed="false">
      <c r="A88" s="0" t="n">
        <v>86</v>
      </c>
      <c r="B88" s="0" t="n">
        <v>-0.8331</v>
      </c>
      <c r="C88" s="0" t="n">
        <v>0.2533</v>
      </c>
      <c r="D88" s="0" t="n">
        <v>-0.733</v>
      </c>
      <c r="E88" s="0" t="n">
        <v>-0.7224</v>
      </c>
      <c r="F88" s="0" t="n">
        <v>-0.57</v>
      </c>
      <c r="G88" s="0" t="n">
        <v>1.6244</v>
      </c>
      <c r="H88" s="0" t="n">
        <v>-1.0881</v>
      </c>
      <c r="I88" s="0" t="n">
        <v>0.3152</v>
      </c>
      <c r="J88" s="0" t="n">
        <v>0.8006</v>
      </c>
      <c r="K88" s="0" t="n">
        <v>-0.7561</v>
      </c>
      <c r="L88" s="0" t="n">
        <v>-1.5203</v>
      </c>
      <c r="M88" s="0" t="n">
        <v>1.5014</v>
      </c>
      <c r="N88" s="0" t="n">
        <v>1.7359</v>
      </c>
      <c r="O88" s="0" t="n">
        <v>-0.2595</v>
      </c>
      <c r="P88" s="0" t="n">
        <v>-1.2145</v>
      </c>
      <c r="Q88" s="0" t="n">
        <v>0.8657</v>
      </c>
      <c r="R88" s="0" t="n">
        <v>-0.0477</v>
      </c>
      <c r="S88" s="0" t="n">
        <v>-0.8369</v>
      </c>
      <c r="T88" s="0" t="n">
        <v>-0.3977</v>
      </c>
      <c r="U88" s="0" t="n">
        <v>-2.4134</v>
      </c>
      <c r="V88" s="0" t="n">
        <v>-0.8296</v>
      </c>
      <c r="W88" s="0" t="n">
        <v>-1.2336</v>
      </c>
      <c r="X88" s="0" t="n">
        <v>-1.3364</v>
      </c>
      <c r="Y88" s="0" t="n">
        <v>0.5772</v>
      </c>
      <c r="Z88" s="0" t="n">
        <v>0.2578</v>
      </c>
      <c r="AA88" s="0" t="n">
        <v>1.6959</v>
      </c>
      <c r="AB88" s="0" t="n">
        <v>-2.7122</v>
      </c>
      <c r="AC88" s="0" t="n">
        <v>-0.681</v>
      </c>
      <c r="AD88" s="0" t="n">
        <v>-0.8592</v>
      </c>
      <c r="AE88" s="0" t="n">
        <v>1.3225</v>
      </c>
      <c r="AG88" s="9" t="n">
        <f aca="false">SUMPRODUCT(($B$2:$AE$2&lt;=Portafolio!$B$5)*EXP(LN(Portafolio!$B$7)+Portafolio!$B$6*B88:AE88))/1000</f>
        <v>2.17205135253226</v>
      </c>
    </row>
    <row r="89" customFormat="false" ht="15" hidden="false" customHeight="false" outlineLevel="0" collapsed="false">
      <c r="A89" s="0" t="n">
        <v>87</v>
      </c>
      <c r="B89" s="0" t="n">
        <v>1.0317</v>
      </c>
      <c r="C89" s="0" t="n">
        <v>0.1089</v>
      </c>
      <c r="D89" s="0" t="n">
        <v>0.0796</v>
      </c>
      <c r="E89" s="0" t="n">
        <v>-0.771</v>
      </c>
      <c r="F89" s="0" t="n">
        <v>-0.5343</v>
      </c>
      <c r="G89" s="0" t="n">
        <v>-0.4623</v>
      </c>
      <c r="H89" s="0" t="n">
        <v>-2.5549</v>
      </c>
      <c r="I89" s="0" t="n">
        <v>1.8969</v>
      </c>
      <c r="J89" s="0" t="n">
        <v>0.7268</v>
      </c>
      <c r="K89" s="0" t="n">
        <v>2.0856</v>
      </c>
      <c r="L89" s="0" t="n">
        <v>1.2304</v>
      </c>
      <c r="M89" s="0" t="n">
        <v>0.4852</v>
      </c>
      <c r="N89" s="0" t="n">
        <v>0.8253</v>
      </c>
      <c r="O89" s="0" t="n">
        <v>-1.7178</v>
      </c>
      <c r="P89" s="0" t="n">
        <v>-1.0361</v>
      </c>
      <c r="Q89" s="0" t="n">
        <v>0.8435</v>
      </c>
      <c r="R89" s="0" t="n">
        <v>-0.3993</v>
      </c>
      <c r="S89" s="0" t="n">
        <v>-1.6459</v>
      </c>
      <c r="T89" s="0" t="n">
        <v>-0.0277</v>
      </c>
      <c r="U89" s="0" t="n">
        <v>-1.3149</v>
      </c>
      <c r="V89" s="0" t="n">
        <v>-0.0154</v>
      </c>
      <c r="W89" s="0" t="n">
        <v>1.5629</v>
      </c>
      <c r="X89" s="0" t="n">
        <v>-1.1619</v>
      </c>
      <c r="Y89" s="0" t="n">
        <v>-0.471</v>
      </c>
      <c r="Z89" s="0" t="n">
        <v>0.54</v>
      </c>
      <c r="AA89" s="0" t="n">
        <v>-0.0439</v>
      </c>
      <c r="AB89" s="0" t="n">
        <v>0.1696</v>
      </c>
      <c r="AC89" s="0" t="n">
        <v>-0.8698</v>
      </c>
      <c r="AD89" s="0" t="n">
        <v>-0.3593</v>
      </c>
      <c r="AE89" s="0" t="n">
        <v>-2.4241</v>
      </c>
      <c r="AG89" s="9" t="n">
        <f aca="false">SUMPRODUCT(($B$2:$AE$2&lt;=Portafolio!$B$5)*EXP(LN(Portafolio!$B$7)+Portafolio!$B$6*B89:AE89))/1000</f>
        <v>2.46861584099702</v>
      </c>
    </row>
    <row r="90" customFormat="false" ht="15" hidden="false" customHeight="false" outlineLevel="0" collapsed="false">
      <c r="A90" s="0" t="n">
        <v>88</v>
      </c>
      <c r="B90" s="0" t="n">
        <v>-0.198</v>
      </c>
      <c r="C90" s="0" t="n">
        <v>1.2789</v>
      </c>
      <c r="D90" s="0" t="n">
        <v>-1.1508</v>
      </c>
      <c r="E90" s="0" t="n">
        <v>-0.2068</v>
      </c>
      <c r="F90" s="0" t="n">
        <v>0.6978</v>
      </c>
      <c r="G90" s="0" t="n">
        <v>1.2154</v>
      </c>
      <c r="H90" s="0" t="n">
        <v>1.1571</v>
      </c>
      <c r="I90" s="0" t="n">
        <v>-0.9155</v>
      </c>
      <c r="J90" s="0" t="n">
        <v>-0.4409</v>
      </c>
      <c r="K90" s="0" t="n">
        <v>1.7566</v>
      </c>
      <c r="L90" s="0" t="n">
        <v>-0.4909</v>
      </c>
      <c r="M90" s="0" t="n">
        <v>0.2698</v>
      </c>
      <c r="N90" s="0" t="n">
        <v>-0.874</v>
      </c>
      <c r="O90" s="0" t="n">
        <v>-0.6854</v>
      </c>
      <c r="P90" s="0" t="n">
        <v>-3.0214</v>
      </c>
      <c r="Q90" s="0" t="n">
        <v>-0.5729</v>
      </c>
      <c r="R90" s="0" t="n">
        <v>-2.2449</v>
      </c>
      <c r="S90" s="0" t="n">
        <v>-1.0469</v>
      </c>
      <c r="T90" s="0" t="n">
        <v>-1.0139</v>
      </c>
      <c r="U90" s="0" t="n">
        <v>1.3481</v>
      </c>
      <c r="V90" s="0" t="n">
        <v>0.7523</v>
      </c>
      <c r="W90" s="0" t="n">
        <v>0.3853</v>
      </c>
      <c r="X90" s="0" t="n">
        <v>-0.5463</v>
      </c>
      <c r="Y90" s="0" t="n">
        <v>-1.4301</v>
      </c>
      <c r="Z90" s="0" t="n">
        <v>0.4627</v>
      </c>
      <c r="AA90" s="0" t="n">
        <v>-0.8617</v>
      </c>
      <c r="AB90" s="0" t="n">
        <v>-0.1394</v>
      </c>
      <c r="AC90" s="0" t="n">
        <v>0.9318</v>
      </c>
      <c r="AD90" s="0" t="n">
        <v>-0.2151</v>
      </c>
      <c r="AE90" s="0" t="n">
        <v>-0.0514</v>
      </c>
      <c r="AG90" s="9" t="n">
        <f aca="false">SUMPRODUCT(($B$2:$AE$2&lt;=Portafolio!$B$5)*EXP(LN(Portafolio!$B$7)+Portafolio!$B$6*B90:AE90))/1000</f>
        <v>2.18670996970587</v>
      </c>
    </row>
    <row r="91" customFormat="false" ht="15" hidden="false" customHeight="false" outlineLevel="0" collapsed="false">
      <c r="A91" s="0" t="n">
        <v>89</v>
      </c>
      <c r="B91" s="0" t="n">
        <v>-1.0317</v>
      </c>
      <c r="C91" s="0" t="n">
        <v>1.0378</v>
      </c>
      <c r="D91" s="0" t="n">
        <v>0.5136</v>
      </c>
      <c r="E91" s="0" t="n">
        <v>0.694</v>
      </c>
      <c r="F91" s="0" t="n">
        <v>1.6218</v>
      </c>
      <c r="G91" s="0" t="n">
        <v>-1.671</v>
      </c>
      <c r="H91" s="0" t="n">
        <v>0.0011</v>
      </c>
      <c r="I91" s="0" t="n">
        <v>0.626</v>
      </c>
      <c r="J91" s="0" t="n">
        <v>0.3127</v>
      </c>
      <c r="K91" s="0" t="n">
        <v>0.2853</v>
      </c>
      <c r="L91" s="0" t="n">
        <v>0.448</v>
      </c>
      <c r="M91" s="0" t="n">
        <v>-1.5766</v>
      </c>
      <c r="N91" s="0" t="n">
        <v>-0.1047</v>
      </c>
      <c r="O91" s="0" t="n">
        <v>1.1542</v>
      </c>
      <c r="P91" s="0" t="n">
        <v>-0.0803</v>
      </c>
      <c r="Q91" s="0" t="n">
        <v>-0.2248</v>
      </c>
      <c r="R91" s="0" t="n">
        <v>0.8312</v>
      </c>
      <c r="S91" s="0" t="n">
        <v>-1.7985</v>
      </c>
      <c r="T91" s="0" t="n">
        <v>0.3754</v>
      </c>
      <c r="U91" s="0" t="n">
        <v>1.5133</v>
      </c>
      <c r="V91" s="0" t="n">
        <v>-0.284</v>
      </c>
      <c r="W91" s="0" t="n">
        <v>-0.8611</v>
      </c>
      <c r="X91" s="0" t="n">
        <v>0.507</v>
      </c>
      <c r="Y91" s="0" t="n">
        <v>-0.4856</v>
      </c>
      <c r="Z91" s="0" t="n">
        <v>-0.8561</v>
      </c>
      <c r="AA91" s="0" t="n">
        <v>0.1416</v>
      </c>
      <c r="AB91" s="0" t="n">
        <v>-1.7085</v>
      </c>
      <c r="AC91" s="0" t="n">
        <v>0.6534</v>
      </c>
      <c r="AD91" s="0" t="n">
        <v>-1.2406</v>
      </c>
      <c r="AE91" s="0" t="n">
        <v>-0.5835</v>
      </c>
      <c r="AG91" s="9" t="n">
        <f aca="false">SUMPRODUCT(($B$2:$AE$2&lt;=Portafolio!$B$5)*EXP(LN(Portafolio!$B$7)+Portafolio!$B$6*B91:AE91))/1000</f>
        <v>2.53221975976829</v>
      </c>
    </row>
    <row r="92" customFormat="false" ht="15" hidden="false" customHeight="false" outlineLevel="0" collapsed="false">
      <c r="A92" s="0" t="n">
        <v>90</v>
      </c>
      <c r="B92" s="0" t="n">
        <v>0.7087</v>
      </c>
      <c r="C92" s="0" t="n">
        <v>-0.058</v>
      </c>
      <c r="D92" s="0" t="n">
        <v>0.2371</v>
      </c>
      <c r="E92" s="0" t="n">
        <v>1.3702</v>
      </c>
      <c r="F92" s="0" t="n">
        <v>1.5142</v>
      </c>
      <c r="G92" s="0" t="n">
        <v>2.0903</v>
      </c>
      <c r="H92" s="0" t="n">
        <v>-0.5841</v>
      </c>
      <c r="I92" s="0" t="n">
        <v>0.9048</v>
      </c>
      <c r="J92" s="0" t="n">
        <v>-1.7026</v>
      </c>
      <c r="K92" s="0" t="n">
        <v>0.786</v>
      </c>
      <c r="L92" s="0" t="n">
        <v>1.2957</v>
      </c>
      <c r="M92" s="0" t="n">
        <v>-0.7625</v>
      </c>
      <c r="N92" s="0" t="n">
        <v>0.444</v>
      </c>
      <c r="O92" s="0" t="n">
        <v>0.8248</v>
      </c>
      <c r="P92" s="0" t="n">
        <v>-0.1888</v>
      </c>
      <c r="Q92" s="0" t="n">
        <v>-0.6718</v>
      </c>
      <c r="R92" s="0" t="n">
        <v>1.5022</v>
      </c>
      <c r="S92" s="0" t="n">
        <v>-1.3635</v>
      </c>
      <c r="T92" s="0" t="n">
        <v>0.14</v>
      </c>
      <c r="U92" s="0" t="n">
        <v>0.9415</v>
      </c>
      <c r="V92" s="0" t="n">
        <v>0.2119</v>
      </c>
      <c r="W92" s="0" t="n">
        <v>1.5782</v>
      </c>
      <c r="X92" s="0" t="n">
        <v>1.4755</v>
      </c>
      <c r="Y92" s="0" t="n">
        <v>0.4499</v>
      </c>
      <c r="Z92" s="0" t="n">
        <v>1.7714</v>
      </c>
      <c r="AA92" s="0" t="n">
        <v>0.7357</v>
      </c>
      <c r="AB92" s="0" t="n">
        <v>-1.2744</v>
      </c>
      <c r="AC92" s="0" t="n">
        <v>-0.355</v>
      </c>
      <c r="AD92" s="0" t="n">
        <v>0.2486</v>
      </c>
      <c r="AE92" s="0" t="n">
        <v>0.1694</v>
      </c>
      <c r="AG92" s="9" t="n">
        <f aca="false">SUMPRODUCT(($B$2:$AE$2&lt;=Portafolio!$B$5)*EXP(LN(Portafolio!$B$7)+Portafolio!$B$6*B92:AE92))/1000</f>
        <v>2.93638958314297</v>
      </c>
    </row>
    <row r="93" customFormat="false" ht="15" hidden="false" customHeight="false" outlineLevel="0" collapsed="false">
      <c r="A93" s="0" t="n">
        <v>91</v>
      </c>
      <c r="B93" s="0" t="n">
        <v>-1.7447</v>
      </c>
      <c r="C93" s="0" t="n">
        <v>2.306</v>
      </c>
      <c r="D93" s="0" t="n">
        <v>-1.6102</v>
      </c>
      <c r="E93" s="0" t="n">
        <v>-1.1715</v>
      </c>
      <c r="F93" s="0" t="n">
        <v>0.428</v>
      </c>
      <c r="G93" s="0" t="n">
        <v>0.1778</v>
      </c>
      <c r="H93" s="0" t="n">
        <v>1.532</v>
      </c>
      <c r="I93" s="0" t="n">
        <v>0.2024</v>
      </c>
      <c r="J93" s="0" t="n">
        <v>0.356</v>
      </c>
      <c r="K93" s="0" t="n">
        <v>0.7141</v>
      </c>
      <c r="L93" s="0" t="n">
        <v>-0.768</v>
      </c>
      <c r="M93" s="0" t="n">
        <v>-1.3373</v>
      </c>
      <c r="N93" s="0" t="n">
        <v>-0.4933</v>
      </c>
      <c r="O93" s="0" t="n">
        <v>1.0084</v>
      </c>
      <c r="P93" s="0" t="n">
        <v>-0.3118</v>
      </c>
      <c r="Q93" s="0" t="n">
        <v>1.2453</v>
      </c>
      <c r="R93" s="0" t="n">
        <v>-0.5831</v>
      </c>
      <c r="S93" s="0" t="n">
        <v>0.7433</v>
      </c>
      <c r="T93" s="0" t="n">
        <v>0.0059</v>
      </c>
      <c r="U93" s="0" t="n">
        <v>0.8313</v>
      </c>
      <c r="V93" s="0" t="n">
        <v>-0.0124</v>
      </c>
      <c r="W93" s="0" t="n">
        <v>0.1805</v>
      </c>
      <c r="X93" s="0" t="n">
        <v>-0.4961</v>
      </c>
      <c r="Y93" s="0" t="n">
        <v>1.2438</v>
      </c>
      <c r="Z93" s="0" t="n">
        <v>-0.0573</v>
      </c>
      <c r="AA93" s="0" t="n">
        <v>0.4863</v>
      </c>
      <c r="AB93" s="0" t="n">
        <v>0.6385</v>
      </c>
      <c r="AC93" s="0" t="n">
        <v>-0.9266</v>
      </c>
      <c r="AD93" s="0" t="n">
        <v>-0.8623</v>
      </c>
      <c r="AE93" s="0" t="n">
        <v>-0.0639</v>
      </c>
      <c r="AG93" s="9" t="n">
        <f aca="false">SUMPRODUCT(($B$2:$AE$2&lt;=Portafolio!$B$5)*EXP(LN(Portafolio!$B$7)+Portafolio!$B$6*B93:AE93))/1000</f>
        <v>2.55424303774592</v>
      </c>
    </row>
    <row r="94" customFormat="false" ht="15" hidden="false" customHeight="false" outlineLevel="0" collapsed="false">
      <c r="A94" s="0" t="n">
        <v>92</v>
      </c>
      <c r="B94" s="0" t="n">
        <v>1.2708</v>
      </c>
      <c r="C94" s="0" t="n">
        <v>-1.0911</v>
      </c>
      <c r="D94" s="0" t="n">
        <v>-1.0531</v>
      </c>
      <c r="E94" s="0" t="n">
        <v>-1.0223</v>
      </c>
      <c r="F94" s="0" t="n">
        <v>-0.4173</v>
      </c>
      <c r="G94" s="0" t="n">
        <v>-1.1018</v>
      </c>
      <c r="H94" s="0" t="n">
        <v>-0.8499</v>
      </c>
      <c r="I94" s="0" t="n">
        <v>0.516</v>
      </c>
      <c r="J94" s="0" t="n">
        <v>-1.1241</v>
      </c>
      <c r="K94" s="0" t="n">
        <v>-0.0292</v>
      </c>
      <c r="L94" s="0" t="n">
        <v>-1.2138</v>
      </c>
      <c r="M94" s="0" t="n">
        <v>-0.223</v>
      </c>
      <c r="N94" s="0" t="n">
        <v>0.5071</v>
      </c>
      <c r="O94" s="0" t="n">
        <v>-2.0506</v>
      </c>
      <c r="P94" s="0" t="n">
        <v>0.0345</v>
      </c>
      <c r="Q94" s="0" t="n">
        <v>0.2091</v>
      </c>
      <c r="R94" s="0" t="n">
        <v>-0.0802</v>
      </c>
      <c r="S94" s="0" t="n">
        <v>0.2415</v>
      </c>
      <c r="T94" s="0" t="n">
        <v>0.3998</v>
      </c>
      <c r="U94" s="0" t="n">
        <v>-1.3331</v>
      </c>
      <c r="V94" s="0" t="n">
        <v>-0.1442</v>
      </c>
      <c r="W94" s="0" t="n">
        <v>0.6354</v>
      </c>
      <c r="X94" s="0" t="n">
        <v>1.2898</v>
      </c>
      <c r="Y94" s="0" t="n">
        <v>-1.3977</v>
      </c>
      <c r="Z94" s="0" t="n">
        <v>-0.6211</v>
      </c>
      <c r="AA94" s="0" t="n">
        <v>-1.4027</v>
      </c>
      <c r="AB94" s="0" t="n">
        <v>-0.0377</v>
      </c>
      <c r="AC94" s="0" t="n">
        <v>-1.1005</v>
      </c>
      <c r="AD94" s="0" t="n">
        <v>-1.0142</v>
      </c>
      <c r="AE94" s="0" t="n">
        <v>0.7624</v>
      </c>
      <c r="AG94" s="9" t="n">
        <f aca="false">SUMPRODUCT(($B$2:$AE$2&lt;=Portafolio!$B$5)*EXP(LN(Portafolio!$B$7)+Portafolio!$B$6*B94:AE94))/1000</f>
        <v>1.74759276465402</v>
      </c>
    </row>
    <row r="95" customFormat="false" ht="15" hidden="false" customHeight="false" outlineLevel="0" collapsed="false">
      <c r="A95" s="0" t="n">
        <v>93</v>
      </c>
      <c r="B95" s="0" t="n">
        <v>2.2532</v>
      </c>
      <c r="C95" s="0" t="n">
        <v>-2.1042</v>
      </c>
      <c r="D95" s="0" t="n">
        <v>1.6472</v>
      </c>
      <c r="E95" s="0" t="n">
        <v>-0.9465</v>
      </c>
      <c r="F95" s="0" t="n">
        <v>0.6723</v>
      </c>
      <c r="G95" s="0" t="n">
        <v>0.3393</v>
      </c>
      <c r="H95" s="0" t="n">
        <v>1.2316</v>
      </c>
      <c r="I95" s="0" t="n">
        <v>-0.2269</v>
      </c>
      <c r="J95" s="0" t="n">
        <v>-0.8575</v>
      </c>
      <c r="K95" s="0" t="n">
        <v>-0.08</v>
      </c>
      <c r="L95" s="0" t="n">
        <v>0.7803</v>
      </c>
      <c r="M95" s="0" t="n">
        <v>-0.9197</v>
      </c>
      <c r="N95" s="0" t="n">
        <v>0.3957</v>
      </c>
      <c r="O95" s="0" t="n">
        <v>-0.024</v>
      </c>
      <c r="P95" s="0" t="n">
        <v>0.164</v>
      </c>
      <c r="Q95" s="0" t="n">
        <v>-0.0069</v>
      </c>
      <c r="R95" s="0" t="n">
        <v>0.5927</v>
      </c>
      <c r="S95" s="0" t="n">
        <v>0.7973</v>
      </c>
      <c r="T95" s="0" t="n">
        <v>-0.3098</v>
      </c>
      <c r="U95" s="0" t="n">
        <v>-0.3722</v>
      </c>
      <c r="V95" s="0" t="n">
        <v>-2.1878</v>
      </c>
      <c r="W95" s="0" t="n">
        <v>-0.9047</v>
      </c>
      <c r="X95" s="0" t="n">
        <v>-1.558</v>
      </c>
      <c r="Y95" s="0" t="n">
        <v>0.6683</v>
      </c>
      <c r="Z95" s="0" t="n">
        <v>-1.1073</v>
      </c>
      <c r="AA95" s="0" t="n">
        <v>-0.7213</v>
      </c>
      <c r="AB95" s="0" t="n">
        <v>0.5182</v>
      </c>
      <c r="AC95" s="0" t="n">
        <v>0.9893</v>
      </c>
      <c r="AD95" s="0" t="n">
        <v>1.2135</v>
      </c>
      <c r="AE95" s="0" t="n">
        <v>-0.8776</v>
      </c>
      <c r="AG95" s="9" t="n">
        <f aca="false">SUMPRODUCT(($B$2:$AE$2&lt;=Portafolio!$B$5)*EXP(LN(Portafolio!$B$7)+Portafolio!$B$6*B95:AE95))/1000</f>
        <v>2.58379702948978</v>
      </c>
    </row>
    <row r="96" customFormat="false" ht="15" hidden="false" customHeight="false" outlineLevel="0" collapsed="false">
      <c r="A96" s="0" t="n">
        <v>94</v>
      </c>
      <c r="B96" s="0" t="n">
        <v>0.2255</v>
      </c>
      <c r="C96" s="0" t="n">
        <v>1.0648</v>
      </c>
      <c r="D96" s="0" t="n">
        <v>-0.8725</v>
      </c>
      <c r="E96" s="0" t="n">
        <v>-0.245</v>
      </c>
      <c r="F96" s="0" t="n">
        <v>-1.2478</v>
      </c>
      <c r="G96" s="0" t="n">
        <v>-0.6633</v>
      </c>
      <c r="H96" s="0" t="n">
        <v>0.7005</v>
      </c>
      <c r="I96" s="0" t="n">
        <v>0.0789</v>
      </c>
      <c r="J96" s="0" t="n">
        <v>-0.3843</v>
      </c>
      <c r="K96" s="0" t="n">
        <v>-0.5786</v>
      </c>
      <c r="L96" s="0" t="n">
        <v>1.5201</v>
      </c>
      <c r="M96" s="0" t="n">
        <v>0.748</v>
      </c>
      <c r="N96" s="0" t="n">
        <v>-1.2654</v>
      </c>
      <c r="O96" s="0" t="n">
        <v>2.1748</v>
      </c>
      <c r="P96" s="0" t="n">
        <v>-0.4311</v>
      </c>
      <c r="Q96" s="0" t="n">
        <v>-0.1668</v>
      </c>
      <c r="R96" s="0" t="n">
        <v>-0.509</v>
      </c>
      <c r="S96" s="0" t="n">
        <v>-0.5909</v>
      </c>
      <c r="T96" s="0" t="n">
        <v>0.6321</v>
      </c>
      <c r="U96" s="0" t="n">
        <v>-1.4752</v>
      </c>
      <c r="V96" s="0" t="n">
        <v>0.018</v>
      </c>
      <c r="W96" s="0" t="n">
        <v>-0.3428</v>
      </c>
      <c r="X96" s="0" t="n">
        <v>1.747</v>
      </c>
      <c r="Y96" s="0" t="n">
        <v>0.3815</v>
      </c>
      <c r="Z96" s="0" t="n">
        <v>0.4263</v>
      </c>
      <c r="AA96" s="0" t="n">
        <v>0.5186</v>
      </c>
      <c r="AB96" s="0" t="n">
        <v>0.587</v>
      </c>
      <c r="AC96" s="0" t="n">
        <v>0.1117</v>
      </c>
      <c r="AD96" s="0" t="n">
        <v>-2.4839</v>
      </c>
      <c r="AE96" s="0" t="n">
        <v>0.4158</v>
      </c>
      <c r="AG96" s="9" t="n">
        <f aca="false">SUMPRODUCT(($B$2:$AE$2&lt;=Portafolio!$B$5)*EXP(LN(Portafolio!$B$7)+Portafolio!$B$6*B96:AE96))/1000</f>
        <v>2.29114914461501</v>
      </c>
    </row>
    <row r="97" customFormat="false" ht="15" hidden="false" customHeight="false" outlineLevel="0" collapsed="false">
      <c r="A97" s="0" t="n">
        <v>95</v>
      </c>
      <c r="B97" s="0" t="n">
        <v>-0.3357</v>
      </c>
      <c r="C97" s="0" t="n">
        <v>0.6984</v>
      </c>
      <c r="D97" s="0" t="n">
        <v>0.3004</v>
      </c>
      <c r="E97" s="0" t="n">
        <v>-0.5635</v>
      </c>
      <c r="F97" s="0" t="n">
        <v>-0.9131</v>
      </c>
      <c r="G97" s="0" t="n">
        <v>-1.0374</v>
      </c>
      <c r="H97" s="0" t="n">
        <v>0.2747</v>
      </c>
      <c r="I97" s="0" t="n">
        <v>-0.1182</v>
      </c>
      <c r="J97" s="0" t="n">
        <v>-0.9061</v>
      </c>
      <c r="K97" s="0" t="n">
        <v>-0.3798</v>
      </c>
      <c r="L97" s="0" t="n">
        <v>0.3404</v>
      </c>
      <c r="M97" s="0" t="n">
        <v>-0.6824</v>
      </c>
      <c r="N97" s="0" t="n">
        <v>-0.1397</v>
      </c>
      <c r="O97" s="0" t="n">
        <v>-0.6247</v>
      </c>
      <c r="P97" s="0" t="n">
        <v>-2.6266</v>
      </c>
      <c r="Q97" s="0" t="n">
        <v>0.0808</v>
      </c>
      <c r="R97" s="0" t="n">
        <v>0.0511</v>
      </c>
      <c r="S97" s="0" t="n">
        <v>0.807</v>
      </c>
      <c r="T97" s="0" t="n">
        <v>1.3014</v>
      </c>
      <c r="U97" s="0" t="n">
        <v>-0.7422</v>
      </c>
      <c r="V97" s="0" t="n">
        <v>0.5882</v>
      </c>
      <c r="W97" s="0" t="n">
        <v>0.2585</v>
      </c>
      <c r="X97" s="0" t="n">
        <v>0.0666</v>
      </c>
      <c r="Y97" s="0" t="n">
        <v>0.8248</v>
      </c>
      <c r="Z97" s="0" t="n">
        <v>0.8696</v>
      </c>
      <c r="AA97" s="0" t="n">
        <v>-1.2865</v>
      </c>
      <c r="AB97" s="0" t="n">
        <v>1.4764</v>
      </c>
      <c r="AC97" s="0" t="n">
        <v>-0.1889</v>
      </c>
      <c r="AD97" s="0" t="n">
        <v>-0.6824</v>
      </c>
      <c r="AE97" s="0" t="n">
        <v>-0.7074</v>
      </c>
      <c r="AG97" s="9" t="n">
        <f aca="false">SUMPRODUCT(($B$2:$AE$2&lt;=Portafolio!$B$5)*EXP(LN(Portafolio!$B$7)+Portafolio!$B$6*B97:AE97))/1000</f>
        <v>1.90831177979514</v>
      </c>
    </row>
    <row r="98" customFormat="false" ht="15" hidden="false" customHeight="false" outlineLevel="0" collapsed="false">
      <c r="A98" s="0" t="n">
        <v>96</v>
      </c>
      <c r="B98" s="0" t="n">
        <v>-0.2373</v>
      </c>
      <c r="C98" s="0" t="n">
        <v>-1.1419</v>
      </c>
      <c r="D98" s="0" t="n">
        <v>1.0851</v>
      </c>
      <c r="E98" s="0" t="n">
        <v>0.4208</v>
      </c>
      <c r="F98" s="0" t="n">
        <v>-0.9182</v>
      </c>
      <c r="G98" s="0" t="n">
        <v>0.8192</v>
      </c>
      <c r="H98" s="0" t="n">
        <v>0.2269</v>
      </c>
      <c r="I98" s="0" t="n">
        <v>0.0718</v>
      </c>
      <c r="J98" s="0" t="n">
        <v>0.9578</v>
      </c>
      <c r="K98" s="0" t="n">
        <v>-0.1035</v>
      </c>
      <c r="L98" s="0" t="n">
        <v>-0.2731</v>
      </c>
      <c r="M98" s="0" t="n">
        <v>0.4965</v>
      </c>
      <c r="N98" s="0" t="n">
        <v>-1.8546</v>
      </c>
      <c r="O98" s="0" t="n">
        <v>-1.2182</v>
      </c>
      <c r="P98" s="0" t="n">
        <v>0.499</v>
      </c>
      <c r="Q98" s="0" t="n">
        <v>1.0669</v>
      </c>
      <c r="R98" s="0" t="n">
        <v>-1.7039</v>
      </c>
      <c r="S98" s="0" t="n">
        <v>0.0032</v>
      </c>
      <c r="T98" s="0" t="n">
        <v>-0.6779</v>
      </c>
      <c r="U98" s="0" t="n">
        <v>-0.2938</v>
      </c>
      <c r="V98" s="0" t="n">
        <v>0.5944</v>
      </c>
      <c r="W98" s="0" t="n">
        <v>1.492</v>
      </c>
      <c r="X98" s="0" t="n">
        <v>1.764</v>
      </c>
      <c r="Y98" s="0" t="n">
        <v>0.9428</v>
      </c>
      <c r="Z98" s="0" t="n">
        <v>0.634</v>
      </c>
      <c r="AA98" s="0" t="n">
        <v>0.1353</v>
      </c>
      <c r="AB98" s="0" t="n">
        <v>-1.8883</v>
      </c>
      <c r="AC98" s="0" t="n">
        <v>0.3874</v>
      </c>
      <c r="AD98" s="0" t="n">
        <v>-1.2092</v>
      </c>
      <c r="AE98" s="0" t="n">
        <v>-1.1301</v>
      </c>
      <c r="AG98" s="9" t="n">
        <f aca="false">SUMPRODUCT(($B$2:$AE$2&lt;=Portafolio!$B$5)*EXP(LN(Portafolio!$B$7)+Portafolio!$B$6*B98:AE98))/1000</f>
        <v>2.08112048614592</v>
      </c>
    </row>
    <row r="99" customFormat="false" ht="15" hidden="false" customHeight="false" outlineLevel="0" collapsed="false">
      <c r="A99" s="0" t="n">
        <v>97</v>
      </c>
      <c r="B99" s="0" t="n">
        <v>0.1108</v>
      </c>
      <c r="C99" s="0" t="n">
        <v>-1.5971</v>
      </c>
      <c r="D99" s="0" t="n">
        <v>1.7705</v>
      </c>
      <c r="E99" s="0" t="n">
        <v>0.5953</v>
      </c>
      <c r="F99" s="0" t="n">
        <v>0.3567</v>
      </c>
      <c r="G99" s="0" t="n">
        <v>0.4765</v>
      </c>
      <c r="H99" s="0" t="n">
        <v>0.2334</v>
      </c>
      <c r="I99" s="0" t="n">
        <v>0.0561</v>
      </c>
      <c r="J99" s="0" t="n">
        <v>0.701</v>
      </c>
      <c r="K99" s="0" t="n">
        <v>-0.684</v>
      </c>
      <c r="L99" s="0" t="n">
        <v>0.2646</v>
      </c>
      <c r="M99" s="0" t="n">
        <v>0.1599</v>
      </c>
      <c r="N99" s="0" t="n">
        <v>0.7723</v>
      </c>
      <c r="O99" s="0" t="n">
        <v>-1.1154</v>
      </c>
      <c r="P99" s="0" t="n">
        <v>0.2387</v>
      </c>
      <c r="Q99" s="0" t="n">
        <v>-0.1385</v>
      </c>
      <c r="R99" s="0" t="n">
        <v>0.6248</v>
      </c>
      <c r="S99" s="0" t="n">
        <v>0.5341</v>
      </c>
      <c r="T99" s="0" t="n">
        <v>0.1767</v>
      </c>
      <c r="U99" s="0" t="n">
        <v>0.4546</v>
      </c>
      <c r="V99" s="0" t="n">
        <v>0.4372</v>
      </c>
      <c r="W99" s="0" t="n">
        <v>1.3617</v>
      </c>
      <c r="X99" s="0" t="n">
        <v>0.2991</v>
      </c>
      <c r="Y99" s="0" t="n">
        <v>0.5291</v>
      </c>
      <c r="Z99" s="0" t="n">
        <v>-0.9463</v>
      </c>
      <c r="AA99" s="0" t="n">
        <v>-0.2148</v>
      </c>
      <c r="AB99" s="0" t="n">
        <v>0.7642</v>
      </c>
      <c r="AC99" s="0" t="n">
        <v>1.0465</v>
      </c>
      <c r="AD99" s="0" t="n">
        <v>-0.9898</v>
      </c>
      <c r="AE99" s="0" t="n">
        <v>-0.0495</v>
      </c>
      <c r="AG99" s="9" t="n">
        <f aca="false">SUMPRODUCT(($B$2:$AE$2&lt;=Portafolio!$B$5)*EXP(LN(Portafolio!$B$7)+Portafolio!$B$6*B99:AE99))/1000</f>
        <v>2.442156355854</v>
      </c>
    </row>
    <row r="100" customFormat="false" ht="15" hidden="false" customHeight="false" outlineLevel="0" collapsed="false">
      <c r="A100" s="0" t="n">
        <v>98</v>
      </c>
      <c r="B100" s="0" t="n">
        <v>-0.2811</v>
      </c>
      <c r="C100" s="0" t="n">
        <v>0.0458</v>
      </c>
      <c r="D100" s="0" t="n">
        <v>-0.4916</v>
      </c>
      <c r="E100" s="0" t="n">
        <v>-0.4337</v>
      </c>
      <c r="F100" s="0" t="n">
        <v>-0.0701</v>
      </c>
      <c r="G100" s="0" t="n">
        <v>0.1173</v>
      </c>
      <c r="H100" s="0" t="n">
        <v>1.0133</v>
      </c>
      <c r="I100" s="0" t="n">
        <v>-0.8631</v>
      </c>
      <c r="J100" s="0" t="n">
        <v>-0.9735</v>
      </c>
      <c r="K100" s="0" t="n">
        <v>0.7832</v>
      </c>
      <c r="L100" s="0" t="n">
        <v>0.4947</v>
      </c>
      <c r="M100" s="0" t="n">
        <v>-0.1963</v>
      </c>
      <c r="N100" s="0" t="n">
        <v>-1.1668</v>
      </c>
      <c r="O100" s="0" t="n">
        <v>1.0493</v>
      </c>
      <c r="P100" s="0" t="n">
        <v>-1.0873</v>
      </c>
      <c r="Q100" s="0" t="n">
        <v>1.1276</v>
      </c>
      <c r="R100" s="0" t="n">
        <v>0.2422</v>
      </c>
      <c r="S100" s="0" t="n">
        <v>-0.1575</v>
      </c>
      <c r="T100" s="0" t="n">
        <v>-0.1791</v>
      </c>
      <c r="U100" s="0" t="n">
        <v>0.8129</v>
      </c>
      <c r="V100" s="0" t="n">
        <v>0.0025</v>
      </c>
      <c r="W100" s="0" t="n">
        <v>-1.7515</v>
      </c>
      <c r="X100" s="0" t="n">
        <v>-0.7102</v>
      </c>
      <c r="Y100" s="0" t="n">
        <v>-2.1609</v>
      </c>
      <c r="Z100" s="0" t="n">
        <v>0.393</v>
      </c>
      <c r="AA100" s="0" t="n">
        <v>0.9194</v>
      </c>
      <c r="AB100" s="0" t="n">
        <v>1.0262</v>
      </c>
      <c r="AC100" s="0" t="n">
        <v>-1.3593</v>
      </c>
      <c r="AD100" s="0" t="n">
        <v>2.1216</v>
      </c>
      <c r="AE100" s="0" t="n">
        <v>1.8162</v>
      </c>
      <c r="AG100" s="9" t="n">
        <f aca="false">SUMPRODUCT(($B$2:$AE$2&lt;=Portafolio!$B$5)*EXP(LN(Portafolio!$B$7)+Portafolio!$B$6*B100:AE100))/1000</f>
        <v>2.16985314189079</v>
      </c>
    </row>
    <row r="101" customFormat="false" ht="15" hidden="false" customHeight="false" outlineLevel="0" collapsed="false">
      <c r="A101" s="0" t="n">
        <v>99</v>
      </c>
      <c r="B101" s="0" t="n">
        <v>-0.1198</v>
      </c>
      <c r="C101" s="0" t="n">
        <v>-2.0011</v>
      </c>
      <c r="D101" s="0" t="n">
        <v>-0.8831</v>
      </c>
      <c r="E101" s="0" t="n">
        <v>1.0393</v>
      </c>
      <c r="F101" s="0" t="n">
        <v>2.065</v>
      </c>
      <c r="G101" s="0" t="n">
        <v>-0.5477</v>
      </c>
      <c r="H101" s="0" t="n">
        <v>-1.8593</v>
      </c>
      <c r="I101" s="0" t="n">
        <v>-0.9783</v>
      </c>
      <c r="J101" s="0" t="n">
        <v>1.9119</v>
      </c>
      <c r="K101" s="0" t="n">
        <v>-0.0122</v>
      </c>
      <c r="L101" s="0" t="n">
        <v>-1.4168</v>
      </c>
      <c r="M101" s="0" t="n">
        <v>-2.1089</v>
      </c>
      <c r="N101" s="0" t="n">
        <v>0.6296</v>
      </c>
      <c r="O101" s="0" t="n">
        <v>0.7985</v>
      </c>
      <c r="P101" s="0" t="n">
        <v>-0.4888</v>
      </c>
      <c r="Q101" s="0" t="n">
        <v>-0.2082</v>
      </c>
      <c r="R101" s="0" t="n">
        <v>0.0688</v>
      </c>
      <c r="S101" s="0" t="n">
        <v>-0.3516</v>
      </c>
      <c r="T101" s="0" t="n">
        <v>-0.5591</v>
      </c>
      <c r="U101" s="0" t="n">
        <v>-0.5861</v>
      </c>
      <c r="V101" s="0" t="n">
        <v>-0.6037</v>
      </c>
      <c r="W101" s="0" t="n">
        <v>1.2258</v>
      </c>
      <c r="X101" s="0" t="n">
        <v>0.3918</v>
      </c>
      <c r="Y101" s="0" t="n">
        <v>1.0164</v>
      </c>
      <c r="Z101" s="0" t="n">
        <v>1.8362</v>
      </c>
      <c r="AA101" s="0" t="n">
        <v>-2.3004</v>
      </c>
      <c r="AB101" s="0" t="n">
        <v>-0.0752</v>
      </c>
      <c r="AC101" s="0" t="n">
        <v>0.9511</v>
      </c>
      <c r="AD101" s="0" t="n">
        <v>-0.2245</v>
      </c>
      <c r="AE101" s="0" t="n">
        <v>-0.6087</v>
      </c>
      <c r="AG101" s="9" t="n">
        <f aca="false">SUMPRODUCT(($B$2:$AE$2&lt;=Portafolio!$B$5)*EXP(LN(Portafolio!$B$7)+Portafolio!$B$6*B101:AE101))/1000</f>
        <v>2.15656225281111</v>
      </c>
    </row>
    <row r="102" customFormat="false" ht="15" hidden="false" customHeight="false" outlineLevel="0" collapsed="false">
      <c r="A102" s="0" t="n">
        <v>100</v>
      </c>
      <c r="B102" s="0" t="n">
        <v>0.3882</v>
      </c>
      <c r="C102" s="0" t="n">
        <v>-0.5406</v>
      </c>
      <c r="D102" s="0" t="n">
        <v>-0.8534</v>
      </c>
      <c r="E102" s="0" t="n">
        <v>-0.3177</v>
      </c>
      <c r="F102" s="0" t="n">
        <v>0.0451</v>
      </c>
      <c r="G102" s="0" t="n">
        <v>0.0003</v>
      </c>
      <c r="H102" s="0" t="n">
        <v>0.8919</v>
      </c>
      <c r="I102" s="0" t="n">
        <v>0.011</v>
      </c>
      <c r="J102" s="0" t="n">
        <v>-0.4863</v>
      </c>
      <c r="K102" s="0" t="n">
        <v>3.0445</v>
      </c>
      <c r="L102" s="0" t="n">
        <v>-0.2383</v>
      </c>
      <c r="M102" s="0" t="n">
        <v>-0.2796</v>
      </c>
      <c r="N102" s="0" t="n">
        <v>-0.1541</v>
      </c>
      <c r="O102" s="0" t="n">
        <v>-0.7109</v>
      </c>
      <c r="P102" s="0" t="n">
        <v>-1.5907</v>
      </c>
      <c r="Q102" s="0" t="n">
        <v>0.1854</v>
      </c>
      <c r="R102" s="0" t="n">
        <v>1.4536</v>
      </c>
      <c r="S102" s="0" t="n">
        <v>-1.8337</v>
      </c>
      <c r="T102" s="0" t="n">
        <v>-0.7688</v>
      </c>
      <c r="U102" s="0" t="n">
        <v>0.4167</v>
      </c>
      <c r="V102" s="0" t="n">
        <v>-0.6925</v>
      </c>
      <c r="W102" s="0" t="n">
        <v>0.5201</v>
      </c>
      <c r="X102" s="0" t="n">
        <v>-0.0584</v>
      </c>
      <c r="Y102" s="0" t="n">
        <v>-1.1136</v>
      </c>
      <c r="Z102" s="0" t="n">
        <v>-0.2263</v>
      </c>
      <c r="AA102" s="0" t="n">
        <v>-0.5277</v>
      </c>
      <c r="AB102" s="0" t="n">
        <v>0.534</v>
      </c>
      <c r="AC102" s="0" t="n">
        <v>-2.5539</v>
      </c>
      <c r="AD102" s="0" t="n">
        <v>0.4029</v>
      </c>
      <c r="AE102" s="0" t="n">
        <v>1.3247</v>
      </c>
      <c r="AG102" s="9" t="n">
        <f aca="false">SUMPRODUCT(($B$2:$AE$2&lt;=Portafolio!$B$5)*EXP(LN(Portafolio!$B$7)+Portafolio!$B$6*B102:AE102))/1000</f>
        <v>2.45320623057042</v>
      </c>
    </row>
    <row r="103" customFormat="false" ht="15" hidden="false" customHeight="false" outlineLevel="0" collapsed="false">
      <c r="A103" s="0" t="n">
        <v>101</v>
      </c>
      <c r="B103" s="0" t="n">
        <v>0.1407</v>
      </c>
      <c r="C103" s="0" t="n">
        <v>0.2283</v>
      </c>
      <c r="D103" s="0" t="n">
        <v>-0.5456</v>
      </c>
      <c r="E103" s="0" t="n">
        <v>0.3274</v>
      </c>
      <c r="F103" s="0" t="n">
        <v>-0.1576</v>
      </c>
      <c r="G103" s="0" t="n">
        <v>-1.2938</v>
      </c>
      <c r="H103" s="0" t="n">
        <v>-1.198</v>
      </c>
      <c r="I103" s="0" t="n">
        <v>-2.334</v>
      </c>
      <c r="J103" s="0" t="n">
        <v>0.4249</v>
      </c>
      <c r="K103" s="0" t="n">
        <v>0.1629</v>
      </c>
      <c r="L103" s="0" t="n">
        <v>1.0813</v>
      </c>
      <c r="M103" s="0" t="n">
        <v>0.2471</v>
      </c>
      <c r="N103" s="0" t="n">
        <v>0.6845</v>
      </c>
      <c r="O103" s="0" t="n">
        <v>-1.3543</v>
      </c>
      <c r="P103" s="0" t="n">
        <v>-1.8811</v>
      </c>
      <c r="Q103" s="0" t="n">
        <v>-0.5828</v>
      </c>
      <c r="R103" s="0" t="n">
        <v>-0.34</v>
      </c>
      <c r="S103" s="0" t="n">
        <v>0.3523</v>
      </c>
      <c r="T103" s="0" t="n">
        <v>-0.1434</v>
      </c>
      <c r="U103" s="0" t="n">
        <v>-0.1769</v>
      </c>
      <c r="V103" s="0" t="n">
        <v>0.0318</v>
      </c>
      <c r="W103" s="0" t="n">
        <v>0.2439</v>
      </c>
      <c r="X103" s="0" t="n">
        <v>0.1916</v>
      </c>
      <c r="Y103" s="0" t="n">
        <v>0.3088</v>
      </c>
      <c r="Z103" s="0" t="n">
        <v>-0.5133</v>
      </c>
      <c r="AA103" s="0" t="n">
        <v>-0.1031</v>
      </c>
      <c r="AB103" s="0" t="n">
        <v>-1.4845</v>
      </c>
      <c r="AC103" s="0" t="n">
        <v>-1.1282</v>
      </c>
      <c r="AD103" s="0" t="n">
        <v>-0.2831</v>
      </c>
      <c r="AE103" s="0" t="n">
        <v>0.4199</v>
      </c>
      <c r="AG103" s="9" t="n">
        <f aca="false">SUMPRODUCT(($B$2:$AE$2&lt;=Portafolio!$B$5)*EXP(LN(Portafolio!$B$7)+Portafolio!$B$6*B103:AE103))/1000</f>
        <v>1.85902452328194</v>
      </c>
    </row>
    <row r="104" customFormat="false" ht="15" hidden="false" customHeight="false" outlineLevel="0" collapsed="false">
      <c r="A104" s="0" t="n">
        <v>102</v>
      </c>
      <c r="B104" s="0" t="n">
        <v>-0.7671</v>
      </c>
      <c r="C104" s="0" t="n">
        <v>-1.421</v>
      </c>
      <c r="D104" s="0" t="n">
        <v>0.9481</v>
      </c>
      <c r="E104" s="0" t="n">
        <v>-0.8465</v>
      </c>
      <c r="F104" s="0" t="n">
        <v>-1.7349</v>
      </c>
      <c r="G104" s="0" t="n">
        <v>-0.9832</v>
      </c>
      <c r="H104" s="0" t="n">
        <v>-1.1988</v>
      </c>
      <c r="I104" s="0" t="n">
        <v>-2.4354</v>
      </c>
      <c r="J104" s="0" t="n">
        <v>-0.3975</v>
      </c>
      <c r="K104" s="0" t="n">
        <v>1.6792</v>
      </c>
      <c r="L104" s="0" t="n">
        <v>-0.7548</v>
      </c>
      <c r="M104" s="0" t="n">
        <v>-0.8331</v>
      </c>
      <c r="N104" s="0" t="n">
        <v>1.135</v>
      </c>
      <c r="O104" s="0" t="n">
        <v>0.0769</v>
      </c>
      <c r="P104" s="0" t="n">
        <v>-0.1139</v>
      </c>
      <c r="Q104" s="0" t="n">
        <v>1.3517</v>
      </c>
      <c r="R104" s="0" t="n">
        <v>-1.193</v>
      </c>
      <c r="S104" s="0" t="n">
        <v>-0.071</v>
      </c>
      <c r="T104" s="0" t="n">
        <v>0.4953</v>
      </c>
      <c r="U104" s="0" t="n">
        <v>0.1917</v>
      </c>
      <c r="V104" s="0" t="n">
        <v>-1.1847</v>
      </c>
      <c r="W104" s="0" t="n">
        <v>-0.9424</v>
      </c>
      <c r="X104" s="0" t="n">
        <v>1.771</v>
      </c>
      <c r="Y104" s="0" t="n">
        <v>-0.1055</v>
      </c>
      <c r="Z104" s="0" t="n">
        <v>-0.2748</v>
      </c>
      <c r="AA104" s="0" t="n">
        <v>1.0682</v>
      </c>
      <c r="AB104" s="0" t="n">
        <v>-1.8042</v>
      </c>
      <c r="AC104" s="0" t="n">
        <v>-0.065</v>
      </c>
      <c r="AD104" s="0" t="n">
        <v>-1.7744</v>
      </c>
      <c r="AE104" s="0" t="n">
        <v>1.3849</v>
      </c>
      <c r="AG104" s="9" t="n">
        <f aca="false">SUMPRODUCT(($B$2:$AE$2&lt;=Portafolio!$B$5)*EXP(LN(Portafolio!$B$7)+Portafolio!$B$6*B104:AE104))/1000</f>
        <v>1.99432670500991</v>
      </c>
    </row>
    <row r="105" customFormat="false" ht="15" hidden="false" customHeight="false" outlineLevel="0" collapsed="false">
      <c r="A105" s="0" t="n">
        <v>103</v>
      </c>
      <c r="B105" s="0" t="n">
        <v>-1.0023</v>
      </c>
      <c r="C105" s="0" t="n">
        <v>0.1014</v>
      </c>
      <c r="D105" s="0" t="n">
        <v>-0.9328</v>
      </c>
      <c r="E105" s="0" t="n">
        <v>0.1192</v>
      </c>
      <c r="F105" s="0" t="n">
        <v>0.3081</v>
      </c>
      <c r="G105" s="0" t="n">
        <v>-0.0007</v>
      </c>
      <c r="H105" s="0" t="n">
        <v>-0.3286</v>
      </c>
      <c r="I105" s="0" t="n">
        <v>0.2399</v>
      </c>
      <c r="J105" s="0" t="n">
        <v>-0.2501</v>
      </c>
      <c r="K105" s="0" t="n">
        <v>-0.5139</v>
      </c>
      <c r="L105" s="0" t="n">
        <v>0.6213</v>
      </c>
      <c r="M105" s="0" t="n">
        <v>0.8456</v>
      </c>
      <c r="N105" s="0" t="n">
        <v>-1.3609</v>
      </c>
      <c r="O105" s="0" t="n">
        <v>-1.0161</v>
      </c>
      <c r="P105" s="0" t="n">
        <v>-0.786</v>
      </c>
      <c r="Q105" s="0" t="n">
        <v>0.2858</v>
      </c>
      <c r="R105" s="0" t="n">
        <v>-1.4128</v>
      </c>
      <c r="S105" s="0" t="n">
        <v>1.5455</v>
      </c>
      <c r="T105" s="0" t="n">
        <v>0.0347</v>
      </c>
      <c r="U105" s="0" t="n">
        <v>0.1473</v>
      </c>
      <c r="V105" s="0" t="n">
        <v>0.8654</v>
      </c>
      <c r="W105" s="0" t="n">
        <v>-0.7552</v>
      </c>
      <c r="X105" s="0" t="n">
        <v>0.3645</v>
      </c>
      <c r="Y105" s="0" t="n">
        <v>0.3995</v>
      </c>
      <c r="Z105" s="0" t="n">
        <v>1.284</v>
      </c>
      <c r="AA105" s="0" t="n">
        <v>-1.0568</v>
      </c>
      <c r="AB105" s="0" t="n">
        <v>1.3784</v>
      </c>
      <c r="AC105" s="0" t="n">
        <v>0.5904</v>
      </c>
      <c r="AD105" s="0" t="n">
        <v>0.2448</v>
      </c>
      <c r="AE105" s="0" t="n">
        <v>1.0587</v>
      </c>
      <c r="AG105" s="9" t="n">
        <f aca="false">SUMPRODUCT(($B$2:$AE$2&lt;=Portafolio!$B$5)*EXP(LN(Portafolio!$B$7)+Portafolio!$B$6*B105:AE105))/1000</f>
        <v>2.00088883173393</v>
      </c>
    </row>
    <row r="106" customFormat="false" ht="15" hidden="false" customHeight="false" outlineLevel="0" collapsed="false">
      <c r="A106" s="0" t="n">
        <v>104</v>
      </c>
      <c r="B106" s="0" t="n">
        <v>-0.2554</v>
      </c>
      <c r="C106" s="0" t="n">
        <v>-0.1982</v>
      </c>
      <c r="D106" s="0" t="n">
        <v>0.8304</v>
      </c>
      <c r="E106" s="0" t="n">
        <v>-0.3563</v>
      </c>
      <c r="F106" s="0" t="n">
        <v>1.0763</v>
      </c>
      <c r="G106" s="0" t="n">
        <v>1.3682</v>
      </c>
      <c r="H106" s="0" t="n">
        <v>0.213</v>
      </c>
      <c r="I106" s="0" t="n">
        <v>0.1743</v>
      </c>
      <c r="J106" s="0" t="n">
        <v>-0.651</v>
      </c>
      <c r="K106" s="0" t="n">
        <v>-0.9199</v>
      </c>
      <c r="L106" s="0" t="n">
        <v>1.4346</v>
      </c>
      <c r="M106" s="0" t="n">
        <v>-1.0342</v>
      </c>
      <c r="N106" s="0" t="n">
        <v>0.0821</v>
      </c>
      <c r="O106" s="0" t="n">
        <v>0.2927</v>
      </c>
      <c r="P106" s="0" t="n">
        <v>-0.8978</v>
      </c>
      <c r="Q106" s="0" t="n">
        <v>-0.682</v>
      </c>
      <c r="R106" s="0" t="n">
        <v>-0.7043</v>
      </c>
      <c r="S106" s="0" t="n">
        <v>2.1163</v>
      </c>
      <c r="T106" s="0" t="n">
        <v>0.3705</v>
      </c>
      <c r="U106" s="0" t="n">
        <v>1.3872</v>
      </c>
      <c r="V106" s="0" t="n">
        <v>2.0301</v>
      </c>
      <c r="W106" s="0" t="n">
        <v>1.0107</v>
      </c>
      <c r="X106" s="0" t="n">
        <v>1.3161</v>
      </c>
      <c r="Y106" s="0" t="n">
        <v>-0.4391</v>
      </c>
      <c r="Z106" s="0" t="n">
        <v>-0.6864</v>
      </c>
      <c r="AA106" s="0" t="n">
        <v>1.4502</v>
      </c>
      <c r="AB106" s="0" t="n">
        <v>1.4627</v>
      </c>
      <c r="AC106" s="0" t="n">
        <v>-1.0145</v>
      </c>
      <c r="AD106" s="0" t="n">
        <v>1.1458</v>
      </c>
      <c r="AE106" s="0" t="n">
        <v>0.2999</v>
      </c>
      <c r="AG106" s="9" t="n">
        <f aca="false">SUMPRODUCT(($B$2:$AE$2&lt;=Portafolio!$B$5)*EXP(LN(Portafolio!$B$7)+Portafolio!$B$6*B106:AE106))/1000</f>
        <v>2.60340814523203</v>
      </c>
    </row>
    <row r="107" customFormat="false" ht="15" hidden="false" customHeight="false" outlineLevel="0" collapsed="false">
      <c r="A107" s="0" t="n">
        <v>105</v>
      </c>
      <c r="B107" s="0" t="n">
        <v>0.8019</v>
      </c>
      <c r="C107" s="0" t="n">
        <v>0.9684</v>
      </c>
      <c r="D107" s="0" t="n">
        <v>1.9032</v>
      </c>
      <c r="E107" s="0" t="n">
        <v>-0.6179</v>
      </c>
      <c r="F107" s="0" t="n">
        <v>0.0095</v>
      </c>
      <c r="G107" s="0" t="n">
        <v>1.2671</v>
      </c>
      <c r="H107" s="0" t="n">
        <v>-0.2497</v>
      </c>
      <c r="I107" s="0" t="n">
        <v>0.5537</v>
      </c>
      <c r="J107" s="0" t="n">
        <v>-0.0664</v>
      </c>
      <c r="K107" s="0" t="n">
        <v>-1.6865</v>
      </c>
      <c r="L107" s="0" t="n">
        <v>-0.5411</v>
      </c>
      <c r="M107" s="0" t="n">
        <v>0.893</v>
      </c>
      <c r="N107" s="0" t="n">
        <v>-0.5322</v>
      </c>
      <c r="O107" s="0" t="n">
        <v>-1.5223</v>
      </c>
      <c r="P107" s="0" t="n">
        <v>-0.4885</v>
      </c>
      <c r="Q107" s="0" t="n">
        <v>0.1139</v>
      </c>
      <c r="R107" s="0" t="n">
        <v>0.5028</v>
      </c>
      <c r="S107" s="0" t="n">
        <v>0.3447</v>
      </c>
      <c r="T107" s="0" t="n">
        <v>0.5407</v>
      </c>
      <c r="U107" s="0" t="n">
        <v>-1.0388</v>
      </c>
      <c r="V107" s="0" t="n">
        <v>-0.5862</v>
      </c>
      <c r="W107" s="0" t="n">
        <v>-0.7505</v>
      </c>
      <c r="X107" s="0" t="n">
        <v>-0.4229</v>
      </c>
      <c r="Y107" s="0" t="n">
        <v>0.4565</v>
      </c>
      <c r="Z107" s="0" t="n">
        <v>1.3467</v>
      </c>
      <c r="AA107" s="0" t="n">
        <v>-0.2167</v>
      </c>
      <c r="AB107" s="0" t="n">
        <v>1.0759</v>
      </c>
      <c r="AC107" s="0" t="n">
        <v>1.1262</v>
      </c>
      <c r="AD107" s="0" t="n">
        <v>-1.1257</v>
      </c>
      <c r="AE107" s="0" t="n">
        <v>-0.7955</v>
      </c>
      <c r="AG107" s="9" t="n">
        <f aca="false">SUMPRODUCT(($B$2:$AE$2&lt;=Portafolio!$B$5)*EXP(LN(Portafolio!$B$7)+Portafolio!$B$6*B107:AE107))/1000</f>
        <v>2.38301315992482</v>
      </c>
    </row>
    <row r="108" customFormat="false" ht="15" hidden="false" customHeight="false" outlineLevel="0" collapsed="false">
      <c r="A108" s="0" t="n">
        <v>106</v>
      </c>
      <c r="B108" s="0" t="n">
        <v>0.1708</v>
      </c>
      <c r="C108" s="0" t="n">
        <v>-1.3586</v>
      </c>
      <c r="D108" s="0" t="n">
        <v>1.887</v>
      </c>
      <c r="E108" s="0" t="n">
        <v>-1.8524</v>
      </c>
      <c r="F108" s="0" t="n">
        <v>-1.2045</v>
      </c>
      <c r="G108" s="0" t="n">
        <v>0.7996</v>
      </c>
      <c r="H108" s="0" t="n">
        <v>-0.7241</v>
      </c>
      <c r="I108" s="0" t="n">
        <v>0.73</v>
      </c>
      <c r="J108" s="0" t="n">
        <v>-0.9624</v>
      </c>
      <c r="K108" s="0" t="n">
        <v>1.076</v>
      </c>
      <c r="L108" s="0" t="n">
        <v>-0.5593</v>
      </c>
      <c r="M108" s="0" t="n">
        <v>0.7449</v>
      </c>
      <c r="N108" s="0" t="n">
        <v>1.0246</v>
      </c>
      <c r="O108" s="0" t="n">
        <v>-1.4719</v>
      </c>
      <c r="P108" s="0" t="n">
        <v>-0.8613</v>
      </c>
      <c r="Q108" s="0" t="n">
        <v>-1.7231</v>
      </c>
      <c r="R108" s="0" t="n">
        <v>-1.0824</v>
      </c>
      <c r="S108" s="0" t="n">
        <v>0.9415</v>
      </c>
      <c r="T108" s="0" t="n">
        <v>-0.0068</v>
      </c>
      <c r="U108" s="0" t="n">
        <v>0.8705</v>
      </c>
      <c r="V108" s="0" t="n">
        <v>1.4438</v>
      </c>
      <c r="W108" s="0" t="n">
        <v>1.0579</v>
      </c>
      <c r="X108" s="0" t="n">
        <v>0.7475</v>
      </c>
      <c r="Y108" s="0" t="n">
        <v>-0.4031</v>
      </c>
      <c r="Z108" s="0" t="n">
        <v>-0.3601</v>
      </c>
      <c r="AA108" s="0" t="n">
        <v>0.3454</v>
      </c>
      <c r="AB108" s="0" t="n">
        <v>0.8936</v>
      </c>
      <c r="AC108" s="0" t="n">
        <v>1.1112</v>
      </c>
      <c r="AD108" s="0" t="n">
        <v>0.3261</v>
      </c>
      <c r="AE108" s="0" t="n">
        <v>-0.2628</v>
      </c>
      <c r="AG108" s="9" t="n">
        <f aca="false">SUMPRODUCT(($B$2:$AE$2&lt;=Portafolio!$B$5)*EXP(LN(Portafolio!$B$7)+Portafolio!$B$6*B108:AE108))/1000</f>
        <v>2.22055006757332</v>
      </c>
    </row>
    <row r="109" customFormat="false" ht="15" hidden="false" customHeight="false" outlineLevel="0" collapsed="false">
      <c r="A109" s="0" t="n">
        <v>107</v>
      </c>
      <c r="B109" s="0" t="n">
        <v>-0.0489</v>
      </c>
      <c r="C109" s="0" t="n">
        <v>1.6865</v>
      </c>
      <c r="D109" s="0" t="n">
        <v>0.3094</v>
      </c>
      <c r="E109" s="0" t="n">
        <v>2.0265</v>
      </c>
      <c r="F109" s="0" t="n">
        <v>-0.6817</v>
      </c>
      <c r="G109" s="0" t="n">
        <v>0.9044</v>
      </c>
      <c r="H109" s="0" t="n">
        <v>0.2479</v>
      </c>
      <c r="I109" s="0" t="n">
        <v>0.7909</v>
      </c>
      <c r="J109" s="0" t="n">
        <v>-0.7184</v>
      </c>
      <c r="K109" s="0" t="n">
        <v>0.3687</v>
      </c>
      <c r="L109" s="0" t="n">
        <v>-0.0324</v>
      </c>
      <c r="M109" s="0" t="n">
        <v>-0.2455</v>
      </c>
      <c r="N109" s="0" t="n">
        <v>-1.1587</v>
      </c>
      <c r="O109" s="0" t="n">
        <v>-1.3791</v>
      </c>
      <c r="P109" s="0" t="n">
        <v>-0.3001</v>
      </c>
      <c r="Q109" s="0" t="n">
        <v>0.5789</v>
      </c>
      <c r="R109" s="0" t="n">
        <v>0.2928</v>
      </c>
      <c r="S109" s="0" t="n">
        <v>0.2746</v>
      </c>
      <c r="T109" s="0" t="n">
        <v>0.3558</v>
      </c>
      <c r="U109" s="0" t="n">
        <v>-1.3119</v>
      </c>
      <c r="V109" s="0" t="n">
        <v>1.094</v>
      </c>
      <c r="W109" s="0" t="n">
        <v>0.1043</v>
      </c>
      <c r="X109" s="0" t="n">
        <v>-0.7139</v>
      </c>
      <c r="Y109" s="0" t="n">
        <v>-0.5097</v>
      </c>
      <c r="Z109" s="0" t="n">
        <v>1.0205</v>
      </c>
      <c r="AA109" s="0" t="n">
        <v>0.227</v>
      </c>
      <c r="AB109" s="0" t="n">
        <v>-1.6224</v>
      </c>
      <c r="AC109" s="0" t="n">
        <v>2.1303</v>
      </c>
      <c r="AD109" s="0" t="n">
        <v>-1.4389</v>
      </c>
      <c r="AE109" s="0" t="n">
        <v>1.7451</v>
      </c>
      <c r="AG109" s="9" t="n">
        <f aca="false">SUMPRODUCT(($B$2:$AE$2&lt;=Portafolio!$B$5)*EXP(LN(Portafolio!$B$7)+Portafolio!$B$6*B109:AE109))/1000</f>
        <v>2.44438607271875</v>
      </c>
    </row>
    <row r="110" customFormat="false" ht="15" hidden="false" customHeight="false" outlineLevel="0" collapsed="false">
      <c r="A110" s="0" t="n">
        <v>108</v>
      </c>
      <c r="B110" s="0" t="n">
        <v>0.8829</v>
      </c>
      <c r="C110" s="0" t="n">
        <v>-0.9637</v>
      </c>
      <c r="D110" s="0" t="n">
        <v>1.2764</v>
      </c>
      <c r="E110" s="0" t="n">
        <v>1.292</v>
      </c>
      <c r="F110" s="0" t="n">
        <v>1.077</v>
      </c>
      <c r="G110" s="0" t="n">
        <v>0.6851</v>
      </c>
      <c r="H110" s="0" t="n">
        <v>0.361</v>
      </c>
      <c r="I110" s="0" t="n">
        <v>0.253</v>
      </c>
      <c r="J110" s="0" t="n">
        <v>-0.4934</v>
      </c>
      <c r="K110" s="0" t="n">
        <v>0.3107</v>
      </c>
      <c r="L110" s="0" t="n">
        <v>1.3118</v>
      </c>
      <c r="M110" s="0" t="n">
        <v>-0.0664</v>
      </c>
      <c r="N110" s="0" t="n">
        <v>1.9992</v>
      </c>
      <c r="O110" s="0" t="n">
        <v>-1.5079</v>
      </c>
      <c r="P110" s="0" t="n">
        <v>0.0717</v>
      </c>
      <c r="Q110" s="0" t="n">
        <v>-1.4389</v>
      </c>
      <c r="R110" s="0" t="n">
        <v>-1.7094</v>
      </c>
      <c r="S110" s="0" t="n">
        <v>0.293</v>
      </c>
      <c r="T110" s="0" t="n">
        <v>-0.2846</v>
      </c>
      <c r="U110" s="0" t="n">
        <v>-0.5128</v>
      </c>
      <c r="V110" s="0" t="n">
        <v>-1.0147</v>
      </c>
      <c r="W110" s="0" t="n">
        <v>-0.1939</v>
      </c>
      <c r="X110" s="0" t="n">
        <v>-1.5729</v>
      </c>
      <c r="Y110" s="0" t="n">
        <v>-0.1533</v>
      </c>
      <c r="Z110" s="0" t="n">
        <v>-0.4854</v>
      </c>
      <c r="AA110" s="0" t="n">
        <v>-1.2047</v>
      </c>
      <c r="AB110" s="0" t="n">
        <v>0.4511</v>
      </c>
      <c r="AC110" s="0" t="n">
        <v>-1.8124</v>
      </c>
      <c r="AD110" s="0" t="n">
        <v>0.4682</v>
      </c>
      <c r="AE110" s="0" t="n">
        <v>0.307</v>
      </c>
      <c r="AG110" s="9" t="n">
        <f aca="false">SUMPRODUCT(($B$2:$AE$2&lt;=Portafolio!$B$5)*EXP(LN(Portafolio!$B$7)+Portafolio!$B$6*B110:AE110))/1000</f>
        <v>2.58281016916213</v>
      </c>
    </row>
    <row r="111" customFormat="false" ht="15" hidden="false" customHeight="false" outlineLevel="0" collapsed="false">
      <c r="A111" s="0" t="n">
        <v>109</v>
      </c>
      <c r="B111" s="0" t="n">
        <v>0.5656</v>
      </c>
      <c r="C111" s="0" t="n">
        <v>0.1727</v>
      </c>
      <c r="D111" s="0" t="n">
        <v>0.8323</v>
      </c>
      <c r="E111" s="0" t="n">
        <v>-0.2194</v>
      </c>
      <c r="F111" s="0" t="n">
        <v>-1.0379</v>
      </c>
      <c r="G111" s="0" t="n">
        <v>0.4185</v>
      </c>
      <c r="H111" s="0" t="n">
        <v>-0.7443</v>
      </c>
      <c r="I111" s="0" t="n">
        <v>-0.3188</v>
      </c>
      <c r="J111" s="0" t="n">
        <v>0.1609</v>
      </c>
      <c r="K111" s="0" t="n">
        <v>-0.8832</v>
      </c>
      <c r="L111" s="0" t="n">
        <v>1.0196</v>
      </c>
      <c r="M111" s="0" t="n">
        <v>-1.4881</v>
      </c>
      <c r="N111" s="0" t="n">
        <v>1.2597</v>
      </c>
      <c r="O111" s="0" t="n">
        <v>0.009</v>
      </c>
      <c r="P111" s="0" t="n">
        <v>1.7305</v>
      </c>
      <c r="Q111" s="0" t="n">
        <v>1.1459</v>
      </c>
      <c r="R111" s="0" t="n">
        <v>0.7149</v>
      </c>
      <c r="S111" s="0" t="n">
        <v>0.3329</v>
      </c>
      <c r="T111" s="0" t="n">
        <v>0.1572</v>
      </c>
      <c r="U111" s="0" t="n">
        <v>-1.3277</v>
      </c>
      <c r="V111" s="0" t="n">
        <v>-0.5145</v>
      </c>
      <c r="W111" s="0" t="n">
        <v>-0.8949</v>
      </c>
      <c r="X111" s="0" t="n">
        <v>-0.6685</v>
      </c>
      <c r="Y111" s="0" t="n">
        <v>-0.0868</v>
      </c>
      <c r="Z111" s="0" t="n">
        <v>-0.7498</v>
      </c>
      <c r="AA111" s="0" t="n">
        <v>0.1806</v>
      </c>
      <c r="AB111" s="0" t="n">
        <v>-0.2143</v>
      </c>
      <c r="AC111" s="0" t="n">
        <v>-0.424</v>
      </c>
      <c r="AD111" s="0" t="n">
        <v>0.4307</v>
      </c>
      <c r="AE111" s="0" t="n">
        <v>0.5046</v>
      </c>
      <c r="AG111" s="9" t="n">
        <f aca="false">SUMPRODUCT(($B$2:$AE$2&lt;=Portafolio!$B$5)*EXP(LN(Portafolio!$B$7)+Portafolio!$B$6*B111:AE111))/1000</f>
        <v>2.45228462330262</v>
      </c>
    </row>
    <row r="112" customFormat="false" ht="15" hidden="false" customHeight="false" outlineLevel="0" collapsed="false">
      <c r="A112" s="0" t="n">
        <v>110</v>
      </c>
      <c r="B112" s="0" t="n">
        <v>-1.2921</v>
      </c>
      <c r="C112" s="0" t="n">
        <v>-0.271</v>
      </c>
      <c r="D112" s="0" t="n">
        <v>2.9505</v>
      </c>
      <c r="E112" s="0" t="n">
        <v>0.0553</v>
      </c>
      <c r="F112" s="0" t="n">
        <v>0.4996</v>
      </c>
      <c r="G112" s="0" t="n">
        <v>-0.8402</v>
      </c>
      <c r="H112" s="0" t="n">
        <v>1.0134</v>
      </c>
      <c r="I112" s="0" t="n">
        <v>1.5713</v>
      </c>
      <c r="J112" s="0" t="n">
        <v>0.6198</v>
      </c>
      <c r="K112" s="0" t="n">
        <v>-0.0904</v>
      </c>
      <c r="L112" s="0" t="n">
        <v>0.0699</v>
      </c>
      <c r="M112" s="0" t="n">
        <v>-1.8446</v>
      </c>
      <c r="N112" s="0" t="n">
        <v>0.6315</v>
      </c>
      <c r="O112" s="0" t="n">
        <v>-0.2629</v>
      </c>
      <c r="P112" s="0" t="n">
        <v>0.4358</v>
      </c>
      <c r="Q112" s="0" t="n">
        <v>0.4118</v>
      </c>
      <c r="R112" s="0" t="n">
        <v>0.2522</v>
      </c>
      <c r="S112" s="0" t="n">
        <v>2.1314</v>
      </c>
      <c r="T112" s="0" t="n">
        <v>0.9565</v>
      </c>
      <c r="U112" s="0" t="n">
        <v>-0.6077</v>
      </c>
      <c r="V112" s="0" t="n">
        <v>0.6489</v>
      </c>
      <c r="W112" s="0" t="n">
        <v>0.6696</v>
      </c>
      <c r="X112" s="0" t="n">
        <v>0.0803</v>
      </c>
      <c r="Y112" s="0" t="n">
        <v>1.4436</v>
      </c>
      <c r="Z112" s="0" t="n">
        <v>-0.3241</v>
      </c>
      <c r="AA112" s="0" t="n">
        <v>-1.6994</v>
      </c>
      <c r="AB112" s="0" t="n">
        <v>-1.0195</v>
      </c>
      <c r="AC112" s="0" t="n">
        <v>0.4258</v>
      </c>
      <c r="AD112" s="0" t="n">
        <v>-0.9421</v>
      </c>
      <c r="AE112" s="0" t="n">
        <v>0.1927</v>
      </c>
      <c r="AG112" s="9" t="n">
        <f aca="false">SUMPRODUCT(($B$2:$AE$2&lt;=Portafolio!$B$5)*EXP(LN(Portafolio!$B$7)+Portafolio!$B$6*B112:AE112))/1000</f>
        <v>3.04648555890878</v>
      </c>
    </row>
    <row r="113" customFormat="false" ht="15" hidden="false" customHeight="false" outlineLevel="0" collapsed="false">
      <c r="A113" s="0" t="n">
        <v>111</v>
      </c>
      <c r="B113" s="0" t="n">
        <v>-1.4604</v>
      </c>
      <c r="C113" s="0" t="n">
        <v>0.4233</v>
      </c>
      <c r="D113" s="0" t="n">
        <v>-0.2141</v>
      </c>
      <c r="E113" s="0" t="n">
        <v>-0.8628</v>
      </c>
      <c r="F113" s="0" t="n">
        <v>-0.5112</v>
      </c>
      <c r="G113" s="0" t="n">
        <v>-0.2283</v>
      </c>
      <c r="H113" s="0" t="n">
        <v>0.9496</v>
      </c>
      <c r="I113" s="0" t="n">
        <v>0.2773</v>
      </c>
      <c r="J113" s="0" t="n">
        <v>-0.163</v>
      </c>
      <c r="K113" s="0" t="n">
        <v>0.1988</v>
      </c>
      <c r="L113" s="0" t="n">
        <v>0.9246</v>
      </c>
      <c r="M113" s="0" t="n">
        <v>0.5045</v>
      </c>
      <c r="N113" s="0" t="n">
        <v>1.7824</v>
      </c>
      <c r="O113" s="0" t="n">
        <v>-0.6763</v>
      </c>
      <c r="P113" s="0" t="n">
        <v>0.8571</v>
      </c>
      <c r="Q113" s="0" t="n">
        <v>0.1646</v>
      </c>
      <c r="R113" s="0" t="n">
        <v>-0.5858</v>
      </c>
      <c r="S113" s="0" t="n">
        <v>0.6342</v>
      </c>
      <c r="T113" s="0" t="n">
        <v>0.8703</v>
      </c>
      <c r="U113" s="0" t="n">
        <v>1.0137</v>
      </c>
      <c r="V113" s="0" t="n">
        <v>0.5206</v>
      </c>
      <c r="W113" s="0" t="n">
        <v>-0.831</v>
      </c>
      <c r="X113" s="0" t="n">
        <v>0.2106</v>
      </c>
      <c r="Y113" s="0" t="n">
        <v>0.4221</v>
      </c>
      <c r="Z113" s="0" t="n">
        <v>1.695</v>
      </c>
      <c r="AA113" s="0" t="n">
        <v>0.1619</v>
      </c>
      <c r="AB113" s="0" t="n">
        <v>0.1931</v>
      </c>
      <c r="AC113" s="0" t="n">
        <v>1.5929</v>
      </c>
      <c r="AD113" s="0" t="n">
        <v>0.1057</v>
      </c>
      <c r="AE113" s="0" t="n">
        <v>-0.4038</v>
      </c>
      <c r="AG113" s="9" t="n">
        <f aca="false">SUMPRODUCT(($B$2:$AE$2&lt;=Portafolio!$B$5)*EXP(LN(Portafolio!$B$7)+Portafolio!$B$6*B113:AE113))/1000</f>
        <v>2.49120511987422</v>
      </c>
    </row>
    <row r="114" customFormat="false" ht="15" hidden="false" customHeight="false" outlineLevel="0" collapsed="false">
      <c r="A114" s="0" t="n">
        <v>112</v>
      </c>
      <c r="B114" s="0" t="n">
        <v>0.3258</v>
      </c>
      <c r="C114" s="0" t="n">
        <v>0.8072</v>
      </c>
      <c r="D114" s="0" t="n">
        <v>0.1935</v>
      </c>
      <c r="E114" s="0" t="n">
        <v>-1.6225</v>
      </c>
      <c r="F114" s="0" t="n">
        <v>-0.3576</v>
      </c>
      <c r="G114" s="0" t="n">
        <v>1.0367</v>
      </c>
      <c r="H114" s="0" t="n">
        <v>-0.6929</v>
      </c>
      <c r="I114" s="0" t="n">
        <v>0.8922</v>
      </c>
      <c r="J114" s="0" t="n">
        <v>0.2107</v>
      </c>
      <c r="K114" s="0" t="n">
        <v>-0.75</v>
      </c>
      <c r="L114" s="0" t="n">
        <v>0.8338</v>
      </c>
      <c r="M114" s="0" t="n">
        <v>-2.0872</v>
      </c>
      <c r="N114" s="0" t="n">
        <v>-2.0368</v>
      </c>
      <c r="O114" s="0" t="n">
        <v>-1.4994</v>
      </c>
      <c r="P114" s="0" t="n">
        <v>0.5668</v>
      </c>
      <c r="Q114" s="0" t="n">
        <v>-0.2327</v>
      </c>
      <c r="R114" s="0" t="n">
        <v>0.6681</v>
      </c>
      <c r="S114" s="0" t="n">
        <v>-0.0359</v>
      </c>
      <c r="T114" s="0" t="n">
        <v>0.1712</v>
      </c>
      <c r="U114" s="0" t="n">
        <v>-0.4787</v>
      </c>
      <c r="V114" s="0" t="n">
        <v>-0.3512</v>
      </c>
      <c r="W114" s="0" t="n">
        <v>1.0217</v>
      </c>
      <c r="X114" s="0" t="n">
        <v>0.8032</v>
      </c>
      <c r="Y114" s="0" t="n">
        <v>-1.2799</v>
      </c>
      <c r="Z114" s="0" t="n">
        <v>0.6109</v>
      </c>
      <c r="AA114" s="0" t="n">
        <v>2.0468</v>
      </c>
      <c r="AB114" s="0" t="n">
        <v>0.7921</v>
      </c>
      <c r="AC114" s="0" t="n">
        <v>-0.8938</v>
      </c>
      <c r="AD114" s="0" t="n">
        <v>0.7791</v>
      </c>
      <c r="AE114" s="0" t="n">
        <v>0.2566</v>
      </c>
      <c r="AG114" s="9" t="n">
        <f aca="false">SUMPRODUCT(($B$2:$AE$2&lt;=Portafolio!$B$5)*EXP(LN(Portafolio!$B$7)+Portafolio!$B$6*B114:AE114))/1000</f>
        <v>2.03910803077307</v>
      </c>
    </row>
    <row r="115" customFormat="false" ht="15" hidden="false" customHeight="false" outlineLevel="0" collapsed="false">
      <c r="A115" s="0" t="n">
        <v>113</v>
      </c>
      <c r="B115" s="0" t="n">
        <v>-0.2746</v>
      </c>
      <c r="C115" s="0" t="n">
        <v>1.0049</v>
      </c>
      <c r="D115" s="0" t="n">
        <v>1.2582</v>
      </c>
      <c r="E115" s="0" t="n">
        <v>-0.4746</v>
      </c>
      <c r="F115" s="0" t="n">
        <v>0.1629</v>
      </c>
      <c r="G115" s="0" t="n">
        <v>-0.3484</v>
      </c>
      <c r="H115" s="0" t="n">
        <v>0.0459</v>
      </c>
      <c r="I115" s="0" t="n">
        <v>1.6205</v>
      </c>
      <c r="J115" s="0" t="n">
        <v>-0.3867</v>
      </c>
      <c r="K115" s="0" t="n">
        <v>0.6055</v>
      </c>
      <c r="L115" s="0" t="n">
        <v>0.2981</v>
      </c>
      <c r="M115" s="0" t="n">
        <v>0.1246</v>
      </c>
      <c r="N115" s="0" t="n">
        <v>-1.0713</v>
      </c>
      <c r="O115" s="0" t="n">
        <v>0.6579</v>
      </c>
      <c r="P115" s="0" t="n">
        <v>-1.0434</v>
      </c>
      <c r="Q115" s="0" t="n">
        <v>0.7591</v>
      </c>
      <c r="R115" s="0" t="n">
        <v>-0.0468</v>
      </c>
      <c r="S115" s="0" t="n">
        <v>0.1782</v>
      </c>
      <c r="T115" s="0" t="n">
        <v>-0.4138</v>
      </c>
      <c r="U115" s="0" t="n">
        <v>-0.8043</v>
      </c>
      <c r="V115" s="0" t="n">
        <v>-0.9726</v>
      </c>
      <c r="W115" s="0" t="n">
        <v>0.0524</v>
      </c>
      <c r="X115" s="0" t="n">
        <v>-0.0408</v>
      </c>
      <c r="Y115" s="0" t="n">
        <v>0.3235</v>
      </c>
      <c r="Z115" s="0" t="n">
        <v>-0.2427</v>
      </c>
      <c r="AA115" s="0" t="n">
        <v>0.8055</v>
      </c>
      <c r="AB115" s="0" t="n">
        <v>0.1838</v>
      </c>
      <c r="AC115" s="0" t="n">
        <v>0.1618</v>
      </c>
      <c r="AD115" s="0" t="n">
        <v>-0.1973</v>
      </c>
      <c r="AE115" s="0" t="n">
        <v>0.0241</v>
      </c>
      <c r="AG115" s="9" t="n">
        <f aca="false">SUMPRODUCT(($B$2:$AE$2&lt;=Portafolio!$B$5)*EXP(LN(Portafolio!$B$7)+Portafolio!$B$6*B115:AE115))/1000</f>
        <v>2.32495903629817</v>
      </c>
    </row>
    <row r="116" customFormat="false" ht="15" hidden="false" customHeight="false" outlineLevel="0" collapsed="false">
      <c r="A116" s="0" t="n">
        <v>114</v>
      </c>
      <c r="B116" s="0" t="n">
        <v>0.6847</v>
      </c>
      <c r="C116" s="0" t="n">
        <v>-0.6516</v>
      </c>
      <c r="D116" s="0" t="n">
        <v>-1.1458</v>
      </c>
      <c r="E116" s="0" t="n">
        <v>0.4227</v>
      </c>
      <c r="F116" s="0" t="n">
        <v>0.4572</v>
      </c>
      <c r="G116" s="0" t="n">
        <v>0.0697</v>
      </c>
      <c r="H116" s="0" t="n">
        <v>0.2808</v>
      </c>
      <c r="I116" s="0" t="n">
        <v>-1.2438</v>
      </c>
      <c r="J116" s="0" t="n">
        <v>-0.917</v>
      </c>
      <c r="K116" s="0" t="n">
        <v>0.0388</v>
      </c>
      <c r="L116" s="0" t="n">
        <v>0.0091</v>
      </c>
      <c r="M116" s="0" t="n">
        <v>-1.1827</v>
      </c>
      <c r="N116" s="0" t="n">
        <v>0.4995</v>
      </c>
      <c r="O116" s="0" t="n">
        <v>-1.8337</v>
      </c>
      <c r="P116" s="0" t="n">
        <v>1.2642</v>
      </c>
      <c r="Q116" s="0" t="n">
        <v>-0.9951</v>
      </c>
      <c r="R116" s="0" t="n">
        <v>-0.5119</v>
      </c>
      <c r="S116" s="0" t="n">
        <v>-0.988</v>
      </c>
      <c r="T116" s="0" t="n">
        <v>-1.2866</v>
      </c>
      <c r="U116" s="0" t="n">
        <v>-0.274</v>
      </c>
      <c r="V116" s="0" t="n">
        <v>-1.8261</v>
      </c>
      <c r="W116" s="0" t="n">
        <v>-0.2921</v>
      </c>
      <c r="X116" s="0" t="n">
        <v>0.2055</v>
      </c>
      <c r="Y116" s="0" t="n">
        <v>-0.2545</v>
      </c>
      <c r="Z116" s="0" t="n">
        <v>0.0177</v>
      </c>
      <c r="AA116" s="0" t="n">
        <v>-1.3839</v>
      </c>
      <c r="AB116" s="0" t="n">
        <v>-1.7813</v>
      </c>
      <c r="AC116" s="0" t="n">
        <v>-1.2665</v>
      </c>
      <c r="AD116" s="0" t="n">
        <v>1.0807</v>
      </c>
      <c r="AE116" s="0" t="n">
        <v>0.348</v>
      </c>
      <c r="AG116" s="9" t="n">
        <f aca="false">SUMPRODUCT(($B$2:$AE$2&lt;=Portafolio!$B$5)*EXP(LN(Portafolio!$B$7)+Portafolio!$B$6*B116:AE116))/1000</f>
        <v>1.80562795565742</v>
      </c>
    </row>
    <row r="117" customFormat="false" ht="15" hidden="false" customHeight="false" outlineLevel="0" collapsed="false">
      <c r="A117" s="0" t="n">
        <v>115</v>
      </c>
      <c r="B117" s="0" t="n">
        <v>-1.7257</v>
      </c>
      <c r="C117" s="0" t="n">
        <v>1.7176</v>
      </c>
      <c r="D117" s="0" t="n">
        <v>0.6577</v>
      </c>
      <c r="E117" s="0" t="n">
        <v>1.106</v>
      </c>
      <c r="F117" s="0" t="n">
        <v>1.0319</v>
      </c>
      <c r="G117" s="0" t="n">
        <v>1.3188</v>
      </c>
      <c r="H117" s="0" t="n">
        <v>-1.6268</v>
      </c>
      <c r="I117" s="0" t="n">
        <v>0.1117</v>
      </c>
      <c r="J117" s="0" t="n">
        <v>-0.7272</v>
      </c>
      <c r="K117" s="0" t="n">
        <v>1.9412</v>
      </c>
      <c r="L117" s="0" t="n">
        <v>0.7126</v>
      </c>
      <c r="M117" s="0" t="n">
        <v>0.0315</v>
      </c>
      <c r="N117" s="0" t="n">
        <v>-0.214</v>
      </c>
      <c r="O117" s="0" t="n">
        <v>-2.0436</v>
      </c>
      <c r="P117" s="0" t="n">
        <v>0.1367</v>
      </c>
      <c r="Q117" s="0" t="n">
        <v>-0.7904</v>
      </c>
      <c r="R117" s="0" t="n">
        <v>1.373</v>
      </c>
      <c r="S117" s="0" t="n">
        <v>0.7655</v>
      </c>
      <c r="T117" s="0" t="n">
        <v>-0.0411</v>
      </c>
      <c r="U117" s="0" t="n">
        <v>-0.3511</v>
      </c>
      <c r="V117" s="0" t="n">
        <v>1.1238</v>
      </c>
      <c r="W117" s="0" t="n">
        <v>-0.4878</v>
      </c>
      <c r="X117" s="0" t="n">
        <v>1.1176</v>
      </c>
      <c r="Y117" s="0" t="n">
        <v>0.2388</v>
      </c>
      <c r="Z117" s="0" t="n">
        <v>-0.247</v>
      </c>
      <c r="AA117" s="0" t="n">
        <v>0.3992</v>
      </c>
      <c r="AB117" s="0" t="n">
        <v>1.7553</v>
      </c>
      <c r="AC117" s="0" t="n">
        <v>-1.5408</v>
      </c>
      <c r="AD117" s="0" t="n">
        <v>0.7724</v>
      </c>
      <c r="AE117" s="0" t="n">
        <v>0.7637</v>
      </c>
      <c r="AG117" s="9" t="n">
        <f aca="false">SUMPRODUCT(($B$2:$AE$2&lt;=Portafolio!$B$5)*EXP(LN(Portafolio!$B$7)+Portafolio!$B$6*B117:AE117))/1000</f>
        <v>2.70255349924574</v>
      </c>
    </row>
    <row r="118" customFormat="false" ht="15" hidden="false" customHeight="false" outlineLevel="0" collapsed="false">
      <c r="A118" s="0" t="n">
        <v>116</v>
      </c>
      <c r="B118" s="0" t="n">
        <v>-0.2188</v>
      </c>
      <c r="C118" s="0" t="n">
        <v>1.4776</v>
      </c>
      <c r="D118" s="0" t="n">
        <v>0.6948</v>
      </c>
      <c r="E118" s="0" t="n">
        <v>0.5733</v>
      </c>
      <c r="F118" s="0" t="n">
        <v>-0.9565</v>
      </c>
      <c r="G118" s="0" t="n">
        <v>0.6044</v>
      </c>
      <c r="H118" s="0" t="n">
        <v>-1.2363</v>
      </c>
      <c r="I118" s="0" t="n">
        <v>0.5333</v>
      </c>
      <c r="J118" s="0" t="n">
        <v>2.154</v>
      </c>
      <c r="K118" s="0" t="n">
        <v>-0.8496</v>
      </c>
      <c r="L118" s="0" t="n">
        <v>1.5699</v>
      </c>
      <c r="M118" s="0" t="n">
        <v>-1.033</v>
      </c>
      <c r="N118" s="0" t="n">
        <v>0.1015</v>
      </c>
      <c r="O118" s="0" t="n">
        <v>0.7418</v>
      </c>
      <c r="P118" s="0" t="n">
        <v>-1.3902</v>
      </c>
      <c r="Q118" s="0" t="n">
        <v>0.3592</v>
      </c>
      <c r="R118" s="0" t="n">
        <v>-0.7282</v>
      </c>
      <c r="S118" s="0" t="n">
        <v>-0.5745</v>
      </c>
      <c r="T118" s="0" t="n">
        <v>0.8643</v>
      </c>
      <c r="U118" s="0" t="n">
        <v>-0.0447</v>
      </c>
      <c r="V118" s="0" t="n">
        <v>0.4331</v>
      </c>
      <c r="W118" s="0" t="n">
        <v>0.053</v>
      </c>
      <c r="X118" s="0" t="n">
        <v>0.4086</v>
      </c>
      <c r="Y118" s="0" t="n">
        <v>1.5678</v>
      </c>
      <c r="Z118" s="0" t="n">
        <v>0.1577</v>
      </c>
      <c r="AA118" s="0" t="n">
        <v>-0.2458</v>
      </c>
      <c r="AB118" s="0" t="n">
        <v>0.0609</v>
      </c>
      <c r="AC118" s="0" t="n">
        <v>0.7426</v>
      </c>
      <c r="AD118" s="0" t="n">
        <v>0.4859</v>
      </c>
      <c r="AE118" s="0" t="n">
        <v>-2.0791</v>
      </c>
      <c r="AG118" s="9" t="n">
        <f aca="false">SUMPRODUCT(($B$2:$AE$2&lt;=Portafolio!$B$5)*EXP(LN(Portafolio!$B$7)+Portafolio!$B$6*B118:AE118))/1000</f>
        <v>2.57362827441793</v>
      </c>
    </row>
    <row r="119" customFormat="false" ht="15" hidden="false" customHeight="false" outlineLevel="0" collapsed="false">
      <c r="A119" s="0" t="n">
        <v>117</v>
      </c>
      <c r="B119" s="0" t="n">
        <v>-0.0389</v>
      </c>
      <c r="C119" s="0" t="n">
        <v>0.4632</v>
      </c>
      <c r="D119" s="0" t="n">
        <v>2.6093</v>
      </c>
      <c r="E119" s="0" t="n">
        <v>-0.5514</v>
      </c>
      <c r="F119" s="0" t="n">
        <v>-0.2355</v>
      </c>
      <c r="G119" s="0" t="n">
        <v>-1.1065</v>
      </c>
      <c r="H119" s="0" t="n">
        <v>-0.0343</v>
      </c>
      <c r="I119" s="0" t="n">
        <v>-1.7075</v>
      </c>
      <c r="J119" s="0" t="n">
        <v>-0.7942</v>
      </c>
      <c r="K119" s="0" t="n">
        <v>-0.0467</v>
      </c>
      <c r="L119" s="0" t="n">
        <v>-1.4551</v>
      </c>
      <c r="M119" s="0" t="n">
        <v>-0.2318</v>
      </c>
      <c r="N119" s="0" t="n">
        <v>-0.6427</v>
      </c>
      <c r="O119" s="0" t="n">
        <v>1.2753</v>
      </c>
      <c r="P119" s="0" t="n">
        <v>1.6067</v>
      </c>
      <c r="Q119" s="0" t="n">
        <v>2.1185</v>
      </c>
      <c r="R119" s="0" t="n">
        <v>0.172</v>
      </c>
      <c r="S119" s="0" t="n">
        <v>0.6954</v>
      </c>
      <c r="T119" s="0" t="n">
        <v>2.3723</v>
      </c>
      <c r="U119" s="0" t="n">
        <v>-0.6043</v>
      </c>
      <c r="V119" s="0" t="n">
        <v>1.7106</v>
      </c>
      <c r="W119" s="0" t="n">
        <v>-0.8682</v>
      </c>
      <c r="X119" s="0" t="n">
        <v>1.0771</v>
      </c>
      <c r="Y119" s="0" t="n">
        <v>-1.5107</v>
      </c>
      <c r="Z119" s="0" t="n">
        <v>-0.3589</v>
      </c>
      <c r="AA119" s="0" t="n">
        <v>-0.1598</v>
      </c>
      <c r="AB119" s="0" t="n">
        <v>-0.2176</v>
      </c>
      <c r="AC119" s="0" t="n">
        <v>-1.8883</v>
      </c>
      <c r="AD119" s="0" t="n">
        <v>0.1563</v>
      </c>
      <c r="AE119" s="0" t="n">
        <v>-0.254</v>
      </c>
      <c r="AG119" s="9" t="n">
        <f aca="false">SUMPRODUCT(($B$2:$AE$2&lt;=Portafolio!$B$5)*EXP(LN(Portafolio!$B$7)+Portafolio!$B$6*B119:AE119))/1000</f>
        <v>2.98937790160633</v>
      </c>
    </row>
    <row r="120" customFormat="false" ht="15" hidden="false" customHeight="false" outlineLevel="0" collapsed="false">
      <c r="A120" s="0" t="n">
        <v>118</v>
      </c>
      <c r="B120" s="0" t="n">
        <v>1.501</v>
      </c>
      <c r="C120" s="0" t="n">
        <v>0.6086</v>
      </c>
      <c r="D120" s="0" t="n">
        <v>-2.111</v>
      </c>
      <c r="E120" s="0" t="n">
        <v>0.1605</v>
      </c>
      <c r="F120" s="0" t="n">
        <v>1.0865</v>
      </c>
      <c r="G120" s="0" t="n">
        <v>-0.0634</v>
      </c>
      <c r="H120" s="0" t="n">
        <v>-0.6673</v>
      </c>
      <c r="I120" s="0" t="n">
        <v>-1.3201</v>
      </c>
      <c r="J120" s="0" t="n">
        <v>-0.3317</v>
      </c>
      <c r="K120" s="0" t="n">
        <v>-0.898</v>
      </c>
      <c r="L120" s="0" t="n">
        <v>-0.2398</v>
      </c>
      <c r="M120" s="0" t="n">
        <v>-0.288</v>
      </c>
      <c r="N120" s="0" t="n">
        <v>1.2977</v>
      </c>
      <c r="O120" s="0" t="n">
        <v>-0.942</v>
      </c>
      <c r="P120" s="0" t="n">
        <v>0.3614</v>
      </c>
      <c r="Q120" s="0" t="n">
        <v>-1.0536</v>
      </c>
      <c r="R120" s="0" t="n">
        <v>0.3048</v>
      </c>
      <c r="S120" s="0" t="n">
        <v>1.0522</v>
      </c>
      <c r="T120" s="0" t="n">
        <v>-0.5326</v>
      </c>
      <c r="U120" s="0" t="n">
        <v>-1.1425</v>
      </c>
      <c r="V120" s="0" t="n">
        <v>0.0671</v>
      </c>
      <c r="W120" s="0" t="n">
        <v>0.0546</v>
      </c>
      <c r="X120" s="0" t="n">
        <v>-0.6001</v>
      </c>
      <c r="Y120" s="0" t="n">
        <v>0.4489</v>
      </c>
      <c r="Z120" s="0" t="n">
        <v>0.103</v>
      </c>
      <c r="AA120" s="0" t="n">
        <v>0.7001</v>
      </c>
      <c r="AB120" s="0" t="n">
        <v>-1.3303</v>
      </c>
      <c r="AC120" s="0" t="n">
        <v>0.7787</v>
      </c>
      <c r="AD120" s="0" t="n">
        <v>1.284</v>
      </c>
      <c r="AE120" s="0" t="n">
        <v>-0.7808</v>
      </c>
      <c r="AG120" s="9" t="n">
        <f aca="false">SUMPRODUCT(($B$2:$AE$2&lt;=Portafolio!$B$5)*EXP(LN(Portafolio!$B$7)+Portafolio!$B$6*B120:AE120))/1000</f>
        <v>2.12311809168736</v>
      </c>
    </row>
    <row r="121" customFormat="false" ht="15" hidden="false" customHeight="false" outlineLevel="0" collapsed="false">
      <c r="A121" s="0" t="n">
        <v>119</v>
      </c>
      <c r="B121" s="0" t="n">
        <v>1.994</v>
      </c>
      <c r="C121" s="0" t="n">
        <v>0.2609</v>
      </c>
      <c r="D121" s="0" t="n">
        <v>-1.257</v>
      </c>
      <c r="E121" s="0" t="n">
        <v>-1.0256</v>
      </c>
      <c r="F121" s="0" t="n">
        <v>-0.7067</v>
      </c>
      <c r="G121" s="0" t="n">
        <v>-0.6126</v>
      </c>
      <c r="H121" s="0" t="n">
        <v>-0.2046</v>
      </c>
      <c r="I121" s="0" t="n">
        <v>0.3259</v>
      </c>
      <c r="J121" s="0" t="n">
        <v>-0.1714</v>
      </c>
      <c r="K121" s="0" t="n">
        <v>-0.2858</v>
      </c>
      <c r="L121" s="0" t="n">
        <v>-0.9233</v>
      </c>
      <c r="M121" s="0" t="n">
        <v>-1.9969</v>
      </c>
      <c r="N121" s="0" t="n">
        <v>-0.6735</v>
      </c>
      <c r="O121" s="0" t="n">
        <v>-1.1876</v>
      </c>
      <c r="P121" s="0" t="n">
        <v>0.9044</v>
      </c>
      <c r="Q121" s="0" t="n">
        <v>-2.3672</v>
      </c>
      <c r="R121" s="0" t="n">
        <v>1.1635</v>
      </c>
      <c r="S121" s="0" t="n">
        <v>-2.8045</v>
      </c>
      <c r="T121" s="0" t="n">
        <v>-0.1661</v>
      </c>
      <c r="U121" s="0" t="n">
        <v>0.0431</v>
      </c>
      <c r="V121" s="0" t="n">
        <v>-1.074</v>
      </c>
      <c r="W121" s="0" t="n">
        <v>-0.9388</v>
      </c>
      <c r="X121" s="0" t="n">
        <v>0.8975</v>
      </c>
      <c r="Y121" s="0" t="n">
        <v>-1.0435</v>
      </c>
      <c r="Z121" s="0" t="n">
        <v>-0.0634</v>
      </c>
      <c r="AA121" s="0" t="n">
        <v>0.0735</v>
      </c>
      <c r="AB121" s="0" t="n">
        <v>0.6794</v>
      </c>
      <c r="AC121" s="0" t="n">
        <v>-1.2241</v>
      </c>
      <c r="AD121" s="0" t="n">
        <v>1.3359</v>
      </c>
      <c r="AE121" s="0" t="n">
        <v>-0.1236</v>
      </c>
      <c r="AG121" s="9" t="n">
        <f aca="false">SUMPRODUCT(($B$2:$AE$2&lt;=Portafolio!$B$5)*EXP(LN(Portafolio!$B$7)+Portafolio!$B$6*B121:AE121))/1000</f>
        <v>1.88041424149566</v>
      </c>
    </row>
    <row r="122" customFormat="false" ht="15" hidden="false" customHeight="false" outlineLevel="0" collapsed="false">
      <c r="A122" s="0" t="n">
        <v>120</v>
      </c>
      <c r="B122" s="0" t="n">
        <v>1.0348</v>
      </c>
      <c r="C122" s="0" t="n">
        <v>-1.3743</v>
      </c>
      <c r="D122" s="0" t="n">
        <v>1.1121</v>
      </c>
      <c r="E122" s="0" t="n">
        <v>-0.064</v>
      </c>
      <c r="F122" s="0" t="n">
        <v>0.8029</v>
      </c>
      <c r="G122" s="0" t="n">
        <v>-0.6052</v>
      </c>
      <c r="H122" s="0" t="n">
        <v>0.8858</v>
      </c>
      <c r="I122" s="0" t="n">
        <v>0.0626</v>
      </c>
      <c r="J122" s="0" t="n">
        <v>-1.8549</v>
      </c>
      <c r="K122" s="0" t="n">
        <v>2.5101</v>
      </c>
      <c r="L122" s="0" t="n">
        <v>-0.6329</v>
      </c>
      <c r="M122" s="0" t="n">
        <v>0.4917</v>
      </c>
      <c r="N122" s="0" t="n">
        <v>-0.1646</v>
      </c>
      <c r="O122" s="0" t="n">
        <v>-0.4214</v>
      </c>
      <c r="P122" s="0" t="n">
        <v>-0.3426</v>
      </c>
      <c r="Q122" s="0" t="n">
        <v>0.9422</v>
      </c>
      <c r="R122" s="0" t="n">
        <v>0.9586</v>
      </c>
      <c r="S122" s="0" t="n">
        <v>0.9506</v>
      </c>
      <c r="T122" s="0" t="n">
        <v>-1.5931</v>
      </c>
      <c r="U122" s="0" t="n">
        <v>0.8376</v>
      </c>
      <c r="V122" s="0" t="n">
        <v>-1.4667</v>
      </c>
      <c r="W122" s="0" t="n">
        <v>2.3282</v>
      </c>
      <c r="X122" s="0" t="n">
        <v>0.4121</v>
      </c>
      <c r="Y122" s="0" t="n">
        <v>1.1592</v>
      </c>
      <c r="Z122" s="0" t="n">
        <v>0.0252</v>
      </c>
      <c r="AA122" s="0" t="n">
        <v>0.1676</v>
      </c>
      <c r="AB122" s="0" t="n">
        <v>-0.6772</v>
      </c>
      <c r="AC122" s="0" t="n">
        <v>2.0146</v>
      </c>
      <c r="AD122" s="0" t="n">
        <v>-0.2987</v>
      </c>
      <c r="AE122" s="0" t="n">
        <v>1.1186</v>
      </c>
      <c r="AG122" s="9" t="n">
        <f aca="false">SUMPRODUCT(($B$2:$AE$2&lt;=Portafolio!$B$5)*EXP(LN(Portafolio!$B$7)+Portafolio!$B$6*B122:AE122))/1000</f>
        <v>2.69695326148323</v>
      </c>
    </row>
    <row r="123" customFormat="false" ht="15" hidden="false" customHeight="false" outlineLevel="0" collapsed="false">
      <c r="A123" s="0" t="n">
        <v>121</v>
      </c>
      <c r="B123" s="0" t="n">
        <v>-0.7776</v>
      </c>
      <c r="C123" s="0" t="n">
        <v>-0.1181</v>
      </c>
      <c r="D123" s="0" t="n">
        <v>-0.3591</v>
      </c>
      <c r="E123" s="0" t="n">
        <v>-0.0799</v>
      </c>
      <c r="F123" s="0" t="n">
        <v>-0.4785</v>
      </c>
      <c r="G123" s="0" t="n">
        <v>0.664</v>
      </c>
      <c r="H123" s="0" t="n">
        <v>0.6853</v>
      </c>
      <c r="I123" s="0" t="n">
        <v>-1.5716</v>
      </c>
      <c r="J123" s="0" t="n">
        <v>-0.4091</v>
      </c>
      <c r="K123" s="0" t="n">
        <v>-1.2806</v>
      </c>
      <c r="L123" s="0" t="n">
        <v>1.0986</v>
      </c>
      <c r="M123" s="0" t="n">
        <v>-1.2228</v>
      </c>
      <c r="N123" s="0" t="n">
        <v>0.4971</v>
      </c>
      <c r="O123" s="0" t="n">
        <v>0.1799</v>
      </c>
      <c r="P123" s="0" t="n">
        <v>-0.0254</v>
      </c>
      <c r="Q123" s="0" t="n">
        <v>-1.914</v>
      </c>
      <c r="R123" s="0" t="n">
        <v>1.724</v>
      </c>
      <c r="S123" s="0" t="n">
        <v>-0.1159</v>
      </c>
      <c r="T123" s="0" t="n">
        <v>0.7084</v>
      </c>
      <c r="U123" s="0" t="n">
        <v>1.083</v>
      </c>
      <c r="V123" s="0" t="n">
        <v>-0.9676</v>
      </c>
      <c r="W123" s="0" t="n">
        <v>-0.9591</v>
      </c>
      <c r="X123" s="0" t="n">
        <v>1.7455</v>
      </c>
      <c r="Y123" s="0" t="n">
        <v>1.966</v>
      </c>
      <c r="Z123" s="0" t="n">
        <v>-0.7896</v>
      </c>
      <c r="AA123" s="0" t="n">
        <v>-0.0515</v>
      </c>
      <c r="AB123" s="0" t="n">
        <v>0.9786</v>
      </c>
      <c r="AC123" s="0" t="n">
        <v>-0.1177</v>
      </c>
      <c r="AD123" s="0" t="n">
        <v>1.3458</v>
      </c>
      <c r="AE123" s="0" t="n">
        <v>0.6331</v>
      </c>
      <c r="AG123" s="9" t="n">
        <f aca="false">SUMPRODUCT(($B$2:$AE$2&lt;=Portafolio!$B$5)*EXP(LN(Portafolio!$B$7)+Portafolio!$B$6*B123:AE123))/1000</f>
        <v>2.2070042733451</v>
      </c>
    </row>
    <row r="124" customFormat="false" ht="15" hidden="false" customHeight="false" outlineLevel="0" collapsed="false">
      <c r="A124" s="0" t="n">
        <v>122</v>
      </c>
      <c r="B124" s="0" t="n">
        <v>-0.0427</v>
      </c>
      <c r="C124" s="0" t="n">
        <v>0.7002</v>
      </c>
      <c r="D124" s="0" t="n">
        <v>-0.4431</v>
      </c>
      <c r="E124" s="0" t="n">
        <v>1.2931</v>
      </c>
      <c r="F124" s="0" t="n">
        <v>-0.6278</v>
      </c>
      <c r="G124" s="0" t="n">
        <v>1.3383</v>
      </c>
      <c r="H124" s="0" t="n">
        <v>2.5374</v>
      </c>
      <c r="I124" s="0" t="n">
        <v>-1.717</v>
      </c>
      <c r="J124" s="0" t="n">
        <v>1.7286</v>
      </c>
      <c r="K124" s="0" t="n">
        <v>-1.4491</v>
      </c>
      <c r="L124" s="0" t="n">
        <v>-0.037</v>
      </c>
      <c r="M124" s="0" t="n">
        <v>1.8637</v>
      </c>
      <c r="N124" s="0" t="n">
        <v>1.1159</v>
      </c>
      <c r="O124" s="0" t="n">
        <v>0.7059</v>
      </c>
      <c r="P124" s="0" t="n">
        <v>0.4065</v>
      </c>
      <c r="Q124" s="0" t="n">
        <v>0.2089</v>
      </c>
      <c r="R124" s="0" t="n">
        <v>0.4941</v>
      </c>
      <c r="S124" s="0" t="n">
        <v>-0.1648</v>
      </c>
      <c r="T124" s="0" t="n">
        <v>-0.2505</v>
      </c>
      <c r="U124" s="0" t="n">
        <v>-1.198</v>
      </c>
      <c r="V124" s="0" t="n">
        <v>1.7753</v>
      </c>
      <c r="W124" s="0" t="n">
        <v>0.0136</v>
      </c>
      <c r="X124" s="0" t="n">
        <v>1.9367</v>
      </c>
      <c r="Y124" s="0" t="n">
        <v>0.7771</v>
      </c>
      <c r="Z124" s="0" t="n">
        <v>0.4889</v>
      </c>
      <c r="AA124" s="0" t="n">
        <v>-1.0642</v>
      </c>
      <c r="AB124" s="0" t="n">
        <v>-0.2243</v>
      </c>
      <c r="AC124" s="0" t="n">
        <v>0.0787</v>
      </c>
      <c r="AD124" s="0" t="n">
        <v>-0.0873</v>
      </c>
      <c r="AE124" s="0" t="n">
        <v>-0.2686</v>
      </c>
      <c r="AG124" s="9" t="n">
        <f aca="false">SUMPRODUCT(($B$2:$AE$2&lt;=Portafolio!$B$5)*EXP(LN(Portafolio!$B$7)+Portafolio!$B$6*B124:AE124))/1000</f>
        <v>3.00614989227502</v>
      </c>
    </row>
    <row r="125" customFormat="false" ht="15" hidden="false" customHeight="false" outlineLevel="0" collapsed="false">
      <c r="A125" s="0" t="n">
        <v>123</v>
      </c>
      <c r="B125" s="0" t="n">
        <v>-2.2478</v>
      </c>
      <c r="C125" s="0" t="n">
        <v>-0.3717</v>
      </c>
      <c r="D125" s="0" t="n">
        <v>-0.2174</v>
      </c>
      <c r="E125" s="0" t="n">
        <v>-0.4478</v>
      </c>
      <c r="F125" s="0" t="n">
        <v>-0.2814</v>
      </c>
      <c r="G125" s="0" t="n">
        <v>-1.5296</v>
      </c>
      <c r="H125" s="0" t="n">
        <v>-0.8209</v>
      </c>
      <c r="I125" s="0" t="n">
        <v>1.5097</v>
      </c>
      <c r="J125" s="0" t="n">
        <v>-0.9091</v>
      </c>
      <c r="K125" s="0" t="n">
        <v>-0.4907</v>
      </c>
      <c r="L125" s="0" t="n">
        <v>-0.7926</v>
      </c>
      <c r="M125" s="0" t="n">
        <v>-0.1297</v>
      </c>
      <c r="N125" s="0" t="n">
        <v>-0.4851</v>
      </c>
      <c r="O125" s="0" t="n">
        <v>2.0392</v>
      </c>
      <c r="P125" s="0" t="n">
        <v>-1.0053</v>
      </c>
      <c r="Q125" s="0" t="n">
        <v>1.3926</v>
      </c>
      <c r="R125" s="0" t="n">
        <v>-0.4353</v>
      </c>
      <c r="S125" s="0" t="n">
        <v>0.4824</v>
      </c>
      <c r="T125" s="0" t="n">
        <v>2.5724</v>
      </c>
      <c r="U125" s="0" t="n">
        <v>0.0226</v>
      </c>
      <c r="V125" s="0" t="n">
        <v>0.0288</v>
      </c>
      <c r="W125" s="0" t="n">
        <v>-2.8319</v>
      </c>
      <c r="X125" s="0" t="n">
        <v>-0.3042</v>
      </c>
      <c r="Y125" s="0" t="n">
        <v>-0.1905</v>
      </c>
      <c r="Z125" s="0" t="n">
        <v>0.1646</v>
      </c>
      <c r="AA125" s="0" t="n">
        <v>0.2717</v>
      </c>
      <c r="AB125" s="0" t="n">
        <v>-1.062</v>
      </c>
      <c r="AC125" s="0" t="n">
        <v>-0.9044</v>
      </c>
      <c r="AD125" s="0" t="n">
        <v>0.8054</v>
      </c>
      <c r="AE125" s="0" t="n">
        <v>-0.231</v>
      </c>
      <c r="AG125" s="9" t="n">
        <f aca="false">SUMPRODUCT(($B$2:$AE$2&lt;=Portafolio!$B$5)*EXP(LN(Portafolio!$B$7)+Portafolio!$B$6*B125:AE125))/1000</f>
        <v>2.47019885840667</v>
      </c>
    </row>
    <row r="126" customFormat="false" ht="15" hidden="false" customHeight="false" outlineLevel="0" collapsed="false">
      <c r="A126" s="0" t="n">
        <v>124</v>
      </c>
      <c r="B126" s="0" t="n">
        <v>0.0742</v>
      </c>
      <c r="C126" s="0" t="n">
        <v>0.7032</v>
      </c>
      <c r="D126" s="0" t="n">
        <v>0.145</v>
      </c>
      <c r="E126" s="0" t="n">
        <v>0.1923</v>
      </c>
      <c r="F126" s="0" t="n">
        <v>-1.0429</v>
      </c>
      <c r="G126" s="0" t="n">
        <v>0.0412</v>
      </c>
      <c r="H126" s="0" t="n">
        <v>-1.66</v>
      </c>
      <c r="I126" s="0" t="n">
        <v>1.812</v>
      </c>
      <c r="J126" s="0" t="n">
        <v>-0.7304</v>
      </c>
      <c r="K126" s="0" t="n">
        <v>1.7254</v>
      </c>
      <c r="L126" s="0" t="n">
        <v>-0.4562</v>
      </c>
      <c r="M126" s="0" t="n">
        <v>-0.0943</v>
      </c>
      <c r="N126" s="0" t="n">
        <v>1.3474</v>
      </c>
      <c r="O126" s="0" t="n">
        <v>0.2535</v>
      </c>
      <c r="P126" s="0" t="n">
        <v>0.2262</v>
      </c>
      <c r="Q126" s="0" t="n">
        <v>-0.2282</v>
      </c>
      <c r="R126" s="0" t="n">
        <v>-0.2158</v>
      </c>
      <c r="S126" s="0" t="n">
        <v>-0.6947</v>
      </c>
      <c r="T126" s="0" t="n">
        <v>-0.728</v>
      </c>
      <c r="U126" s="0" t="n">
        <v>-1.7465</v>
      </c>
      <c r="V126" s="0" t="n">
        <v>-0.1071</v>
      </c>
      <c r="W126" s="0" t="n">
        <v>-0.7413</v>
      </c>
      <c r="X126" s="0" t="n">
        <v>1.455</v>
      </c>
      <c r="Y126" s="0" t="n">
        <v>2.1713</v>
      </c>
      <c r="Z126" s="0" t="n">
        <v>1.9562</v>
      </c>
      <c r="AA126" s="0" t="n">
        <v>-1.1454</v>
      </c>
      <c r="AB126" s="0" t="n">
        <v>-0.3139</v>
      </c>
      <c r="AC126" s="0" t="n">
        <v>-0.0829</v>
      </c>
      <c r="AD126" s="0" t="n">
        <v>-1.4902</v>
      </c>
      <c r="AE126" s="0" t="n">
        <v>1.6112</v>
      </c>
      <c r="AG126" s="9" t="n">
        <f aca="false">SUMPRODUCT(($B$2:$AE$2&lt;=Portafolio!$B$5)*EXP(LN(Portafolio!$B$7)+Portafolio!$B$6*B126:AE126))/1000</f>
        <v>2.28058504044746</v>
      </c>
    </row>
    <row r="127" customFormat="false" ht="15" hidden="false" customHeight="false" outlineLevel="0" collapsed="false">
      <c r="A127" s="0" t="n">
        <v>125</v>
      </c>
      <c r="B127" s="0" t="n">
        <v>0.7636</v>
      </c>
      <c r="C127" s="0" t="n">
        <v>0.3419</v>
      </c>
      <c r="D127" s="0" t="n">
        <v>1.9885</v>
      </c>
      <c r="E127" s="0" t="n">
        <v>0.5413</v>
      </c>
      <c r="F127" s="0" t="n">
        <v>-0.2511</v>
      </c>
      <c r="G127" s="0" t="n">
        <v>0.3296</v>
      </c>
      <c r="H127" s="0" t="n">
        <v>-0.4175</v>
      </c>
      <c r="I127" s="0" t="n">
        <v>0.5304</v>
      </c>
      <c r="J127" s="0" t="n">
        <v>-1.2642</v>
      </c>
      <c r="K127" s="0" t="n">
        <v>0.5626</v>
      </c>
      <c r="L127" s="0" t="n">
        <v>-0.2461</v>
      </c>
      <c r="M127" s="0" t="n">
        <v>-0.3772</v>
      </c>
      <c r="N127" s="0" t="n">
        <v>-0.332</v>
      </c>
      <c r="O127" s="0" t="n">
        <v>-0.0729</v>
      </c>
      <c r="P127" s="0" t="n">
        <v>-1.6955</v>
      </c>
      <c r="Q127" s="0" t="n">
        <v>0.6523</v>
      </c>
      <c r="R127" s="0" t="n">
        <v>-0.1456</v>
      </c>
      <c r="S127" s="0" t="n">
        <v>1.8538</v>
      </c>
      <c r="T127" s="0" t="n">
        <v>0.0372</v>
      </c>
      <c r="U127" s="0" t="n">
        <v>0.9989</v>
      </c>
      <c r="V127" s="0" t="n">
        <v>0.0224</v>
      </c>
      <c r="W127" s="0" t="n">
        <v>-0.082</v>
      </c>
      <c r="X127" s="0" t="n">
        <v>-1.1694</v>
      </c>
      <c r="Y127" s="0" t="n">
        <v>-0.4132</v>
      </c>
      <c r="Z127" s="0" t="n">
        <v>-0.5333</v>
      </c>
      <c r="AA127" s="0" t="n">
        <v>-2.3718</v>
      </c>
      <c r="AB127" s="0" t="n">
        <v>-0.2431</v>
      </c>
      <c r="AC127" s="0" t="n">
        <v>-0.6686</v>
      </c>
      <c r="AD127" s="0" t="n">
        <v>0.3608</v>
      </c>
      <c r="AE127" s="0" t="n">
        <v>1.0884</v>
      </c>
      <c r="AG127" s="9" t="n">
        <f aca="false">SUMPRODUCT(($B$2:$AE$2&lt;=Portafolio!$B$5)*EXP(LN(Portafolio!$B$7)+Portafolio!$B$6*B127:AE127))/1000</f>
        <v>2.56701681380499</v>
      </c>
    </row>
    <row r="128" customFormat="false" ht="15" hidden="false" customHeight="false" outlineLevel="0" collapsed="false">
      <c r="A128" s="0" t="n">
        <v>126</v>
      </c>
      <c r="B128" s="0" t="n">
        <v>-0.2486</v>
      </c>
      <c r="C128" s="0" t="n">
        <v>1.2449</v>
      </c>
      <c r="D128" s="0" t="n">
        <v>1.3011</v>
      </c>
      <c r="E128" s="0" t="n">
        <v>0.8214</v>
      </c>
      <c r="F128" s="0" t="n">
        <v>-0.2773</v>
      </c>
      <c r="G128" s="0" t="n">
        <v>0.1602</v>
      </c>
      <c r="H128" s="0" t="n">
        <v>1.6988</v>
      </c>
      <c r="I128" s="0" t="n">
        <v>1.6082</v>
      </c>
      <c r="J128" s="0" t="n">
        <v>1.2041</v>
      </c>
      <c r="K128" s="0" t="n">
        <v>-1.6763</v>
      </c>
      <c r="L128" s="0" t="n">
        <v>-2.2193</v>
      </c>
      <c r="M128" s="0" t="n">
        <v>1.8421</v>
      </c>
      <c r="N128" s="0" t="n">
        <v>0.7748</v>
      </c>
      <c r="O128" s="0" t="n">
        <v>1.4104</v>
      </c>
      <c r="P128" s="0" t="n">
        <v>0.6389</v>
      </c>
      <c r="Q128" s="0" t="n">
        <v>-0.2444</v>
      </c>
      <c r="R128" s="0" t="n">
        <v>0.5197</v>
      </c>
      <c r="S128" s="0" t="n">
        <v>0.0138</v>
      </c>
      <c r="T128" s="0" t="n">
        <v>1.5611</v>
      </c>
      <c r="U128" s="0" t="n">
        <v>0.9043</v>
      </c>
      <c r="V128" s="0" t="n">
        <v>-0.8939</v>
      </c>
      <c r="W128" s="0" t="n">
        <v>-0.7036</v>
      </c>
      <c r="X128" s="0" t="n">
        <v>1.0787</v>
      </c>
      <c r="Y128" s="0" t="n">
        <v>0.9453</v>
      </c>
      <c r="Z128" s="0" t="n">
        <v>0.3494</v>
      </c>
      <c r="AA128" s="0" t="n">
        <v>0.406</v>
      </c>
      <c r="AB128" s="0" t="n">
        <v>-1.1938</v>
      </c>
      <c r="AC128" s="0" t="n">
        <v>-0.7986</v>
      </c>
      <c r="AD128" s="0" t="n">
        <v>0.5885</v>
      </c>
      <c r="AE128" s="0" t="n">
        <v>-1.7775</v>
      </c>
      <c r="AG128" s="9" t="n">
        <f aca="false">SUMPRODUCT(($B$2:$AE$2&lt;=Portafolio!$B$5)*EXP(LN(Portafolio!$B$7)+Portafolio!$B$6*B128:AE128))/1000</f>
        <v>3.27441276343394</v>
      </c>
    </row>
    <row r="129" customFormat="false" ht="15" hidden="false" customHeight="false" outlineLevel="0" collapsed="false">
      <c r="A129" s="0" t="n">
        <v>127</v>
      </c>
      <c r="B129" s="0" t="n">
        <v>0.5542</v>
      </c>
      <c r="C129" s="0" t="n">
        <v>0.6463</v>
      </c>
      <c r="D129" s="0" t="n">
        <v>0.7188</v>
      </c>
      <c r="E129" s="0" t="n">
        <v>0.9136</v>
      </c>
      <c r="F129" s="0" t="n">
        <v>1.9792</v>
      </c>
      <c r="G129" s="0" t="n">
        <v>0.3563</v>
      </c>
      <c r="H129" s="0" t="n">
        <v>-0.7567</v>
      </c>
      <c r="I129" s="0" t="n">
        <v>-1.6531</v>
      </c>
      <c r="J129" s="0" t="n">
        <v>-2.1995</v>
      </c>
      <c r="K129" s="0" t="n">
        <v>0.1611</v>
      </c>
      <c r="L129" s="0" t="n">
        <v>0.9558</v>
      </c>
      <c r="M129" s="0" t="n">
        <v>-1.6185</v>
      </c>
      <c r="N129" s="0" t="n">
        <v>0.24</v>
      </c>
      <c r="O129" s="0" t="n">
        <v>-0.655</v>
      </c>
      <c r="P129" s="0" t="n">
        <v>-0.192</v>
      </c>
      <c r="Q129" s="0" t="n">
        <v>0.2811</v>
      </c>
      <c r="R129" s="0" t="n">
        <v>0.102</v>
      </c>
      <c r="S129" s="0" t="n">
        <v>-1.128</v>
      </c>
      <c r="T129" s="0" t="n">
        <v>0.8238</v>
      </c>
      <c r="U129" s="0" t="n">
        <v>-0.0706</v>
      </c>
      <c r="V129" s="0" t="n">
        <v>-1.8215</v>
      </c>
      <c r="W129" s="0" t="n">
        <v>0.8415</v>
      </c>
      <c r="X129" s="0" t="n">
        <v>1.6498</v>
      </c>
      <c r="Y129" s="0" t="n">
        <v>-0.3268</v>
      </c>
      <c r="Z129" s="0" t="n">
        <v>1.6781</v>
      </c>
      <c r="AA129" s="0" t="n">
        <v>-1.5262</v>
      </c>
      <c r="AB129" s="0" t="n">
        <v>-0.1878</v>
      </c>
      <c r="AC129" s="0" t="n">
        <v>1.3722</v>
      </c>
      <c r="AD129" s="0" t="n">
        <v>1.3844</v>
      </c>
      <c r="AE129" s="0" t="n">
        <v>0.5845</v>
      </c>
      <c r="AG129" s="9" t="n">
        <f aca="false">SUMPRODUCT(($B$2:$AE$2&lt;=Portafolio!$B$5)*EXP(LN(Portafolio!$B$7)+Portafolio!$B$6*B129:AE129))/1000</f>
        <v>2.32565339863258</v>
      </c>
    </row>
    <row r="130" customFormat="false" ht="15" hidden="false" customHeight="false" outlineLevel="0" collapsed="false">
      <c r="A130" s="0" t="n">
        <v>128</v>
      </c>
      <c r="B130" s="0" t="n">
        <v>1.1348</v>
      </c>
      <c r="C130" s="0" t="n">
        <v>-0.3491</v>
      </c>
      <c r="D130" s="0" t="n">
        <v>0.7903</v>
      </c>
      <c r="E130" s="0" t="n">
        <v>1.0294</v>
      </c>
      <c r="F130" s="0" t="n">
        <v>1.0199</v>
      </c>
      <c r="G130" s="0" t="n">
        <v>0.4448</v>
      </c>
      <c r="H130" s="0" t="n">
        <v>0.9106</v>
      </c>
      <c r="I130" s="0" t="n">
        <v>0.5015</v>
      </c>
      <c r="J130" s="0" t="n">
        <v>0.6782</v>
      </c>
      <c r="K130" s="0" t="n">
        <v>-1.4931</v>
      </c>
      <c r="L130" s="0" t="n">
        <v>0.6695</v>
      </c>
      <c r="M130" s="0" t="n">
        <v>-0.8801</v>
      </c>
      <c r="N130" s="0" t="n">
        <v>-0.3136</v>
      </c>
      <c r="O130" s="0" t="n">
        <v>0.1217</v>
      </c>
      <c r="P130" s="0" t="n">
        <v>0.3157</v>
      </c>
      <c r="Q130" s="0" t="n">
        <v>-1.2599</v>
      </c>
      <c r="R130" s="0" t="n">
        <v>-0.469</v>
      </c>
      <c r="S130" s="0" t="n">
        <v>0.3062</v>
      </c>
      <c r="T130" s="0" t="n">
        <v>-0.3483</v>
      </c>
      <c r="U130" s="0" t="n">
        <v>0.0928</v>
      </c>
      <c r="V130" s="0" t="n">
        <v>0.2964</v>
      </c>
      <c r="W130" s="0" t="n">
        <v>0.2781</v>
      </c>
      <c r="X130" s="0" t="n">
        <v>-0.4841</v>
      </c>
      <c r="Y130" s="0" t="n">
        <v>0.2469</v>
      </c>
      <c r="Z130" s="0" t="n">
        <v>0.6407</v>
      </c>
      <c r="AA130" s="0" t="n">
        <v>-1.2135</v>
      </c>
      <c r="AB130" s="0" t="n">
        <v>0.8511</v>
      </c>
      <c r="AC130" s="0" t="n">
        <v>-0.9424</v>
      </c>
      <c r="AD130" s="0" t="n">
        <v>0.4324</v>
      </c>
      <c r="AE130" s="0" t="n">
        <v>0.6782</v>
      </c>
      <c r="AG130" s="9" t="n">
        <f aca="false">SUMPRODUCT(($B$2:$AE$2&lt;=Portafolio!$B$5)*EXP(LN(Portafolio!$B$7)+Portafolio!$B$6*B130:AE130))/1000</f>
        <v>2.3877777906359</v>
      </c>
    </row>
    <row r="131" customFormat="false" ht="15" hidden="false" customHeight="false" outlineLevel="0" collapsed="false">
      <c r="A131" s="0" t="n">
        <v>129</v>
      </c>
      <c r="B131" s="0" t="n">
        <v>0.7075</v>
      </c>
      <c r="C131" s="0" t="n">
        <v>-1.1216</v>
      </c>
      <c r="D131" s="0" t="n">
        <v>-0.8585</v>
      </c>
      <c r="E131" s="0" t="n">
        <v>-1.1248</v>
      </c>
      <c r="F131" s="0" t="n">
        <v>0.6374</v>
      </c>
      <c r="G131" s="0" t="n">
        <v>0.1985</v>
      </c>
      <c r="H131" s="0" t="n">
        <v>-1.7525</v>
      </c>
      <c r="I131" s="0" t="n">
        <v>0.8045</v>
      </c>
      <c r="J131" s="0" t="n">
        <v>1.254</v>
      </c>
      <c r="K131" s="0" t="n">
        <v>-0.4651</v>
      </c>
      <c r="L131" s="0" t="n">
        <v>-0.0184</v>
      </c>
      <c r="M131" s="0" t="n">
        <v>0.3082</v>
      </c>
      <c r="N131" s="0" t="n">
        <v>-0.9565</v>
      </c>
      <c r="O131" s="0" t="n">
        <v>-0.3705</v>
      </c>
      <c r="P131" s="0" t="n">
        <v>0.6169</v>
      </c>
      <c r="Q131" s="0" t="n">
        <v>-0.2867</v>
      </c>
      <c r="R131" s="0" t="n">
        <v>0.0501</v>
      </c>
      <c r="S131" s="0" t="n">
        <v>0.1717</v>
      </c>
      <c r="T131" s="0" t="n">
        <v>1.7857</v>
      </c>
      <c r="U131" s="0" t="n">
        <v>0.3253</v>
      </c>
      <c r="V131" s="0" t="n">
        <v>0.3988</v>
      </c>
      <c r="W131" s="0" t="n">
        <v>-0.4182</v>
      </c>
      <c r="X131" s="0" t="n">
        <v>1.3044</v>
      </c>
      <c r="Y131" s="0" t="n">
        <v>0.1263</v>
      </c>
      <c r="Z131" s="0" t="n">
        <v>0.0306</v>
      </c>
      <c r="AA131" s="0" t="n">
        <v>1.3805</v>
      </c>
      <c r="AB131" s="0" t="n">
        <v>1.4101</v>
      </c>
      <c r="AC131" s="0" t="n">
        <v>-0.8726</v>
      </c>
      <c r="AD131" s="0" t="n">
        <v>-0.2557</v>
      </c>
      <c r="AE131" s="0" t="n">
        <v>1.3419</v>
      </c>
      <c r="AG131" s="9" t="n">
        <f aca="false">SUMPRODUCT(($B$2:$AE$2&lt;=Portafolio!$B$5)*EXP(LN(Portafolio!$B$7)+Portafolio!$B$6*B131:AE131))/1000</f>
        <v>2.27065820364308</v>
      </c>
    </row>
    <row r="132" customFormat="false" ht="15" hidden="false" customHeight="false" outlineLevel="0" collapsed="false">
      <c r="A132" s="0" t="n">
        <v>130</v>
      </c>
      <c r="B132" s="0" t="n">
        <v>-0.4152</v>
      </c>
      <c r="C132" s="0" t="n">
        <v>1.6365</v>
      </c>
      <c r="D132" s="0" t="n">
        <v>-0.1033</v>
      </c>
      <c r="E132" s="0" t="n">
        <v>2.0151</v>
      </c>
      <c r="F132" s="0" t="n">
        <v>-0.9179</v>
      </c>
      <c r="G132" s="0" t="n">
        <v>-1.8989</v>
      </c>
      <c r="H132" s="0" t="n">
        <v>-1.4047</v>
      </c>
      <c r="I132" s="0" t="n">
        <v>2.0474</v>
      </c>
      <c r="J132" s="0" t="n">
        <v>-0.6706</v>
      </c>
      <c r="K132" s="0" t="n">
        <v>-0.381</v>
      </c>
      <c r="L132" s="0" t="n">
        <v>-0.5206</v>
      </c>
      <c r="M132" s="0" t="n">
        <v>-0.6875</v>
      </c>
      <c r="N132" s="0" t="n">
        <v>0.2154</v>
      </c>
      <c r="O132" s="0" t="n">
        <v>0.1859</v>
      </c>
      <c r="P132" s="0" t="n">
        <v>-0.5721</v>
      </c>
      <c r="Q132" s="0" t="n">
        <v>-0.476</v>
      </c>
      <c r="R132" s="0" t="n">
        <v>1.4004</v>
      </c>
      <c r="S132" s="0" t="n">
        <v>1.0183</v>
      </c>
      <c r="T132" s="0" t="n">
        <v>1.0527</v>
      </c>
      <c r="U132" s="0" t="n">
        <v>1.3052</v>
      </c>
      <c r="V132" s="0" t="n">
        <v>-0.1368</v>
      </c>
      <c r="W132" s="0" t="n">
        <v>0.9405</v>
      </c>
      <c r="X132" s="0" t="n">
        <v>1.712</v>
      </c>
      <c r="Y132" s="0" t="n">
        <v>-0.7725</v>
      </c>
      <c r="Z132" s="0" t="n">
        <v>1.4208</v>
      </c>
      <c r="AA132" s="0" t="n">
        <v>-2.416</v>
      </c>
      <c r="AB132" s="0" t="n">
        <v>-1.8608</v>
      </c>
      <c r="AC132" s="0" t="n">
        <v>-1.4183</v>
      </c>
      <c r="AD132" s="0" t="n">
        <v>-0.9487</v>
      </c>
      <c r="AE132" s="0" t="n">
        <v>-0.9194</v>
      </c>
      <c r="AG132" s="9" t="n">
        <f aca="false">SUMPRODUCT(($B$2:$AE$2&lt;=Portafolio!$B$5)*EXP(LN(Portafolio!$B$7)+Portafolio!$B$6*B132:AE132))/1000</f>
        <v>2.72853693427434</v>
      </c>
    </row>
    <row r="133" customFormat="false" ht="15" hidden="false" customHeight="false" outlineLevel="0" collapsed="false">
      <c r="A133" s="0" t="n">
        <v>131</v>
      </c>
      <c r="B133" s="0" t="n">
        <v>-0.4371</v>
      </c>
      <c r="C133" s="0" t="n">
        <v>0.8733</v>
      </c>
      <c r="D133" s="0" t="n">
        <v>-0.6822</v>
      </c>
      <c r="E133" s="0" t="n">
        <v>-0.3198</v>
      </c>
      <c r="F133" s="0" t="n">
        <v>-1.2539</v>
      </c>
      <c r="G133" s="0" t="n">
        <v>-1.5551</v>
      </c>
      <c r="H133" s="0" t="n">
        <v>-0.1322</v>
      </c>
      <c r="I133" s="0" t="n">
        <v>-0.7018</v>
      </c>
      <c r="J133" s="0" t="n">
        <v>0.9417</v>
      </c>
      <c r="K133" s="0" t="n">
        <v>0.1658</v>
      </c>
      <c r="L133" s="0" t="n">
        <v>-1.7725</v>
      </c>
      <c r="M133" s="0" t="n">
        <v>0.7789</v>
      </c>
      <c r="N133" s="0" t="n">
        <v>-1.1557</v>
      </c>
      <c r="O133" s="0" t="n">
        <v>-0.3518</v>
      </c>
      <c r="P133" s="0" t="n">
        <v>-0.9991</v>
      </c>
      <c r="Q133" s="0" t="n">
        <v>-0.7825</v>
      </c>
      <c r="R133" s="0" t="n">
        <v>-0.5572</v>
      </c>
      <c r="S133" s="0" t="n">
        <v>-1.1494</v>
      </c>
      <c r="T133" s="0" t="n">
        <v>-0.6939</v>
      </c>
      <c r="U133" s="0" t="n">
        <v>-0.2384</v>
      </c>
      <c r="V133" s="0" t="n">
        <v>0.768</v>
      </c>
      <c r="W133" s="0" t="n">
        <v>0.754</v>
      </c>
      <c r="X133" s="0" t="n">
        <v>1.8323</v>
      </c>
      <c r="Y133" s="0" t="n">
        <v>-1.5833</v>
      </c>
      <c r="Z133" s="0" t="n">
        <v>-0.3506</v>
      </c>
      <c r="AA133" s="0" t="n">
        <v>1.2598</v>
      </c>
      <c r="AB133" s="0" t="n">
        <v>-1.0929</v>
      </c>
      <c r="AC133" s="0" t="n">
        <v>-0.1267</v>
      </c>
      <c r="AD133" s="0" t="n">
        <v>0.7689</v>
      </c>
      <c r="AE133" s="0" t="n">
        <v>1.5881</v>
      </c>
      <c r="AG133" s="9" t="n">
        <f aca="false">SUMPRODUCT(($B$2:$AE$2&lt;=Portafolio!$B$5)*EXP(LN(Portafolio!$B$7)+Portafolio!$B$6*B133:AE133))/1000</f>
        <v>1.64250677682562</v>
      </c>
    </row>
    <row r="134" customFormat="false" ht="15" hidden="false" customHeight="false" outlineLevel="0" collapsed="false">
      <c r="A134" s="0" t="n">
        <v>132</v>
      </c>
      <c r="B134" s="0" t="n">
        <v>0.6184</v>
      </c>
      <c r="C134" s="0" t="n">
        <v>0.3674</v>
      </c>
      <c r="D134" s="0" t="n">
        <v>-0.1207</v>
      </c>
      <c r="E134" s="0" t="n">
        <v>0.6629</v>
      </c>
      <c r="F134" s="0" t="n">
        <v>0.142</v>
      </c>
      <c r="G134" s="0" t="n">
        <v>0.3822</v>
      </c>
      <c r="H134" s="0" t="n">
        <v>-0.6076</v>
      </c>
      <c r="I134" s="0" t="n">
        <v>-0.0905</v>
      </c>
      <c r="J134" s="0" t="n">
        <v>-0.8461</v>
      </c>
      <c r="K134" s="0" t="n">
        <v>-1.0572</v>
      </c>
      <c r="L134" s="0" t="n">
        <v>-0.811</v>
      </c>
      <c r="M134" s="0" t="n">
        <v>-0.8074</v>
      </c>
      <c r="N134" s="0" t="n">
        <v>-0.6368</v>
      </c>
      <c r="O134" s="0" t="n">
        <v>-0.5435</v>
      </c>
      <c r="P134" s="0" t="n">
        <v>-1.4885</v>
      </c>
      <c r="Q134" s="0" t="n">
        <v>0.3429</v>
      </c>
      <c r="R134" s="0" t="n">
        <v>0.3513</v>
      </c>
      <c r="S134" s="0" t="n">
        <v>1.5875</v>
      </c>
      <c r="T134" s="0" t="n">
        <v>-2.3301</v>
      </c>
      <c r="U134" s="0" t="n">
        <v>-1.387</v>
      </c>
      <c r="V134" s="0" t="n">
        <v>-0.9397</v>
      </c>
      <c r="W134" s="0" t="n">
        <v>-0.842</v>
      </c>
      <c r="X134" s="0" t="n">
        <v>0.094</v>
      </c>
      <c r="Y134" s="0" t="n">
        <v>-0.8196</v>
      </c>
      <c r="Z134" s="0" t="n">
        <v>-0.7409</v>
      </c>
      <c r="AA134" s="0" t="n">
        <v>0.7641</v>
      </c>
      <c r="AB134" s="0" t="n">
        <v>-0.1544</v>
      </c>
      <c r="AC134" s="0" t="n">
        <v>-1.5864</v>
      </c>
      <c r="AD134" s="0" t="n">
        <v>0.9824</v>
      </c>
      <c r="AE134" s="0" t="n">
        <v>2.2789</v>
      </c>
      <c r="AG134" s="9" t="n">
        <f aca="false">SUMPRODUCT(($B$2:$AE$2&lt;=Portafolio!$B$5)*EXP(LN(Portafolio!$B$7)+Portafolio!$B$6*B134:AE134))/1000</f>
        <v>1.90167274854417</v>
      </c>
    </row>
    <row r="135" customFormat="false" ht="15" hidden="false" customHeight="false" outlineLevel="0" collapsed="false">
      <c r="A135" s="0" t="n">
        <v>133</v>
      </c>
      <c r="B135" s="0" t="n">
        <v>1.1623</v>
      </c>
      <c r="C135" s="0" t="n">
        <v>-0.1314</v>
      </c>
      <c r="D135" s="0" t="n">
        <v>1.393</v>
      </c>
      <c r="E135" s="0" t="n">
        <v>-0.0394</v>
      </c>
      <c r="F135" s="0" t="n">
        <v>-0.3193</v>
      </c>
      <c r="G135" s="0" t="n">
        <v>0.2829</v>
      </c>
      <c r="H135" s="0" t="n">
        <v>1.3297</v>
      </c>
      <c r="I135" s="0" t="n">
        <v>0.1456</v>
      </c>
      <c r="J135" s="0" t="n">
        <v>-0.2718</v>
      </c>
      <c r="K135" s="0" t="n">
        <v>-1.3563</v>
      </c>
      <c r="L135" s="0" t="n">
        <v>0.2192</v>
      </c>
      <c r="M135" s="0" t="n">
        <v>-1.0479</v>
      </c>
      <c r="N135" s="0" t="n">
        <v>-0.0679</v>
      </c>
      <c r="O135" s="0" t="n">
        <v>-1.3593</v>
      </c>
      <c r="P135" s="0" t="n">
        <v>-0.8385</v>
      </c>
      <c r="Q135" s="0" t="n">
        <v>-0.9416</v>
      </c>
      <c r="R135" s="0" t="n">
        <v>-0.6377</v>
      </c>
      <c r="S135" s="0" t="n">
        <v>-1.1115</v>
      </c>
      <c r="T135" s="0" t="n">
        <v>1.263</v>
      </c>
      <c r="U135" s="0" t="n">
        <v>0.8078</v>
      </c>
      <c r="V135" s="0" t="n">
        <v>-0.3034</v>
      </c>
      <c r="W135" s="0" t="n">
        <v>-1.0124</v>
      </c>
      <c r="X135" s="0" t="n">
        <v>1.1249</v>
      </c>
      <c r="Y135" s="0" t="n">
        <v>-0.2152</v>
      </c>
      <c r="Z135" s="0" t="n">
        <v>0.6005</v>
      </c>
      <c r="AA135" s="0" t="n">
        <v>1.0352</v>
      </c>
      <c r="AB135" s="0" t="n">
        <v>-0.3778</v>
      </c>
      <c r="AC135" s="0" t="n">
        <v>0.468</v>
      </c>
      <c r="AD135" s="0" t="n">
        <v>0.4776</v>
      </c>
      <c r="AE135" s="0" t="n">
        <v>-0.4026</v>
      </c>
      <c r="AG135" s="9" t="n">
        <f aca="false">SUMPRODUCT(($B$2:$AE$2&lt;=Portafolio!$B$5)*EXP(LN(Portafolio!$B$7)+Portafolio!$B$6*B135:AE135))/1000</f>
        <v>2.20332279444419</v>
      </c>
    </row>
    <row r="136" customFormat="false" ht="15" hidden="false" customHeight="false" outlineLevel="0" collapsed="false">
      <c r="A136" s="0" t="n">
        <v>134</v>
      </c>
      <c r="B136" s="0" t="n">
        <v>-0.1434</v>
      </c>
      <c r="C136" s="0" t="n">
        <v>-0.5936</v>
      </c>
      <c r="D136" s="0" t="n">
        <v>-3.3684</v>
      </c>
      <c r="E136" s="0" t="n">
        <v>-0.3623</v>
      </c>
      <c r="F136" s="0" t="n">
        <v>1.6793</v>
      </c>
      <c r="G136" s="0" t="n">
        <v>1.0474</v>
      </c>
      <c r="H136" s="0" t="n">
        <v>2.7522</v>
      </c>
      <c r="I136" s="0" t="n">
        <v>0.1032</v>
      </c>
      <c r="J136" s="0" t="n">
        <v>0.9154</v>
      </c>
      <c r="K136" s="0" t="n">
        <v>-0.5931</v>
      </c>
      <c r="L136" s="0" t="n">
        <v>-0.7199</v>
      </c>
      <c r="M136" s="0" t="n">
        <v>-0.8448</v>
      </c>
      <c r="N136" s="0" t="n">
        <v>0.4837</v>
      </c>
      <c r="O136" s="0" t="n">
        <v>0.8034</v>
      </c>
      <c r="P136" s="0" t="n">
        <v>-1.8825</v>
      </c>
      <c r="Q136" s="0" t="n">
        <v>0.7301</v>
      </c>
      <c r="R136" s="0" t="n">
        <v>0.9384</v>
      </c>
      <c r="S136" s="0" t="n">
        <v>0.8178</v>
      </c>
      <c r="T136" s="0" t="n">
        <v>-1.2484</v>
      </c>
      <c r="U136" s="0" t="n">
        <v>0.2263</v>
      </c>
      <c r="V136" s="0" t="n">
        <v>0.3554</v>
      </c>
      <c r="W136" s="0" t="n">
        <v>-1.305</v>
      </c>
      <c r="X136" s="0" t="n">
        <v>-1.1067</v>
      </c>
      <c r="Y136" s="0" t="n">
        <v>2.228</v>
      </c>
      <c r="Z136" s="0" t="n">
        <v>-0.6467</v>
      </c>
      <c r="AA136" s="0" t="n">
        <v>-0.4632</v>
      </c>
      <c r="AB136" s="0" t="n">
        <v>-1.9214</v>
      </c>
      <c r="AC136" s="0" t="n">
        <v>-0.5904</v>
      </c>
      <c r="AD136" s="0" t="n">
        <v>1.3839</v>
      </c>
      <c r="AE136" s="0" t="n">
        <v>0.4155</v>
      </c>
      <c r="AG136" s="9" t="n">
        <f aca="false">SUMPRODUCT(($B$2:$AE$2&lt;=Portafolio!$B$5)*EXP(LN(Portafolio!$B$7)+Portafolio!$B$6*B136:AE136))/1000</f>
        <v>2.69672385472865</v>
      </c>
    </row>
    <row r="137" customFormat="false" ht="15" hidden="false" customHeight="false" outlineLevel="0" collapsed="false">
      <c r="A137" s="0" t="n">
        <v>135</v>
      </c>
      <c r="B137" s="0" t="n">
        <v>-0.8217</v>
      </c>
      <c r="C137" s="0" t="n">
        <v>0.0643</v>
      </c>
      <c r="D137" s="0" t="n">
        <v>0.3914</v>
      </c>
      <c r="E137" s="0" t="n">
        <v>0.6117</v>
      </c>
      <c r="F137" s="0" t="n">
        <v>-0.9674</v>
      </c>
      <c r="G137" s="0" t="n">
        <v>0.4004</v>
      </c>
      <c r="H137" s="0" t="n">
        <v>-0.6382</v>
      </c>
      <c r="I137" s="0" t="n">
        <v>-0.4723</v>
      </c>
      <c r="J137" s="0" t="n">
        <v>-0.8255</v>
      </c>
      <c r="K137" s="0" t="n">
        <v>-0.7754</v>
      </c>
      <c r="L137" s="0" t="n">
        <v>0.5107</v>
      </c>
      <c r="M137" s="0" t="n">
        <v>-1.7329</v>
      </c>
      <c r="N137" s="0" t="n">
        <v>0.2211</v>
      </c>
      <c r="O137" s="0" t="n">
        <v>2.7359</v>
      </c>
      <c r="P137" s="0" t="n">
        <v>-0.8652</v>
      </c>
      <c r="Q137" s="0" t="n">
        <v>-0.2597</v>
      </c>
      <c r="R137" s="0" t="n">
        <v>-0.0455</v>
      </c>
      <c r="S137" s="0" t="n">
        <v>1.5789</v>
      </c>
      <c r="T137" s="0" t="n">
        <v>-1.3992</v>
      </c>
      <c r="U137" s="0" t="n">
        <v>0.5872</v>
      </c>
      <c r="V137" s="0" t="n">
        <v>-0.0742</v>
      </c>
      <c r="W137" s="0" t="n">
        <v>1.9824</v>
      </c>
      <c r="X137" s="0" t="n">
        <v>-0.1833</v>
      </c>
      <c r="Y137" s="0" t="n">
        <v>2.0121</v>
      </c>
      <c r="Z137" s="0" t="n">
        <v>-0.9377</v>
      </c>
      <c r="AA137" s="0" t="n">
        <v>0.3817</v>
      </c>
      <c r="AB137" s="0" t="n">
        <v>-1.0748</v>
      </c>
      <c r="AC137" s="0" t="n">
        <v>-0.5698</v>
      </c>
      <c r="AD137" s="0" t="n">
        <v>-1.2247</v>
      </c>
      <c r="AE137" s="0" t="n">
        <v>-0.3805</v>
      </c>
      <c r="AG137" s="9" t="n">
        <f aca="false">SUMPRODUCT(($B$2:$AE$2&lt;=Portafolio!$B$5)*EXP(LN(Portafolio!$B$7)+Portafolio!$B$6*B137:AE137))/1000</f>
        <v>2.37359501604066</v>
      </c>
    </row>
    <row r="138" customFormat="false" ht="15" hidden="false" customHeight="false" outlineLevel="0" collapsed="false">
      <c r="A138" s="0" t="n">
        <v>136</v>
      </c>
      <c r="B138" s="0" t="n">
        <v>1.5673</v>
      </c>
      <c r="C138" s="0" t="n">
        <v>-0.5094</v>
      </c>
      <c r="D138" s="0" t="n">
        <v>2.4841</v>
      </c>
      <c r="E138" s="0" t="n">
        <v>1.6285</v>
      </c>
      <c r="F138" s="0" t="n">
        <v>0.3276</v>
      </c>
      <c r="G138" s="0" t="n">
        <v>0.032</v>
      </c>
      <c r="H138" s="0" t="n">
        <v>0.3348</v>
      </c>
      <c r="I138" s="0" t="n">
        <v>-0.7298</v>
      </c>
      <c r="J138" s="0" t="n">
        <v>0.6117</v>
      </c>
      <c r="K138" s="0" t="n">
        <v>0.1143</v>
      </c>
      <c r="L138" s="0" t="n">
        <v>-1.9259</v>
      </c>
      <c r="M138" s="0" t="n">
        <v>0.0577</v>
      </c>
      <c r="N138" s="0" t="n">
        <v>0.5966</v>
      </c>
      <c r="O138" s="0" t="n">
        <v>0.0747</v>
      </c>
      <c r="P138" s="0" t="n">
        <v>0.3306</v>
      </c>
      <c r="Q138" s="0" t="n">
        <v>0.0265</v>
      </c>
      <c r="R138" s="0" t="n">
        <v>-0.4625</v>
      </c>
      <c r="S138" s="0" t="n">
        <v>1.0661</v>
      </c>
      <c r="T138" s="0" t="n">
        <v>1.4175</v>
      </c>
      <c r="U138" s="0" t="n">
        <v>-0.2828</v>
      </c>
      <c r="V138" s="0" t="n">
        <v>0.8172</v>
      </c>
      <c r="W138" s="0" t="n">
        <v>-1.0579</v>
      </c>
      <c r="X138" s="0" t="n">
        <v>1.2647</v>
      </c>
      <c r="Y138" s="0" t="n">
        <v>-0.7985</v>
      </c>
      <c r="Z138" s="0" t="n">
        <v>0.0608</v>
      </c>
      <c r="AA138" s="0" t="n">
        <v>0.9632</v>
      </c>
      <c r="AB138" s="0" t="n">
        <v>-0.4786</v>
      </c>
      <c r="AC138" s="0" t="n">
        <v>0.0615</v>
      </c>
      <c r="AD138" s="0" t="n">
        <v>1.0206</v>
      </c>
      <c r="AE138" s="0" t="n">
        <v>-0.5267</v>
      </c>
      <c r="AG138" s="9" t="n">
        <f aca="false">SUMPRODUCT(($B$2:$AE$2&lt;=Portafolio!$B$5)*EXP(LN(Portafolio!$B$7)+Portafolio!$B$6*B138:AE138))/1000</f>
        <v>2.89124255855279</v>
      </c>
    </row>
    <row r="139" customFormat="false" ht="15" hidden="false" customHeight="false" outlineLevel="0" collapsed="false">
      <c r="A139" s="0" t="n">
        <v>137</v>
      </c>
      <c r="B139" s="0" t="n">
        <v>0.3578</v>
      </c>
      <c r="C139" s="0" t="n">
        <v>1.1068</v>
      </c>
      <c r="D139" s="0" t="n">
        <v>0.2718</v>
      </c>
      <c r="E139" s="0" t="n">
        <v>-0.7516</v>
      </c>
      <c r="F139" s="0" t="n">
        <v>-0.3736</v>
      </c>
      <c r="G139" s="0" t="n">
        <v>-0.2291</v>
      </c>
      <c r="H139" s="0" t="n">
        <v>0.0349</v>
      </c>
      <c r="I139" s="0" t="n">
        <v>0.6433</v>
      </c>
      <c r="J139" s="0" t="n">
        <v>-1.5247</v>
      </c>
      <c r="K139" s="0" t="n">
        <v>-0.0523</v>
      </c>
      <c r="L139" s="0" t="n">
        <v>0.2167</v>
      </c>
      <c r="M139" s="0" t="n">
        <v>1.5124</v>
      </c>
      <c r="N139" s="0" t="n">
        <v>-1.4294</v>
      </c>
      <c r="O139" s="0" t="n">
        <v>-0.858</v>
      </c>
      <c r="P139" s="0" t="n">
        <v>0.9003</v>
      </c>
      <c r="Q139" s="0" t="n">
        <v>-0.0247</v>
      </c>
      <c r="R139" s="0" t="n">
        <v>1.1018</v>
      </c>
      <c r="S139" s="0" t="n">
        <v>-0.025</v>
      </c>
      <c r="T139" s="0" t="n">
        <v>-0.6242</v>
      </c>
      <c r="U139" s="0" t="n">
        <v>-0.0379</v>
      </c>
      <c r="V139" s="0" t="n">
        <v>1.2399</v>
      </c>
      <c r="W139" s="0" t="n">
        <v>0.7323</v>
      </c>
      <c r="X139" s="0" t="n">
        <v>0.2123</v>
      </c>
      <c r="Y139" s="0" t="n">
        <v>0.1604</v>
      </c>
      <c r="Z139" s="0" t="n">
        <v>1.0797</v>
      </c>
      <c r="AA139" s="0" t="n">
        <v>0.631</v>
      </c>
      <c r="AB139" s="0" t="n">
        <v>0.2604</v>
      </c>
      <c r="AC139" s="0" t="n">
        <v>0.7372</v>
      </c>
      <c r="AD139" s="0" t="n">
        <v>0.1165</v>
      </c>
      <c r="AE139" s="0" t="n">
        <v>-1.0812</v>
      </c>
      <c r="AG139" s="9" t="n">
        <f aca="false">SUMPRODUCT(($B$2:$AE$2&lt;=Portafolio!$B$5)*EXP(LN(Portafolio!$B$7)+Portafolio!$B$6*B139:AE139))/1000</f>
        <v>2.24563231394885</v>
      </c>
    </row>
    <row r="140" customFormat="false" ht="15" hidden="false" customHeight="false" outlineLevel="0" collapsed="false">
      <c r="A140" s="0" t="n">
        <v>138</v>
      </c>
      <c r="B140" s="0" t="n">
        <v>0.9077</v>
      </c>
      <c r="C140" s="0" t="n">
        <v>1.2047</v>
      </c>
      <c r="D140" s="0" t="n">
        <v>1.3942</v>
      </c>
      <c r="E140" s="0" t="n">
        <v>-0.0458</v>
      </c>
      <c r="F140" s="0" t="n">
        <v>-1.1697</v>
      </c>
      <c r="G140" s="0" t="n">
        <v>0.4207</v>
      </c>
      <c r="H140" s="0" t="n">
        <v>-0.5586</v>
      </c>
      <c r="I140" s="0" t="n">
        <v>-1.825</v>
      </c>
      <c r="J140" s="0" t="n">
        <v>0.1677</v>
      </c>
      <c r="K140" s="0" t="n">
        <v>-0.7366</v>
      </c>
      <c r="L140" s="0" t="n">
        <v>0.0879</v>
      </c>
      <c r="M140" s="0" t="n">
        <v>-0.4596</v>
      </c>
      <c r="N140" s="0" t="n">
        <v>0.8239</v>
      </c>
      <c r="O140" s="0" t="n">
        <v>0.8589</v>
      </c>
      <c r="P140" s="0" t="n">
        <v>0.513</v>
      </c>
      <c r="Q140" s="0" t="n">
        <v>1.1767</v>
      </c>
      <c r="R140" s="0" t="n">
        <v>-0.5076</v>
      </c>
      <c r="S140" s="0" t="n">
        <v>2.3423</v>
      </c>
      <c r="T140" s="0" t="n">
        <v>-1.6797</v>
      </c>
      <c r="U140" s="0" t="n">
        <v>0.7485</v>
      </c>
      <c r="V140" s="0" t="n">
        <v>1.0323</v>
      </c>
      <c r="W140" s="0" t="n">
        <v>-0.3731</v>
      </c>
      <c r="X140" s="0" t="n">
        <v>0.1356</v>
      </c>
      <c r="Y140" s="0" t="n">
        <v>-1.1563</v>
      </c>
      <c r="Z140" s="0" t="n">
        <v>-0.4156</v>
      </c>
      <c r="AA140" s="0" t="n">
        <v>0.3045</v>
      </c>
      <c r="AB140" s="0" t="n">
        <v>-1.2264</v>
      </c>
      <c r="AC140" s="0" t="n">
        <v>-1.895</v>
      </c>
      <c r="AD140" s="0" t="n">
        <v>-0.3326</v>
      </c>
      <c r="AE140" s="0" t="n">
        <v>-0.8073</v>
      </c>
      <c r="AG140" s="9" t="n">
        <f aca="false">SUMPRODUCT(($B$2:$AE$2&lt;=Portafolio!$B$5)*EXP(LN(Portafolio!$B$7)+Portafolio!$B$6*B140:AE140))/1000</f>
        <v>2.69061697424768</v>
      </c>
    </row>
    <row r="141" customFormat="false" ht="15" hidden="false" customHeight="false" outlineLevel="0" collapsed="false">
      <c r="A141" s="0" t="n">
        <v>139</v>
      </c>
      <c r="B141" s="0" t="n">
        <v>-0.9272</v>
      </c>
      <c r="C141" s="0" t="n">
        <v>-0.1476</v>
      </c>
      <c r="D141" s="0" t="n">
        <v>-1.3353</v>
      </c>
      <c r="E141" s="0" t="n">
        <v>1.0865</v>
      </c>
      <c r="F141" s="0" t="n">
        <v>1.1452</v>
      </c>
      <c r="G141" s="0" t="n">
        <v>0.0482</v>
      </c>
      <c r="H141" s="0" t="n">
        <v>-0.5625</v>
      </c>
      <c r="I141" s="0" t="n">
        <v>-0.0421</v>
      </c>
      <c r="J141" s="0" t="n">
        <v>-0.0855</v>
      </c>
      <c r="K141" s="0" t="n">
        <v>-0.76</v>
      </c>
      <c r="L141" s="0" t="n">
        <v>-0.6198</v>
      </c>
      <c r="M141" s="0" t="n">
        <v>0.4306</v>
      </c>
      <c r="N141" s="0" t="n">
        <v>-0.8689</v>
      </c>
      <c r="O141" s="0" t="n">
        <v>-0.6099</v>
      </c>
      <c r="P141" s="0" t="n">
        <v>-0.4251</v>
      </c>
      <c r="Q141" s="0" t="n">
        <v>-0.9626</v>
      </c>
      <c r="R141" s="0" t="n">
        <v>0.2655</v>
      </c>
      <c r="S141" s="0" t="n">
        <v>-1.2375</v>
      </c>
      <c r="T141" s="0" t="n">
        <v>0.9197</v>
      </c>
      <c r="U141" s="0" t="n">
        <v>0.7134</v>
      </c>
      <c r="V141" s="0" t="n">
        <v>-0.0157</v>
      </c>
      <c r="W141" s="0" t="n">
        <v>0.8409</v>
      </c>
      <c r="X141" s="0" t="n">
        <v>1.0832</v>
      </c>
      <c r="Y141" s="0" t="n">
        <v>-0.3666</v>
      </c>
      <c r="Z141" s="0" t="n">
        <v>-0.0408</v>
      </c>
      <c r="AA141" s="0" t="n">
        <v>-0.581</v>
      </c>
      <c r="AB141" s="0" t="n">
        <v>-0.3444</v>
      </c>
      <c r="AC141" s="0" t="n">
        <v>-0.3649</v>
      </c>
      <c r="AD141" s="0" t="n">
        <v>0.0928</v>
      </c>
      <c r="AE141" s="0" t="n">
        <v>0.5138</v>
      </c>
      <c r="AG141" s="9" t="n">
        <f aca="false">SUMPRODUCT(($B$2:$AE$2&lt;=Portafolio!$B$5)*EXP(LN(Portafolio!$B$7)+Portafolio!$B$6*B141:AE141))/1000</f>
        <v>1.96732030512351</v>
      </c>
    </row>
    <row r="142" customFormat="false" ht="15" hidden="false" customHeight="false" outlineLevel="0" collapsed="false">
      <c r="A142" s="0" t="n">
        <v>140</v>
      </c>
      <c r="B142" s="0" t="n">
        <v>2.155</v>
      </c>
      <c r="C142" s="0" t="n">
        <v>0.3386</v>
      </c>
      <c r="D142" s="0" t="n">
        <v>0.9341</v>
      </c>
      <c r="E142" s="0" t="n">
        <v>-0.2117</v>
      </c>
      <c r="F142" s="0" t="n">
        <v>1.6222</v>
      </c>
      <c r="G142" s="0" t="n">
        <v>0.1293</v>
      </c>
      <c r="H142" s="0" t="n">
        <v>-0.1589</v>
      </c>
      <c r="I142" s="0" t="n">
        <v>-0.2605</v>
      </c>
      <c r="J142" s="0" t="n">
        <v>0.039</v>
      </c>
      <c r="K142" s="0" t="n">
        <v>-0.3718</v>
      </c>
      <c r="L142" s="0" t="n">
        <v>0.1843</v>
      </c>
      <c r="M142" s="0" t="n">
        <v>1.727</v>
      </c>
      <c r="N142" s="0" t="n">
        <v>0.0789</v>
      </c>
      <c r="O142" s="0" t="n">
        <v>-0.7261</v>
      </c>
      <c r="P142" s="0" t="n">
        <v>-1.7928</v>
      </c>
      <c r="Q142" s="0" t="n">
        <v>-0.0931</v>
      </c>
      <c r="R142" s="0" t="n">
        <v>-0.9708</v>
      </c>
      <c r="S142" s="0" t="n">
        <v>-0.7397</v>
      </c>
      <c r="T142" s="0" t="n">
        <v>0.1492</v>
      </c>
      <c r="U142" s="0" t="n">
        <v>0.3443</v>
      </c>
      <c r="V142" s="0" t="n">
        <v>0.4637</v>
      </c>
      <c r="W142" s="0" t="n">
        <v>1.1276</v>
      </c>
      <c r="X142" s="0" t="n">
        <v>-0.9146</v>
      </c>
      <c r="Y142" s="0" t="n">
        <v>-0.63</v>
      </c>
      <c r="Z142" s="0" t="n">
        <v>-0.8455</v>
      </c>
      <c r="AA142" s="0" t="n">
        <v>-0.9722</v>
      </c>
      <c r="AB142" s="0" t="n">
        <v>-0.6277</v>
      </c>
      <c r="AC142" s="0" t="n">
        <v>-0.8153</v>
      </c>
      <c r="AD142" s="0" t="n">
        <v>0.6731</v>
      </c>
      <c r="AE142" s="0" t="n">
        <v>-1.0313</v>
      </c>
      <c r="AG142" s="9" t="n">
        <f aca="false">SUMPRODUCT(($B$2:$AE$2&lt;=Portafolio!$B$5)*EXP(LN(Portafolio!$B$7)+Portafolio!$B$6*B142:AE142))/1000</f>
        <v>2.52573157664845</v>
      </c>
    </row>
    <row r="143" customFormat="false" ht="15" hidden="false" customHeight="false" outlineLevel="0" collapsed="false">
      <c r="A143" s="0" t="n">
        <v>141</v>
      </c>
      <c r="B143" s="0" t="n">
        <v>2.1335</v>
      </c>
      <c r="C143" s="0" t="n">
        <v>-1.9938</v>
      </c>
      <c r="D143" s="0" t="n">
        <v>0.8078</v>
      </c>
      <c r="E143" s="0" t="n">
        <v>-1.5184</v>
      </c>
      <c r="F143" s="0" t="n">
        <v>-0.4666</v>
      </c>
      <c r="G143" s="0" t="n">
        <v>-1.1787</v>
      </c>
      <c r="H143" s="0" t="n">
        <v>0.007</v>
      </c>
      <c r="I143" s="0" t="n">
        <v>0.4648</v>
      </c>
      <c r="J143" s="0" t="n">
        <v>-0.4007</v>
      </c>
      <c r="K143" s="0" t="n">
        <v>-0.6403</v>
      </c>
      <c r="L143" s="0" t="n">
        <v>-0.9607</v>
      </c>
      <c r="M143" s="0" t="n">
        <v>-0.8192</v>
      </c>
      <c r="N143" s="0" t="n">
        <v>-0.8279</v>
      </c>
      <c r="O143" s="0" t="n">
        <v>-0.6606</v>
      </c>
      <c r="P143" s="0" t="n">
        <v>0.0564</v>
      </c>
      <c r="Q143" s="0" t="n">
        <v>0.8489</v>
      </c>
      <c r="R143" s="0" t="n">
        <v>-0.6832</v>
      </c>
      <c r="S143" s="0" t="n">
        <v>-1.9677</v>
      </c>
      <c r="T143" s="0" t="n">
        <v>-0.3636</v>
      </c>
      <c r="U143" s="0" t="n">
        <v>0.7879</v>
      </c>
      <c r="V143" s="0" t="n">
        <v>-1.0025</v>
      </c>
      <c r="W143" s="0" t="n">
        <v>0.3411</v>
      </c>
      <c r="X143" s="0" t="n">
        <v>-1.1314</v>
      </c>
      <c r="Y143" s="0" t="n">
        <v>-1.2412</v>
      </c>
      <c r="Z143" s="0" t="n">
        <v>0.202</v>
      </c>
      <c r="AA143" s="0" t="n">
        <v>-1.8085</v>
      </c>
      <c r="AB143" s="0" t="n">
        <v>-0.4104</v>
      </c>
      <c r="AC143" s="0" t="n">
        <v>-2.6392</v>
      </c>
      <c r="AD143" s="0" t="n">
        <v>-1.0318</v>
      </c>
      <c r="AE143" s="0" t="n">
        <v>0.3449</v>
      </c>
      <c r="AG143" s="9" t="n">
        <f aca="false">SUMPRODUCT(($B$2:$AE$2&lt;=Portafolio!$B$5)*EXP(LN(Portafolio!$B$7)+Portafolio!$B$6*B143:AE143))/1000</f>
        <v>1.9499730213731</v>
      </c>
    </row>
    <row r="144" customFormat="false" ht="15" hidden="false" customHeight="false" outlineLevel="0" collapsed="false">
      <c r="A144" s="0" t="n">
        <v>142</v>
      </c>
      <c r="B144" s="0" t="n">
        <v>-0.5038</v>
      </c>
      <c r="C144" s="0" t="n">
        <v>-0.7068</v>
      </c>
      <c r="D144" s="0" t="n">
        <v>0.4976</v>
      </c>
      <c r="E144" s="0" t="n">
        <v>-0.9135</v>
      </c>
      <c r="F144" s="0" t="n">
        <v>-1.1346</v>
      </c>
      <c r="G144" s="0" t="n">
        <v>-0.4238</v>
      </c>
      <c r="H144" s="0" t="n">
        <v>-0.0957</v>
      </c>
      <c r="I144" s="0" t="n">
        <v>0.1098</v>
      </c>
      <c r="J144" s="0" t="n">
        <v>-0.2008</v>
      </c>
      <c r="K144" s="0" t="n">
        <v>1.1193</v>
      </c>
      <c r="L144" s="0" t="n">
        <v>0.5177</v>
      </c>
      <c r="M144" s="0" t="n">
        <v>-0.1638</v>
      </c>
      <c r="N144" s="0" t="n">
        <v>2.1988</v>
      </c>
      <c r="O144" s="0" t="n">
        <v>-1.538</v>
      </c>
      <c r="P144" s="0" t="n">
        <v>0.207</v>
      </c>
      <c r="Q144" s="0" t="n">
        <v>-0.7828</v>
      </c>
      <c r="R144" s="0" t="n">
        <v>2.0463</v>
      </c>
      <c r="S144" s="0" t="n">
        <v>0.2481</v>
      </c>
      <c r="T144" s="0" t="n">
        <v>0.7652</v>
      </c>
      <c r="U144" s="0" t="n">
        <v>0.3508</v>
      </c>
      <c r="V144" s="0" t="n">
        <v>1.3874</v>
      </c>
      <c r="W144" s="0" t="n">
        <v>-0.5611</v>
      </c>
      <c r="X144" s="0" t="n">
        <v>0.8464</v>
      </c>
      <c r="Y144" s="0" t="n">
        <v>-1.6944</v>
      </c>
      <c r="Z144" s="0" t="n">
        <v>0.5166</v>
      </c>
      <c r="AA144" s="0" t="n">
        <v>1.0664</v>
      </c>
      <c r="AB144" s="0" t="n">
        <v>0.8089</v>
      </c>
      <c r="AC144" s="0" t="n">
        <v>0.546</v>
      </c>
      <c r="AD144" s="0" t="n">
        <v>-1.8429</v>
      </c>
      <c r="AE144" s="0" t="n">
        <v>0.0486</v>
      </c>
      <c r="AG144" s="9" t="n">
        <f aca="false">SUMPRODUCT(($B$2:$AE$2&lt;=Portafolio!$B$5)*EXP(LN(Portafolio!$B$7)+Portafolio!$B$6*B144:AE144))/1000</f>
        <v>2.50146375843881</v>
      </c>
    </row>
    <row r="145" customFormat="false" ht="15" hidden="false" customHeight="false" outlineLevel="0" collapsed="false">
      <c r="A145" s="0" t="n">
        <v>143</v>
      </c>
      <c r="B145" s="0" t="n">
        <v>-0.3615</v>
      </c>
      <c r="C145" s="0" t="n">
        <v>1.437</v>
      </c>
      <c r="D145" s="0" t="n">
        <v>0.4871</v>
      </c>
      <c r="E145" s="0" t="n">
        <v>0.5964</v>
      </c>
      <c r="F145" s="0" t="n">
        <v>1.2303</v>
      </c>
      <c r="G145" s="0" t="n">
        <v>0.4746</v>
      </c>
      <c r="H145" s="0" t="n">
        <v>-1.3537</v>
      </c>
      <c r="I145" s="0" t="n">
        <v>-0.8147</v>
      </c>
      <c r="J145" s="0" t="n">
        <v>-2.0577</v>
      </c>
      <c r="K145" s="0" t="n">
        <v>1.1356</v>
      </c>
      <c r="L145" s="0" t="n">
        <v>-0.2231</v>
      </c>
      <c r="M145" s="0" t="n">
        <v>-1.2769</v>
      </c>
      <c r="N145" s="0" t="n">
        <v>0.4409</v>
      </c>
      <c r="O145" s="0" t="n">
        <v>-0.4494</v>
      </c>
      <c r="P145" s="0" t="n">
        <v>-0.3316</v>
      </c>
      <c r="Q145" s="0" t="n">
        <v>1.2221</v>
      </c>
      <c r="R145" s="0" t="n">
        <v>-2.0234</v>
      </c>
      <c r="S145" s="0" t="n">
        <v>-1.4581</v>
      </c>
      <c r="T145" s="0" t="n">
        <v>-0.1329</v>
      </c>
      <c r="U145" s="0" t="n">
        <v>-0.2787</v>
      </c>
      <c r="V145" s="0" t="n">
        <v>1.0544</v>
      </c>
      <c r="W145" s="0" t="n">
        <v>-0.3849</v>
      </c>
      <c r="X145" s="0" t="n">
        <v>0.4671</v>
      </c>
      <c r="Y145" s="0" t="n">
        <v>1.6294</v>
      </c>
      <c r="Z145" s="0" t="n">
        <v>-1.3604</v>
      </c>
      <c r="AA145" s="0" t="n">
        <v>-1.4163</v>
      </c>
      <c r="AB145" s="0" t="n">
        <v>-0.7287</v>
      </c>
      <c r="AC145" s="0" t="n">
        <v>-0.2434</v>
      </c>
      <c r="AD145" s="0" t="n">
        <v>-1.1012</v>
      </c>
      <c r="AE145" s="0" t="n">
        <v>0.2068</v>
      </c>
      <c r="AG145" s="9" t="n">
        <f aca="false">SUMPRODUCT(($B$2:$AE$2&lt;=Portafolio!$B$5)*EXP(LN(Portafolio!$B$7)+Portafolio!$B$6*B145:AE145))/1000</f>
        <v>2.14800882467119</v>
      </c>
    </row>
    <row r="146" customFormat="false" ht="15" hidden="false" customHeight="false" outlineLevel="0" collapsed="false">
      <c r="A146" s="0" t="n">
        <v>144</v>
      </c>
      <c r="B146" s="0" t="n">
        <v>-0.788</v>
      </c>
      <c r="C146" s="0" t="n">
        <v>1.057</v>
      </c>
      <c r="D146" s="0" t="n">
        <v>0.4521</v>
      </c>
      <c r="E146" s="0" t="n">
        <v>0.6158</v>
      </c>
      <c r="F146" s="0" t="n">
        <v>0.1724</v>
      </c>
      <c r="G146" s="0" t="n">
        <v>0.1588</v>
      </c>
      <c r="H146" s="0" t="n">
        <v>-1.615</v>
      </c>
      <c r="I146" s="0" t="n">
        <v>-0.2589</v>
      </c>
      <c r="J146" s="0" t="n">
        <v>-1.765</v>
      </c>
      <c r="K146" s="0" t="n">
        <v>1.2386</v>
      </c>
      <c r="L146" s="0" t="n">
        <v>-1.1387</v>
      </c>
      <c r="M146" s="0" t="n">
        <v>-0.923</v>
      </c>
      <c r="N146" s="0" t="n">
        <v>-0.4827</v>
      </c>
      <c r="O146" s="0" t="n">
        <v>2.0858</v>
      </c>
      <c r="P146" s="0" t="n">
        <v>-1.1148</v>
      </c>
      <c r="Q146" s="0" t="n">
        <v>1.5773</v>
      </c>
      <c r="R146" s="0" t="n">
        <v>0.0916</v>
      </c>
      <c r="S146" s="0" t="n">
        <v>2.4624</v>
      </c>
      <c r="T146" s="0" t="n">
        <v>-0.2561</v>
      </c>
      <c r="U146" s="0" t="n">
        <v>-0.5722</v>
      </c>
      <c r="V146" s="0" t="n">
        <v>-0.0671</v>
      </c>
      <c r="W146" s="0" t="n">
        <v>-0.5776</v>
      </c>
      <c r="X146" s="0" t="n">
        <v>-0.7333</v>
      </c>
      <c r="Y146" s="0" t="n">
        <v>0.6431</v>
      </c>
      <c r="Z146" s="0" t="n">
        <v>-0.4811</v>
      </c>
      <c r="AA146" s="0" t="n">
        <v>0.8166</v>
      </c>
      <c r="AB146" s="0" t="n">
        <v>0.5384</v>
      </c>
      <c r="AC146" s="0" t="n">
        <v>0.8558</v>
      </c>
      <c r="AD146" s="0" t="n">
        <v>1.4838</v>
      </c>
      <c r="AE146" s="0" t="n">
        <v>0.9872</v>
      </c>
      <c r="AG146" s="9" t="n">
        <f aca="false">SUMPRODUCT(($B$2:$AE$2&lt;=Portafolio!$B$5)*EXP(LN(Portafolio!$B$7)+Portafolio!$B$6*B146:AE146))/1000</f>
        <v>2.65789156988818</v>
      </c>
    </row>
    <row r="147" customFormat="false" ht="15" hidden="false" customHeight="false" outlineLevel="0" collapsed="false">
      <c r="A147" s="0" t="n">
        <v>145</v>
      </c>
      <c r="B147" s="0" t="n">
        <v>-0.9579</v>
      </c>
      <c r="C147" s="0" t="n">
        <v>1.2542</v>
      </c>
      <c r="D147" s="0" t="n">
        <v>-2.4367</v>
      </c>
      <c r="E147" s="0" t="n">
        <v>1.1855</v>
      </c>
      <c r="F147" s="0" t="n">
        <v>1.1368</v>
      </c>
      <c r="G147" s="0" t="n">
        <v>-1.0737</v>
      </c>
      <c r="H147" s="0" t="n">
        <v>1.1969</v>
      </c>
      <c r="I147" s="0" t="n">
        <v>-1.8613</v>
      </c>
      <c r="J147" s="0" t="n">
        <v>0.935</v>
      </c>
      <c r="K147" s="0" t="n">
        <v>-0.4376</v>
      </c>
      <c r="L147" s="0" t="n">
        <v>-0.3158</v>
      </c>
      <c r="M147" s="0" t="n">
        <v>-0.2086</v>
      </c>
      <c r="N147" s="0" t="n">
        <v>-0.587</v>
      </c>
      <c r="O147" s="0" t="n">
        <v>0.6711</v>
      </c>
      <c r="P147" s="0" t="n">
        <v>-0.0881</v>
      </c>
      <c r="Q147" s="0" t="n">
        <v>-0.085</v>
      </c>
      <c r="R147" s="0" t="n">
        <v>0.0103</v>
      </c>
      <c r="S147" s="0" t="n">
        <v>-0.3932</v>
      </c>
      <c r="T147" s="0" t="n">
        <v>-1.0191</v>
      </c>
      <c r="U147" s="0" t="n">
        <v>0.5371</v>
      </c>
      <c r="V147" s="0" t="n">
        <v>0.7725</v>
      </c>
      <c r="W147" s="0" t="n">
        <v>-1.1851</v>
      </c>
      <c r="X147" s="0" t="n">
        <v>0.8884</v>
      </c>
      <c r="Y147" s="0" t="n">
        <v>1.186</v>
      </c>
      <c r="Z147" s="0" t="n">
        <v>0.1295</v>
      </c>
      <c r="AA147" s="0" t="n">
        <v>1.3796</v>
      </c>
      <c r="AB147" s="0" t="n">
        <v>-2.1377</v>
      </c>
      <c r="AC147" s="0" t="n">
        <v>1.2929</v>
      </c>
      <c r="AD147" s="0" t="n">
        <v>-0.7559</v>
      </c>
      <c r="AE147" s="0" t="n">
        <v>0.2506</v>
      </c>
      <c r="AG147" s="9" t="n">
        <f aca="false">SUMPRODUCT(($B$2:$AE$2&lt;=Portafolio!$B$5)*EXP(LN(Portafolio!$B$7)+Portafolio!$B$6*B147:AE147))/1000</f>
        <v>2.18824279751965</v>
      </c>
    </row>
    <row r="148" customFormat="false" ht="15" hidden="false" customHeight="false" outlineLevel="0" collapsed="false">
      <c r="A148" s="0" t="n">
        <v>146</v>
      </c>
      <c r="B148" s="0" t="n">
        <v>-0.9268</v>
      </c>
      <c r="C148" s="0" t="n">
        <v>2.3368</v>
      </c>
      <c r="D148" s="0" t="n">
        <v>-0.4324</v>
      </c>
      <c r="E148" s="0" t="n">
        <v>0.6077</v>
      </c>
      <c r="F148" s="0" t="n">
        <v>-1.4531</v>
      </c>
      <c r="G148" s="0" t="n">
        <v>-0.3254</v>
      </c>
      <c r="H148" s="0" t="n">
        <v>0.3795</v>
      </c>
      <c r="I148" s="0" t="n">
        <v>-0.1487</v>
      </c>
      <c r="J148" s="0" t="n">
        <v>-0.7666</v>
      </c>
      <c r="K148" s="0" t="n">
        <v>1.4071</v>
      </c>
      <c r="L148" s="0" t="n">
        <v>-1.5322</v>
      </c>
      <c r="M148" s="0" t="n">
        <v>0.0451</v>
      </c>
      <c r="N148" s="0" t="n">
        <v>-0.2012</v>
      </c>
      <c r="O148" s="0" t="n">
        <v>-0.3917</v>
      </c>
      <c r="P148" s="0" t="n">
        <v>0.5938</v>
      </c>
      <c r="Q148" s="0" t="n">
        <v>0.1941</v>
      </c>
      <c r="R148" s="0" t="n">
        <v>-0.2111</v>
      </c>
      <c r="S148" s="0" t="n">
        <v>0.5981</v>
      </c>
      <c r="T148" s="0" t="n">
        <v>-0.1132</v>
      </c>
      <c r="U148" s="0" t="n">
        <v>0.4795</v>
      </c>
      <c r="V148" s="0" t="n">
        <v>1.2029</v>
      </c>
      <c r="W148" s="0" t="n">
        <v>0.1992</v>
      </c>
      <c r="X148" s="0" t="n">
        <v>0.0291</v>
      </c>
      <c r="Y148" s="0" t="n">
        <v>-0.5888</v>
      </c>
      <c r="Z148" s="0" t="n">
        <v>1.3396</v>
      </c>
      <c r="AA148" s="0" t="n">
        <v>0.9006</v>
      </c>
      <c r="AB148" s="0" t="n">
        <v>0.4824</v>
      </c>
      <c r="AC148" s="0" t="n">
        <v>0.2629</v>
      </c>
      <c r="AD148" s="0" t="n">
        <v>-0.8383</v>
      </c>
      <c r="AE148" s="0" t="n">
        <v>0.0496</v>
      </c>
      <c r="AG148" s="9" t="n">
        <f aca="false">SUMPRODUCT(($B$2:$AE$2&lt;=Portafolio!$B$5)*EXP(LN(Portafolio!$B$7)+Portafolio!$B$6*B148:AE148))/1000</f>
        <v>2.34522727038647</v>
      </c>
    </row>
    <row r="149" customFormat="false" ht="15" hidden="false" customHeight="false" outlineLevel="0" collapsed="false">
      <c r="A149" s="0" t="n">
        <v>147</v>
      </c>
      <c r="B149" s="0" t="n">
        <v>0.2589</v>
      </c>
      <c r="C149" s="0" t="n">
        <v>-1.1595</v>
      </c>
      <c r="D149" s="0" t="n">
        <v>-0.9577</v>
      </c>
      <c r="E149" s="0" t="n">
        <v>-0.1415</v>
      </c>
      <c r="F149" s="0" t="n">
        <v>1.8263</v>
      </c>
      <c r="G149" s="0" t="n">
        <v>0.3212</v>
      </c>
      <c r="H149" s="0" t="n">
        <v>-1.4395</v>
      </c>
      <c r="I149" s="0" t="n">
        <v>1.1986</v>
      </c>
      <c r="J149" s="0" t="n">
        <v>0.8368</v>
      </c>
      <c r="K149" s="0" t="n">
        <v>0.657</v>
      </c>
      <c r="L149" s="0" t="n">
        <v>-0.5618</v>
      </c>
      <c r="M149" s="0" t="n">
        <v>-0.1429</v>
      </c>
      <c r="N149" s="0" t="n">
        <v>2.0908</v>
      </c>
      <c r="O149" s="0" t="n">
        <v>1.0532</v>
      </c>
      <c r="P149" s="0" t="n">
        <v>4.4184</v>
      </c>
      <c r="Q149" s="0" t="n">
        <v>-1.7978</v>
      </c>
      <c r="R149" s="0" t="n">
        <v>-1.5619</v>
      </c>
      <c r="S149" s="0" t="n">
        <v>-0.4473</v>
      </c>
      <c r="T149" s="0" t="n">
        <v>-0.9162</v>
      </c>
      <c r="U149" s="0" t="n">
        <v>-0.6775</v>
      </c>
      <c r="V149" s="0" t="n">
        <v>0.6761</v>
      </c>
      <c r="W149" s="0" t="n">
        <v>1.2639</v>
      </c>
      <c r="X149" s="0" t="n">
        <v>-1.4117</v>
      </c>
      <c r="Y149" s="0" t="n">
        <v>0.5268</v>
      </c>
      <c r="Z149" s="0" t="n">
        <v>0.8055</v>
      </c>
      <c r="AA149" s="0" t="n">
        <v>0.2177</v>
      </c>
      <c r="AB149" s="0" t="n">
        <v>1.2881</v>
      </c>
      <c r="AC149" s="0" t="n">
        <v>1.1045</v>
      </c>
      <c r="AD149" s="0" t="n">
        <v>-0.8141</v>
      </c>
      <c r="AE149" s="0" t="n">
        <v>0.1075</v>
      </c>
      <c r="AG149" s="9" t="n">
        <f aca="false">SUMPRODUCT(($B$2:$AE$2&lt;=Portafolio!$B$5)*EXP(LN(Portafolio!$B$7)+Portafolio!$B$6*B149:AE149))/1000</f>
        <v>3.68892016024068</v>
      </c>
    </row>
    <row r="150" customFormat="false" ht="15" hidden="false" customHeight="false" outlineLevel="0" collapsed="false">
      <c r="A150" s="0" t="n">
        <v>148</v>
      </c>
      <c r="B150" s="0" t="n">
        <v>0.2381</v>
      </c>
      <c r="C150" s="0" t="n">
        <v>-1.1891</v>
      </c>
      <c r="D150" s="0" t="n">
        <v>-0.251</v>
      </c>
      <c r="E150" s="0" t="n">
        <v>0.9662</v>
      </c>
      <c r="F150" s="0" t="n">
        <v>0.3531</v>
      </c>
      <c r="G150" s="0" t="n">
        <v>0.0042</v>
      </c>
      <c r="H150" s="0" t="n">
        <v>2.4874</v>
      </c>
      <c r="I150" s="0" t="n">
        <v>0.585</v>
      </c>
      <c r="J150" s="0" t="n">
        <v>0.9053</v>
      </c>
      <c r="K150" s="0" t="n">
        <v>-0.8672</v>
      </c>
      <c r="L150" s="0" t="n">
        <v>1.1606</v>
      </c>
      <c r="M150" s="0" t="n">
        <v>-0.4512</v>
      </c>
      <c r="N150" s="0" t="n">
        <v>-0.196</v>
      </c>
      <c r="O150" s="0" t="n">
        <v>-0.4275</v>
      </c>
      <c r="P150" s="0" t="n">
        <v>-1.2657</v>
      </c>
      <c r="Q150" s="0" t="n">
        <v>0.5356</v>
      </c>
      <c r="R150" s="0" t="n">
        <v>-1.2232</v>
      </c>
      <c r="S150" s="0" t="n">
        <v>0.7868</v>
      </c>
      <c r="T150" s="0" t="n">
        <v>-0.807</v>
      </c>
      <c r="U150" s="0" t="n">
        <v>1.215</v>
      </c>
      <c r="V150" s="0" t="n">
        <v>0.3022</v>
      </c>
      <c r="W150" s="0" t="n">
        <v>1.1197</v>
      </c>
      <c r="X150" s="0" t="n">
        <v>-1.0991</v>
      </c>
      <c r="Y150" s="0" t="n">
        <v>0.5343</v>
      </c>
      <c r="Z150" s="0" t="n">
        <v>0.701</v>
      </c>
      <c r="AA150" s="0" t="n">
        <v>0.2527</v>
      </c>
      <c r="AB150" s="0" t="n">
        <v>-0.1293</v>
      </c>
      <c r="AC150" s="0" t="n">
        <v>-0.5887</v>
      </c>
      <c r="AD150" s="0" t="n">
        <v>-3.1887</v>
      </c>
      <c r="AE150" s="0" t="n">
        <v>0.4749</v>
      </c>
      <c r="AG150" s="9" t="n">
        <f aca="false">SUMPRODUCT(($B$2:$AE$2&lt;=Portafolio!$B$5)*EXP(LN(Portafolio!$B$7)+Portafolio!$B$6*B150:AE150))/1000</f>
        <v>2.57635259056659</v>
      </c>
    </row>
    <row r="151" customFormat="false" ht="15" hidden="false" customHeight="false" outlineLevel="0" collapsed="false">
      <c r="A151" s="0" t="n">
        <v>149</v>
      </c>
      <c r="B151" s="0" t="n">
        <v>-1.2558</v>
      </c>
      <c r="C151" s="0" t="n">
        <v>-1.0351</v>
      </c>
      <c r="D151" s="0" t="n">
        <v>0.343</v>
      </c>
      <c r="E151" s="0" t="n">
        <v>-2.6055</v>
      </c>
      <c r="F151" s="0" t="n">
        <v>-0.7637</v>
      </c>
      <c r="G151" s="0" t="n">
        <v>0.6512</v>
      </c>
      <c r="H151" s="0" t="n">
        <v>0.0069</v>
      </c>
      <c r="I151" s="0" t="n">
        <v>-0.2272</v>
      </c>
      <c r="J151" s="0" t="n">
        <v>-0.7806</v>
      </c>
      <c r="K151" s="0" t="n">
        <v>0.1553</v>
      </c>
      <c r="L151" s="0" t="n">
        <v>-1.5221</v>
      </c>
      <c r="M151" s="0" t="n">
        <v>-0.5669</v>
      </c>
      <c r="N151" s="0" t="n">
        <v>0.7644</v>
      </c>
      <c r="O151" s="0" t="n">
        <v>-0.911</v>
      </c>
      <c r="P151" s="0" t="n">
        <v>-0.1455</v>
      </c>
      <c r="Q151" s="0" t="n">
        <v>-0.3792</v>
      </c>
      <c r="R151" s="0" t="n">
        <v>-1.239</v>
      </c>
      <c r="S151" s="0" t="n">
        <v>-1.9426</v>
      </c>
      <c r="T151" s="0" t="n">
        <v>-0.8691</v>
      </c>
      <c r="U151" s="0" t="n">
        <v>-0.7697</v>
      </c>
      <c r="V151" s="0" t="n">
        <v>-1.0278</v>
      </c>
      <c r="W151" s="0" t="n">
        <v>-0.0708</v>
      </c>
      <c r="X151" s="0" t="n">
        <v>0.286</v>
      </c>
      <c r="Y151" s="0" t="n">
        <v>0.5981</v>
      </c>
      <c r="Z151" s="0" t="n">
        <v>0.3334</v>
      </c>
      <c r="AA151" s="0" t="n">
        <v>-1.1572</v>
      </c>
      <c r="AB151" s="0" t="n">
        <v>1.3416</v>
      </c>
      <c r="AC151" s="0" t="n">
        <v>0.3307</v>
      </c>
      <c r="AD151" s="0" t="n">
        <v>0.7042</v>
      </c>
      <c r="AE151" s="0" t="n">
        <v>-1.2689</v>
      </c>
      <c r="AG151" s="9" t="n">
        <f aca="false">SUMPRODUCT(($B$2:$AE$2&lt;=Portafolio!$B$5)*EXP(LN(Portafolio!$B$7)+Portafolio!$B$6*B151:AE151))/1000</f>
        <v>1.51545644060637</v>
      </c>
    </row>
    <row r="152" customFormat="false" ht="15" hidden="false" customHeight="false" outlineLevel="0" collapsed="false">
      <c r="A152" s="0" t="n">
        <v>150</v>
      </c>
      <c r="B152" s="0" t="n">
        <v>1.0454</v>
      </c>
      <c r="C152" s="0" t="n">
        <v>2.2305</v>
      </c>
      <c r="D152" s="0" t="n">
        <v>0.494</v>
      </c>
      <c r="E152" s="0" t="n">
        <v>1.0843</v>
      </c>
      <c r="F152" s="0" t="n">
        <v>-0.5832</v>
      </c>
      <c r="G152" s="0" t="n">
        <v>0.1498</v>
      </c>
      <c r="H152" s="0" t="n">
        <v>-0.0679</v>
      </c>
      <c r="I152" s="0" t="n">
        <v>0.6386</v>
      </c>
      <c r="J152" s="0" t="n">
        <v>0.1435</v>
      </c>
      <c r="K152" s="0" t="n">
        <v>0.2519</v>
      </c>
      <c r="L152" s="0" t="n">
        <v>-0.9042</v>
      </c>
      <c r="M152" s="0" t="n">
        <v>-1.1738</v>
      </c>
      <c r="N152" s="0" t="n">
        <v>-0.025</v>
      </c>
      <c r="O152" s="0" t="n">
        <v>2.4616</v>
      </c>
      <c r="P152" s="0" t="n">
        <v>-0.9784</v>
      </c>
      <c r="Q152" s="0" t="n">
        <v>0.5116</v>
      </c>
      <c r="R152" s="0" t="n">
        <v>1.299</v>
      </c>
      <c r="S152" s="0" t="n">
        <v>-0.638</v>
      </c>
      <c r="T152" s="0" t="n">
        <v>-1.6198</v>
      </c>
      <c r="U152" s="0" t="n">
        <v>0.3532</v>
      </c>
      <c r="V152" s="0" t="n">
        <v>-0.052</v>
      </c>
      <c r="W152" s="0" t="n">
        <v>-0.8568</v>
      </c>
      <c r="X152" s="0" t="n">
        <v>1.4697</v>
      </c>
      <c r="Y152" s="0" t="n">
        <v>0.6888</v>
      </c>
      <c r="Z152" s="0" t="n">
        <v>-0.0175</v>
      </c>
      <c r="AA152" s="0" t="n">
        <v>-1.3544</v>
      </c>
      <c r="AB152" s="0" t="n">
        <v>1.225</v>
      </c>
      <c r="AC152" s="0" t="n">
        <v>1.1077</v>
      </c>
      <c r="AD152" s="0" t="n">
        <v>0.8084</v>
      </c>
      <c r="AE152" s="0" t="n">
        <v>1.5947</v>
      </c>
      <c r="AG152" s="9" t="n">
        <f aca="false">SUMPRODUCT(($B$2:$AE$2&lt;=Portafolio!$B$5)*EXP(LN(Portafolio!$B$7)+Portafolio!$B$6*B152:AE152))/1000</f>
        <v>2.82577656583878</v>
      </c>
    </row>
    <row r="153" customFormat="false" ht="15" hidden="false" customHeight="false" outlineLevel="0" collapsed="false">
      <c r="A153" s="0" t="n">
        <v>151</v>
      </c>
      <c r="B153" s="0" t="n">
        <v>-1.0259</v>
      </c>
      <c r="C153" s="0" t="n">
        <v>-0.986</v>
      </c>
      <c r="D153" s="0" t="n">
        <v>0.849</v>
      </c>
      <c r="E153" s="0" t="n">
        <v>0.4328</v>
      </c>
      <c r="F153" s="0" t="n">
        <v>-0.052</v>
      </c>
      <c r="G153" s="0" t="n">
        <v>-0.4828</v>
      </c>
      <c r="H153" s="0" t="n">
        <v>1.0025</v>
      </c>
      <c r="I153" s="0" t="n">
        <v>0.2479</v>
      </c>
      <c r="J153" s="0" t="n">
        <v>0.8474</v>
      </c>
      <c r="K153" s="0" t="n">
        <v>-1.1265</v>
      </c>
      <c r="L153" s="0" t="n">
        <v>0.0519</v>
      </c>
      <c r="M153" s="0" t="n">
        <v>0.4097</v>
      </c>
      <c r="N153" s="0" t="n">
        <v>0.9985</v>
      </c>
      <c r="O153" s="0" t="n">
        <v>-1.6434</v>
      </c>
      <c r="P153" s="0" t="n">
        <v>-0.2055</v>
      </c>
      <c r="Q153" s="0" t="n">
        <v>-0.6491</v>
      </c>
      <c r="R153" s="0" t="n">
        <v>0.0007</v>
      </c>
      <c r="S153" s="0" t="n">
        <v>-0.1404</v>
      </c>
      <c r="T153" s="0" t="n">
        <v>0.4117</v>
      </c>
      <c r="U153" s="0" t="n">
        <v>0.7759</v>
      </c>
      <c r="V153" s="0" t="n">
        <v>0.2593</v>
      </c>
      <c r="W153" s="0" t="n">
        <v>-0.0721</v>
      </c>
      <c r="X153" s="0" t="n">
        <v>0.865</v>
      </c>
      <c r="Y153" s="0" t="n">
        <v>1.3785</v>
      </c>
      <c r="Z153" s="0" t="n">
        <v>0.0609</v>
      </c>
      <c r="AA153" s="0" t="n">
        <v>-0.7876</v>
      </c>
      <c r="AB153" s="0" t="n">
        <v>1.7405</v>
      </c>
      <c r="AC153" s="0" t="n">
        <v>0.9042</v>
      </c>
      <c r="AD153" s="0" t="n">
        <v>2.1498</v>
      </c>
      <c r="AE153" s="0" t="n">
        <v>-0.4051</v>
      </c>
      <c r="AG153" s="9" t="n">
        <f aca="false">SUMPRODUCT(($B$2:$AE$2&lt;=Portafolio!$B$5)*EXP(LN(Portafolio!$B$7)+Portafolio!$B$6*B153:AE153))/1000</f>
        <v>2.17869618734412</v>
      </c>
    </row>
    <row r="154" customFormat="false" ht="15" hidden="false" customHeight="false" outlineLevel="0" collapsed="false">
      <c r="A154" s="0" t="n">
        <v>152</v>
      </c>
      <c r="B154" s="0" t="n">
        <v>-0.3857</v>
      </c>
      <c r="C154" s="0" t="n">
        <v>-0.1699</v>
      </c>
      <c r="D154" s="0" t="n">
        <v>-0.0898</v>
      </c>
      <c r="E154" s="0" t="n">
        <v>-1.445</v>
      </c>
      <c r="F154" s="0" t="n">
        <v>0.8271</v>
      </c>
      <c r="G154" s="0" t="n">
        <v>-1.4715</v>
      </c>
      <c r="H154" s="0" t="n">
        <v>-2.7408</v>
      </c>
      <c r="I154" s="0" t="n">
        <v>-0.0475</v>
      </c>
      <c r="J154" s="0" t="n">
        <v>-1.0558</v>
      </c>
      <c r="K154" s="0" t="n">
        <v>0.2583</v>
      </c>
      <c r="L154" s="0" t="n">
        <v>-1.1466</v>
      </c>
      <c r="M154" s="0" t="n">
        <v>-1.3379</v>
      </c>
      <c r="N154" s="0" t="n">
        <v>-2.0273</v>
      </c>
      <c r="O154" s="0" t="n">
        <v>-1.2443</v>
      </c>
      <c r="P154" s="0" t="n">
        <v>-0.2878</v>
      </c>
      <c r="Q154" s="0" t="n">
        <v>2.1099</v>
      </c>
      <c r="R154" s="0" t="n">
        <v>0.6652</v>
      </c>
      <c r="S154" s="0" t="n">
        <v>-0.6382</v>
      </c>
      <c r="T154" s="0" t="n">
        <v>1.3342</v>
      </c>
      <c r="U154" s="0" t="n">
        <v>0.2424</v>
      </c>
      <c r="V154" s="0" t="n">
        <v>-1.8509</v>
      </c>
      <c r="W154" s="0" t="n">
        <v>-1.7324</v>
      </c>
      <c r="X154" s="0" t="n">
        <v>-1.4988</v>
      </c>
      <c r="Y154" s="0" t="n">
        <v>-0.5736</v>
      </c>
      <c r="Z154" s="0" t="n">
        <v>0.0362</v>
      </c>
      <c r="AA154" s="0" t="n">
        <v>-0.6065</v>
      </c>
      <c r="AB154" s="0" t="n">
        <v>-0.5362</v>
      </c>
      <c r="AC154" s="0" t="n">
        <v>-0.9308</v>
      </c>
      <c r="AD154" s="0" t="n">
        <v>0.169</v>
      </c>
      <c r="AE154" s="0" t="n">
        <v>0.7835</v>
      </c>
      <c r="AG154" s="9" t="n">
        <f aca="false">SUMPRODUCT(($B$2:$AE$2&lt;=Portafolio!$B$5)*EXP(LN(Portafolio!$B$7)+Portafolio!$B$6*B154:AE154))/1000</f>
        <v>1.96482296732644</v>
      </c>
    </row>
    <row r="155" customFormat="false" ht="15" hidden="false" customHeight="false" outlineLevel="0" collapsed="false">
      <c r="A155" s="0" t="n">
        <v>153</v>
      </c>
      <c r="B155" s="0" t="n">
        <v>-1.0595</v>
      </c>
      <c r="C155" s="0" t="n">
        <v>1.2375</v>
      </c>
      <c r="D155" s="0" t="n">
        <v>-0.8326</v>
      </c>
      <c r="E155" s="0" t="n">
        <v>-0.2825</v>
      </c>
      <c r="F155" s="0" t="n">
        <v>1.6548</v>
      </c>
      <c r="G155" s="0" t="n">
        <v>0.5989</v>
      </c>
      <c r="H155" s="0" t="n">
        <v>0.0459</v>
      </c>
      <c r="I155" s="0" t="n">
        <v>-1.902</v>
      </c>
      <c r="J155" s="0" t="n">
        <v>0.0816</v>
      </c>
      <c r="K155" s="0" t="n">
        <v>-0.3521</v>
      </c>
      <c r="L155" s="0" t="n">
        <v>-0.2169</v>
      </c>
      <c r="M155" s="0" t="n">
        <v>1.0933</v>
      </c>
      <c r="N155" s="0" t="n">
        <v>-0.5424</v>
      </c>
      <c r="O155" s="0" t="n">
        <v>1.7829</v>
      </c>
      <c r="P155" s="0" t="n">
        <v>0.0482</v>
      </c>
      <c r="Q155" s="0" t="n">
        <v>0.1642</v>
      </c>
      <c r="R155" s="0" t="n">
        <v>-0.3069</v>
      </c>
      <c r="S155" s="0" t="n">
        <v>0.0973</v>
      </c>
      <c r="T155" s="0" t="n">
        <v>1.3432</v>
      </c>
      <c r="U155" s="0" t="n">
        <v>0.2439</v>
      </c>
      <c r="V155" s="0" t="n">
        <v>-0.9906</v>
      </c>
      <c r="W155" s="0" t="n">
        <v>-0.7625</v>
      </c>
      <c r="X155" s="0" t="n">
        <v>1.1593</v>
      </c>
      <c r="Y155" s="0" t="n">
        <v>0.5486</v>
      </c>
      <c r="Z155" s="0" t="n">
        <v>-0.8433</v>
      </c>
      <c r="AA155" s="0" t="n">
        <v>-0.1221</v>
      </c>
      <c r="AB155" s="0" t="n">
        <v>0.0978</v>
      </c>
      <c r="AC155" s="0" t="n">
        <v>0.5738</v>
      </c>
      <c r="AD155" s="0" t="n">
        <v>-0.9507</v>
      </c>
      <c r="AE155" s="0" t="n">
        <v>0.1008</v>
      </c>
      <c r="AG155" s="9" t="n">
        <f aca="false">SUMPRODUCT(($B$2:$AE$2&lt;=Portafolio!$B$5)*EXP(LN(Portafolio!$B$7)+Portafolio!$B$6*B155:AE155))/1000</f>
        <v>2.52831055740891</v>
      </c>
    </row>
    <row r="156" customFormat="false" ht="15" hidden="false" customHeight="false" outlineLevel="0" collapsed="false">
      <c r="A156" s="0" t="n">
        <v>154</v>
      </c>
      <c r="B156" s="0" t="n">
        <v>-1.2866</v>
      </c>
      <c r="C156" s="0" t="n">
        <v>-0.7659</v>
      </c>
      <c r="D156" s="0" t="n">
        <v>-0.2234</v>
      </c>
      <c r="E156" s="0" t="n">
        <v>1.3487</v>
      </c>
      <c r="F156" s="0" t="n">
        <v>-0.0867</v>
      </c>
      <c r="G156" s="0" t="n">
        <v>1.6524</v>
      </c>
      <c r="H156" s="0" t="n">
        <v>0.3823</v>
      </c>
      <c r="I156" s="0" t="n">
        <v>1.2878</v>
      </c>
      <c r="J156" s="0" t="n">
        <v>-0.155</v>
      </c>
      <c r="K156" s="0" t="n">
        <v>-1.7858</v>
      </c>
      <c r="L156" s="0" t="n">
        <v>-2.1636</v>
      </c>
      <c r="M156" s="0" t="n">
        <v>-0.4242</v>
      </c>
      <c r="N156" s="0" t="n">
        <v>1.7667</v>
      </c>
      <c r="O156" s="0" t="n">
        <v>-0.1539</v>
      </c>
      <c r="P156" s="0" t="n">
        <v>-0.4971</v>
      </c>
      <c r="Q156" s="0" t="n">
        <v>0.6106</v>
      </c>
      <c r="R156" s="0" t="n">
        <v>-0.3672</v>
      </c>
      <c r="S156" s="0" t="n">
        <v>-0.3741</v>
      </c>
      <c r="T156" s="0" t="n">
        <v>0.1974</v>
      </c>
      <c r="U156" s="0" t="n">
        <v>0.3994</v>
      </c>
      <c r="V156" s="0" t="n">
        <v>-0.5773</v>
      </c>
      <c r="W156" s="0" t="n">
        <v>-0.8039</v>
      </c>
      <c r="X156" s="0" t="n">
        <v>1.5963</v>
      </c>
      <c r="Y156" s="0" t="n">
        <v>-0.8582</v>
      </c>
      <c r="Z156" s="0" t="n">
        <v>-0.8946</v>
      </c>
      <c r="AA156" s="0" t="n">
        <v>-0.18</v>
      </c>
      <c r="AB156" s="0" t="n">
        <v>-0.1405</v>
      </c>
      <c r="AC156" s="0" t="n">
        <v>0.2963</v>
      </c>
      <c r="AD156" s="0" t="n">
        <v>1.5547</v>
      </c>
      <c r="AE156" s="0" t="n">
        <v>1.3008</v>
      </c>
      <c r="AG156" s="9" t="n">
        <f aca="false">SUMPRODUCT(($B$2:$AE$2&lt;=Portafolio!$B$5)*EXP(LN(Portafolio!$B$7)+Portafolio!$B$6*B156:AE156))/1000</f>
        <v>2.35647596591686</v>
      </c>
    </row>
    <row r="157" customFormat="false" ht="15" hidden="false" customHeight="false" outlineLevel="0" collapsed="false">
      <c r="A157" s="0" t="n">
        <v>155</v>
      </c>
      <c r="B157" s="0" t="n">
        <v>-0.0383</v>
      </c>
      <c r="C157" s="0" t="n">
        <v>0.123</v>
      </c>
      <c r="D157" s="0" t="n">
        <v>0.9706</v>
      </c>
      <c r="E157" s="0" t="n">
        <v>-0.1217</v>
      </c>
      <c r="F157" s="0" t="n">
        <v>0.1698</v>
      </c>
      <c r="G157" s="0" t="n">
        <v>-1.0854</v>
      </c>
      <c r="H157" s="0" t="n">
        <v>0.4015</v>
      </c>
      <c r="I157" s="0" t="n">
        <v>-0.0807</v>
      </c>
      <c r="J157" s="0" t="n">
        <v>-1.4235</v>
      </c>
      <c r="K157" s="0" t="n">
        <v>0.241</v>
      </c>
      <c r="L157" s="0" t="n">
        <v>2.2067</v>
      </c>
      <c r="M157" s="0" t="n">
        <v>0.3417</v>
      </c>
      <c r="N157" s="0" t="n">
        <v>-0.7933</v>
      </c>
      <c r="O157" s="0" t="n">
        <v>1.2792</v>
      </c>
      <c r="P157" s="0" t="n">
        <v>0.3555</v>
      </c>
      <c r="Q157" s="0" t="n">
        <v>0.1924</v>
      </c>
      <c r="R157" s="0" t="n">
        <v>1.5094</v>
      </c>
      <c r="S157" s="0" t="n">
        <v>0.9115</v>
      </c>
      <c r="T157" s="0" t="n">
        <v>2.0801</v>
      </c>
      <c r="U157" s="0" t="n">
        <v>-0.7916</v>
      </c>
      <c r="V157" s="0" t="n">
        <v>-0.4295</v>
      </c>
      <c r="W157" s="0" t="n">
        <v>-0.0838</v>
      </c>
      <c r="X157" s="0" t="n">
        <v>0.2024</v>
      </c>
      <c r="Y157" s="0" t="n">
        <v>-1.172</v>
      </c>
      <c r="Z157" s="0" t="n">
        <v>0.2873</v>
      </c>
      <c r="AA157" s="0" t="n">
        <v>-1.3888</v>
      </c>
      <c r="AB157" s="0" t="n">
        <v>-0.56</v>
      </c>
      <c r="AC157" s="0" t="n">
        <v>-0.2476</v>
      </c>
      <c r="AD157" s="0" t="n">
        <v>0.2572</v>
      </c>
      <c r="AE157" s="0" t="n">
        <v>0.3227</v>
      </c>
      <c r="AG157" s="9" t="n">
        <f aca="false">SUMPRODUCT(($B$2:$AE$2&lt;=Portafolio!$B$5)*EXP(LN(Portafolio!$B$7)+Portafolio!$B$6*B157:AE157))/1000</f>
        <v>2.86374907493884</v>
      </c>
    </row>
    <row r="158" customFormat="false" ht="15" hidden="false" customHeight="false" outlineLevel="0" collapsed="false">
      <c r="A158" s="0" t="n">
        <v>156</v>
      </c>
      <c r="B158" s="0" t="n">
        <v>-0.752</v>
      </c>
      <c r="C158" s="0" t="n">
        <v>0.3413</v>
      </c>
      <c r="D158" s="0" t="n">
        <v>0.3034</v>
      </c>
      <c r="E158" s="0" t="n">
        <v>-0.0898</v>
      </c>
      <c r="F158" s="0" t="n">
        <v>0.0292</v>
      </c>
      <c r="G158" s="0" t="n">
        <v>-0.5045</v>
      </c>
      <c r="H158" s="0" t="n">
        <v>1.8039</v>
      </c>
      <c r="I158" s="0" t="n">
        <v>1.3674</v>
      </c>
      <c r="J158" s="0" t="n">
        <v>0.255</v>
      </c>
      <c r="K158" s="0" t="n">
        <v>1.3201</v>
      </c>
      <c r="L158" s="0" t="n">
        <v>-0.8695</v>
      </c>
      <c r="M158" s="0" t="n">
        <v>-0.5129</v>
      </c>
      <c r="N158" s="0" t="n">
        <v>-0.3234</v>
      </c>
      <c r="O158" s="0" t="n">
        <v>0.4452</v>
      </c>
      <c r="P158" s="0" t="n">
        <v>-0.3228</v>
      </c>
      <c r="Q158" s="0" t="n">
        <v>-0.9089</v>
      </c>
      <c r="R158" s="0" t="n">
        <v>-1.4894</v>
      </c>
      <c r="S158" s="0" t="n">
        <v>-1.0944</v>
      </c>
      <c r="T158" s="0" t="n">
        <v>0.9323</v>
      </c>
      <c r="U158" s="0" t="n">
        <v>0.4816</v>
      </c>
      <c r="V158" s="0" t="n">
        <v>-1.3973</v>
      </c>
      <c r="W158" s="0" t="n">
        <v>1.8516</v>
      </c>
      <c r="X158" s="0" t="n">
        <v>-0.48</v>
      </c>
      <c r="Y158" s="0" t="n">
        <v>-0.4565</v>
      </c>
      <c r="Z158" s="0" t="n">
        <v>-0.1655</v>
      </c>
      <c r="AA158" s="0" t="n">
        <v>0.0442</v>
      </c>
      <c r="AB158" s="0" t="n">
        <v>-0.3789</v>
      </c>
      <c r="AC158" s="0" t="n">
        <v>-0.0338</v>
      </c>
      <c r="AD158" s="0" t="n">
        <v>0.7711</v>
      </c>
      <c r="AE158" s="0" t="n">
        <v>0.9084</v>
      </c>
      <c r="AG158" s="9" t="n">
        <f aca="false">SUMPRODUCT(($B$2:$AE$2&lt;=Portafolio!$B$5)*EXP(LN(Portafolio!$B$7)+Portafolio!$B$6*B158:AE158))/1000</f>
        <v>2.3238549665967</v>
      </c>
    </row>
    <row r="159" customFormat="false" ht="15" hidden="false" customHeight="false" outlineLevel="0" collapsed="false">
      <c r="A159" s="0" t="n">
        <v>157</v>
      </c>
      <c r="B159" s="0" t="n">
        <v>-0.6722</v>
      </c>
      <c r="C159" s="0" t="n">
        <v>-0.1636</v>
      </c>
      <c r="D159" s="0" t="n">
        <v>-0.7483</v>
      </c>
      <c r="E159" s="0" t="n">
        <v>-0.4321</v>
      </c>
      <c r="F159" s="0" t="n">
        <v>-0.0961</v>
      </c>
      <c r="G159" s="0" t="n">
        <v>-0.3136</v>
      </c>
      <c r="H159" s="0" t="n">
        <v>0.593</v>
      </c>
      <c r="I159" s="0" t="n">
        <v>-0.9165</v>
      </c>
      <c r="J159" s="0" t="n">
        <v>0.3863</v>
      </c>
      <c r="K159" s="0" t="n">
        <v>0.7337</v>
      </c>
      <c r="L159" s="0" t="n">
        <v>-0.3101</v>
      </c>
      <c r="M159" s="0" t="n">
        <v>-0.3217</v>
      </c>
      <c r="N159" s="0" t="n">
        <v>0.6023</v>
      </c>
      <c r="O159" s="0" t="n">
        <v>-0.3701</v>
      </c>
      <c r="P159" s="0" t="n">
        <v>-0.3286</v>
      </c>
      <c r="Q159" s="0" t="n">
        <v>0.2067</v>
      </c>
      <c r="R159" s="0" t="n">
        <v>-2.4568</v>
      </c>
      <c r="S159" s="0" t="n">
        <v>0.6929</v>
      </c>
      <c r="T159" s="0" t="n">
        <v>0.2423</v>
      </c>
      <c r="U159" s="0" t="n">
        <v>0.5779</v>
      </c>
      <c r="V159" s="0" t="n">
        <v>-1.368</v>
      </c>
      <c r="W159" s="0" t="n">
        <v>-0.4148</v>
      </c>
      <c r="X159" s="0" t="n">
        <v>0.438</v>
      </c>
      <c r="Y159" s="0" t="n">
        <v>0.5503</v>
      </c>
      <c r="Z159" s="0" t="n">
        <v>-0.587</v>
      </c>
      <c r="AA159" s="0" t="n">
        <v>-0.4503</v>
      </c>
      <c r="AB159" s="0" t="n">
        <v>1.5168</v>
      </c>
      <c r="AC159" s="0" t="n">
        <v>0.2665</v>
      </c>
      <c r="AD159" s="0" t="n">
        <v>1.2273</v>
      </c>
      <c r="AE159" s="0" t="n">
        <v>-1.3324</v>
      </c>
      <c r="AG159" s="9" t="n">
        <f aca="false">SUMPRODUCT(($B$2:$AE$2&lt;=Portafolio!$B$5)*EXP(LN(Portafolio!$B$7)+Portafolio!$B$6*B159:AE159))/1000</f>
        <v>1.9734549149934</v>
      </c>
    </row>
    <row r="160" customFormat="false" ht="15" hidden="false" customHeight="false" outlineLevel="0" collapsed="false">
      <c r="A160" s="0" t="n">
        <v>158</v>
      </c>
      <c r="B160" s="0" t="n">
        <v>0.4243</v>
      </c>
      <c r="C160" s="0" t="n">
        <v>-0.546</v>
      </c>
      <c r="D160" s="0" t="n">
        <v>-0.4981</v>
      </c>
      <c r="E160" s="0" t="n">
        <v>1.2588</v>
      </c>
      <c r="F160" s="0" t="n">
        <v>-1.047</v>
      </c>
      <c r="G160" s="0" t="n">
        <v>-0.9334</v>
      </c>
      <c r="H160" s="0" t="n">
        <v>-0.6895</v>
      </c>
      <c r="I160" s="0" t="n">
        <v>-0.2389</v>
      </c>
      <c r="J160" s="0" t="n">
        <v>0.0304</v>
      </c>
      <c r="K160" s="0" t="n">
        <v>0.4194</v>
      </c>
      <c r="L160" s="0" t="n">
        <v>1.2342</v>
      </c>
      <c r="M160" s="0" t="n">
        <v>0.4663</v>
      </c>
      <c r="N160" s="0" t="n">
        <v>1.752</v>
      </c>
      <c r="O160" s="0" t="n">
        <v>1.0558</v>
      </c>
      <c r="P160" s="0" t="n">
        <v>0.544</v>
      </c>
      <c r="Q160" s="0" t="n">
        <v>-0.1433</v>
      </c>
      <c r="R160" s="0" t="n">
        <v>1.3667</v>
      </c>
      <c r="S160" s="0" t="n">
        <v>-0.2968</v>
      </c>
      <c r="T160" s="0" t="n">
        <v>0.9826</v>
      </c>
      <c r="U160" s="0" t="n">
        <v>0.0353</v>
      </c>
      <c r="V160" s="0" t="n">
        <v>-0.5525</v>
      </c>
      <c r="W160" s="0" t="n">
        <v>0.659</v>
      </c>
      <c r="X160" s="0" t="n">
        <v>0.6814</v>
      </c>
      <c r="Y160" s="0" t="n">
        <v>0.306</v>
      </c>
      <c r="Z160" s="0" t="n">
        <v>1.0843</v>
      </c>
      <c r="AA160" s="0" t="n">
        <v>0.1184</v>
      </c>
      <c r="AB160" s="0" t="n">
        <v>-0.7212</v>
      </c>
      <c r="AC160" s="0" t="n">
        <v>0.0834</v>
      </c>
      <c r="AD160" s="0" t="n">
        <v>1.8517</v>
      </c>
      <c r="AE160" s="0" t="n">
        <v>-0.9545</v>
      </c>
      <c r="AG160" s="9" t="n">
        <f aca="false">SUMPRODUCT(($B$2:$AE$2&lt;=Portafolio!$B$5)*EXP(LN(Portafolio!$B$7)+Portafolio!$B$6*B160:AE160))/1000</f>
        <v>2.62180846123341</v>
      </c>
    </row>
    <row r="161" customFormat="false" ht="15" hidden="false" customHeight="false" outlineLevel="0" collapsed="false">
      <c r="A161" s="0" t="n">
        <v>159</v>
      </c>
      <c r="B161" s="0" t="n">
        <v>-1.7988</v>
      </c>
      <c r="C161" s="0" t="n">
        <v>0.0047</v>
      </c>
      <c r="D161" s="0" t="n">
        <v>-1.0112</v>
      </c>
      <c r="E161" s="0" t="n">
        <v>1.3315</v>
      </c>
      <c r="F161" s="0" t="n">
        <v>0.1621</v>
      </c>
      <c r="G161" s="0" t="n">
        <v>-0.9173</v>
      </c>
      <c r="H161" s="0" t="n">
        <v>-0.0568</v>
      </c>
      <c r="I161" s="0" t="n">
        <v>-0.9287</v>
      </c>
      <c r="J161" s="0" t="n">
        <v>0.4839</v>
      </c>
      <c r="K161" s="0" t="n">
        <v>0.9231</v>
      </c>
      <c r="L161" s="0" t="n">
        <v>1.2025</v>
      </c>
      <c r="M161" s="0" t="n">
        <v>1.0423</v>
      </c>
      <c r="N161" s="0" t="n">
        <v>-0.0128</v>
      </c>
      <c r="O161" s="0" t="n">
        <v>1.1733</v>
      </c>
      <c r="P161" s="0" t="n">
        <v>0.4872</v>
      </c>
      <c r="Q161" s="0" t="n">
        <v>-1.2598</v>
      </c>
      <c r="R161" s="0" t="n">
        <v>1.3517</v>
      </c>
      <c r="S161" s="0" t="n">
        <v>-0.8721</v>
      </c>
      <c r="T161" s="0" t="n">
        <v>-0.58</v>
      </c>
      <c r="U161" s="0" t="n">
        <v>-1.5375</v>
      </c>
      <c r="V161" s="0" t="n">
        <v>-0.8169</v>
      </c>
      <c r="W161" s="0" t="n">
        <v>-2.0864</v>
      </c>
      <c r="X161" s="0" t="n">
        <v>-1.2184</v>
      </c>
      <c r="Y161" s="0" t="n">
        <v>-0.8232</v>
      </c>
      <c r="Z161" s="0" t="n">
        <v>-1.1754</v>
      </c>
      <c r="AA161" s="0" t="n">
        <v>-0.3814</v>
      </c>
      <c r="AB161" s="0" t="n">
        <v>0.7878</v>
      </c>
      <c r="AC161" s="0" t="n">
        <v>-0.3047</v>
      </c>
      <c r="AD161" s="0" t="n">
        <v>0.4334</v>
      </c>
      <c r="AE161" s="0" t="n">
        <v>1.0968</v>
      </c>
      <c r="AG161" s="9" t="n">
        <f aca="false">SUMPRODUCT(($B$2:$AE$2&lt;=Portafolio!$B$5)*EXP(LN(Portafolio!$B$7)+Portafolio!$B$6*B161:AE161))/1000</f>
        <v>2.31020487120318</v>
      </c>
    </row>
    <row r="162" customFormat="false" ht="15" hidden="false" customHeight="false" outlineLevel="0" collapsed="false">
      <c r="A162" s="0" t="n">
        <v>160</v>
      </c>
      <c r="B162" s="0" t="n">
        <v>-0.5979</v>
      </c>
      <c r="C162" s="0" t="n">
        <v>1.4652</v>
      </c>
      <c r="D162" s="0" t="n">
        <v>-0.0419</v>
      </c>
      <c r="E162" s="0" t="n">
        <v>-0.0481</v>
      </c>
      <c r="F162" s="0" t="n">
        <v>0.3551</v>
      </c>
      <c r="G162" s="0" t="n">
        <v>1.3434</v>
      </c>
      <c r="H162" s="0" t="n">
        <v>-1.1998</v>
      </c>
      <c r="I162" s="0" t="n">
        <v>0.9161</v>
      </c>
      <c r="J162" s="0" t="n">
        <v>-0.477</v>
      </c>
      <c r="K162" s="0" t="n">
        <v>0.0926</v>
      </c>
      <c r="L162" s="0" t="n">
        <v>-0.9984</v>
      </c>
      <c r="M162" s="0" t="n">
        <v>-2.5032</v>
      </c>
      <c r="N162" s="0" t="n">
        <v>1.1597</v>
      </c>
      <c r="O162" s="0" t="n">
        <v>0.7549</v>
      </c>
      <c r="P162" s="0" t="n">
        <v>-1.042</v>
      </c>
      <c r="Q162" s="0" t="n">
        <v>-0.9006</v>
      </c>
      <c r="R162" s="0" t="n">
        <v>-1.1881</v>
      </c>
      <c r="S162" s="0" t="n">
        <v>-0.0404</v>
      </c>
      <c r="T162" s="0" t="n">
        <v>2.0234</v>
      </c>
      <c r="U162" s="0" t="n">
        <v>-0.1357</v>
      </c>
      <c r="V162" s="0" t="n">
        <v>-1.6795</v>
      </c>
      <c r="W162" s="0" t="n">
        <v>0.731</v>
      </c>
      <c r="X162" s="0" t="n">
        <v>-0.8962</v>
      </c>
      <c r="Y162" s="0" t="n">
        <v>-1.5712</v>
      </c>
      <c r="Z162" s="0" t="n">
        <v>0.3848</v>
      </c>
      <c r="AA162" s="0" t="n">
        <v>-0.005</v>
      </c>
      <c r="AB162" s="0" t="n">
        <v>0.1711</v>
      </c>
      <c r="AC162" s="0" t="n">
        <v>0.7063</v>
      </c>
      <c r="AD162" s="0" t="n">
        <v>0.9487</v>
      </c>
      <c r="AE162" s="0" t="n">
        <v>-2.0631</v>
      </c>
      <c r="AG162" s="9" t="n">
        <f aca="false">SUMPRODUCT(($B$2:$AE$2&lt;=Portafolio!$B$5)*EXP(LN(Portafolio!$B$7)+Portafolio!$B$6*B162:AE162))/1000</f>
        <v>2.37814374371872</v>
      </c>
    </row>
    <row r="163" customFormat="false" ht="15" hidden="false" customHeight="false" outlineLevel="0" collapsed="false">
      <c r="A163" s="0" t="n">
        <v>161</v>
      </c>
      <c r="B163" s="0" t="n">
        <v>0.1707</v>
      </c>
      <c r="C163" s="0" t="n">
        <v>1.1401</v>
      </c>
      <c r="D163" s="0" t="n">
        <v>1.2308</v>
      </c>
      <c r="E163" s="0" t="n">
        <v>-1.0241</v>
      </c>
      <c r="F163" s="0" t="n">
        <v>-1.8081</v>
      </c>
      <c r="G163" s="0" t="n">
        <v>-1.0985</v>
      </c>
      <c r="H163" s="0" t="n">
        <v>0.3877</v>
      </c>
      <c r="I163" s="0" t="n">
        <v>-0.2014</v>
      </c>
      <c r="J163" s="0" t="n">
        <v>0.8109</v>
      </c>
      <c r="K163" s="0" t="n">
        <v>-0.1769</v>
      </c>
      <c r="L163" s="0" t="n">
        <v>-1.2587</v>
      </c>
      <c r="M163" s="0" t="n">
        <v>-1.1013</v>
      </c>
      <c r="N163" s="0" t="n">
        <v>-0.2325</v>
      </c>
      <c r="O163" s="0" t="n">
        <v>0.8231</v>
      </c>
      <c r="P163" s="0" t="n">
        <v>1.4667</v>
      </c>
      <c r="Q163" s="0" t="n">
        <v>-0.9914</v>
      </c>
      <c r="R163" s="0" t="n">
        <v>0.4389</v>
      </c>
      <c r="S163" s="0" t="n">
        <v>-0.0652</v>
      </c>
      <c r="T163" s="0" t="n">
        <v>-1.1498</v>
      </c>
      <c r="U163" s="0" t="n">
        <v>-1.1699</v>
      </c>
      <c r="V163" s="0" t="n">
        <v>1.5481</v>
      </c>
      <c r="W163" s="0" t="n">
        <v>-0.4348</v>
      </c>
      <c r="X163" s="0" t="n">
        <v>-0.0868</v>
      </c>
      <c r="Y163" s="0" t="n">
        <v>0.4529</v>
      </c>
      <c r="Z163" s="0" t="n">
        <v>0.3595</v>
      </c>
      <c r="AA163" s="0" t="n">
        <v>0.6858</v>
      </c>
      <c r="AB163" s="0" t="n">
        <v>-0.7974</v>
      </c>
      <c r="AC163" s="0" t="n">
        <v>-0.3787</v>
      </c>
      <c r="AD163" s="0" t="n">
        <v>0.2533</v>
      </c>
      <c r="AE163" s="0" t="n">
        <v>0.3423</v>
      </c>
      <c r="AG163" s="9" t="n">
        <f aca="false">SUMPRODUCT(($B$2:$AE$2&lt;=Portafolio!$B$5)*EXP(LN(Portafolio!$B$7)+Portafolio!$B$6*B163:AE163))/1000</f>
        <v>2.09703019638099</v>
      </c>
    </row>
    <row r="164" customFormat="false" ht="15" hidden="false" customHeight="false" outlineLevel="0" collapsed="false">
      <c r="A164" s="0" t="n">
        <v>162</v>
      </c>
      <c r="B164" s="0" t="n">
        <v>-0.7237</v>
      </c>
      <c r="C164" s="0" t="n">
        <v>-1.6877</v>
      </c>
      <c r="D164" s="0" t="n">
        <v>0.8574</v>
      </c>
      <c r="E164" s="0" t="n">
        <v>0.8406</v>
      </c>
      <c r="F164" s="0" t="n">
        <v>0.9389</v>
      </c>
      <c r="G164" s="0" t="n">
        <v>-0.1173</v>
      </c>
      <c r="H164" s="0" t="n">
        <v>-1.7817</v>
      </c>
      <c r="I164" s="0" t="n">
        <v>-0.3941</v>
      </c>
      <c r="J164" s="0" t="n">
        <v>2.0092</v>
      </c>
      <c r="K164" s="0" t="n">
        <v>0.301</v>
      </c>
      <c r="L164" s="0" t="n">
        <v>0.2487</v>
      </c>
      <c r="M164" s="0" t="n">
        <v>-1.6136</v>
      </c>
      <c r="N164" s="0" t="n">
        <v>-0.6418</v>
      </c>
      <c r="O164" s="0" t="n">
        <v>0.9703</v>
      </c>
      <c r="P164" s="0" t="n">
        <v>0.3313</v>
      </c>
      <c r="Q164" s="0" t="n">
        <v>-0.1299</v>
      </c>
      <c r="R164" s="0" t="n">
        <v>1.2432</v>
      </c>
      <c r="S164" s="0" t="n">
        <v>0.7059</v>
      </c>
      <c r="T164" s="0" t="n">
        <v>0.5431</v>
      </c>
      <c r="U164" s="0" t="n">
        <v>-0.1671</v>
      </c>
      <c r="V164" s="0" t="n">
        <v>0.4185</v>
      </c>
      <c r="W164" s="0" t="n">
        <v>1.0283</v>
      </c>
      <c r="X164" s="0" t="n">
        <v>0.3125</v>
      </c>
      <c r="Y164" s="0" t="n">
        <v>-1.2499</v>
      </c>
      <c r="Z164" s="0" t="n">
        <v>-0.1752</v>
      </c>
      <c r="AA164" s="0" t="n">
        <v>-0.2753</v>
      </c>
      <c r="AB164" s="0" t="n">
        <v>0.4155</v>
      </c>
      <c r="AC164" s="0" t="n">
        <v>1.2607</v>
      </c>
      <c r="AD164" s="0" t="n">
        <v>-0.0696</v>
      </c>
      <c r="AE164" s="0" t="n">
        <v>-0.432</v>
      </c>
      <c r="AG164" s="9" t="n">
        <f aca="false">SUMPRODUCT(($B$2:$AE$2&lt;=Portafolio!$B$5)*EXP(LN(Portafolio!$B$7)+Portafolio!$B$6*B164:AE164))/1000</f>
        <v>2.47789627615418</v>
      </c>
    </row>
    <row r="165" customFormat="false" ht="15" hidden="false" customHeight="false" outlineLevel="0" collapsed="false">
      <c r="A165" s="0" t="n">
        <v>163</v>
      </c>
      <c r="B165" s="0" t="n">
        <v>0.7318</v>
      </c>
      <c r="C165" s="0" t="n">
        <v>0.4684</v>
      </c>
      <c r="D165" s="0" t="n">
        <v>-0.7738</v>
      </c>
      <c r="E165" s="0" t="n">
        <v>0.4606</v>
      </c>
      <c r="F165" s="0" t="n">
        <v>0.1885</v>
      </c>
      <c r="G165" s="0" t="n">
        <v>0.344</v>
      </c>
      <c r="H165" s="0" t="n">
        <v>-1.5144</v>
      </c>
      <c r="I165" s="0" t="n">
        <v>-1.9616</v>
      </c>
      <c r="J165" s="0" t="n">
        <v>-1.4929</v>
      </c>
      <c r="K165" s="0" t="n">
        <v>-1.674</v>
      </c>
      <c r="L165" s="0" t="n">
        <v>0.9665</v>
      </c>
      <c r="M165" s="0" t="n">
        <v>0.9896</v>
      </c>
      <c r="N165" s="0" t="n">
        <v>-1.2804</v>
      </c>
      <c r="O165" s="0" t="n">
        <v>1.4546</v>
      </c>
      <c r="P165" s="0" t="n">
        <v>-1.1235</v>
      </c>
      <c r="Q165" s="0" t="n">
        <v>-0.8008</v>
      </c>
      <c r="R165" s="0" t="n">
        <v>2.1447</v>
      </c>
      <c r="S165" s="0" t="n">
        <v>-1.2775</v>
      </c>
      <c r="T165" s="0" t="n">
        <v>0.698</v>
      </c>
      <c r="U165" s="0" t="n">
        <v>0.8148</v>
      </c>
      <c r="V165" s="0" t="n">
        <v>1.102</v>
      </c>
      <c r="W165" s="0" t="n">
        <v>0.6551</v>
      </c>
      <c r="X165" s="0" t="n">
        <v>0.2503</v>
      </c>
      <c r="Y165" s="0" t="n">
        <v>1.5283</v>
      </c>
      <c r="Z165" s="0" t="n">
        <v>-0.0768</v>
      </c>
      <c r="AA165" s="0" t="n">
        <v>0.0984</v>
      </c>
      <c r="AB165" s="0" t="n">
        <v>0.3968</v>
      </c>
      <c r="AC165" s="0" t="n">
        <v>-0.3357</v>
      </c>
      <c r="AD165" s="0" t="n">
        <v>-0.1407</v>
      </c>
      <c r="AE165" s="0" t="n">
        <v>1.2036</v>
      </c>
      <c r="AG165" s="9" t="n">
        <f aca="false">SUMPRODUCT(($B$2:$AE$2&lt;=Portafolio!$B$5)*EXP(LN(Portafolio!$B$7)+Portafolio!$B$6*B165:AE165))/1000</f>
        <v>2.34761368474228</v>
      </c>
    </row>
    <row r="166" customFormat="false" ht="15" hidden="false" customHeight="false" outlineLevel="0" collapsed="false">
      <c r="A166" s="0" t="n">
        <v>164</v>
      </c>
      <c r="B166" s="0" t="n">
        <v>1.6105</v>
      </c>
      <c r="C166" s="0" t="n">
        <v>0.6038</v>
      </c>
      <c r="D166" s="0" t="n">
        <v>-0.105</v>
      </c>
      <c r="E166" s="0" t="n">
        <v>-0.4886</v>
      </c>
      <c r="F166" s="0" t="n">
        <v>-0.3807</v>
      </c>
      <c r="G166" s="0" t="n">
        <v>-0.361</v>
      </c>
      <c r="H166" s="0" t="n">
        <v>-0.4347</v>
      </c>
      <c r="I166" s="0" t="n">
        <v>-0.0841</v>
      </c>
      <c r="J166" s="0" t="n">
        <v>-0.2174</v>
      </c>
      <c r="K166" s="0" t="n">
        <v>1.0721</v>
      </c>
      <c r="L166" s="0" t="n">
        <v>-1.4002</v>
      </c>
      <c r="M166" s="0" t="n">
        <v>-0.4018</v>
      </c>
      <c r="N166" s="0" t="n">
        <v>0.8102</v>
      </c>
      <c r="O166" s="0" t="n">
        <v>-0.4003</v>
      </c>
      <c r="P166" s="0" t="n">
        <v>-0.403</v>
      </c>
      <c r="Q166" s="0" t="n">
        <v>0.5542</v>
      </c>
      <c r="R166" s="0" t="n">
        <v>-0.0742</v>
      </c>
      <c r="S166" s="0" t="n">
        <v>-0.9539</v>
      </c>
      <c r="T166" s="0" t="n">
        <v>0.1551</v>
      </c>
      <c r="U166" s="0" t="n">
        <v>0.6347</v>
      </c>
      <c r="V166" s="0" t="n">
        <v>-1.671</v>
      </c>
      <c r="W166" s="0" t="n">
        <v>0.9103</v>
      </c>
      <c r="X166" s="0" t="n">
        <v>-1.6957</v>
      </c>
      <c r="Y166" s="0" t="n">
        <v>0.6961</v>
      </c>
      <c r="Z166" s="0" t="n">
        <v>-1.2989</v>
      </c>
      <c r="AA166" s="0" t="n">
        <v>0.2354</v>
      </c>
      <c r="AB166" s="0" t="n">
        <v>-0.0354</v>
      </c>
      <c r="AC166" s="0" t="n">
        <v>1.0256</v>
      </c>
      <c r="AD166" s="0" t="n">
        <v>-0.0672</v>
      </c>
      <c r="AE166" s="0" t="n">
        <v>-0.4142</v>
      </c>
      <c r="AG166" s="9" t="n">
        <f aca="false">SUMPRODUCT(($B$2:$AE$2&lt;=Portafolio!$B$5)*EXP(LN(Portafolio!$B$7)+Portafolio!$B$6*B166:AE166))/1000</f>
        <v>2.17435673759098</v>
      </c>
    </row>
    <row r="167" customFormat="false" ht="15" hidden="false" customHeight="false" outlineLevel="0" collapsed="false">
      <c r="A167" s="0" t="n">
        <v>165</v>
      </c>
      <c r="B167" s="0" t="n">
        <v>-0.732</v>
      </c>
      <c r="C167" s="0" t="n">
        <v>0.2173</v>
      </c>
      <c r="D167" s="0" t="n">
        <v>-0.2303</v>
      </c>
      <c r="E167" s="0" t="n">
        <v>0.8788</v>
      </c>
      <c r="F167" s="0" t="n">
        <v>0.4199</v>
      </c>
      <c r="G167" s="0" t="n">
        <v>1.2416</v>
      </c>
      <c r="H167" s="0" t="n">
        <v>0.7139</v>
      </c>
      <c r="I167" s="0" t="n">
        <v>0.1855</v>
      </c>
      <c r="J167" s="0" t="n">
        <v>-0.0542</v>
      </c>
      <c r="K167" s="0" t="n">
        <v>0.6297</v>
      </c>
      <c r="L167" s="0" t="n">
        <v>0.7705</v>
      </c>
      <c r="M167" s="0" t="n">
        <v>-1.3137</v>
      </c>
      <c r="N167" s="0" t="n">
        <v>0.4066</v>
      </c>
      <c r="O167" s="0" t="n">
        <v>-0.3461</v>
      </c>
      <c r="P167" s="0" t="n">
        <v>0.3304</v>
      </c>
      <c r="Q167" s="0" t="n">
        <v>0.8018</v>
      </c>
      <c r="R167" s="0" t="n">
        <v>-1.8924</v>
      </c>
      <c r="S167" s="0" t="n">
        <v>-0.1011</v>
      </c>
      <c r="T167" s="0" t="n">
        <v>1.0044</v>
      </c>
      <c r="U167" s="0" t="n">
        <v>-1.7095</v>
      </c>
      <c r="V167" s="0" t="n">
        <v>0.234</v>
      </c>
      <c r="W167" s="0" t="n">
        <v>0.0256</v>
      </c>
      <c r="X167" s="0" t="n">
        <v>-0.5479</v>
      </c>
      <c r="Y167" s="0" t="n">
        <v>0.9051</v>
      </c>
      <c r="Z167" s="0" t="n">
        <v>0.9281</v>
      </c>
      <c r="AA167" s="0" t="n">
        <v>0.0368</v>
      </c>
      <c r="AB167" s="0" t="n">
        <v>1.4128</v>
      </c>
      <c r="AC167" s="0" t="n">
        <v>1.464</v>
      </c>
      <c r="AD167" s="0" t="n">
        <v>0.2158</v>
      </c>
      <c r="AE167" s="0" t="n">
        <v>0.849</v>
      </c>
      <c r="AG167" s="9" t="n">
        <f aca="false">SUMPRODUCT(($B$2:$AE$2&lt;=Portafolio!$B$5)*EXP(LN(Portafolio!$B$7)+Portafolio!$B$6*B167:AE167))/1000</f>
        <v>2.32376217883099</v>
      </c>
    </row>
    <row r="168" customFormat="false" ht="15" hidden="false" customHeight="false" outlineLevel="0" collapsed="false">
      <c r="A168" s="0" t="n">
        <v>166</v>
      </c>
      <c r="B168" s="0" t="n">
        <v>0.8829</v>
      </c>
      <c r="C168" s="0" t="n">
        <v>1.7296</v>
      </c>
      <c r="D168" s="0" t="n">
        <v>0.8181</v>
      </c>
      <c r="E168" s="0" t="n">
        <v>0.6992</v>
      </c>
      <c r="F168" s="0" t="n">
        <v>0.1386</v>
      </c>
      <c r="G168" s="0" t="n">
        <v>0.739</v>
      </c>
      <c r="H168" s="0" t="n">
        <v>1.5819</v>
      </c>
      <c r="I168" s="0" t="n">
        <v>-0.054</v>
      </c>
      <c r="J168" s="0" t="n">
        <v>-0.08</v>
      </c>
      <c r="K168" s="0" t="n">
        <v>-0.9333</v>
      </c>
      <c r="L168" s="0" t="n">
        <v>2.5661</v>
      </c>
      <c r="M168" s="0" t="n">
        <v>-0.366</v>
      </c>
      <c r="N168" s="0" t="n">
        <v>-0.4727</v>
      </c>
      <c r="O168" s="0" t="n">
        <v>-0.5402</v>
      </c>
      <c r="P168" s="0" t="n">
        <v>1.196</v>
      </c>
      <c r="Q168" s="0" t="n">
        <v>0.3778</v>
      </c>
      <c r="R168" s="0" t="n">
        <v>-1.9859</v>
      </c>
      <c r="S168" s="0" t="n">
        <v>0.1696</v>
      </c>
      <c r="T168" s="0" t="n">
        <v>1.8425</v>
      </c>
      <c r="U168" s="0" t="n">
        <v>-0.0191</v>
      </c>
      <c r="V168" s="0" t="n">
        <v>0.1424</v>
      </c>
      <c r="W168" s="0" t="n">
        <v>2.8858</v>
      </c>
      <c r="X168" s="0" t="n">
        <v>-0.2118</v>
      </c>
      <c r="Y168" s="0" t="n">
        <v>-0.1812</v>
      </c>
      <c r="Z168" s="0" t="n">
        <v>0.6603</v>
      </c>
      <c r="AA168" s="0" t="n">
        <v>2.4365</v>
      </c>
      <c r="AB168" s="0" t="n">
        <v>0.465</v>
      </c>
      <c r="AC168" s="0" t="n">
        <v>-1.5753</v>
      </c>
      <c r="AD168" s="0" t="n">
        <v>-0.1136</v>
      </c>
      <c r="AE168" s="0" t="n">
        <v>-0.184</v>
      </c>
      <c r="AG168" s="9" t="n">
        <f aca="false">SUMPRODUCT(($B$2:$AE$2&lt;=Portafolio!$B$5)*EXP(LN(Portafolio!$B$7)+Portafolio!$B$6*B168:AE168))/1000</f>
        <v>3.10632088804587</v>
      </c>
    </row>
    <row r="169" customFormat="false" ht="15" hidden="false" customHeight="false" outlineLevel="0" collapsed="false">
      <c r="A169" s="0" t="n">
        <v>167</v>
      </c>
      <c r="B169" s="0" t="n">
        <v>0.7756</v>
      </c>
      <c r="C169" s="0" t="n">
        <v>-0.3254</v>
      </c>
      <c r="D169" s="0" t="n">
        <v>0.1686</v>
      </c>
      <c r="E169" s="0" t="n">
        <v>-1.2339</v>
      </c>
      <c r="F169" s="0" t="n">
        <v>-1.219</v>
      </c>
      <c r="G169" s="0" t="n">
        <v>0.0904</v>
      </c>
      <c r="H169" s="0" t="n">
        <v>1.6554</v>
      </c>
      <c r="I169" s="0" t="n">
        <v>-0.9296</v>
      </c>
      <c r="J169" s="0" t="n">
        <v>-1.5414</v>
      </c>
      <c r="K169" s="0" t="n">
        <v>1.2048</v>
      </c>
      <c r="L169" s="0" t="n">
        <v>0.4202</v>
      </c>
      <c r="M169" s="0" t="n">
        <v>0.8262</v>
      </c>
      <c r="N169" s="0" t="n">
        <v>-0.1337</v>
      </c>
      <c r="O169" s="0" t="n">
        <v>0.2803</v>
      </c>
      <c r="P169" s="0" t="n">
        <v>-0.0534</v>
      </c>
      <c r="Q169" s="0" t="n">
        <v>0.0383</v>
      </c>
      <c r="R169" s="0" t="n">
        <v>1.8093</v>
      </c>
      <c r="S169" s="0" t="n">
        <v>-0.3606</v>
      </c>
      <c r="T169" s="0" t="n">
        <v>-0.3537</v>
      </c>
      <c r="U169" s="0" t="n">
        <v>0.0464</v>
      </c>
      <c r="V169" s="0" t="n">
        <v>-0.1413</v>
      </c>
      <c r="W169" s="0" t="n">
        <v>1.7153</v>
      </c>
      <c r="X169" s="0" t="n">
        <v>-0.1206</v>
      </c>
      <c r="Y169" s="0" t="n">
        <v>0.429</v>
      </c>
      <c r="Z169" s="0" t="n">
        <v>-1.1788</v>
      </c>
      <c r="AA169" s="0" t="n">
        <v>0.5805</v>
      </c>
      <c r="AB169" s="0" t="n">
        <v>0.6816</v>
      </c>
      <c r="AC169" s="0" t="n">
        <v>0.6941</v>
      </c>
      <c r="AD169" s="0" t="n">
        <v>-1.5491</v>
      </c>
      <c r="AE169" s="0" t="n">
        <v>-0.5758</v>
      </c>
      <c r="AG169" s="9" t="n">
        <f aca="false">SUMPRODUCT(($B$2:$AE$2&lt;=Portafolio!$B$5)*EXP(LN(Portafolio!$B$7)+Portafolio!$B$6*B169:AE169))/1000</f>
        <v>2.38948413366854</v>
      </c>
    </row>
    <row r="170" customFormat="false" ht="15" hidden="false" customHeight="false" outlineLevel="0" collapsed="false">
      <c r="A170" s="0" t="n">
        <v>168</v>
      </c>
      <c r="B170" s="0" t="n">
        <v>-2.5711</v>
      </c>
      <c r="C170" s="0" t="n">
        <v>1.6976</v>
      </c>
      <c r="D170" s="0" t="n">
        <v>-0.0601</v>
      </c>
      <c r="E170" s="0" t="n">
        <v>1.6643</v>
      </c>
      <c r="F170" s="0" t="n">
        <v>1.9513</v>
      </c>
      <c r="G170" s="0" t="n">
        <v>1.0612</v>
      </c>
      <c r="H170" s="0" t="n">
        <v>-0.5923</v>
      </c>
      <c r="I170" s="0" t="n">
        <v>-0.1717</v>
      </c>
      <c r="J170" s="0" t="n">
        <v>0.822</v>
      </c>
      <c r="K170" s="0" t="n">
        <v>-1.9028</v>
      </c>
      <c r="L170" s="0" t="n">
        <v>1.417</v>
      </c>
      <c r="M170" s="0" t="n">
        <v>1.5076</v>
      </c>
      <c r="N170" s="0" t="n">
        <v>0.9067</v>
      </c>
      <c r="O170" s="0" t="n">
        <v>-0.2394</v>
      </c>
      <c r="P170" s="0" t="n">
        <v>0.4017</v>
      </c>
      <c r="Q170" s="0" t="n">
        <v>-1.5449</v>
      </c>
      <c r="R170" s="0" t="n">
        <v>-0.9037</v>
      </c>
      <c r="S170" s="0" t="n">
        <v>-0.4037</v>
      </c>
      <c r="T170" s="0" t="n">
        <v>-0.7092</v>
      </c>
      <c r="U170" s="0" t="n">
        <v>1.6975</v>
      </c>
      <c r="V170" s="0" t="n">
        <v>0.4915</v>
      </c>
      <c r="W170" s="0" t="n">
        <v>-2.3608</v>
      </c>
      <c r="X170" s="0" t="n">
        <v>1.1817</v>
      </c>
      <c r="Y170" s="0" t="n">
        <v>0.5401</v>
      </c>
      <c r="Z170" s="0" t="n">
        <v>-0.1926</v>
      </c>
      <c r="AA170" s="0" t="n">
        <v>-0.6735</v>
      </c>
      <c r="AB170" s="0" t="n">
        <v>2.0983</v>
      </c>
      <c r="AC170" s="0" t="n">
        <v>0.2779</v>
      </c>
      <c r="AD170" s="0" t="n">
        <v>0.304</v>
      </c>
      <c r="AE170" s="0" t="n">
        <v>-1.5506</v>
      </c>
      <c r="AG170" s="9" t="n">
        <f aca="false">SUMPRODUCT(($B$2:$AE$2&lt;=Portafolio!$B$5)*EXP(LN(Portafolio!$B$7)+Portafolio!$B$6*B170:AE170))/1000</f>
        <v>2.91938412186787</v>
      </c>
    </row>
    <row r="171" customFormat="false" ht="15" hidden="false" customHeight="false" outlineLevel="0" collapsed="false">
      <c r="A171" s="0" t="n">
        <v>169</v>
      </c>
      <c r="B171" s="0" t="n">
        <v>-0.533</v>
      </c>
      <c r="C171" s="0" t="n">
        <v>0.9324</v>
      </c>
      <c r="D171" s="0" t="n">
        <v>0.1697</v>
      </c>
      <c r="E171" s="0" t="n">
        <v>-0.4094</v>
      </c>
      <c r="F171" s="0" t="n">
        <v>-0.2672</v>
      </c>
      <c r="G171" s="0" t="n">
        <v>-1.5445</v>
      </c>
      <c r="H171" s="0" t="n">
        <v>-2.4047</v>
      </c>
      <c r="I171" s="0" t="n">
        <v>0.5708</v>
      </c>
      <c r="J171" s="0" t="n">
        <v>-1.4053</v>
      </c>
      <c r="K171" s="0" t="n">
        <v>-1.5265</v>
      </c>
      <c r="L171" s="0" t="n">
        <v>0.3513</v>
      </c>
      <c r="M171" s="0" t="n">
        <v>0.962</v>
      </c>
      <c r="N171" s="0" t="n">
        <v>-0.3081</v>
      </c>
      <c r="O171" s="0" t="n">
        <v>1.1336</v>
      </c>
      <c r="P171" s="0" t="n">
        <v>0.0801</v>
      </c>
      <c r="Q171" s="0" t="n">
        <v>-3.083</v>
      </c>
      <c r="R171" s="0" t="n">
        <v>1.655</v>
      </c>
      <c r="S171" s="0" t="n">
        <v>-1.0455</v>
      </c>
      <c r="T171" s="0" t="n">
        <v>1.6073</v>
      </c>
      <c r="U171" s="0" t="n">
        <v>-0.2488</v>
      </c>
      <c r="V171" s="0" t="n">
        <v>-0.0352</v>
      </c>
      <c r="W171" s="0" t="n">
        <v>-0.4351</v>
      </c>
      <c r="X171" s="0" t="n">
        <v>-0.9688</v>
      </c>
      <c r="Y171" s="0" t="n">
        <v>0.6363</v>
      </c>
      <c r="Z171" s="0" t="n">
        <v>1.6993</v>
      </c>
      <c r="AA171" s="0" t="n">
        <v>1.3224</v>
      </c>
      <c r="AB171" s="0" t="n">
        <v>-0.5207</v>
      </c>
      <c r="AC171" s="0" t="n">
        <v>0.5355</v>
      </c>
      <c r="AD171" s="0" t="n">
        <v>1.0804</v>
      </c>
      <c r="AE171" s="0" t="n">
        <v>0.6103</v>
      </c>
      <c r="AG171" s="9" t="n">
        <f aca="false">SUMPRODUCT(($B$2:$AE$2&lt;=Portafolio!$B$5)*EXP(LN(Portafolio!$B$7)+Portafolio!$B$6*B171:AE171))/1000</f>
        <v>2.18337389918719</v>
      </c>
    </row>
    <row r="172" customFormat="false" ht="15" hidden="false" customHeight="false" outlineLevel="0" collapsed="false">
      <c r="A172" s="0" t="n">
        <v>170</v>
      </c>
      <c r="B172" s="0" t="n">
        <v>-1.2607</v>
      </c>
      <c r="C172" s="0" t="n">
        <v>2.0814</v>
      </c>
      <c r="D172" s="0" t="n">
        <v>-0.7045</v>
      </c>
      <c r="E172" s="0" t="n">
        <v>-0.7923</v>
      </c>
      <c r="F172" s="0" t="n">
        <v>0.1738</v>
      </c>
      <c r="G172" s="0" t="n">
        <v>0.2647</v>
      </c>
      <c r="H172" s="0" t="n">
        <v>-0.5213</v>
      </c>
      <c r="I172" s="0" t="n">
        <v>-1.2736</v>
      </c>
      <c r="J172" s="0" t="n">
        <v>-1.1874</v>
      </c>
      <c r="K172" s="0" t="n">
        <v>0.0377</v>
      </c>
      <c r="L172" s="0" t="n">
        <v>-1.8418</v>
      </c>
      <c r="M172" s="0" t="n">
        <v>1.1595</v>
      </c>
      <c r="N172" s="0" t="n">
        <v>0.6817</v>
      </c>
      <c r="O172" s="0" t="n">
        <v>0.2477</v>
      </c>
      <c r="P172" s="0" t="n">
        <v>0.2378</v>
      </c>
      <c r="Q172" s="0" t="n">
        <v>-0.8372</v>
      </c>
      <c r="R172" s="0" t="n">
        <v>-0.5229</v>
      </c>
      <c r="S172" s="0" t="n">
        <v>0.9265</v>
      </c>
      <c r="T172" s="0" t="n">
        <v>-0.4812</v>
      </c>
      <c r="U172" s="0" t="n">
        <v>1.6181</v>
      </c>
      <c r="V172" s="0" t="n">
        <v>1.0501</v>
      </c>
      <c r="W172" s="0" t="n">
        <v>0.7206</v>
      </c>
      <c r="X172" s="0" t="n">
        <v>-0.2035</v>
      </c>
      <c r="Y172" s="0" t="n">
        <v>-0.8945</v>
      </c>
      <c r="Z172" s="0" t="n">
        <v>-0.1208</v>
      </c>
      <c r="AA172" s="0" t="n">
        <v>-0.9286</v>
      </c>
      <c r="AB172" s="0" t="n">
        <v>-0.3333</v>
      </c>
      <c r="AC172" s="0" t="n">
        <v>-0.3238</v>
      </c>
      <c r="AD172" s="0" t="n">
        <v>-0.5279</v>
      </c>
      <c r="AE172" s="0" t="n">
        <v>1.1689</v>
      </c>
      <c r="AG172" s="9" t="n">
        <f aca="false">SUMPRODUCT(($B$2:$AE$2&lt;=Portafolio!$B$5)*EXP(LN(Portafolio!$B$7)+Portafolio!$B$6*B172:AE172))/1000</f>
        <v>2.28490725335231</v>
      </c>
    </row>
    <row r="173" customFormat="false" ht="15" hidden="false" customHeight="false" outlineLevel="0" collapsed="false">
      <c r="A173" s="0" t="n">
        <v>171</v>
      </c>
      <c r="B173" s="0" t="n">
        <v>-0.8538</v>
      </c>
      <c r="C173" s="0" t="n">
        <v>-0.7194</v>
      </c>
      <c r="D173" s="0" t="n">
        <v>1.2111</v>
      </c>
      <c r="E173" s="0" t="n">
        <v>0.2882</v>
      </c>
      <c r="F173" s="0" t="n">
        <v>0.5278</v>
      </c>
      <c r="G173" s="0" t="n">
        <v>-0.5963</v>
      </c>
      <c r="H173" s="0" t="n">
        <v>0.3611</v>
      </c>
      <c r="I173" s="0" t="n">
        <v>1.3453</v>
      </c>
      <c r="J173" s="0" t="n">
        <v>0.0522</v>
      </c>
      <c r="K173" s="0" t="n">
        <v>0.461</v>
      </c>
      <c r="L173" s="0" t="n">
        <v>1.2508</v>
      </c>
      <c r="M173" s="0" t="n">
        <v>0.6298</v>
      </c>
      <c r="N173" s="0" t="n">
        <v>1.2665</v>
      </c>
      <c r="O173" s="0" t="n">
        <v>-1.1611</v>
      </c>
      <c r="P173" s="0" t="n">
        <v>-1.7231</v>
      </c>
      <c r="Q173" s="0" t="n">
        <v>-1.0887</v>
      </c>
      <c r="R173" s="0" t="n">
        <v>0.4582</v>
      </c>
      <c r="S173" s="0" t="n">
        <v>-0.6445</v>
      </c>
      <c r="T173" s="0" t="n">
        <v>-1.98</v>
      </c>
      <c r="U173" s="0" t="n">
        <v>1.8354</v>
      </c>
      <c r="V173" s="0" t="n">
        <v>1.3387</v>
      </c>
      <c r="W173" s="0" t="n">
        <v>-0.5058</v>
      </c>
      <c r="X173" s="0" t="n">
        <v>-0.627</v>
      </c>
      <c r="Y173" s="0" t="n">
        <v>-0.6674</v>
      </c>
      <c r="Z173" s="0" t="n">
        <v>0.7526</v>
      </c>
      <c r="AA173" s="0" t="n">
        <v>0.4824</v>
      </c>
      <c r="AB173" s="0" t="n">
        <v>0.1697</v>
      </c>
      <c r="AC173" s="0" t="n">
        <v>1.4035</v>
      </c>
      <c r="AD173" s="0" t="n">
        <v>-0.7893</v>
      </c>
      <c r="AE173" s="0" t="n">
        <v>-1.1679</v>
      </c>
      <c r="AG173" s="9" t="n">
        <f aca="false">SUMPRODUCT(($B$2:$AE$2&lt;=Portafolio!$B$5)*EXP(LN(Portafolio!$B$7)+Portafolio!$B$6*B173:AE173))/1000</f>
        <v>2.48092041601016</v>
      </c>
    </row>
    <row r="174" customFormat="false" ht="15" hidden="false" customHeight="false" outlineLevel="0" collapsed="false">
      <c r="A174" s="0" t="n">
        <v>172</v>
      </c>
      <c r="B174" s="0" t="n">
        <v>0.0309</v>
      </c>
      <c r="C174" s="0" t="n">
        <v>-0.0193</v>
      </c>
      <c r="D174" s="0" t="n">
        <v>0.1255</v>
      </c>
      <c r="E174" s="0" t="n">
        <v>0.4411</v>
      </c>
      <c r="F174" s="0" t="n">
        <v>-1.5135</v>
      </c>
      <c r="G174" s="0" t="n">
        <v>1.6153</v>
      </c>
      <c r="H174" s="0" t="n">
        <v>-1.7554</v>
      </c>
      <c r="I174" s="0" t="n">
        <v>0.3607</v>
      </c>
      <c r="J174" s="0" t="n">
        <v>0.3822</v>
      </c>
      <c r="K174" s="0" t="n">
        <v>0.8539</v>
      </c>
      <c r="L174" s="0" t="n">
        <v>0.2513</v>
      </c>
      <c r="M174" s="0" t="n">
        <v>-0.7941</v>
      </c>
      <c r="N174" s="0" t="n">
        <v>-0.1669</v>
      </c>
      <c r="O174" s="0" t="n">
        <v>-1.3421</v>
      </c>
      <c r="P174" s="0" t="n">
        <v>-0.1358</v>
      </c>
      <c r="Q174" s="0" t="n">
        <v>-0.2013</v>
      </c>
      <c r="R174" s="0" t="n">
        <v>-1.8437</v>
      </c>
      <c r="S174" s="0" t="n">
        <v>2.2237</v>
      </c>
      <c r="T174" s="0" t="n">
        <v>-0.5727</v>
      </c>
      <c r="U174" s="0" t="n">
        <v>0.5701</v>
      </c>
      <c r="V174" s="0" t="n">
        <v>1.3351</v>
      </c>
      <c r="W174" s="0" t="n">
        <v>-0.0055</v>
      </c>
      <c r="X174" s="0" t="n">
        <v>-0.3812</v>
      </c>
      <c r="Y174" s="0" t="n">
        <v>-1.0849</v>
      </c>
      <c r="Z174" s="0" t="n">
        <v>-0.7102</v>
      </c>
      <c r="AA174" s="0" t="n">
        <v>-0.6954</v>
      </c>
      <c r="AB174" s="0" t="n">
        <v>-0.1291</v>
      </c>
      <c r="AC174" s="0" t="n">
        <v>0.8196</v>
      </c>
      <c r="AD174" s="0" t="n">
        <v>0.2187</v>
      </c>
      <c r="AE174" s="0" t="n">
        <v>1.5241</v>
      </c>
      <c r="AG174" s="9" t="n">
        <f aca="false">SUMPRODUCT(($B$2:$AE$2&lt;=Portafolio!$B$5)*EXP(LN(Portafolio!$B$7)+Portafolio!$B$6*B174:AE174))/1000</f>
        <v>2.31330980697616</v>
      </c>
    </row>
    <row r="175" customFormat="false" ht="15" hidden="false" customHeight="false" outlineLevel="0" collapsed="false">
      <c r="A175" s="0" t="n">
        <v>173</v>
      </c>
      <c r="B175" s="0" t="n">
        <v>0.4252</v>
      </c>
      <c r="C175" s="0" t="n">
        <v>0.2613</v>
      </c>
      <c r="D175" s="0" t="n">
        <v>-3.0273</v>
      </c>
      <c r="E175" s="0" t="n">
        <v>-0.134</v>
      </c>
      <c r="F175" s="0" t="n">
        <v>0.2911</v>
      </c>
      <c r="G175" s="0" t="n">
        <v>-1.4579</v>
      </c>
      <c r="H175" s="0" t="n">
        <v>-0.0358</v>
      </c>
      <c r="I175" s="0" t="n">
        <v>-0.6791</v>
      </c>
      <c r="J175" s="0" t="n">
        <v>-0.1876</v>
      </c>
      <c r="K175" s="0" t="n">
        <v>-0.0123</v>
      </c>
      <c r="L175" s="0" t="n">
        <v>-0.254</v>
      </c>
      <c r="M175" s="0" t="n">
        <v>-0.0322</v>
      </c>
      <c r="N175" s="0" t="n">
        <v>0.3794</v>
      </c>
      <c r="O175" s="0" t="n">
        <v>0.3367</v>
      </c>
      <c r="P175" s="0" t="n">
        <v>-0.6412</v>
      </c>
      <c r="Q175" s="0" t="n">
        <v>0.9373</v>
      </c>
      <c r="R175" s="0" t="n">
        <v>0.0795</v>
      </c>
      <c r="S175" s="0" t="n">
        <v>0.3936</v>
      </c>
      <c r="T175" s="0" t="n">
        <v>1.7678</v>
      </c>
      <c r="U175" s="0" t="n">
        <v>1.6927</v>
      </c>
      <c r="V175" s="0" t="n">
        <v>2.2037</v>
      </c>
      <c r="W175" s="0" t="n">
        <v>-0.2096</v>
      </c>
      <c r="X175" s="0" t="n">
        <v>0.439</v>
      </c>
      <c r="Y175" s="0" t="n">
        <v>0.5078</v>
      </c>
      <c r="Z175" s="0" t="n">
        <v>0.1281</v>
      </c>
      <c r="AA175" s="0" t="n">
        <v>-0.1219</v>
      </c>
      <c r="AB175" s="0" t="n">
        <v>0.8596</v>
      </c>
      <c r="AC175" s="0" t="n">
        <v>1.1641</v>
      </c>
      <c r="AD175" s="0" t="n">
        <v>2.2217</v>
      </c>
      <c r="AE175" s="0" t="n">
        <v>-0.5068</v>
      </c>
      <c r="AG175" s="9" t="n">
        <f aca="false">SUMPRODUCT(($B$2:$AE$2&lt;=Portafolio!$B$5)*EXP(LN(Portafolio!$B$7)+Portafolio!$B$6*B175:AE175))/1000</f>
        <v>2.34029480744667</v>
      </c>
    </row>
    <row r="176" customFormat="false" ht="15" hidden="false" customHeight="false" outlineLevel="0" collapsed="false">
      <c r="A176" s="0" t="n">
        <v>174</v>
      </c>
      <c r="B176" s="0" t="n">
        <v>0.4889</v>
      </c>
      <c r="C176" s="0" t="n">
        <v>-0.7247</v>
      </c>
      <c r="D176" s="0" t="n">
        <v>-0.242</v>
      </c>
      <c r="E176" s="0" t="n">
        <v>-2.3366</v>
      </c>
      <c r="F176" s="0" t="n">
        <v>2.1466</v>
      </c>
      <c r="G176" s="0" t="n">
        <v>-1.5659</v>
      </c>
      <c r="H176" s="0" t="n">
        <v>0.134</v>
      </c>
      <c r="I176" s="0" t="n">
        <v>-1.7529</v>
      </c>
      <c r="J176" s="0" t="n">
        <v>-0.3116</v>
      </c>
      <c r="K176" s="0" t="n">
        <v>-1.0012</v>
      </c>
      <c r="L176" s="0" t="n">
        <v>-2.0659</v>
      </c>
      <c r="M176" s="0" t="n">
        <v>-1.0208</v>
      </c>
      <c r="N176" s="0" t="n">
        <v>-0.2043</v>
      </c>
      <c r="O176" s="0" t="n">
        <v>-0.099</v>
      </c>
      <c r="P176" s="0" t="n">
        <v>-1.9145</v>
      </c>
      <c r="Q176" s="0" t="n">
        <v>0.6567</v>
      </c>
      <c r="R176" s="0" t="n">
        <v>-0.2924</v>
      </c>
      <c r="S176" s="0" t="n">
        <v>-1.11</v>
      </c>
      <c r="T176" s="0" t="n">
        <v>1.5383</v>
      </c>
      <c r="U176" s="0" t="n">
        <v>-0.6756</v>
      </c>
      <c r="V176" s="0" t="n">
        <v>0.2501</v>
      </c>
      <c r="W176" s="0" t="n">
        <v>1.5347</v>
      </c>
      <c r="X176" s="0" t="n">
        <v>0.079</v>
      </c>
      <c r="Y176" s="0" t="n">
        <v>-0.0843</v>
      </c>
      <c r="Z176" s="0" t="n">
        <v>0.9812</v>
      </c>
      <c r="AA176" s="0" t="n">
        <v>-0.4099</v>
      </c>
      <c r="AB176" s="0" t="n">
        <v>0.0913</v>
      </c>
      <c r="AC176" s="0" t="n">
        <v>-0.129</v>
      </c>
      <c r="AD176" s="0" t="n">
        <v>-0.3618</v>
      </c>
      <c r="AE176" s="0" t="n">
        <v>0.7702</v>
      </c>
      <c r="AG176" s="9" t="n">
        <f aca="false">SUMPRODUCT(($B$2:$AE$2&lt;=Portafolio!$B$5)*EXP(LN(Portafolio!$B$7)+Portafolio!$B$6*B176:AE176))/1000</f>
        <v>1.89212067937257</v>
      </c>
    </row>
    <row r="177" customFormat="false" ht="15" hidden="false" customHeight="false" outlineLevel="0" collapsed="false">
      <c r="A177" s="0" t="n">
        <v>175</v>
      </c>
      <c r="B177" s="0" t="n">
        <v>0.2962</v>
      </c>
      <c r="C177" s="0" t="n">
        <v>1.4341</v>
      </c>
      <c r="D177" s="0" t="n">
        <v>0.4119</v>
      </c>
      <c r="E177" s="0" t="n">
        <v>-1.3888</v>
      </c>
      <c r="F177" s="0" t="n">
        <v>0.4151</v>
      </c>
      <c r="G177" s="0" t="n">
        <v>-0.2637</v>
      </c>
      <c r="H177" s="0" t="n">
        <v>-0.2318</v>
      </c>
      <c r="I177" s="0" t="n">
        <v>0.9859</v>
      </c>
      <c r="J177" s="0" t="n">
        <v>0.4351</v>
      </c>
      <c r="K177" s="0" t="n">
        <v>-1.5783</v>
      </c>
      <c r="L177" s="0" t="n">
        <v>2.0265</v>
      </c>
      <c r="M177" s="0" t="n">
        <v>-0.117</v>
      </c>
      <c r="N177" s="0" t="n">
        <v>-1.6106</v>
      </c>
      <c r="O177" s="0" t="n">
        <v>-0.3106</v>
      </c>
      <c r="P177" s="0" t="n">
        <v>0.5043</v>
      </c>
      <c r="Q177" s="0" t="n">
        <v>-1.1021</v>
      </c>
      <c r="R177" s="0" t="n">
        <v>-0.8424</v>
      </c>
      <c r="S177" s="0" t="n">
        <v>-1.7696</v>
      </c>
      <c r="T177" s="0" t="n">
        <v>0.2876</v>
      </c>
      <c r="U177" s="0" t="n">
        <v>-0.5094</v>
      </c>
      <c r="V177" s="0" t="n">
        <v>1.5393</v>
      </c>
      <c r="W177" s="0" t="n">
        <v>0.2931</v>
      </c>
      <c r="X177" s="0" t="n">
        <v>0.2605</v>
      </c>
      <c r="Y177" s="0" t="n">
        <v>-0.5937</v>
      </c>
      <c r="Z177" s="0" t="n">
        <v>0.996</v>
      </c>
      <c r="AA177" s="0" t="n">
        <v>-1.3551</v>
      </c>
      <c r="AB177" s="0" t="n">
        <v>0.2974</v>
      </c>
      <c r="AC177" s="0" t="n">
        <v>0.4983</v>
      </c>
      <c r="AD177" s="0" t="n">
        <v>-0.7645</v>
      </c>
      <c r="AE177" s="0" t="n">
        <v>-1.1691</v>
      </c>
      <c r="AG177" s="9" t="n">
        <f aca="false">SUMPRODUCT(($B$2:$AE$2&lt;=Portafolio!$B$5)*EXP(LN(Portafolio!$B$7)+Portafolio!$B$6*B177:AE177))/1000</f>
        <v>2.20329471593958</v>
      </c>
    </row>
    <row r="178" customFormat="false" ht="15" hidden="false" customHeight="false" outlineLevel="0" collapsed="false">
      <c r="A178" s="0" t="n">
        <v>176</v>
      </c>
      <c r="B178" s="0" t="n">
        <v>1.1713</v>
      </c>
      <c r="C178" s="0" t="n">
        <v>1.8435</v>
      </c>
      <c r="D178" s="0" t="n">
        <v>0.4073</v>
      </c>
      <c r="E178" s="0" t="n">
        <v>1.8489</v>
      </c>
      <c r="F178" s="0" t="n">
        <v>0.4781</v>
      </c>
      <c r="G178" s="0" t="n">
        <v>-0.17</v>
      </c>
      <c r="H178" s="0" t="n">
        <v>-0.3839</v>
      </c>
      <c r="I178" s="0" t="n">
        <v>-1.2035</v>
      </c>
      <c r="J178" s="0" t="n">
        <v>0.9334</v>
      </c>
      <c r="K178" s="0" t="n">
        <v>-0.5497</v>
      </c>
      <c r="L178" s="0" t="n">
        <v>-0.6203</v>
      </c>
      <c r="M178" s="0" t="n">
        <v>0.3824</v>
      </c>
      <c r="N178" s="0" t="n">
        <v>0.5011</v>
      </c>
      <c r="O178" s="0" t="n">
        <v>-0.7216</v>
      </c>
      <c r="P178" s="0" t="n">
        <v>0.2246</v>
      </c>
      <c r="Q178" s="0" t="n">
        <v>-0.1403</v>
      </c>
      <c r="R178" s="0" t="n">
        <v>0.1501</v>
      </c>
      <c r="S178" s="0" t="n">
        <v>-0.1263</v>
      </c>
      <c r="T178" s="0" t="n">
        <v>-0.4055</v>
      </c>
      <c r="U178" s="0" t="n">
        <v>-2.4126</v>
      </c>
      <c r="V178" s="0" t="n">
        <v>-0.5807</v>
      </c>
      <c r="W178" s="0" t="n">
        <v>1.2046</v>
      </c>
      <c r="X178" s="0" t="n">
        <v>-0.3147</v>
      </c>
      <c r="Y178" s="0" t="n">
        <v>0.1893</v>
      </c>
      <c r="Z178" s="0" t="n">
        <v>0.6196</v>
      </c>
      <c r="AA178" s="0" t="n">
        <v>-0.9886</v>
      </c>
      <c r="AB178" s="0" t="n">
        <v>0.0861</v>
      </c>
      <c r="AC178" s="0" t="n">
        <v>-0.2556</v>
      </c>
      <c r="AD178" s="0" t="n">
        <v>0.3755</v>
      </c>
      <c r="AE178" s="0" t="n">
        <v>0.6178</v>
      </c>
      <c r="AG178" s="9" t="n">
        <f aca="false">SUMPRODUCT(($B$2:$AE$2&lt;=Portafolio!$B$5)*EXP(LN(Portafolio!$B$7)+Portafolio!$B$6*B178:AE178))/1000</f>
        <v>2.43865791353613</v>
      </c>
    </row>
    <row r="179" customFormat="false" ht="15" hidden="false" customHeight="false" outlineLevel="0" collapsed="false">
      <c r="A179" s="0" t="n">
        <v>177</v>
      </c>
      <c r="B179" s="0" t="n">
        <v>0.0879</v>
      </c>
      <c r="C179" s="0" t="n">
        <v>-0.1985</v>
      </c>
      <c r="D179" s="0" t="n">
        <v>0.9645</v>
      </c>
      <c r="E179" s="0" t="n">
        <v>0.1365</v>
      </c>
      <c r="F179" s="0" t="n">
        <v>-1.4648</v>
      </c>
      <c r="G179" s="0" t="n">
        <v>1.2657</v>
      </c>
      <c r="H179" s="0" t="n">
        <v>0.4676</v>
      </c>
      <c r="I179" s="0" t="n">
        <v>-0.5741</v>
      </c>
      <c r="J179" s="0" t="n">
        <v>-0.0467</v>
      </c>
      <c r="K179" s="0" t="n">
        <v>-0.9391</v>
      </c>
      <c r="L179" s="0" t="n">
        <v>0.1501</v>
      </c>
      <c r="M179" s="0" t="n">
        <v>-1.4603</v>
      </c>
      <c r="N179" s="0" t="n">
        <v>1.0185</v>
      </c>
      <c r="O179" s="0" t="n">
        <v>0.4811</v>
      </c>
      <c r="P179" s="0" t="n">
        <v>-0.9833</v>
      </c>
      <c r="Q179" s="0" t="n">
        <v>0.5131</v>
      </c>
      <c r="R179" s="0" t="n">
        <v>-1.4402</v>
      </c>
      <c r="S179" s="0" t="n">
        <v>-0.5218</v>
      </c>
      <c r="T179" s="0" t="n">
        <v>-0.9894</v>
      </c>
      <c r="U179" s="0" t="n">
        <v>0.6979</v>
      </c>
      <c r="V179" s="0" t="n">
        <v>0.7057</v>
      </c>
      <c r="W179" s="0" t="n">
        <v>-1.3364</v>
      </c>
      <c r="X179" s="0" t="n">
        <v>0.1902</v>
      </c>
      <c r="Y179" s="0" t="n">
        <v>0.5105</v>
      </c>
      <c r="Z179" s="0" t="n">
        <v>-0.332</v>
      </c>
      <c r="AA179" s="0" t="n">
        <v>2.4354</v>
      </c>
      <c r="AB179" s="0" t="n">
        <v>-1.5612</v>
      </c>
      <c r="AC179" s="0" t="n">
        <v>1.3386</v>
      </c>
      <c r="AD179" s="0" t="n">
        <v>1.5117</v>
      </c>
      <c r="AE179" s="0" t="n">
        <v>-0.3404</v>
      </c>
      <c r="AG179" s="9" t="n">
        <f aca="false">SUMPRODUCT(($B$2:$AE$2&lt;=Portafolio!$B$5)*EXP(LN(Portafolio!$B$7)+Portafolio!$B$6*B179:AE179))/1000</f>
        <v>2.07648289392387</v>
      </c>
    </row>
    <row r="180" customFormat="false" ht="15" hidden="false" customHeight="false" outlineLevel="0" collapsed="false">
      <c r="A180" s="0" t="n">
        <v>178</v>
      </c>
      <c r="B180" s="0" t="n">
        <v>-1.1233</v>
      </c>
      <c r="C180" s="0" t="n">
        <v>1.213</v>
      </c>
      <c r="D180" s="0" t="n">
        <v>-2.4683</v>
      </c>
      <c r="E180" s="0" t="n">
        <v>-0.0299</v>
      </c>
      <c r="F180" s="0" t="n">
        <v>-1.4224</v>
      </c>
      <c r="G180" s="0" t="n">
        <v>-0.0129</v>
      </c>
      <c r="H180" s="0" t="n">
        <v>-0.5625</v>
      </c>
      <c r="I180" s="0" t="n">
        <v>-1.2929</v>
      </c>
      <c r="J180" s="0" t="n">
        <v>0.5658</v>
      </c>
      <c r="K180" s="0" t="n">
        <v>1.1662</v>
      </c>
      <c r="L180" s="0" t="n">
        <v>-1.3593</v>
      </c>
      <c r="M180" s="0" t="n">
        <v>0.6576</v>
      </c>
      <c r="N180" s="0" t="n">
        <v>0.1034</v>
      </c>
      <c r="O180" s="0" t="n">
        <v>-0.6719</v>
      </c>
      <c r="P180" s="0" t="n">
        <v>-0.5261</v>
      </c>
      <c r="Q180" s="0" t="n">
        <v>0.5615</v>
      </c>
      <c r="R180" s="0" t="n">
        <v>1.1273</v>
      </c>
      <c r="S180" s="0" t="n">
        <v>-0.2782</v>
      </c>
      <c r="T180" s="0" t="n">
        <v>-2.4597</v>
      </c>
      <c r="U180" s="0" t="n">
        <v>0.8002</v>
      </c>
      <c r="V180" s="0" t="n">
        <v>0.4026</v>
      </c>
      <c r="W180" s="0" t="n">
        <v>-1.9379</v>
      </c>
      <c r="X180" s="0" t="n">
        <v>-0.5205</v>
      </c>
      <c r="Y180" s="0" t="n">
        <v>-0.0102</v>
      </c>
      <c r="Z180" s="0" t="n">
        <v>-0.2906</v>
      </c>
      <c r="AA180" s="0" t="n">
        <v>0.3012</v>
      </c>
      <c r="AB180" s="0" t="n">
        <v>-0.886</v>
      </c>
      <c r="AC180" s="0" t="n">
        <v>0.6435</v>
      </c>
      <c r="AD180" s="0" t="n">
        <v>-2.7447</v>
      </c>
      <c r="AE180" s="0" t="n">
        <v>0.3548</v>
      </c>
      <c r="AG180" s="9" t="n">
        <f aca="false">SUMPRODUCT(($B$2:$AE$2&lt;=Portafolio!$B$5)*EXP(LN(Portafolio!$B$7)+Portafolio!$B$6*B180:AE180))/1000</f>
        <v>2.02455050444413</v>
      </c>
    </row>
    <row r="181" customFormat="false" ht="15" hidden="false" customHeight="false" outlineLevel="0" collapsed="false">
      <c r="A181" s="0" t="n">
        <v>179</v>
      </c>
      <c r="B181" s="0" t="n">
        <v>-0.5896</v>
      </c>
      <c r="C181" s="0" t="n">
        <v>-0.1228</v>
      </c>
      <c r="D181" s="0" t="n">
        <v>0.6524</v>
      </c>
      <c r="E181" s="0" t="n">
        <v>1.3607</v>
      </c>
      <c r="F181" s="0" t="n">
        <v>-1.0215</v>
      </c>
      <c r="G181" s="0" t="n">
        <v>-0.1024</v>
      </c>
      <c r="H181" s="0" t="n">
        <v>-1.0261</v>
      </c>
      <c r="I181" s="0" t="n">
        <v>0.041</v>
      </c>
      <c r="J181" s="0" t="n">
        <v>-0.5874</v>
      </c>
      <c r="K181" s="0" t="n">
        <v>-1.2049</v>
      </c>
      <c r="L181" s="0" t="n">
        <v>1.116</v>
      </c>
      <c r="M181" s="0" t="n">
        <v>0.3517</v>
      </c>
      <c r="N181" s="0" t="n">
        <v>-0.0009</v>
      </c>
      <c r="O181" s="0" t="n">
        <v>1.3219</v>
      </c>
      <c r="P181" s="0" t="n">
        <v>-1.646</v>
      </c>
      <c r="Q181" s="0" t="n">
        <v>0.39</v>
      </c>
      <c r="R181" s="0" t="n">
        <v>1.6054</v>
      </c>
      <c r="S181" s="0" t="n">
        <v>-0.364</v>
      </c>
      <c r="T181" s="0" t="n">
        <v>-0.8789</v>
      </c>
      <c r="U181" s="0" t="n">
        <v>-0.8026</v>
      </c>
      <c r="V181" s="0" t="n">
        <v>1.2269</v>
      </c>
      <c r="W181" s="0" t="n">
        <v>1.0565</v>
      </c>
      <c r="X181" s="0" t="n">
        <v>0.3202</v>
      </c>
      <c r="Y181" s="0" t="n">
        <v>0.9232</v>
      </c>
      <c r="Z181" s="0" t="n">
        <v>-0.6775</v>
      </c>
      <c r="AA181" s="0" t="n">
        <v>-0.3951</v>
      </c>
      <c r="AB181" s="0" t="n">
        <v>0.8209</v>
      </c>
      <c r="AC181" s="0" t="n">
        <v>-0.9522</v>
      </c>
      <c r="AD181" s="0" t="n">
        <v>0.2092</v>
      </c>
      <c r="AE181" s="0" t="n">
        <v>-0.0362</v>
      </c>
      <c r="AG181" s="9" t="n">
        <f aca="false">SUMPRODUCT(($B$2:$AE$2&lt;=Portafolio!$B$5)*EXP(LN(Portafolio!$B$7)+Portafolio!$B$6*B181:AE181))/1000</f>
        <v>2.22744381533887</v>
      </c>
    </row>
    <row r="182" customFormat="false" ht="15" hidden="false" customHeight="false" outlineLevel="0" collapsed="false">
      <c r="A182" s="0" t="n">
        <v>180</v>
      </c>
      <c r="B182" s="0" t="n">
        <v>-0.8608</v>
      </c>
      <c r="C182" s="0" t="n">
        <v>0.1964</v>
      </c>
      <c r="D182" s="0" t="n">
        <v>-1.288</v>
      </c>
      <c r="E182" s="0" t="n">
        <v>-0.6556</v>
      </c>
      <c r="F182" s="0" t="n">
        <v>-1.9942</v>
      </c>
      <c r="G182" s="0" t="n">
        <v>-1.2814</v>
      </c>
      <c r="H182" s="0" t="n">
        <v>-0.8962</v>
      </c>
      <c r="I182" s="0" t="n">
        <v>0.3495</v>
      </c>
      <c r="J182" s="0" t="n">
        <v>-0.0019</v>
      </c>
      <c r="K182" s="0" t="n">
        <v>-1.271</v>
      </c>
      <c r="L182" s="0" t="n">
        <v>-0.2669</v>
      </c>
      <c r="M182" s="0" t="n">
        <v>2.2403</v>
      </c>
      <c r="N182" s="0" t="n">
        <v>0.0602</v>
      </c>
      <c r="O182" s="0" t="n">
        <v>0.3901</v>
      </c>
      <c r="P182" s="0" t="n">
        <v>-2.1348</v>
      </c>
      <c r="Q182" s="0" t="n">
        <v>-0.5196</v>
      </c>
      <c r="R182" s="0" t="n">
        <v>1.1259</v>
      </c>
      <c r="S182" s="0" t="n">
        <v>-1.4565</v>
      </c>
      <c r="T182" s="0" t="n">
        <v>-0.9185</v>
      </c>
      <c r="U182" s="0" t="n">
        <v>-0.7664</v>
      </c>
      <c r="V182" s="0" t="n">
        <v>-0.152</v>
      </c>
      <c r="W182" s="0" t="n">
        <v>0.5809</v>
      </c>
      <c r="X182" s="0" t="n">
        <v>-1.7721</v>
      </c>
      <c r="Y182" s="0" t="n">
        <v>0.6639</v>
      </c>
      <c r="Z182" s="0" t="n">
        <v>-2.6628</v>
      </c>
      <c r="AA182" s="0" t="n">
        <v>-0.9404</v>
      </c>
      <c r="AB182" s="0" t="n">
        <v>0.3863</v>
      </c>
      <c r="AC182" s="0" t="n">
        <v>-1.1912</v>
      </c>
      <c r="AD182" s="0" t="n">
        <v>-0.8741</v>
      </c>
      <c r="AE182" s="0" t="n">
        <v>-0.5634</v>
      </c>
      <c r="AG182" s="9" t="n">
        <f aca="false">SUMPRODUCT(($B$2:$AE$2&lt;=Portafolio!$B$5)*EXP(LN(Portafolio!$B$7)+Portafolio!$B$6*B182:AE182))/1000</f>
        <v>1.84943094734458</v>
      </c>
    </row>
    <row r="183" customFormat="false" ht="15" hidden="false" customHeight="false" outlineLevel="0" collapsed="false">
      <c r="A183" s="0" t="n">
        <v>181</v>
      </c>
      <c r="B183" s="0" t="n">
        <v>1.5776</v>
      </c>
      <c r="C183" s="0" t="n">
        <v>-1.0433</v>
      </c>
      <c r="D183" s="0" t="n">
        <v>0.9362</v>
      </c>
      <c r="E183" s="0" t="n">
        <v>1.9401</v>
      </c>
      <c r="F183" s="0" t="n">
        <v>-0.4175</v>
      </c>
      <c r="G183" s="0" t="n">
        <v>-0.8478</v>
      </c>
      <c r="H183" s="0" t="n">
        <v>-0.0343</v>
      </c>
      <c r="I183" s="0" t="n">
        <v>-1.0456</v>
      </c>
      <c r="J183" s="0" t="n">
        <v>-0.4101</v>
      </c>
      <c r="K183" s="0" t="n">
        <v>-1.1121</v>
      </c>
      <c r="L183" s="0" t="n">
        <v>-1.5331</v>
      </c>
      <c r="M183" s="0" t="n">
        <v>-1.6506</v>
      </c>
      <c r="N183" s="0" t="n">
        <v>0.8837</v>
      </c>
      <c r="O183" s="0" t="n">
        <v>-0.7266</v>
      </c>
      <c r="P183" s="0" t="n">
        <v>-1.203</v>
      </c>
      <c r="Q183" s="0" t="n">
        <v>1.0311</v>
      </c>
      <c r="R183" s="0" t="n">
        <v>-0.2225</v>
      </c>
      <c r="S183" s="0" t="n">
        <v>-0.388</v>
      </c>
      <c r="T183" s="0" t="n">
        <v>-0.808</v>
      </c>
      <c r="U183" s="0" t="n">
        <v>-0.0481</v>
      </c>
      <c r="V183" s="0" t="n">
        <v>-0.3616</v>
      </c>
      <c r="W183" s="0" t="n">
        <v>-0.4846</v>
      </c>
      <c r="X183" s="0" t="n">
        <v>-0.2263</v>
      </c>
      <c r="Y183" s="0" t="n">
        <v>0.7277</v>
      </c>
      <c r="Z183" s="0" t="n">
        <v>-0.2454</v>
      </c>
      <c r="AA183" s="0" t="n">
        <v>1.2679</v>
      </c>
      <c r="AB183" s="0" t="n">
        <v>0.9349</v>
      </c>
      <c r="AC183" s="0" t="n">
        <v>-1.0841</v>
      </c>
      <c r="AD183" s="0" t="n">
        <v>-1.0252</v>
      </c>
      <c r="AE183" s="0" t="n">
        <v>-1.3478</v>
      </c>
      <c r="AG183" s="9" t="n">
        <f aca="false">SUMPRODUCT(($B$2:$AE$2&lt;=Portafolio!$B$5)*EXP(LN(Portafolio!$B$7)+Portafolio!$B$6*B183:AE183))/1000</f>
        <v>2.09694777992674</v>
      </c>
    </row>
    <row r="184" customFormat="false" ht="15" hidden="false" customHeight="false" outlineLevel="0" collapsed="false">
      <c r="A184" s="0" t="n">
        <v>182</v>
      </c>
      <c r="B184" s="0" t="n">
        <v>-0.8179</v>
      </c>
      <c r="C184" s="0" t="n">
        <v>0.6693</v>
      </c>
      <c r="D184" s="0" t="n">
        <v>-0.3952</v>
      </c>
      <c r="E184" s="0" t="n">
        <v>-0.554</v>
      </c>
      <c r="F184" s="0" t="n">
        <v>0.045</v>
      </c>
      <c r="G184" s="0" t="n">
        <v>-2.2529</v>
      </c>
      <c r="H184" s="0" t="n">
        <v>0.2688</v>
      </c>
      <c r="I184" s="0" t="n">
        <v>-0.2499</v>
      </c>
      <c r="J184" s="0" t="n">
        <v>0.6144</v>
      </c>
      <c r="K184" s="0" t="n">
        <v>-0.36</v>
      </c>
      <c r="L184" s="0" t="n">
        <v>0.9476</v>
      </c>
      <c r="M184" s="0" t="n">
        <v>1.011</v>
      </c>
      <c r="N184" s="0" t="n">
        <v>-0.3586</v>
      </c>
      <c r="O184" s="0" t="n">
        <v>0.5164</v>
      </c>
      <c r="P184" s="0" t="n">
        <v>-0.9652</v>
      </c>
      <c r="Q184" s="0" t="n">
        <v>-0.7786</v>
      </c>
      <c r="R184" s="0" t="n">
        <v>-1.1653</v>
      </c>
      <c r="S184" s="0" t="n">
        <v>-0.2732</v>
      </c>
      <c r="T184" s="0" t="n">
        <v>-1.2879</v>
      </c>
      <c r="U184" s="0" t="n">
        <v>-1.1603</v>
      </c>
      <c r="V184" s="0" t="n">
        <v>-0.2852</v>
      </c>
      <c r="W184" s="0" t="n">
        <v>-1.5384</v>
      </c>
      <c r="X184" s="0" t="n">
        <v>0.5271</v>
      </c>
      <c r="Y184" s="0" t="n">
        <v>-0.9963</v>
      </c>
      <c r="Z184" s="0" t="n">
        <v>-0.3126</v>
      </c>
      <c r="AA184" s="0" t="n">
        <v>-0.3762</v>
      </c>
      <c r="AB184" s="0" t="n">
        <v>0.9565</v>
      </c>
      <c r="AC184" s="0" t="n">
        <v>0.5389</v>
      </c>
      <c r="AD184" s="0" t="n">
        <v>-0.3078</v>
      </c>
      <c r="AE184" s="0" t="n">
        <v>-0.6635</v>
      </c>
      <c r="AG184" s="9" t="n">
        <f aca="false">SUMPRODUCT(($B$2:$AE$2&lt;=Portafolio!$B$5)*EXP(LN(Portafolio!$B$7)+Portafolio!$B$6*B184:AE184))/1000</f>
        <v>1.84486193697255</v>
      </c>
    </row>
    <row r="185" customFormat="false" ht="15" hidden="false" customHeight="false" outlineLevel="0" collapsed="false">
      <c r="A185" s="0" t="n">
        <v>183</v>
      </c>
      <c r="B185" s="0" t="n">
        <v>0.7998</v>
      </c>
      <c r="C185" s="0" t="n">
        <v>-0.2081</v>
      </c>
      <c r="D185" s="0" t="n">
        <v>-1.1228</v>
      </c>
      <c r="E185" s="0" t="n">
        <v>0.0619</v>
      </c>
      <c r="F185" s="0" t="n">
        <v>0.568</v>
      </c>
      <c r="G185" s="0" t="n">
        <v>-0.1054</v>
      </c>
      <c r="H185" s="0" t="n">
        <v>-0.014</v>
      </c>
      <c r="I185" s="0" t="n">
        <v>1.418</v>
      </c>
      <c r="J185" s="0" t="n">
        <v>-0.5943</v>
      </c>
      <c r="K185" s="0" t="n">
        <v>0.6983</v>
      </c>
      <c r="L185" s="0" t="n">
        <v>1.5104</v>
      </c>
      <c r="M185" s="0" t="n">
        <v>1.6432</v>
      </c>
      <c r="N185" s="0" t="n">
        <v>-1.2289</v>
      </c>
      <c r="O185" s="0" t="n">
        <v>0.4668</v>
      </c>
      <c r="P185" s="0" t="n">
        <v>0.07</v>
      </c>
      <c r="Q185" s="0" t="n">
        <v>2.342</v>
      </c>
      <c r="R185" s="0" t="n">
        <v>1.2168</v>
      </c>
      <c r="S185" s="0" t="n">
        <v>0.9544</v>
      </c>
      <c r="T185" s="0" t="n">
        <v>1.1279</v>
      </c>
      <c r="U185" s="0" t="n">
        <v>0.494</v>
      </c>
      <c r="V185" s="0" t="n">
        <v>-1.116</v>
      </c>
      <c r="W185" s="0" t="n">
        <v>2.1866</v>
      </c>
      <c r="X185" s="0" t="n">
        <v>-1.7725</v>
      </c>
      <c r="Y185" s="0" t="n">
        <v>0.7152</v>
      </c>
      <c r="Z185" s="0" t="n">
        <v>0.7212</v>
      </c>
      <c r="AA185" s="0" t="n">
        <v>0.1343</v>
      </c>
      <c r="AB185" s="0" t="n">
        <v>0.9572</v>
      </c>
      <c r="AC185" s="0" t="n">
        <v>-0.0815</v>
      </c>
      <c r="AD185" s="0" t="n">
        <v>0.7529</v>
      </c>
      <c r="AE185" s="0" t="n">
        <v>0.1848</v>
      </c>
      <c r="AG185" s="9" t="n">
        <f aca="false">SUMPRODUCT(($B$2:$AE$2&lt;=Portafolio!$B$5)*EXP(LN(Portafolio!$B$7)+Portafolio!$B$6*B185:AE185))/1000</f>
        <v>3.11813711791335</v>
      </c>
    </row>
    <row r="186" customFormat="false" ht="15" hidden="false" customHeight="false" outlineLevel="0" collapsed="false">
      <c r="A186" s="0" t="n">
        <v>184</v>
      </c>
      <c r="B186" s="0" t="n">
        <v>-0.7966</v>
      </c>
      <c r="C186" s="0" t="n">
        <v>0.9299</v>
      </c>
      <c r="D186" s="0" t="n">
        <v>-0.6277</v>
      </c>
      <c r="E186" s="0" t="n">
        <v>0.577</v>
      </c>
      <c r="F186" s="0" t="n">
        <v>-1.1108</v>
      </c>
      <c r="G186" s="0" t="n">
        <v>0.18</v>
      </c>
      <c r="H186" s="0" t="n">
        <v>0.4938</v>
      </c>
      <c r="I186" s="0" t="n">
        <v>1.1028</v>
      </c>
      <c r="J186" s="0" t="n">
        <v>-1.1564</v>
      </c>
      <c r="K186" s="0" t="n">
        <v>-0.6061</v>
      </c>
      <c r="L186" s="0" t="n">
        <v>-0.0689</v>
      </c>
      <c r="M186" s="0" t="n">
        <v>-1.0965</v>
      </c>
      <c r="N186" s="0" t="n">
        <v>0.5517</v>
      </c>
      <c r="O186" s="0" t="n">
        <v>2.329</v>
      </c>
      <c r="P186" s="0" t="n">
        <v>0.6281</v>
      </c>
      <c r="Q186" s="0" t="n">
        <v>0.574</v>
      </c>
      <c r="R186" s="0" t="n">
        <v>-0.8943</v>
      </c>
      <c r="S186" s="0" t="n">
        <v>0.5144</v>
      </c>
      <c r="T186" s="0" t="n">
        <v>0.4835</v>
      </c>
      <c r="U186" s="0" t="n">
        <v>1.926</v>
      </c>
      <c r="V186" s="0" t="n">
        <v>-0.4083</v>
      </c>
      <c r="W186" s="0" t="n">
        <v>1.1904</v>
      </c>
      <c r="X186" s="0" t="n">
        <v>-0.4091</v>
      </c>
      <c r="Y186" s="0" t="n">
        <v>-0.3353</v>
      </c>
      <c r="Z186" s="0" t="n">
        <v>-0.4846</v>
      </c>
      <c r="AA186" s="0" t="n">
        <v>0.2236</v>
      </c>
      <c r="AB186" s="0" t="n">
        <v>-1.5618</v>
      </c>
      <c r="AC186" s="0" t="n">
        <v>-0.4257</v>
      </c>
      <c r="AD186" s="0" t="n">
        <v>1.4417</v>
      </c>
      <c r="AE186" s="0" t="n">
        <v>-1.8788</v>
      </c>
      <c r="AG186" s="9" t="n">
        <f aca="false">SUMPRODUCT(($B$2:$AE$2&lt;=Portafolio!$B$5)*EXP(LN(Portafolio!$B$7)+Portafolio!$B$6*B186:AE186))/1000</f>
        <v>2.68143610241459</v>
      </c>
    </row>
    <row r="187" customFormat="false" ht="15" hidden="false" customHeight="false" outlineLevel="0" collapsed="false">
      <c r="A187" s="0" t="n">
        <v>185</v>
      </c>
      <c r="B187" s="0" t="n">
        <v>0.8388</v>
      </c>
      <c r="C187" s="0" t="n">
        <v>0.724</v>
      </c>
      <c r="D187" s="0" t="n">
        <v>-0.4858</v>
      </c>
      <c r="E187" s="0" t="n">
        <v>-0.8373</v>
      </c>
      <c r="F187" s="0" t="n">
        <v>1.0972</v>
      </c>
      <c r="G187" s="0" t="n">
        <v>-0.4006</v>
      </c>
      <c r="H187" s="0" t="n">
        <v>0.2543</v>
      </c>
      <c r="I187" s="0" t="n">
        <v>-0.2726</v>
      </c>
      <c r="J187" s="0" t="n">
        <v>-1.1816</v>
      </c>
      <c r="K187" s="0" t="n">
        <v>0.9941</v>
      </c>
      <c r="L187" s="0" t="n">
        <v>0.6118</v>
      </c>
      <c r="M187" s="0" t="n">
        <v>-0.9965</v>
      </c>
      <c r="N187" s="0" t="n">
        <v>1.0642</v>
      </c>
      <c r="O187" s="0" t="n">
        <v>-1.3118</v>
      </c>
      <c r="P187" s="0" t="n">
        <v>-1.3426</v>
      </c>
      <c r="Q187" s="0" t="n">
        <v>0.8142</v>
      </c>
      <c r="R187" s="0" t="n">
        <v>-0.4864</v>
      </c>
      <c r="S187" s="0" t="n">
        <v>-0.0501</v>
      </c>
      <c r="T187" s="0" t="n">
        <v>1.5567</v>
      </c>
      <c r="U187" s="0" t="n">
        <v>-1.1389</v>
      </c>
      <c r="V187" s="0" t="n">
        <v>0.5703</v>
      </c>
      <c r="W187" s="0" t="n">
        <v>-0.4592</v>
      </c>
      <c r="X187" s="0" t="n">
        <v>0.0472</v>
      </c>
      <c r="Y187" s="0" t="n">
        <v>-0.2763</v>
      </c>
      <c r="Z187" s="0" t="n">
        <v>-0.8488</v>
      </c>
      <c r="AA187" s="0" t="n">
        <v>0.0009</v>
      </c>
      <c r="AB187" s="0" t="n">
        <v>-0.9821</v>
      </c>
      <c r="AC187" s="0" t="n">
        <v>-0.0331</v>
      </c>
      <c r="AD187" s="0" t="n">
        <v>-1.0144</v>
      </c>
      <c r="AE187" s="0" t="n">
        <v>-0.3295</v>
      </c>
      <c r="AG187" s="9" t="n">
        <f aca="false">SUMPRODUCT(($B$2:$AE$2&lt;=Portafolio!$B$5)*EXP(LN(Portafolio!$B$7)+Portafolio!$B$6*B187:AE187))/1000</f>
        <v>2.27760844529516</v>
      </c>
    </row>
    <row r="188" customFormat="false" ht="15" hidden="false" customHeight="false" outlineLevel="0" collapsed="false">
      <c r="A188" s="0" t="n">
        <v>186</v>
      </c>
      <c r="B188" s="0" t="n">
        <v>0.0824</v>
      </c>
      <c r="C188" s="0" t="n">
        <v>-1.4622</v>
      </c>
      <c r="D188" s="0" t="n">
        <v>-0.1158</v>
      </c>
      <c r="E188" s="0" t="n">
        <v>0.6546</v>
      </c>
      <c r="F188" s="0" t="n">
        <v>0.0686</v>
      </c>
      <c r="G188" s="0" t="n">
        <v>0.8865</v>
      </c>
      <c r="H188" s="0" t="n">
        <v>-1.0547</v>
      </c>
      <c r="I188" s="0" t="n">
        <v>0.5391</v>
      </c>
      <c r="J188" s="0" t="n">
        <v>0.2666</v>
      </c>
      <c r="K188" s="0" t="n">
        <v>-2.8275</v>
      </c>
      <c r="L188" s="0" t="n">
        <v>-0.0589</v>
      </c>
      <c r="M188" s="0" t="n">
        <v>0.8342</v>
      </c>
      <c r="N188" s="0" t="n">
        <v>-0.1167</v>
      </c>
      <c r="O188" s="0" t="n">
        <v>-0.0135</v>
      </c>
      <c r="P188" s="0" t="n">
        <v>-0.1832</v>
      </c>
      <c r="Q188" s="0" t="n">
        <v>-0.2078</v>
      </c>
      <c r="R188" s="0" t="n">
        <v>-1.1047</v>
      </c>
      <c r="S188" s="0" t="n">
        <v>-0.7405</v>
      </c>
      <c r="T188" s="0" t="n">
        <v>-2.2646</v>
      </c>
      <c r="U188" s="0" t="n">
        <v>2.0522</v>
      </c>
      <c r="V188" s="0" t="n">
        <v>-0.0711</v>
      </c>
      <c r="W188" s="0" t="n">
        <v>0.1725</v>
      </c>
      <c r="X188" s="0" t="n">
        <v>0.5805</v>
      </c>
      <c r="Y188" s="0" t="n">
        <v>0.4614</v>
      </c>
      <c r="Z188" s="0" t="n">
        <v>-0.1255</v>
      </c>
      <c r="AA188" s="0" t="n">
        <v>-1.6352</v>
      </c>
      <c r="AB188" s="0" t="n">
        <v>-1.2578</v>
      </c>
      <c r="AC188" s="0" t="n">
        <v>1.6466</v>
      </c>
      <c r="AD188" s="0" t="n">
        <v>0.3744</v>
      </c>
      <c r="AE188" s="0" t="n">
        <v>0.6154</v>
      </c>
      <c r="AG188" s="9" t="n">
        <f aca="false">SUMPRODUCT(($B$2:$AE$2&lt;=Portafolio!$B$5)*EXP(LN(Portafolio!$B$7)+Portafolio!$B$6*B188:AE188))/1000</f>
        <v>2.10517289586062</v>
      </c>
    </row>
    <row r="189" customFormat="false" ht="15" hidden="false" customHeight="false" outlineLevel="0" collapsed="false">
      <c r="A189" s="0" t="n">
        <v>187</v>
      </c>
      <c r="B189" s="0" t="n">
        <v>-1.1126</v>
      </c>
      <c r="C189" s="0" t="n">
        <v>-0.5332</v>
      </c>
      <c r="D189" s="0" t="n">
        <v>0.216</v>
      </c>
      <c r="E189" s="0" t="n">
        <v>-0.8318</v>
      </c>
      <c r="F189" s="0" t="n">
        <v>1.1526</v>
      </c>
      <c r="G189" s="0" t="n">
        <v>-0.8187</v>
      </c>
      <c r="H189" s="0" t="n">
        <v>-0.4854</v>
      </c>
      <c r="I189" s="0" t="n">
        <v>-1.2135</v>
      </c>
      <c r="J189" s="0" t="n">
        <v>0.3072</v>
      </c>
      <c r="K189" s="0" t="n">
        <v>1.2503</v>
      </c>
      <c r="L189" s="0" t="n">
        <v>0.1629</v>
      </c>
      <c r="M189" s="0" t="n">
        <v>-0.0611</v>
      </c>
      <c r="N189" s="0" t="n">
        <v>-0.4149</v>
      </c>
      <c r="O189" s="0" t="n">
        <v>0.7515</v>
      </c>
      <c r="P189" s="0" t="n">
        <v>-0.0527</v>
      </c>
      <c r="Q189" s="0" t="n">
        <v>1.7173</v>
      </c>
      <c r="R189" s="0" t="n">
        <v>-0.3204</v>
      </c>
      <c r="S189" s="0" t="n">
        <v>-0.4314</v>
      </c>
      <c r="T189" s="0" t="n">
        <v>-0.5782</v>
      </c>
      <c r="U189" s="0" t="n">
        <v>-1.9699</v>
      </c>
      <c r="V189" s="0" t="n">
        <v>0.1793</v>
      </c>
      <c r="W189" s="0" t="n">
        <v>0.078</v>
      </c>
      <c r="X189" s="0" t="n">
        <v>-1.6571</v>
      </c>
      <c r="Y189" s="0" t="n">
        <v>-1.2292</v>
      </c>
      <c r="Z189" s="0" t="n">
        <v>-1.129</v>
      </c>
      <c r="AA189" s="0" t="n">
        <v>-0.3688</v>
      </c>
      <c r="AB189" s="0" t="n">
        <v>-1.0771</v>
      </c>
      <c r="AC189" s="0" t="n">
        <v>0.7156</v>
      </c>
      <c r="AD189" s="0" t="n">
        <v>1.1498</v>
      </c>
      <c r="AE189" s="0" t="n">
        <v>-0.7061</v>
      </c>
      <c r="AG189" s="9" t="n">
        <f aca="false">SUMPRODUCT(($B$2:$AE$2&lt;=Portafolio!$B$5)*EXP(LN(Portafolio!$B$7)+Portafolio!$B$6*B189:AE189))/1000</f>
        <v>2.09409151814285</v>
      </c>
    </row>
    <row r="190" customFormat="false" ht="15" hidden="false" customHeight="false" outlineLevel="0" collapsed="false">
      <c r="A190" s="0" t="n">
        <v>188</v>
      </c>
      <c r="B190" s="0" t="n">
        <v>-0.0275</v>
      </c>
      <c r="C190" s="0" t="n">
        <v>-1.1194</v>
      </c>
      <c r="D190" s="0" t="n">
        <v>1.2737</v>
      </c>
      <c r="E190" s="0" t="n">
        <v>-1.1441</v>
      </c>
      <c r="F190" s="0" t="n">
        <v>-0.8462</v>
      </c>
      <c r="G190" s="0" t="n">
        <v>-0.0465</v>
      </c>
      <c r="H190" s="0" t="n">
        <v>-0.8669</v>
      </c>
      <c r="I190" s="0" t="n">
        <v>2.6409</v>
      </c>
      <c r="J190" s="0" t="n">
        <v>-0.2454</v>
      </c>
      <c r="K190" s="0" t="n">
        <v>-0.2954</v>
      </c>
      <c r="L190" s="0" t="n">
        <v>-1.047</v>
      </c>
      <c r="M190" s="0" t="n">
        <v>-0.1367</v>
      </c>
      <c r="N190" s="0" t="n">
        <v>-0.6643</v>
      </c>
      <c r="O190" s="0" t="n">
        <v>-0.4746</v>
      </c>
      <c r="P190" s="0" t="n">
        <v>0.9478</v>
      </c>
      <c r="Q190" s="0" t="n">
        <v>-0.6478</v>
      </c>
      <c r="R190" s="0" t="n">
        <v>0.3668</v>
      </c>
      <c r="S190" s="0" t="n">
        <v>-0.6833</v>
      </c>
      <c r="T190" s="0" t="n">
        <v>0.9565</v>
      </c>
      <c r="U190" s="0" t="n">
        <v>-0.8158</v>
      </c>
      <c r="V190" s="0" t="n">
        <v>-1.0248</v>
      </c>
      <c r="W190" s="0" t="n">
        <v>-0.3</v>
      </c>
      <c r="X190" s="0" t="n">
        <v>1.2021</v>
      </c>
      <c r="Y190" s="0" t="n">
        <v>-0.4569</v>
      </c>
      <c r="Z190" s="0" t="n">
        <v>-0.9281</v>
      </c>
      <c r="AA190" s="0" t="n">
        <v>-0.2046</v>
      </c>
      <c r="AB190" s="0" t="n">
        <v>-0.7655</v>
      </c>
      <c r="AC190" s="0" t="n">
        <v>0.2096</v>
      </c>
      <c r="AD190" s="0" t="n">
        <v>-0.7357</v>
      </c>
      <c r="AE190" s="0" t="n">
        <v>0.2655</v>
      </c>
      <c r="AG190" s="9" t="n">
        <f aca="false">SUMPRODUCT(($B$2:$AE$2&lt;=Portafolio!$B$5)*EXP(LN(Portafolio!$B$7)+Portafolio!$B$6*B190:AE190))/1000</f>
        <v>2.25118008286463</v>
      </c>
    </row>
    <row r="191" customFormat="false" ht="15" hidden="false" customHeight="false" outlineLevel="0" collapsed="false">
      <c r="A191" s="0" t="n">
        <v>189</v>
      </c>
      <c r="B191" s="0" t="n">
        <v>0.8441</v>
      </c>
      <c r="C191" s="0" t="n">
        <v>0.4433</v>
      </c>
      <c r="D191" s="0" t="n">
        <v>1.4553</v>
      </c>
      <c r="E191" s="0" t="n">
        <v>0.2519</v>
      </c>
      <c r="F191" s="0" t="n">
        <v>1.7956</v>
      </c>
      <c r="G191" s="0" t="n">
        <v>1.2192</v>
      </c>
      <c r="H191" s="0" t="n">
        <v>-0.3253</v>
      </c>
      <c r="I191" s="0" t="n">
        <v>0.7264</v>
      </c>
      <c r="J191" s="0" t="n">
        <v>-0.7904</v>
      </c>
      <c r="K191" s="0" t="n">
        <v>-0.2548</v>
      </c>
      <c r="L191" s="0" t="n">
        <v>-0.14</v>
      </c>
      <c r="M191" s="0" t="n">
        <v>-0.8399</v>
      </c>
      <c r="N191" s="0" t="n">
        <v>0.257</v>
      </c>
      <c r="O191" s="0" t="n">
        <v>-0.1389</v>
      </c>
      <c r="P191" s="0" t="n">
        <v>1.94</v>
      </c>
      <c r="Q191" s="0" t="n">
        <v>0.7199</v>
      </c>
      <c r="R191" s="0" t="n">
        <v>-0.2953</v>
      </c>
      <c r="S191" s="0" t="n">
        <v>-0.7241</v>
      </c>
      <c r="T191" s="0" t="n">
        <v>-0.5896</v>
      </c>
      <c r="U191" s="0" t="n">
        <v>-0.7389</v>
      </c>
      <c r="V191" s="0" t="n">
        <v>-0.8006</v>
      </c>
      <c r="W191" s="0" t="n">
        <v>-0.0415</v>
      </c>
      <c r="X191" s="0" t="n">
        <v>-1.4011</v>
      </c>
      <c r="Y191" s="0" t="n">
        <v>-0.3596</v>
      </c>
      <c r="Z191" s="0" t="n">
        <v>0.4372</v>
      </c>
      <c r="AA191" s="0" t="n">
        <v>-0.633</v>
      </c>
      <c r="AB191" s="0" t="n">
        <v>-1.1711</v>
      </c>
      <c r="AC191" s="0" t="n">
        <v>-0.5506</v>
      </c>
      <c r="AD191" s="0" t="n">
        <v>0.8039</v>
      </c>
      <c r="AE191" s="0" t="n">
        <v>-0.8137</v>
      </c>
      <c r="AG191" s="9" t="n">
        <f aca="false">SUMPRODUCT(($B$2:$AE$2&lt;=Portafolio!$B$5)*EXP(LN(Portafolio!$B$7)+Portafolio!$B$6*B191:AE191))/1000</f>
        <v>2.65689560196919</v>
      </c>
    </row>
    <row r="192" customFormat="false" ht="15" hidden="false" customHeight="false" outlineLevel="0" collapsed="false">
      <c r="A192" s="0" t="n">
        <v>190</v>
      </c>
      <c r="B192" s="0" t="n">
        <v>1.499</v>
      </c>
      <c r="C192" s="0" t="n">
        <v>-1.711</v>
      </c>
      <c r="D192" s="0" t="n">
        <v>-0.8556</v>
      </c>
      <c r="E192" s="0" t="n">
        <v>0.5562</v>
      </c>
      <c r="F192" s="0" t="n">
        <v>1.2915</v>
      </c>
      <c r="G192" s="0" t="n">
        <v>-0.2549</v>
      </c>
      <c r="H192" s="0" t="n">
        <v>-1.7018</v>
      </c>
      <c r="I192" s="0" t="n">
        <v>-0.3329</v>
      </c>
      <c r="J192" s="0" t="n">
        <v>-0.9575</v>
      </c>
      <c r="K192" s="0" t="n">
        <v>-0.7375</v>
      </c>
      <c r="L192" s="0" t="n">
        <v>-0.4257</v>
      </c>
      <c r="M192" s="0" t="n">
        <v>-0.6524</v>
      </c>
      <c r="N192" s="0" t="n">
        <v>-0.095</v>
      </c>
      <c r="O192" s="0" t="n">
        <v>0.0916</v>
      </c>
      <c r="P192" s="0" t="n">
        <v>-0.3415</v>
      </c>
      <c r="Q192" s="0" t="n">
        <v>-1.832</v>
      </c>
      <c r="R192" s="0" t="n">
        <v>-0.2334</v>
      </c>
      <c r="S192" s="0" t="n">
        <v>-2.6583</v>
      </c>
      <c r="T192" s="0" t="n">
        <v>0.0168</v>
      </c>
      <c r="U192" s="0" t="n">
        <v>-0.4759</v>
      </c>
      <c r="V192" s="0" t="n">
        <v>-0.9794</v>
      </c>
      <c r="W192" s="0" t="n">
        <v>2.035</v>
      </c>
      <c r="X192" s="0" t="n">
        <v>1.6008</v>
      </c>
      <c r="Y192" s="0" t="n">
        <v>1.2822</v>
      </c>
      <c r="Z192" s="0" t="n">
        <v>0.1636</v>
      </c>
      <c r="AA192" s="0" t="n">
        <v>-0.5406</v>
      </c>
      <c r="AB192" s="0" t="n">
        <v>0.4082</v>
      </c>
      <c r="AC192" s="0" t="n">
        <v>1.57</v>
      </c>
      <c r="AD192" s="0" t="n">
        <v>-0.141</v>
      </c>
      <c r="AE192" s="0" t="n">
        <v>-0.2022</v>
      </c>
      <c r="AG192" s="9" t="n">
        <f aca="false">SUMPRODUCT(($B$2:$AE$2&lt;=Portafolio!$B$5)*EXP(LN(Portafolio!$B$7)+Portafolio!$B$6*B192:AE192))/1000</f>
        <v>1.76577120991741</v>
      </c>
    </row>
    <row r="193" customFormat="false" ht="15" hidden="false" customHeight="false" outlineLevel="0" collapsed="false">
      <c r="A193" s="0" t="n">
        <v>191</v>
      </c>
      <c r="B193" s="0" t="n">
        <v>-0.6353</v>
      </c>
      <c r="C193" s="0" t="n">
        <v>-0.1198</v>
      </c>
      <c r="D193" s="0" t="n">
        <v>0.7808</v>
      </c>
      <c r="E193" s="0" t="n">
        <v>-0.962</v>
      </c>
      <c r="F193" s="0" t="n">
        <v>0.9998</v>
      </c>
      <c r="G193" s="0" t="n">
        <v>0.0834</v>
      </c>
      <c r="H193" s="0" t="n">
        <v>2.1701</v>
      </c>
      <c r="I193" s="0" t="n">
        <v>0.1414</v>
      </c>
      <c r="J193" s="0" t="n">
        <v>1.2086</v>
      </c>
      <c r="K193" s="0" t="n">
        <v>-1.0352</v>
      </c>
      <c r="L193" s="0" t="n">
        <v>2.3582</v>
      </c>
      <c r="M193" s="0" t="n">
        <v>0.0344</v>
      </c>
      <c r="N193" s="0" t="n">
        <v>-0.1271</v>
      </c>
      <c r="O193" s="0" t="n">
        <v>1.4448</v>
      </c>
      <c r="P193" s="0" t="n">
        <v>0.1084</v>
      </c>
      <c r="Q193" s="0" t="n">
        <v>-1.2749</v>
      </c>
      <c r="R193" s="0" t="n">
        <v>0.5604</v>
      </c>
      <c r="S193" s="0" t="n">
        <v>0.4996</v>
      </c>
      <c r="T193" s="0" t="n">
        <v>-0.0618</v>
      </c>
      <c r="U193" s="0" t="n">
        <v>-0.5102</v>
      </c>
      <c r="V193" s="0" t="n">
        <v>-1.6539</v>
      </c>
      <c r="W193" s="0" t="n">
        <v>1.626</v>
      </c>
      <c r="X193" s="0" t="n">
        <v>-0.4837</v>
      </c>
      <c r="Y193" s="0" t="n">
        <v>0.3113</v>
      </c>
      <c r="Z193" s="0" t="n">
        <v>-0.544</v>
      </c>
      <c r="AA193" s="0" t="n">
        <v>-0.7509</v>
      </c>
      <c r="AB193" s="0" t="n">
        <v>0.2355</v>
      </c>
      <c r="AC193" s="0" t="n">
        <v>-0.9238</v>
      </c>
      <c r="AD193" s="0" t="n">
        <v>0.8891</v>
      </c>
      <c r="AE193" s="0" t="n">
        <v>-1.6436</v>
      </c>
      <c r="AG193" s="9" t="n">
        <f aca="false">SUMPRODUCT(($B$2:$AE$2&lt;=Portafolio!$B$5)*EXP(LN(Portafolio!$B$7)+Portafolio!$B$6*B193:AE193))/1000</f>
        <v>2.84384858403461</v>
      </c>
    </row>
    <row r="194" customFormat="false" ht="15" hidden="false" customHeight="false" outlineLevel="0" collapsed="false">
      <c r="A194" s="0" t="n">
        <v>192</v>
      </c>
      <c r="B194" s="0" t="n">
        <v>0.549</v>
      </c>
      <c r="C194" s="0" t="n">
        <v>1.1319</v>
      </c>
      <c r="D194" s="0" t="n">
        <v>-0.4825</v>
      </c>
      <c r="E194" s="0" t="n">
        <v>0.1716</v>
      </c>
      <c r="F194" s="0" t="n">
        <v>0.7805</v>
      </c>
      <c r="G194" s="0" t="n">
        <v>-0.4773</v>
      </c>
      <c r="H194" s="0" t="n">
        <v>-0.2695</v>
      </c>
      <c r="I194" s="0" t="n">
        <v>-0.2277</v>
      </c>
      <c r="J194" s="0" t="n">
        <v>2.6704</v>
      </c>
      <c r="K194" s="0" t="n">
        <v>-0.8554</v>
      </c>
      <c r="L194" s="0" t="n">
        <v>-0.213</v>
      </c>
      <c r="M194" s="0" t="n">
        <v>-0.4843</v>
      </c>
      <c r="N194" s="0" t="n">
        <v>-0.5852</v>
      </c>
      <c r="O194" s="0" t="n">
        <v>-0.9605</v>
      </c>
      <c r="P194" s="0" t="n">
        <v>-0.6921</v>
      </c>
      <c r="Q194" s="0" t="n">
        <v>0.1171</v>
      </c>
      <c r="R194" s="0" t="n">
        <v>1.1176</v>
      </c>
      <c r="S194" s="0" t="n">
        <v>1.5742</v>
      </c>
      <c r="T194" s="0" t="n">
        <v>-1.3152</v>
      </c>
      <c r="U194" s="0" t="n">
        <v>-1.0087</v>
      </c>
      <c r="V194" s="0" t="n">
        <v>-0.0693</v>
      </c>
      <c r="W194" s="0" t="n">
        <v>-1.0107</v>
      </c>
      <c r="X194" s="0" t="n">
        <v>-0.8082</v>
      </c>
      <c r="Y194" s="0" t="n">
        <v>-0.2617</v>
      </c>
      <c r="Z194" s="0" t="n">
        <v>-0.5967</v>
      </c>
      <c r="AA194" s="0" t="n">
        <v>-0.878</v>
      </c>
      <c r="AB194" s="0" t="n">
        <v>0.1763</v>
      </c>
      <c r="AC194" s="0" t="n">
        <v>-0.8117</v>
      </c>
      <c r="AD194" s="0" t="n">
        <v>-0.3044</v>
      </c>
      <c r="AE194" s="0" t="n">
        <v>0.2803</v>
      </c>
      <c r="AG194" s="9" t="n">
        <f aca="false">SUMPRODUCT(($B$2:$AE$2&lt;=Portafolio!$B$5)*EXP(LN(Portafolio!$B$7)+Portafolio!$B$6*B194:AE194))/1000</f>
        <v>2.50071413227131</v>
      </c>
    </row>
    <row r="195" customFormat="false" ht="15" hidden="false" customHeight="false" outlineLevel="0" collapsed="false">
      <c r="A195" s="0" t="n">
        <v>193</v>
      </c>
      <c r="B195" s="0" t="n">
        <v>0.6742</v>
      </c>
      <c r="C195" s="0" t="n">
        <v>0.1687</v>
      </c>
      <c r="D195" s="0" t="n">
        <v>1.0449</v>
      </c>
      <c r="E195" s="0" t="n">
        <v>0.111</v>
      </c>
      <c r="F195" s="0" t="n">
        <v>-1.5023</v>
      </c>
      <c r="G195" s="0" t="n">
        <v>1.4208</v>
      </c>
      <c r="H195" s="0" t="n">
        <v>2.7958</v>
      </c>
      <c r="I195" s="0" t="n">
        <v>0.7678</v>
      </c>
      <c r="J195" s="0" t="n">
        <v>1.5576</v>
      </c>
      <c r="K195" s="0" t="n">
        <v>1.0584</v>
      </c>
      <c r="L195" s="0" t="n">
        <v>-0.4719</v>
      </c>
      <c r="M195" s="0" t="n">
        <v>0.5842</v>
      </c>
      <c r="N195" s="0" t="n">
        <v>-0.7204</v>
      </c>
      <c r="O195" s="0" t="n">
        <v>-0.6007</v>
      </c>
      <c r="P195" s="0" t="n">
        <v>0.5263</v>
      </c>
      <c r="Q195" s="0" t="n">
        <v>0.0537</v>
      </c>
      <c r="R195" s="0" t="n">
        <v>-0.6872</v>
      </c>
      <c r="S195" s="0" t="n">
        <v>-1.4392</v>
      </c>
      <c r="T195" s="0" t="n">
        <v>0.7633</v>
      </c>
      <c r="U195" s="0" t="n">
        <v>-0.0313</v>
      </c>
      <c r="V195" s="0" t="n">
        <v>0.1104</v>
      </c>
      <c r="W195" s="0" t="n">
        <v>-0.9094</v>
      </c>
      <c r="X195" s="0" t="n">
        <v>-0.804</v>
      </c>
      <c r="Y195" s="0" t="n">
        <v>-0.0802</v>
      </c>
      <c r="Z195" s="0" t="n">
        <v>-1.8834</v>
      </c>
      <c r="AA195" s="0" t="n">
        <v>1.1678</v>
      </c>
      <c r="AB195" s="0" t="n">
        <v>-0.0113</v>
      </c>
      <c r="AC195" s="0" t="n">
        <v>1.0508</v>
      </c>
      <c r="AD195" s="0" t="n">
        <v>0.92</v>
      </c>
      <c r="AE195" s="0" t="n">
        <v>-0.5965</v>
      </c>
      <c r="AG195" s="9" t="n">
        <f aca="false">SUMPRODUCT(($B$2:$AE$2&lt;=Portafolio!$B$5)*EXP(LN(Portafolio!$B$7)+Portafolio!$B$6*B195:AE195))/1000</f>
        <v>2.92374942890155</v>
      </c>
    </row>
    <row r="196" customFormat="false" ht="15" hidden="false" customHeight="false" outlineLevel="0" collapsed="false">
      <c r="A196" s="0" t="n">
        <v>194</v>
      </c>
      <c r="B196" s="0" t="n">
        <v>0.4765</v>
      </c>
      <c r="C196" s="0" t="n">
        <v>-1.1405</v>
      </c>
      <c r="D196" s="0" t="n">
        <v>-0.9364</v>
      </c>
      <c r="E196" s="0" t="n">
        <v>1.2927</v>
      </c>
      <c r="F196" s="0" t="n">
        <v>-0.5606</v>
      </c>
      <c r="G196" s="0" t="n">
        <v>-0.8022</v>
      </c>
      <c r="H196" s="0" t="n">
        <v>0.4387</v>
      </c>
      <c r="I196" s="0" t="n">
        <v>-0.0057</v>
      </c>
      <c r="J196" s="0" t="n">
        <v>0.9367</v>
      </c>
      <c r="K196" s="0" t="n">
        <v>-1.2943</v>
      </c>
      <c r="L196" s="0" t="n">
        <v>-0.2827</v>
      </c>
      <c r="M196" s="0" t="n">
        <v>-1.0972</v>
      </c>
      <c r="N196" s="0" t="n">
        <v>-0.0022</v>
      </c>
      <c r="O196" s="0" t="n">
        <v>-0.3001</v>
      </c>
      <c r="P196" s="0" t="n">
        <v>-0.9626</v>
      </c>
      <c r="Q196" s="0" t="n">
        <v>-1.7578</v>
      </c>
      <c r="R196" s="0" t="n">
        <v>-1.3764</v>
      </c>
      <c r="S196" s="0" t="n">
        <v>0.8964</v>
      </c>
      <c r="T196" s="0" t="n">
        <v>-0.395</v>
      </c>
      <c r="U196" s="0" t="n">
        <v>-1.1123</v>
      </c>
      <c r="V196" s="0" t="n">
        <v>0.1455</v>
      </c>
      <c r="W196" s="0" t="n">
        <v>-1.1416</v>
      </c>
      <c r="X196" s="0" t="n">
        <v>0.8854</v>
      </c>
      <c r="Y196" s="0" t="n">
        <v>0.8345</v>
      </c>
      <c r="Z196" s="0" t="n">
        <v>0.0118</v>
      </c>
      <c r="AA196" s="0" t="n">
        <v>-0.599</v>
      </c>
      <c r="AB196" s="0" t="n">
        <v>-1.8425</v>
      </c>
      <c r="AC196" s="0" t="n">
        <v>0.4534</v>
      </c>
      <c r="AD196" s="0" t="n">
        <v>1.9873</v>
      </c>
      <c r="AE196" s="0" t="n">
        <v>0.1661</v>
      </c>
      <c r="AG196" s="9" t="n">
        <f aca="false">SUMPRODUCT(($B$2:$AE$2&lt;=Portafolio!$B$5)*EXP(LN(Portafolio!$B$7)+Portafolio!$B$6*B196:AE196))/1000</f>
        <v>1.79791110437622</v>
      </c>
    </row>
    <row r="197" customFormat="false" ht="15" hidden="false" customHeight="false" outlineLevel="0" collapsed="false">
      <c r="A197" s="0" t="n">
        <v>195</v>
      </c>
      <c r="B197" s="0" t="n">
        <v>-0.5636</v>
      </c>
      <c r="C197" s="0" t="n">
        <v>0.7648</v>
      </c>
      <c r="D197" s="0" t="n">
        <v>-0.4132</v>
      </c>
      <c r="E197" s="0" t="n">
        <v>-1.2384</v>
      </c>
      <c r="F197" s="0" t="n">
        <v>-0.1367</v>
      </c>
      <c r="G197" s="0" t="n">
        <v>0.5656</v>
      </c>
      <c r="H197" s="0" t="n">
        <v>-1.8445</v>
      </c>
      <c r="I197" s="0" t="n">
        <v>1.0034</v>
      </c>
      <c r="J197" s="0" t="n">
        <v>1.59</v>
      </c>
      <c r="K197" s="0" t="n">
        <v>-0.0517</v>
      </c>
      <c r="L197" s="0" t="n">
        <v>-0.5065</v>
      </c>
      <c r="M197" s="0" t="n">
        <v>-1.438</v>
      </c>
      <c r="N197" s="0" t="n">
        <v>0.5079</v>
      </c>
      <c r="O197" s="0" t="n">
        <v>-0.3048</v>
      </c>
      <c r="P197" s="0" t="n">
        <v>1.1818</v>
      </c>
      <c r="Q197" s="0" t="n">
        <v>1.5215</v>
      </c>
      <c r="R197" s="0" t="n">
        <v>1.2073</v>
      </c>
      <c r="S197" s="0" t="n">
        <v>0.1507</v>
      </c>
      <c r="T197" s="0" t="n">
        <v>-1.834</v>
      </c>
      <c r="U197" s="0" t="n">
        <v>1.283</v>
      </c>
      <c r="V197" s="0" t="n">
        <v>-0.5055</v>
      </c>
      <c r="W197" s="0" t="n">
        <v>-0.5046</v>
      </c>
      <c r="X197" s="0" t="n">
        <v>1.0393</v>
      </c>
      <c r="Y197" s="0" t="n">
        <v>0.446</v>
      </c>
      <c r="Z197" s="0" t="n">
        <v>-1.0632</v>
      </c>
      <c r="AA197" s="0" t="n">
        <v>-0.3593</v>
      </c>
      <c r="AB197" s="0" t="n">
        <v>-0.3115</v>
      </c>
      <c r="AC197" s="0" t="n">
        <v>-0.1744</v>
      </c>
      <c r="AD197" s="0" t="n">
        <v>-1.195</v>
      </c>
      <c r="AE197" s="0" t="n">
        <v>1.4541</v>
      </c>
      <c r="AG197" s="9" t="n">
        <f aca="false">SUMPRODUCT(($B$2:$AE$2&lt;=Portafolio!$B$5)*EXP(LN(Portafolio!$B$7)+Portafolio!$B$6*B197:AE197))/1000</f>
        <v>2.51216596636895</v>
      </c>
    </row>
    <row r="198" customFormat="false" ht="15" hidden="false" customHeight="false" outlineLevel="0" collapsed="false">
      <c r="A198" s="0" t="n">
        <v>196</v>
      </c>
      <c r="B198" s="0" t="n">
        <v>-0.1565</v>
      </c>
      <c r="C198" s="0" t="n">
        <v>0.627</v>
      </c>
      <c r="D198" s="0" t="n">
        <v>1.025</v>
      </c>
      <c r="E198" s="0" t="n">
        <v>2.1278</v>
      </c>
      <c r="F198" s="0" t="n">
        <v>0.6943</v>
      </c>
      <c r="G198" s="0" t="n">
        <v>-0.7461</v>
      </c>
      <c r="H198" s="0" t="n">
        <v>-0.459</v>
      </c>
      <c r="I198" s="0" t="n">
        <v>0.8411</v>
      </c>
      <c r="J198" s="0" t="n">
        <v>1.6177</v>
      </c>
      <c r="K198" s="0" t="n">
        <v>-1.473</v>
      </c>
      <c r="L198" s="0" t="n">
        <v>1.8823</v>
      </c>
      <c r="M198" s="0" t="n">
        <v>-0.5814</v>
      </c>
      <c r="N198" s="0" t="n">
        <v>-0.2124</v>
      </c>
      <c r="O198" s="0" t="n">
        <v>-0.4511</v>
      </c>
      <c r="P198" s="0" t="n">
        <v>0.5658</v>
      </c>
      <c r="Q198" s="0" t="n">
        <v>-0.215</v>
      </c>
      <c r="R198" s="0" t="n">
        <v>-0.0636</v>
      </c>
      <c r="S198" s="0" t="n">
        <v>-0.9379</v>
      </c>
      <c r="T198" s="0" t="n">
        <v>1.4264</v>
      </c>
      <c r="U198" s="0" t="n">
        <v>0.3341</v>
      </c>
      <c r="V198" s="0" t="n">
        <v>-0.0641</v>
      </c>
      <c r="W198" s="0" t="n">
        <v>2.0911</v>
      </c>
      <c r="X198" s="0" t="n">
        <v>0.6258</v>
      </c>
      <c r="Y198" s="0" t="n">
        <v>1.3458</v>
      </c>
      <c r="Z198" s="0" t="n">
        <v>-0.2874</v>
      </c>
      <c r="AA198" s="0" t="n">
        <v>0.121</v>
      </c>
      <c r="AB198" s="0" t="n">
        <v>-0.171</v>
      </c>
      <c r="AC198" s="0" t="n">
        <v>0.8432</v>
      </c>
      <c r="AD198" s="0" t="n">
        <v>0.2681</v>
      </c>
      <c r="AE198" s="0" t="n">
        <v>-1.6971</v>
      </c>
      <c r="AG198" s="9" t="n">
        <f aca="false">SUMPRODUCT(($B$2:$AE$2&lt;=Portafolio!$B$5)*EXP(LN(Portafolio!$B$7)+Portafolio!$B$6*B198:AE198))/1000</f>
        <v>2.82590327691352</v>
      </c>
    </row>
    <row r="199" customFormat="false" ht="15" hidden="false" customHeight="false" outlineLevel="0" collapsed="false">
      <c r="A199" s="0" t="n">
        <v>197</v>
      </c>
      <c r="B199" s="0" t="n">
        <v>0.5532</v>
      </c>
      <c r="C199" s="0" t="n">
        <v>-0.2374</v>
      </c>
      <c r="D199" s="0" t="n">
        <v>0.2331</v>
      </c>
      <c r="E199" s="0" t="n">
        <v>0.9385</v>
      </c>
      <c r="F199" s="0" t="n">
        <v>-0.2906</v>
      </c>
      <c r="G199" s="0" t="n">
        <v>0.6143</v>
      </c>
      <c r="H199" s="0" t="n">
        <v>0.0017</v>
      </c>
      <c r="I199" s="0" t="n">
        <v>-0.1052</v>
      </c>
      <c r="J199" s="0" t="n">
        <v>-0.5199</v>
      </c>
      <c r="K199" s="0" t="n">
        <v>-0.1235</v>
      </c>
      <c r="L199" s="0" t="n">
        <v>-0.3226</v>
      </c>
      <c r="M199" s="0" t="n">
        <v>0.7658</v>
      </c>
      <c r="N199" s="0" t="n">
        <v>-2.2999</v>
      </c>
      <c r="O199" s="0" t="n">
        <v>0.5522</v>
      </c>
      <c r="P199" s="0" t="n">
        <v>-0.0912</v>
      </c>
      <c r="Q199" s="0" t="n">
        <v>-1.0558</v>
      </c>
      <c r="R199" s="0" t="n">
        <v>0.7631</v>
      </c>
      <c r="S199" s="0" t="n">
        <v>-0.049</v>
      </c>
      <c r="T199" s="0" t="n">
        <v>0.5378</v>
      </c>
      <c r="U199" s="0" t="n">
        <v>1.3164</v>
      </c>
      <c r="V199" s="0" t="n">
        <v>0.2017</v>
      </c>
      <c r="W199" s="0" t="n">
        <v>-1.592</v>
      </c>
      <c r="X199" s="0" t="n">
        <v>-1.6003</v>
      </c>
      <c r="Y199" s="0" t="n">
        <v>-0.0712</v>
      </c>
      <c r="Z199" s="0" t="n">
        <v>-1.2098</v>
      </c>
      <c r="AA199" s="0" t="n">
        <v>2.1125</v>
      </c>
      <c r="AB199" s="0" t="n">
        <v>-0.1075</v>
      </c>
      <c r="AC199" s="0" t="n">
        <v>-1.7933</v>
      </c>
      <c r="AD199" s="0" t="n">
        <v>-2.1674</v>
      </c>
      <c r="AE199" s="0" t="n">
        <v>-0.5545</v>
      </c>
      <c r="AG199" s="9" t="n">
        <f aca="false">SUMPRODUCT(($B$2:$AE$2&lt;=Portafolio!$B$5)*EXP(LN(Portafolio!$B$7)+Portafolio!$B$6*B199:AE199))/1000</f>
        <v>2.27179767997536</v>
      </c>
    </row>
    <row r="200" customFormat="false" ht="15" hidden="false" customHeight="false" outlineLevel="0" collapsed="false">
      <c r="A200" s="0" t="n">
        <v>198</v>
      </c>
      <c r="B200" s="0" t="n">
        <v>-2.4118</v>
      </c>
      <c r="C200" s="0" t="n">
        <v>0.4672</v>
      </c>
      <c r="D200" s="0" t="n">
        <v>-2.3021</v>
      </c>
      <c r="E200" s="0" t="n">
        <v>0.8543</v>
      </c>
      <c r="F200" s="0" t="n">
        <v>-0.497</v>
      </c>
      <c r="G200" s="0" t="n">
        <v>1.0977</v>
      </c>
      <c r="H200" s="0" t="n">
        <v>-1.1735</v>
      </c>
      <c r="I200" s="0" t="n">
        <v>-0.4681</v>
      </c>
      <c r="J200" s="0" t="n">
        <v>1.0733</v>
      </c>
      <c r="K200" s="0" t="n">
        <v>-1.6161</v>
      </c>
      <c r="L200" s="0" t="n">
        <v>0.6503</v>
      </c>
      <c r="M200" s="0" t="n">
        <v>1.4229</v>
      </c>
      <c r="N200" s="0" t="n">
        <v>-1.0048</v>
      </c>
      <c r="O200" s="0" t="n">
        <v>-0.1641</v>
      </c>
      <c r="P200" s="0" t="n">
        <v>1.6363</v>
      </c>
      <c r="Q200" s="0" t="n">
        <v>1.4583</v>
      </c>
      <c r="R200" s="0" t="n">
        <v>1.6014</v>
      </c>
      <c r="S200" s="0" t="n">
        <v>-0.1121</v>
      </c>
      <c r="T200" s="0" t="n">
        <v>-0.3749</v>
      </c>
      <c r="U200" s="0" t="n">
        <v>-0.1794</v>
      </c>
      <c r="V200" s="0" t="n">
        <v>-0.3855</v>
      </c>
      <c r="W200" s="0" t="n">
        <v>0.806</v>
      </c>
      <c r="X200" s="0" t="n">
        <v>0.8298</v>
      </c>
      <c r="Y200" s="0" t="n">
        <v>0.5017</v>
      </c>
      <c r="Z200" s="0" t="n">
        <v>-0.6899</v>
      </c>
      <c r="AA200" s="0" t="n">
        <v>0.7678</v>
      </c>
      <c r="AB200" s="0" t="n">
        <v>0.4832</v>
      </c>
      <c r="AC200" s="0" t="n">
        <v>0.2233</v>
      </c>
      <c r="AD200" s="0" t="n">
        <v>1.2132</v>
      </c>
      <c r="AE200" s="0" t="n">
        <v>-0.3819</v>
      </c>
      <c r="AG200" s="9" t="n">
        <f aca="false">SUMPRODUCT(($B$2:$AE$2&lt;=Portafolio!$B$5)*EXP(LN(Portafolio!$B$7)+Portafolio!$B$6*B200:AE200))/1000</f>
        <v>2.52793991218384</v>
      </c>
    </row>
    <row r="201" customFormat="false" ht="15" hidden="false" customHeight="false" outlineLevel="0" collapsed="false">
      <c r="A201" s="0" t="n">
        <v>199</v>
      </c>
      <c r="B201" s="0" t="n">
        <v>0.1176</v>
      </c>
      <c r="C201" s="0" t="n">
        <v>1.086</v>
      </c>
      <c r="D201" s="0" t="n">
        <v>-0.7518</v>
      </c>
      <c r="E201" s="0" t="n">
        <v>0.8737</v>
      </c>
      <c r="F201" s="0" t="n">
        <v>0.7298</v>
      </c>
      <c r="G201" s="0" t="n">
        <v>1.482</v>
      </c>
      <c r="H201" s="0" t="n">
        <v>1.2837</v>
      </c>
      <c r="I201" s="0" t="n">
        <v>-0.5756</v>
      </c>
      <c r="J201" s="0" t="n">
        <v>1.7776</v>
      </c>
      <c r="K201" s="0" t="n">
        <v>-0.4616</v>
      </c>
      <c r="L201" s="0" t="n">
        <v>-1.1821</v>
      </c>
      <c r="M201" s="0" t="n">
        <v>-0.2813</v>
      </c>
      <c r="N201" s="0" t="n">
        <v>-0.3475</v>
      </c>
      <c r="O201" s="0" t="n">
        <v>-0.8915</v>
      </c>
      <c r="P201" s="0" t="n">
        <v>0.9732</v>
      </c>
      <c r="Q201" s="0" t="n">
        <v>0.5061</v>
      </c>
      <c r="R201" s="0" t="n">
        <v>0.6118</v>
      </c>
      <c r="S201" s="0" t="n">
        <v>-1.3682</v>
      </c>
      <c r="T201" s="0" t="n">
        <v>1.8126</v>
      </c>
      <c r="U201" s="0" t="n">
        <v>0.4645</v>
      </c>
      <c r="V201" s="0" t="n">
        <v>1.1573</v>
      </c>
      <c r="W201" s="0" t="n">
        <v>0.3512</v>
      </c>
      <c r="X201" s="0" t="n">
        <v>0.3721</v>
      </c>
      <c r="Y201" s="0" t="n">
        <v>0.7584</v>
      </c>
      <c r="Z201" s="0" t="n">
        <v>0.1644</v>
      </c>
      <c r="AA201" s="0" t="n">
        <v>1.3722</v>
      </c>
      <c r="AB201" s="0" t="n">
        <v>-0.5065</v>
      </c>
      <c r="AC201" s="0" t="n">
        <v>-2.0143</v>
      </c>
      <c r="AD201" s="0" t="n">
        <v>-0.352</v>
      </c>
      <c r="AE201" s="0" t="n">
        <v>-0.0129</v>
      </c>
      <c r="AG201" s="9" t="n">
        <f aca="false">SUMPRODUCT(($B$2:$AE$2&lt;=Portafolio!$B$5)*EXP(LN(Portafolio!$B$7)+Portafolio!$B$6*B201:AE201))/1000</f>
        <v>2.78861287576541</v>
      </c>
    </row>
    <row r="202" customFormat="false" ht="15" hidden="false" customHeight="false" outlineLevel="0" collapsed="false">
      <c r="A202" s="0" t="n">
        <v>200</v>
      </c>
      <c r="B202" s="0" t="n">
        <v>0.4099</v>
      </c>
      <c r="C202" s="0" t="n">
        <v>0.0999</v>
      </c>
      <c r="D202" s="0" t="n">
        <v>0.4313</v>
      </c>
      <c r="E202" s="0" t="n">
        <v>0.4481</v>
      </c>
      <c r="F202" s="0" t="n">
        <v>-0.1632</v>
      </c>
      <c r="G202" s="0" t="n">
        <v>0.5469</v>
      </c>
      <c r="H202" s="0" t="n">
        <v>0.5578</v>
      </c>
      <c r="I202" s="0" t="n">
        <v>-0.7615</v>
      </c>
      <c r="J202" s="0" t="n">
        <v>-1.7375</v>
      </c>
      <c r="K202" s="0" t="n">
        <v>0.2254</v>
      </c>
      <c r="L202" s="0" t="n">
        <v>0.4984</v>
      </c>
      <c r="M202" s="0" t="n">
        <v>1.0688</v>
      </c>
      <c r="N202" s="0" t="n">
        <v>1.1134</v>
      </c>
      <c r="O202" s="0" t="n">
        <v>0.2945</v>
      </c>
      <c r="P202" s="0" t="n">
        <v>1.1643</v>
      </c>
      <c r="Q202" s="0" t="n">
        <v>-0.5636</v>
      </c>
      <c r="R202" s="0" t="n">
        <v>-0.4572</v>
      </c>
      <c r="S202" s="0" t="n">
        <v>1.3409</v>
      </c>
      <c r="T202" s="0" t="n">
        <v>-1.1736</v>
      </c>
      <c r="U202" s="0" t="n">
        <v>-0.015</v>
      </c>
      <c r="V202" s="0" t="n">
        <v>-1.0319</v>
      </c>
      <c r="W202" s="0" t="n">
        <v>-1.1913</v>
      </c>
      <c r="X202" s="0" t="n">
        <v>2.1189</v>
      </c>
      <c r="Y202" s="0" t="n">
        <v>-1.7431</v>
      </c>
      <c r="Z202" s="0" t="n">
        <v>1.7703</v>
      </c>
      <c r="AA202" s="0" t="n">
        <v>-0.4381</v>
      </c>
      <c r="AB202" s="0" t="n">
        <v>-0.7363</v>
      </c>
      <c r="AC202" s="0" t="n">
        <v>-1.6355</v>
      </c>
      <c r="AD202" s="0" t="n">
        <v>0.2284</v>
      </c>
      <c r="AE202" s="0" t="n">
        <v>0.6231</v>
      </c>
      <c r="AG202" s="9" t="n">
        <f aca="false">SUMPRODUCT(($B$2:$AE$2&lt;=Portafolio!$B$5)*EXP(LN(Portafolio!$B$7)+Portafolio!$B$6*B202:AE202))/1000</f>
        <v>2.43640961756401</v>
      </c>
    </row>
    <row r="203" customFormat="false" ht="15" hidden="false" customHeight="false" outlineLevel="0" collapsed="false">
      <c r="A203" s="0" t="n">
        <v>201</v>
      </c>
      <c r="B203" s="0" t="n">
        <v>0.589</v>
      </c>
      <c r="C203" s="0" t="n">
        <v>-0.8928</v>
      </c>
      <c r="D203" s="0" t="n">
        <v>1.6392</v>
      </c>
      <c r="E203" s="0" t="n">
        <v>0.2135</v>
      </c>
      <c r="F203" s="0" t="n">
        <v>0.5307</v>
      </c>
      <c r="G203" s="0" t="n">
        <v>0.5951</v>
      </c>
      <c r="H203" s="0" t="n">
        <v>0.5707</v>
      </c>
      <c r="I203" s="0" t="n">
        <v>-0.3079</v>
      </c>
      <c r="J203" s="0" t="n">
        <v>0.365</v>
      </c>
      <c r="K203" s="0" t="n">
        <v>-0.6979</v>
      </c>
      <c r="L203" s="0" t="n">
        <v>0.2664</v>
      </c>
      <c r="M203" s="0" t="n">
        <v>-0.943</v>
      </c>
      <c r="N203" s="0" t="n">
        <v>-1.4031</v>
      </c>
      <c r="O203" s="0" t="n">
        <v>-0.5775</v>
      </c>
      <c r="P203" s="0" t="n">
        <v>-0.1371</v>
      </c>
      <c r="Q203" s="0" t="n">
        <v>-0.6679</v>
      </c>
      <c r="R203" s="0" t="n">
        <v>-0.2866</v>
      </c>
      <c r="S203" s="0" t="n">
        <v>-0.5303</v>
      </c>
      <c r="T203" s="0" t="n">
        <v>0.0575</v>
      </c>
      <c r="U203" s="0" t="n">
        <v>1.7346</v>
      </c>
      <c r="V203" s="0" t="n">
        <v>0.5928</v>
      </c>
      <c r="W203" s="0" t="n">
        <v>0.8471</v>
      </c>
      <c r="X203" s="0" t="n">
        <v>0.9972</v>
      </c>
      <c r="Y203" s="0" t="n">
        <v>0.8673</v>
      </c>
      <c r="Z203" s="0" t="n">
        <v>0.4275</v>
      </c>
      <c r="AA203" s="0" t="n">
        <v>0.8446</v>
      </c>
      <c r="AB203" s="0" t="n">
        <v>1.0762</v>
      </c>
      <c r="AC203" s="0" t="n">
        <v>-0.1443</v>
      </c>
      <c r="AD203" s="0" t="n">
        <v>-0.2561</v>
      </c>
      <c r="AE203" s="0" t="n">
        <v>-0.0015</v>
      </c>
      <c r="AG203" s="9" t="n">
        <f aca="false">SUMPRODUCT(($B$2:$AE$2&lt;=Portafolio!$B$5)*EXP(LN(Portafolio!$B$7)+Portafolio!$B$6*B203:AE203))/1000</f>
        <v>2.26722511640708</v>
      </c>
    </row>
    <row r="204" customFormat="false" ht="15" hidden="false" customHeight="false" outlineLevel="0" collapsed="false">
      <c r="A204" s="0" t="n">
        <v>202</v>
      </c>
      <c r="B204" s="0" t="n">
        <v>-0.0377</v>
      </c>
      <c r="C204" s="0" t="n">
        <v>0.4718</v>
      </c>
      <c r="D204" s="0" t="n">
        <v>-0.4224</v>
      </c>
      <c r="E204" s="0" t="n">
        <v>-0.3955</v>
      </c>
      <c r="F204" s="0" t="n">
        <v>0.2462</v>
      </c>
      <c r="G204" s="0" t="n">
        <v>0.4985</v>
      </c>
      <c r="H204" s="0" t="n">
        <v>-0.0864</v>
      </c>
      <c r="I204" s="0" t="n">
        <v>-1.4508</v>
      </c>
      <c r="J204" s="0" t="n">
        <v>-0.2272</v>
      </c>
      <c r="K204" s="0" t="n">
        <v>0.839</v>
      </c>
      <c r="L204" s="0" t="n">
        <v>-0.2068</v>
      </c>
      <c r="M204" s="0" t="n">
        <v>1.2426</v>
      </c>
      <c r="N204" s="0" t="n">
        <v>-0.4832</v>
      </c>
      <c r="O204" s="0" t="n">
        <v>-0.226</v>
      </c>
      <c r="P204" s="0" t="n">
        <v>0.8006</v>
      </c>
      <c r="Q204" s="0" t="n">
        <v>1.1527</v>
      </c>
      <c r="R204" s="0" t="n">
        <v>-0.2762</v>
      </c>
      <c r="S204" s="0" t="n">
        <v>1.4544</v>
      </c>
      <c r="T204" s="0" t="n">
        <v>0.2047</v>
      </c>
      <c r="U204" s="0" t="n">
        <v>0.4057</v>
      </c>
      <c r="V204" s="0" t="n">
        <v>1.7861</v>
      </c>
      <c r="W204" s="0" t="n">
        <v>0.8388</v>
      </c>
      <c r="X204" s="0" t="n">
        <v>-0.1931</v>
      </c>
      <c r="Y204" s="0" t="n">
        <v>-0.0453</v>
      </c>
      <c r="Z204" s="0" t="n">
        <v>-0.8739</v>
      </c>
      <c r="AA204" s="0" t="n">
        <v>1.1104</v>
      </c>
      <c r="AB204" s="0" t="n">
        <v>0.3686</v>
      </c>
      <c r="AC204" s="0" t="n">
        <v>1.852</v>
      </c>
      <c r="AD204" s="0" t="n">
        <v>1.221</v>
      </c>
      <c r="AE204" s="0" t="n">
        <v>0.0382</v>
      </c>
      <c r="AG204" s="9" t="n">
        <f aca="false">SUMPRODUCT(($B$2:$AE$2&lt;=Portafolio!$B$5)*EXP(LN(Portafolio!$B$7)+Portafolio!$B$6*B204:AE204))/1000</f>
        <v>2.41455293377427</v>
      </c>
    </row>
    <row r="205" customFormat="false" ht="15" hidden="false" customHeight="false" outlineLevel="0" collapsed="false">
      <c r="A205" s="0" t="n">
        <v>203</v>
      </c>
      <c r="B205" s="0" t="n">
        <v>-0.5766</v>
      </c>
      <c r="C205" s="0" t="n">
        <v>-0.2923</v>
      </c>
      <c r="D205" s="0" t="n">
        <v>1.2528</v>
      </c>
      <c r="E205" s="0" t="n">
        <v>-0.102</v>
      </c>
      <c r="F205" s="0" t="n">
        <v>1.1419</v>
      </c>
      <c r="G205" s="0" t="n">
        <v>1.2285</v>
      </c>
      <c r="H205" s="0" t="n">
        <v>1.49</v>
      </c>
      <c r="I205" s="0" t="n">
        <v>0.2667</v>
      </c>
      <c r="J205" s="0" t="n">
        <v>0.725</v>
      </c>
      <c r="K205" s="0" t="n">
        <v>-1.229</v>
      </c>
      <c r="L205" s="0" t="n">
        <v>0.3597</v>
      </c>
      <c r="M205" s="0" t="n">
        <v>0.0524</v>
      </c>
      <c r="N205" s="0" t="n">
        <v>0.9353</v>
      </c>
      <c r="O205" s="0" t="n">
        <v>-1.6965</v>
      </c>
      <c r="P205" s="0" t="n">
        <v>-0.2825</v>
      </c>
      <c r="Q205" s="0" t="n">
        <v>2.2779</v>
      </c>
      <c r="R205" s="0" t="n">
        <v>0.1849</v>
      </c>
      <c r="S205" s="0" t="n">
        <v>-0.4385</v>
      </c>
      <c r="T205" s="0" t="n">
        <v>0.125</v>
      </c>
      <c r="U205" s="0" t="n">
        <v>-0.1099</v>
      </c>
      <c r="V205" s="0" t="n">
        <v>-0.309</v>
      </c>
      <c r="W205" s="0" t="n">
        <v>0.6111</v>
      </c>
      <c r="X205" s="0" t="n">
        <v>0.2915</v>
      </c>
      <c r="Y205" s="0" t="n">
        <v>1.1404</v>
      </c>
      <c r="Z205" s="0" t="n">
        <v>2.4895</v>
      </c>
      <c r="AA205" s="0" t="n">
        <v>0.7381</v>
      </c>
      <c r="AB205" s="0" t="n">
        <v>0.3738</v>
      </c>
      <c r="AC205" s="0" t="n">
        <v>1.4672</v>
      </c>
      <c r="AD205" s="0" t="n">
        <v>-1.3323</v>
      </c>
      <c r="AE205" s="0" t="n">
        <v>1.7922</v>
      </c>
      <c r="AG205" s="9" t="n">
        <f aca="false">SUMPRODUCT(($B$2:$AE$2&lt;=Portafolio!$B$5)*EXP(LN(Portafolio!$B$7)+Portafolio!$B$6*B205:AE205))/1000</f>
        <v>2.73771364570516</v>
      </c>
    </row>
    <row r="206" customFormat="false" ht="15" hidden="false" customHeight="false" outlineLevel="0" collapsed="false">
      <c r="A206" s="0" t="n">
        <v>204</v>
      </c>
      <c r="B206" s="0" t="n">
        <v>-1.0873</v>
      </c>
      <c r="C206" s="0" t="n">
        <v>-0.4344</v>
      </c>
      <c r="D206" s="0" t="n">
        <v>0.0844</v>
      </c>
      <c r="E206" s="0" t="n">
        <v>-1.2823</v>
      </c>
      <c r="F206" s="0" t="n">
        <v>-0.5877</v>
      </c>
      <c r="G206" s="0" t="n">
        <v>0.1879</v>
      </c>
      <c r="H206" s="0" t="n">
        <v>0.4323</v>
      </c>
      <c r="I206" s="0" t="n">
        <v>-1.3393</v>
      </c>
      <c r="J206" s="0" t="n">
        <v>-2.9068</v>
      </c>
      <c r="K206" s="0" t="n">
        <v>0.6751</v>
      </c>
      <c r="L206" s="0" t="n">
        <v>-1.6036</v>
      </c>
      <c r="M206" s="0" t="n">
        <v>0.3652</v>
      </c>
      <c r="N206" s="0" t="n">
        <v>0.4876</v>
      </c>
      <c r="O206" s="0" t="n">
        <v>0.8083</v>
      </c>
      <c r="P206" s="0" t="n">
        <v>-0.5266</v>
      </c>
      <c r="Q206" s="0" t="n">
        <v>-0.5667</v>
      </c>
      <c r="R206" s="0" t="n">
        <v>3.0502</v>
      </c>
      <c r="S206" s="0" t="n">
        <v>-0.0719</v>
      </c>
      <c r="T206" s="0" t="n">
        <v>-0.9755</v>
      </c>
      <c r="U206" s="0" t="n">
        <v>-1.26</v>
      </c>
      <c r="V206" s="0" t="n">
        <v>-0.2282</v>
      </c>
      <c r="W206" s="0" t="n">
        <v>1.7048</v>
      </c>
      <c r="X206" s="0" t="n">
        <v>0.7099</v>
      </c>
      <c r="Y206" s="0" t="n">
        <v>-0.8514</v>
      </c>
      <c r="Z206" s="0" t="n">
        <v>-1.3362</v>
      </c>
      <c r="AA206" s="0" t="n">
        <v>-0.5828</v>
      </c>
      <c r="AB206" s="0" t="n">
        <v>0.0019</v>
      </c>
      <c r="AC206" s="0" t="n">
        <v>0.3065</v>
      </c>
      <c r="AD206" s="0" t="n">
        <v>0.5044</v>
      </c>
      <c r="AE206" s="0" t="n">
        <v>1.1117</v>
      </c>
      <c r="AG206" s="9" t="n">
        <f aca="false">SUMPRODUCT(($B$2:$AE$2&lt;=Portafolio!$B$5)*EXP(LN(Portafolio!$B$7)+Portafolio!$B$6*B206:AE206))/1000</f>
        <v>2.22976195780125</v>
      </c>
    </row>
    <row r="207" customFormat="false" ht="15" hidden="false" customHeight="false" outlineLevel="0" collapsed="false">
      <c r="A207" s="0" t="n">
        <v>205</v>
      </c>
      <c r="B207" s="0" t="n">
        <v>-1.2849</v>
      </c>
      <c r="C207" s="0" t="n">
        <v>-1.4907</v>
      </c>
      <c r="D207" s="0" t="n">
        <v>-0.0676</v>
      </c>
      <c r="E207" s="0" t="n">
        <v>0.6023</v>
      </c>
      <c r="F207" s="0" t="n">
        <v>-0.5229</v>
      </c>
      <c r="G207" s="0" t="n">
        <v>0.2894</v>
      </c>
      <c r="H207" s="0" t="n">
        <v>-0.0647</v>
      </c>
      <c r="I207" s="0" t="n">
        <v>1.157</v>
      </c>
      <c r="J207" s="0" t="n">
        <v>-0.188</v>
      </c>
      <c r="K207" s="0" t="n">
        <v>-0.4332</v>
      </c>
      <c r="L207" s="0" t="n">
        <v>0.5202</v>
      </c>
      <c r="M207" s="0" t="n">
        <v>1.0017</v>
      </c>
      <c r="N207" s="0" t="n">
        <v>-0.6166</v>
      </c>
      <c r="O207" s="0" t="n">
        <v>-0.0821</v>
      </c>
      <c r="P207" s="0" t="n">
        <v>-0.6897</v>
      </c>
      <c r="Q207" s="0" t="n">
        <v>-1.0896</v>
      </c>
      <c r="R207" s="0" t="n">
        <v>2.4146</v>
      </c>
      <c r="S207" s="0" t="n">
        <v>-0.5712</v>
      </c>
      <c r="T207" s="0" t="n">
        <v>-0.2993</v>
      </c>
      <c r="U207" s="0" t="n">
        <v>-0.3093</v>
      </c>
      <c r="V207" s="0" t="n">
        <v>-0.7879</v>
      </c>
      <c r="W207" s="0" t="n">
        <v>-0.11</v>
      </c>
      <c r="X207" s="0" t="n">
        <v>-0.0713</v>
      </c>
      <c r="Y207" s="0" t="n">
        <v>0.3904</v>
      </c>
      <c r="Z207" s="0" t="n">
        <v>-0.5284</v>
      </c>
      <c r="AA207" s="0" t="n">
        <v>-1.363</v>
      </c>
      <c r="AB207" s="0" t="n">
        <v>-0.1121</v>
      </c>
      <c r="AC207" s="0" t="n">
        <v>0.7156</v>
      </c>
      <c r="AD207" s="0" t="n">
        <v>1.2671</v>
      </c>
      <c r="AE207" s="0" t="n">
        <v>-0.0602</v>
      </c>
      <c r="AG207" s="9" t="n">
        <f aca="false">SUMPRODUCT(($B$2:$AE$2&lt;=Portafolio!$B$5)*EXP(LN(Portafolio!$B$7)+Portafolio!$B$6*B207:AE207))/1000</f>
        <v>2.24639033694129</v>
      </c>
    </row>
    <row r="208" customFormat="false" ht="15" hidden="false" customHeight="false" outlineLevel="0" collapsed="false">
      <c r="A208" s="0" t="n">
        <v>206</v>
      </c>
      <c r="B208" s="0" t="n">
        <v>-0.2443</v>
      </c>
      <c r="C208" s="0" t="n">
        <v>-0.7104</v>
      </c>
      <c r="D208" s="0" t="n">
        <v>1.489</v>
      </c>
      <c r="E208" s="0" t="n">
        <v>-0.5646</v>
      </c>
      <c r="F208" s="0" t="n">
        <v>-0.4865</v>
      </c>
      <c r="G208" s="0" t="n">
        <v>-0.0274</v>
      </c>
      <c r="H208" s="0" t="n">
        <v>-0.2066</v>
      </c>
      <c r="I208" s="0" t="n">
        <v>0.0871</v>
      </c>
      <c r="J208" s="0" t="n">
        <v>0.4326</v>
      </c>
      <c r="K208" s="0" t="n">
        <v>1.6901</v>
      </c>
      <c r="L208" s="0" t="n">
        <v>0.5193</v>
      </c>
      <c r="M208" s="0" t="n">
        <v>0.4362</v>
      </c>
      <c r="N208" s="0" t="n">
        <v>-1.4248</v>
      </c>
      <c r="O208" s="0" t="n">
        <v>2.1989</v>
      </c>
      <c r="P208" s="0" t="n">
        <v>0.5308</v>
      </c>
      <c r="Q208" s="0" t="n">
        <v>0.8915</v>
      </c>
      <c r="R208" s="0" t="n">
        <v>-0.2991</v>
      </c>
      <c r="S208" s="0" t="n">
        <v>-0.062</v>
      </c>
      <c r="T208" s="0" t="n">
        <v>-0.3515</v>
      </c>
      <c r="U208" s="0" t="n">
        <v>-0.1471</v>
      </c>
      <c r="V208" s="0" t="n">
        <v>-0.374</v>
      </c>
      <c r="W208" s="0" t="n">
        <v>0.7992</v>
      </c>
      <c r="X208" s="0" t="n">
        <v>1.0734</v>
      </c>
      <c r="Y208" s="0" t="n">
        <v>-0.0196</v>
      </c>
      <c r="Z208" s="0" t="n">
        <v>-0.2718</v>
      </c>
      <c r="AA208" s="0" t="n">
        <v>0.8514</v>
      </c>
      <c r="AB208" s="0" t="n">
        <v>-0.1841</v>
      </c>
      <c r="AC208" s="0" t="n">
        <v>0.5653</v>
      </c>
      <c r="AD208" s="0" t="n">
        <v>-0.6179</v>
      </c>
      <c r="AE208" s="0" t="n">
        <v>1.4039</v>
      </c>
      <c r="AG208" s="9" t="n">
        <f aca="false">SUMPRODUCT(($B$2:$AE$2&lt;=Portafolio!$B$5)*EXP(LN(Portafolio!$B$7)+Portafolio!$B$6*B208:AE208))/1000</f>
        <v>2.58313515241926</v>
      </c>
    </row>
    <row r="209" customFormat="false" ht="15" hidden="false" customHeight="false" outlineLevel="0" collapsed="false">
      <c r="A209" s="0" t="n">
        <v>207</v>
      </c>
      <c r="B209" s="0" t="n">
        <v>-0.4337</v>
      </c>
      <c r="C209" s="0" t="n">
        <v>0.5771</v>
      </c>
      <c r="D209" s="0" t="n">
        <v>1.7093</v>
      </c>
      <c r="E209" s="0" t="n">
        <v>0.42</v>
      </c>
      <c r="F209" s="0" t="n">
        <v>-0.2371</v>
      </c>
      <c r="G209" s="0" t="n">
        <v>0.7582</v>
      </c>
      <c r="H209" s="0" t="n">
        <v>1.5242</v>
      </c>
      <c r="I209" s="0" t="n">
        <v>-2.1528</v>
      </c>
      <c r="J209" s="0" t="n">
        <v>-0.3601</v>
      </c>
      <c r="K209" s="0" t="n">
        <v>-0.1185</v>
      </c>
      <c r="L209" s="0" t="n">
        <v>0.873</v>
      </c>
      <c r="M209" s="0" t="n">
        <v>-1.4545</v>
      </c>
      <c r="N209" s="0" t="n">
        <v>0.8189</v>
      </c>
      <c r="O209" s="0" t="n">
        <v>0.0898</v>
      </c>
      <c r="P209" s="0" t="n">
        <v>0.5788</v>
      </c>
      <c r="Q209" s="0" t="n">
        <v>-0.9781</v>
      </c>
      <c r="R209" s="0" t="n">
        <v>1.2893</v>
      </c>
      <c r="S209" s="0" t="n">
        <v>2.5928</v>
      </c>
      <c r="T209" s="0" t="n">
        <v>0.1483</v>
      </c>
      <c r="U209" s="0" t="n">
        <v>0.6132</v>
      </c>
      <c r="V209" s="0" t="n">
        <v>-1.0072</v>
      </c>
      <c r="W209" s="0" t="n">
        <v>-2.7658</v>
      </c>
      <c r="X209" s="0" t="n">
        <v>-0.0532</v>
      </c>
      <c r="Y209" s="0" t="n">
        <v>-0.1929</v>
      </c>
      <c r="Z209" s="0" t="n">
        <v>0.6892</v>
      </c>
      <c r="AA209" s="0" t="n">
        <v>0.0887</v>
      </c>
      <c r="AB209" s="0" t="n">
        <v>-1.2882</v>
      </c>
      <c r="AC209" s="0" t="n">
        <v>-2.1775</v>
      </c>
      <c r="AD209" s="0" t="n">
        <v>1.1116</v>
      </c>
      <c r="AE209" s="0" t="n">
        <v>0.9859</v>
      </c>
      <c r="AG209" s="9" t="n">
        <f aca="false">SUMPRODUCT(($B$2:$AE$2&lt;=Portafolio!$B$5)*EXP(LN(Portafolio!$B$7)+Portafolio!$B$6*B209:AE209))/1000</f>
        <v>2.94218498185704</v>
      </c>
    </row>
    <row r="210" customFormat="false" ht="15" hidden="false" customHeight="false" outlineLevel="0" collapsed="false">
      <c r="A210" s="0" t="n">
        <v>208</v>
      </c>
      <c r="B210" s="0" t="n">
        <v>-0.1109</v>
      </c>
      <c r="C210" s="0" t="n">
        <v>-0.2181</v>
      </c>
      <c r="D210" s="0" t="n">
        <v>0.7104</v>
      </c>
      <c r="E210" s="0" t="n">
        <v>-0.4976</v>
      </c>
      <c r="F210" s="0" t="n">
        <v>-1.2486</v>
      </c>
      <c r="G210" s="0" t="n">
        <v>1.2591</v>
      </c>
      <c r="H210" s="0" t="n">
        <v>-1.3513</v>
      </c>
      <c r="I210" s="0" t="n">
        <v>-0.3766</v>
      </c>
      <c r="J210" s="0" t="n">
        <v>1.3048</v>
      </c>
      <c r="K210" s="0" t="n">
        <v>0.4952</v>
      </c>
      <c r="L210" s="0" t="n">
        <v>1.1027</v>
      </c>
      <c r="M210" s="0" t="n">
        <v>1.5025</v>
      </c>
      <c r="N210" s="0" t="n">
        <v>0.2191</v>
      </c>
      <c r="O210" s="0" t="n">
        <v>-1.4302</v>
      </c>
      <c r="P210" s="0" t="n">
        <v>-1.6778</v>
      </c>
      <c r="Q210" s="0" t="n">
        <v>-2.1627</v>
      </c>
      <c r="R210" s="0" t="n">
        <v>0.7579</v>
      </c>
      <c r="S210" s="0" t="n">
        <v>-1.3941</v>
      </c>
      <c r="T210" s="0" t="n">
        <v>-0.1012</v>
      </c>
      <c r="U210" s="0" t="n">
        <v>0.1224</v>
      </c>
      <c r="V210" s="0" t="n">
        <v>0.364</v>
      </c>
      <c r="W210" s="0" t="n">
        <v>-0.0001</v>
      </c>
      <c r="X210" s="0" t="n">
        <v>1.2953</v>
      </c>
      <c r="Y210" s="0" t="n">
        <v>0.3597</v>
      </c>
      <c r="Z210" s="0" t="n">
        <v>1.0843</v>
      </c>
      <c r="AA210" s="0" t="n">
        <v>-0.0525</v>
      </c>
      <c r="AB210" s="0" t="n">
        <v>0.0499</v>
      </c>
      <c r="AC210" s="0" t="n">
        <v>0.1903</v>
      </c>
      <c r="AD210" s="0" t="n">
        <v>0.5018</v>
      </c>
      <c r="AE210" s="0" t="n">
        <v>0.8053</v>
      </c>
      <c r="AG210" s="9" t="n">
        <f aca="false">SUMPRODUCT(($B$2:$AE$2&lt;=Portafolio!$B$5)*EXP(LN(Portafolio!$B$7)+Portafolio!$B$6*B210:AE210))/1000</f>
        <v>2.20942784477564</v>
      </c>
    </row>
    <row r="211" customFormat="false" ht="15" hidden="false" customHeight="false" outlineLevel="0" collapsed="false">
      <c r="A211" s="0" t="n">
        <v>209</v>
      </c>
      <c r="B211" s="0" t="n">
        <v>-0.4609</v>
      </c>
      <c r="C211" s="0" t="n">
        <v>0.6437</v>
      </c>
      <c r="D211" s="0" t="n">
        <v>2.7748</v>
      </c>
      <c r="E211" s="0" t="n">
        <v>-2.6442</v>
      </c>
      <c r="F211" s="0" t="n">
        <v>0.6547</v>
      </c>
      <c r="G211" s="0" t="n">
        <v>-0.0893</v>
      </c>
      <c r="H211" s="0" t="n">
        <v>-0.1954</v>
      </c>
      <c r="I211" s="0" t="n">
        <v>-0.5657</v>
      </c>
      <c r="J211" s="0" t="n">
        <v>-1.1449</v>
      </c>
      <c r="K211" s="0" t="n">
        <v>0.2771</v>
      </c>
      <c r="L211" s="0" t="n">
        <v>-0.6978</v>
      </c>
      <c r="M211" s="0" t="n">
        <v>1.6057</v>
      </c>
      <c r="N211" s="0" t="n">
        <v>0.3419</v>
      </c>
      <c r="O211" s="0" t="n">
        <v>1.7689</v>
      </c>
      <c r="P211" s="0" t="n">
        <v>0.1413</v>
      </c>
      <c r="Q211" s="0" t="n">
        <v>-1.4012</v>
      </c>
      <c r="R211" s="0" t="n">
        <v>0.4518</v>
      </c>
      <c r="S211" s="0" t="n">
        <v>0.2343</v>
      </c>
      <c r="T211" s="0" t="n">
        <v>0.8728</v>
      </c>
      <c r="U211" s="0" t="n">
        <v>-2.368</v>
      </c>
      <c r="V211" s="0" t="n">
        <v>0.098</v>
      </c>
      <c r="W211" s="0" t="n">
        <v>1.4787</v>
      </c>
      <c r="X211" s="0" t="n">
        <v>0.1001</v>
      </c>
      <c r="Y211" s="0" t="n">
        <v>-2.0136</v>
      </c>
      <c r="Z211" s="0" t="n">
        <v>0.4443</v>
      </c>
      <c r="AA211" s="0" t="n">
        <v>0.511</v>
      </c>
      <c r="AB211" s="0" t="n">
        <v>1.419</v>
      </c>
      <c r="AC211" s="0" t="n">
        <v>0.591</v>
      </c>
      <c r="AD211" s="0" t="n">
        <v>-0.9722</v>
      </c>
      <c r="AE211" s="0" t="n">
        <v>1.204</v>
      </c>
      <c r="AG211" s="9" t="n">
        <f aca="false">SUMPRODUCT(($B$2:$AE$2&lt;=Portafolio!$B$5)*EXP(LN(Portafolio!$B$7)+Portafolio!$B$6*B211:AE211))/1000</f>
        <v>2.67424621887313</v>
      </c>
    </row>
    <row r="212" customFormat="false" ht="15" hidden="false" customHeight="false" outlineLevel="0" collapsed="false">
      <c r="A212" s="0" t="n">
        <v>210</v>
      </c>
      <c r="B212" s="0" t="n">
        <v>0.7278</v>
      </c>
      <c r="C212" s="0" t="n">
        <v>1.2266</v>
      </c>
      <c r="D212" s="0" t="n">
        <v>-0.1525</v>
      </c>
      <c r="E212" s="0" t="n">
        <v>1.0634</v>
      </c>
      <c r="F212" s="0" t="n">
        <v>-2.0693</v>
      </c>
      <c r="G212" s="0" t="n">
        <v>-1.3171</v>
      </c>
      <c r="H212" s="0" t="n">
        <v>0.6283</v>
      </c>
      <c r="I212" s="0" t="n">
        <v>1.6312</v>
      </c>
      <c r="J212" s="0" t="n">
        <v>0.5933</v>
      </c>
      <c r="K212" s="0" t="n">
        <v>0.1941</v>
      </c>
      <c r="L212" s="0" t="n">
        <v>-0.1367</v>
      </c>
      <c r="M212" s="0" t="n">
        <v>-0.3934</v>
      </c>
      <c r="N212" s="0" t="n">
        <v>1.134</v>
      </c>
      <c r="O212" s="0" t="n">
        <v>-1.7618</v>
      </c>
      <c r="P212" s="0" t="n">
        <v>0.2993</v>
      </c>
      <c r="Q212" s="0" t="n">
        <v>1.5375</v>
      </c>
      <c r="R212" s="0" t="n">
        <v>-1.6358</v>
      </c>
      <c r="S212" s="0" t="n">
        <v>-2.221</v>
      </c>
      <c r="T212" s="0" t="n">
        <v>-0.9577</v>
      </c>
      <c r="U212" s="0" t="n">
        <v>0.0277</v>
      </c>
      <c r="V212" s="0" t="n">
        <v>0.5687</v>
      </c>
      <c r="W212" s="0" t="n">
        <v>-0.5456</v>
      </c>
      <c r="X212" s="0" t="n">
        <v>0.8115</v>
      </c>
      <c r="Y212" s="0" t="n">
        <v>-0.4915</v>
      </c>
      <c r="Z212" s="0" t="n">
        <v>-1.5864</v>
      </c>
      <c r="AA212" s="0" t="n">
        <v>1.0456</v>
      </c>
      <c r="AB212" s="0" t="n">
        <v>0.0266</v>
      </c>
      <c r="AC212" s="0" t="n">
        <v>-0.6377</v>
      </c>
      <c r="AD212" s="0" t="n">
        <v>-1.6214</v>
      </c>
      <c r="AE212" s="0" t="n">
        <v>-2.5142</v>
      </c>
      <c r="AG212" s="9" t="n">
        <f aca="false">SUMPRODUCT(($B$2:$AE$2&lt;=Portafolio!$B$5)*EXP(LN(Portafolio!$B$7)+Portafolio!$B$6*B212:AE212))/1000</f>
        <v>2.38166926076683</v>
      </c>
    </row>
    <row r="213" customFormat="false" ht="15" hidden="false" customHeight="false" outlineLevel="0" collapsed="false">
      <c r="A213" s="0" t="n">
        <v>211</v>
      </c>
      <c r="B213" s="0" t="n">
        <v>-1.0345</v>
      </c>
      <c r="C213" s="0" t="n">
        <v>0.7499</v>
      </c>
      <c r="D213" s="0" t="n">
        <v>-0.8883</v>
      </c>
      <c r="E213" s="0" t="n">
        <v>-1.325</v>
      </c>
      <c r="F213" s="0" t="n">
        <v>-0.7562</v>
      </c>
      <c r="G213" s="0" t="n">
        <v>0.6214</v>
      </c>
      <c r="H213" s="0" t="n">
        <v>0.6208</v>
      </c>
      <c r="I213" s="0" t="n">
        <v>1.2577</v>
      </c>
      <c r="J213" s="0" t="n">
        <v>-0.848</v>
      </c>
      <c r="K213" s="0" t="n">
        <v>1.5396</v>
      </c>
      <c r="L213" s="0" t="n">
        <v>1.6238</v>
      </c>
      <c r="M213" s="0" t="n">
        <v>0.4612</v>
      </c>
      <c r="N213" s="0" t="n">
        <v>1.0762</v>
      </c>
      <c r="O213" s="0" t="n">
        <v>1.7034</v>
      </c>
      <c r="P213" s="0" t="n">
        <v>0.4148</v>
      </c>
      <c r="Q213" s="0" t="n">
        <v>-0.8418</v>
      </c>
      <c r="R213" s="0" t="n">
        <v>0.5581</v>
      </c>
      <c r="S213" s="0" t="n">
        <v>0.4015</v>
      </c>
      <c r="T213" s="0" t="n">
        <v>0.7284</v>
      </c>
      <c r="U213" s="0" t="n">
        <v>2.6774</v>
      </c>
      <c r="V213" s="0" t="n">
        <v>0.0764</v>
      </c>
      <c r="W213" s="0" t="n">
        <v>-0.2061</v>
      </c>
      <c r="X213" s="0" t="n">
        <v>1.2778</v>
      </c>
      <c r="Y213" s="0" t="n">
        <v>0.0693</v>
      </c>
      <c r="Z213" s="0" t="n">
        <v>-1.2166</v>
      </c>
      <c r="AA213" s="0" t="n">
        <v>0.3571</v>
      </c>
      <c r="AB213" s="0" t="n">
        <v>1.0339</v>
      </c>
      <c r="AC213" s="0" t="n">
        <v>-1.6017</v>
      </c>
      <c r="AD213" s="0" t="n">
        <v>1.7429</v>
      </c>
      <c r="AE213" s="0" t="n">
        <v>1.9719</v>
      </c>
      <c r="AG213" s="9" t="n">
        <f aca="false">SUMPRODUCT(($B$2:$AE$2&lt;=Portafolio!$B$5)*EXP(LN(Portafolio!$B$7)+Portafolio!$B$6*B213:AE213))/1000</f>
        <v>3.16730343765457</v>
      </c>
    </row>
    <row r="214" customFormat="false" ht="15" hidden="false" customHeight="false" outlineLevel="0" collapsed="false">
      <c r="A214" s="0" t="n">
        <v>212</v>
      </c>
      <c r="B214" s="0" t="n">
        <v>-1.0898</v>
      </c>
      <c r="C214" s="0" t="n">
        <v>0.2868</v>
      </c>
      <c r="D214" s="0" t="n">
        <v>0.4302</v>
      </c>
      <c r="E214" s="0" t="n">
        <v>0.6006</v>
      </c>
      <c r="F214" s="0" t="n">
        <v>0.3167</v>
      </c>
      <c r="G214" s="0" t="n">
        <v>0.7476</v>
      </c>
      <c r="H214" s="0" t="n">
        <v>-0.7428</v>
      </c>
      <c r="I214" s="0" t="n">
        <v>-0.2116</v>
      </c>
      <c r="J214" s="0" t="n">
        <v>-0.0584</v>
      </c>
      <c r="K214" s="0" t="n">
        <v>0.4807</v>
      </c>
      <c r="L214" s="0" t="n">
        <v>1.9943</v>
      </c>
      <c r="M214" s="0" t="n">
        <v>0.9265</v>
      </c>
      <c r="N214" s="0" t="n">
        <v>-1.0163</v>
      </c>
      <c r="O214" s="0" t="n">
        <v>0.4135</v>
      </c>
      <c r="P214" s="0" t="n">
        <v>1.9543</v>
      </c>
      <c r="Q214" s="0" t="n">
        <v>2.1036</v>
      </c>
      <c r="R214" s="0" t="n">
        <v>1.7461</v>
      </c>
      <c r="S214" s="0" t="n">
        <v>0.1397</v>
      </c>
      <c r="T214" s="0" t="n">
        <v>0.7943</v>
      </c>
      <c r="U214" s="0" t="n">
        <v>0.2222</v>
      </c>
      <c r="V214" s="0" t="n">
        <v>-1.0982</v>
      </c>
      <c r="W214" s="0" t="n">
        <v>0.0962</v>
      </c>
      <c r="X214" s="0" t="n">
        <v>-0.3683</v>
      </c>
      <c r="Y214" s="0" t="n">
        <v>-1.2464</v>
      </c>
      <c r="Z214" s="0" t="n">
        <v>-0.111</v>
      </c>
      <c r="AA214" s="0" t="n">
        <v>-0.3549</v>
      </c>
      <c r="AB214" s="0" t="n">
        <v>-0.2147</v>
      </c>
      <c r="AC214" s="0" t="n">
        <v>0.7716</v>
      </c>
      <c r="AD214" s="0" t="n">
        <v>-1.0349</v>
      </c>
      <c r="AE214" s="0" t="n">
        <v>0.1213</v>
      </c>
      <c r="AG214" s="9" t="n">
        <f aca="false">SUMPRODUCT(($B$2:$AE$2&lt;=Portafolio!$B$5)*EXP(LN(Portafolio!$B$7)+Portafolio!$B$6*B214:AE214))/1000</f>
        <v>3.13647956665303</v>
      </c>
    </row>
    <row r="215" customFormat="false" ht="15" hidden="false" customHeight="false" outlineLevel="0" collapsed="false">
      <c r="A215" s="0" t="n">
        <v>213</v>
      </c>
      <c r="B215" s="0" t="n">
        <v>0.4084</v>
      </c>
      <c r="C215" s="0" t="n">
        <v>0.3292</v>
      </c>
      <c r="D215" s="0" t="n">
        <v>0.3117</v>
      </c>
      <c r="E215" s="0" t="n">
        <v>0.1252</v>
      </c>
      <c r="F215" s="0" t="n">
        <v>-1.5517</v>
      </c>
      <c r="G215" s="0" t="n">
        <v>-2.0563</v>
      </c>
      <c r="H215" s="0" t="n">
        <v>-0.5522</v>
      </c>
      <c r="I215" s="0" t="n">
        <v>-0.368</v>
      </c>
      <c r="J215" s="0" t="n">
        <v>-0.8968</v>
      </c>
      <c r="K215" s="0" t="n">
        <v>-0.7499</v>
      </c>
      <c r="L215" s="0" t="n">
        <v>-0.3735</v>
      </c>
      <c r="M215" s="0" t="n">
        <v>1.7663</v>
      </c>
      <c r="N215" s="0" t="n">
        <v>-0.0692</v>
      </c>
      <c r="O215" s="0" t="n">
        <v>0.8519</v>
      </c>
      <c r="P215" s="0" t="n">
        <v>0.7143</v>
      </c>
      <c r="Q215" s="0" t="n">
        <v>0.2099</v>
      </c>
      <c r="R215" s="0" t="n">
        <v>1.0099</v>
      </c>
      <c r="S215" s="0" t="n">
        <v>-0.5339</v>
      </c>
      <c r="T215" s="0" t="n">
        <v>-0.1521</v>
      </c>
      <c r="U215" s="0" t="n">
        <v>-1.1503</v>
      </c>
      <c r="V215" s="0" t="n">
        <v>-0.0905</v>
      </c>
      <c r="W215" s="0" t="n">
        <v>0.9314</v>
      </c>
      <c r="X215" s="0" t="n">
        <v>-0.8575</v>
      </c>
      <c r="Y215" s="0" t="n">
        <v>-0.0492</v>
      </c>
      <c r="Z215" s="0" t="n">
        <v>-0.224</v>
      </c>
      <c r="AA215" s="0" t="n">
        <v>-0.0214</v>
      </c>
      <c r="AB215" s="0" t="n">
        <v>-0.3766</v>
      </c>
      <c r="AC215" s="0" t="n">
        <v>0.3217</v>
      </c>
      <c r="AD215" s="0" t="n">
        <v>-1.2182</v>
      </c>
      <c r="AE215" s="0" t="n">
        <v>0.1657</v>
      </c>
      <c r="AG215" s="9" t="n">
        <f aca="false">SUMPRODUCT(($B$2:$AE$2&lt;=Portafolio!$B$5)*EXP(LN(Portafolio!$B$7)+Portafolio!$B$6*B215:AE215))/1000</f>
        <v>2.11603681930971</v>
      </c>
    </row>
    <row r="216" customFormat="false" ht="15" hidden="false" customHeight="false" outlineLevel="0" collapsed="false">
      <c r="A216" s="0" t="n">
        <v>214</v>
      </c>
      <c r="B216" s="0" t="n">
        <v>1.7206</v>
      </c>
      <c r="C216" s="0" t="n">
        <v>-1.0768</v>
      </c>
      <c r="D216" s="0" t="n">
        <v>0.8507</v>
      </c>
      <c r="E216" s="0" t="n">
        <v>-0.6734</v>
      </c>
      <c r="F216" s="0" t="n">
        <v>-0.54</v>
      </c>
      <c r="G216" s="0" t="n">
        <v>1.8626</v>
      </c>
      <c r="H216" s="0" t="n">
        <v>0.7162</v>
      </c>
      <c r="I216" s="0" t="n">
        <v>0.6648</v>
      </c>
      <c r="J216" s="0" t="n">
        <v>1.6942</v>
      </c>
      <c r="K216" s="0" t="n">
        <v>0.6926</v>
      </c>
      <c r="L216" s="0" t="n">
        <v>-0.0698</v>
      </c>
      <c r="M216" s="0" t="n">
        <v>-2.2826</v>
      </c>
      <c r="N216" s="0" t="n">
        <v>0.7466</v>
      </c>
      <c r="O216" s="0" t="n">
        <v>1.7509</v>
      </c>
      <c r="P216" s="0" t="n">
        <v>-0.4076</v>
      </c>
      <c r="Q216" s="0" t="n">
        <v>-1.1864</v>
      </c>
      <c r="R216" s="0" t="n">
        <v>-1.697</v>
      </c>
      <c r="S216" s="0" t="n">
        <v>0.6286</v>
      </c>
      <c r="T216" s="0" t="n">
        <v>-2.381</v>
      </c>
      <c r="U216" s="0" t="n">
        <v>0.4118</v>
      </c>
      <c r="V216" s="0" t="n">
        <v>0.8535</v>
      </c>
      <c r="W216" s="0" t="n">
        <v>-0.4328</v>
      </c>
      <c r="X216" s="0" t="n">
        <v>-1.0285</v>
      </c>
      <c r="Y216" s="0" t="n">
        <v>-0.2552</v>
      </c>
      <c r="Z216" s="0" t="n">
        <v>1.5969</v>
      </c>
      <c r="AA216" s="0" t="n">
        <v>-1.1393</v>
      </c>
      <c r="AB216" s="0" t="n">
        <v>-0.7768</v>
      </c>
      <c r="AC216" s="0" t="n">
        <v>0.5597</v>
      </c>
      <c r="AD216" s="0" t="n">
        <v>-0.6058</v>
      </c>
      <c r="AE216" s="0" t="n">
        <v>1.3477</v>
      </c>
      <c r="AG216" s="9" t="n">
        <f aca="false">SUMPRODUCT(($B$2:$AE$2&lt;=Portafolio!$B$5)*EXP(LN(Portafolio!$B$7)+Portafolio!$B$6*B216:AE216))/1000</f>
        <v>2.7002397368456</v>
      </c>
    </row>
    <row r="217" customFormat="false" ht="15" hidden="false" customHeight="false" outlineLevel="0" collapsed="false">
      <c r="A217" s="0" t="n">
        <v>215</v>
      </c>
      <c r="B217" s="0" t="n">
        <v>-0.7074</v>
      </c>
      <c r="C217" s="0" t="n">
        <v>-1.1997</v>
      </c>
      <c r="D217" s="0" t="n">
        <v>-1.4791</v>
      </c>
      <c r="E217" s="0" t="n">
        <v>-0.1978</v>
      </c>
      <c r="F217" s="0" t="n">
        <v>1.1402</v>
      </c>
      <c r="G217" s="0" t="n">
        <v>0.0435</v>
      </c>
      <c r="H217" s="0" t="n">
        <v>-0.5622</v>
      </c>
      <c r="I217" s="0" t="n">
        <v>-1.5164</v>
      </c>
      <c r="J217" s="0" t="n">
        <v>0.2836</v>
      </c>
      <c r="K217" s="0" t="n">
        <v>-0.6565</v>
      </c>
      <c r="L217" s="0" t="n">
        <v>2.3603</v>
      </c>
      <c r="M217" s="0" t="n">
        <v>-1.1742</v>
      </c>
      <c r="N217" s="0" t="n">
        <v>-1.3478</v>
      </c>
      <c r="O217" s="0" t="n">
        <v>-1.2737</v>
      </c>
      <c r="P217" s="0" t="n">
        <v>0.2112</v>
      </c>
      <c r="Q217" s="0" t="n">
        <v>0.6095</v>
      </c>
      <c r="R217" s="0" t="n">
        <v>0.2509</v>
      </c>
      <c r="S217" s="0" t="n">
        <v>1.2094</v>
      </c>
      <c r="T217" s="0" t="n">
        <v>0.7275</v>
      </c>
      <c r="U217" s="0" t="n">
        <v>-0.5767</v>
      </c>
      <c r="V217" s="0" t="n">
        <v>1.7218</v>
      </c>
      <c r="W217" s="0" t="n">
        <v>-0.7663</v>
      </c>
      <c r="X217" s="0" t="n">
        <v>0.2352</v>
      </c>
      <c r="Y217" s="0" t="n">
        <v>0.0673</v>
      </c>
      <c r="Z217" s="0" t="n">
        <v>1.1771</v>
      </c>
      <c r="AA217" s="0" t="n">
        <v>-0.0154</v>
      </c>
      <c r="AB217" s="0" t="n">
        <v>0.3584</v>
      </c>
      <c r="AC217" s="0" t="n">
        <v>-1.9559</v>
      </c>
      <c r="AD217" s="0" t="n">
        <v>-0.058</v>
      </c>
      <c r="AE217" s="0" t="n">
        <v>0.1652</v>
      </c>
      <c r="AG217" s="9" t="n">
        <f aca="false">SUMPRODUCT(($B$2:$AE$2&lt;=Portafolio!$B$5)*EXP(LN(Portafolio!$B$7)+Portafolio!$B$6*B217:AE217))/1000</f>
        <v>2.20121759971767</v>
      </c>
    </row>
    <row r="218" customFormat="false" ht="15" hidden="false" customHeight="false" outlineLevel="0" collapsed="false">
      <c r="A218" s="0" t="n">
        <v>216</v>
      </c>
      <c r="B218" s="0" t="n">
        <v>1.5489</v>
      </c>
      <c r="C218" s="0" t="n">
        <v>-1.721</v>
      </c>
      <c r="D218" s="0" t="n">
        <v>-1.186</v>
      </c>
      <c r="E218" s="0" t="n">
        <v>0.8696</v>
      </c>
      <c r="F218" s="0" t="n">
        <v>2.3623</v>
      </c>
      <c r="G218" s="0" t="n">
        <v>0.1721</v>
      </c>
      <c r="H218" s="0" t="n">
        <v>-2.1112</v>
      </c>
      <c r="I218" s="0" t="n">
        <v>-1.7763</v>
      </c>
      <c r="J218" s="0" t="n">
        <v>-0.3557</v>
      </c>
      <c r="K218" s="0" t="n">
        <v>-0.8743</v>
      </c>
      <c r="L218" s="0" t="n">
        <v>0.5157</v>
      </c>
      <c r="M218" s="0" t="n">
        <v>1.0857</v>
      </c>
      <c r="N218" s="0" t="n">
        <v>0.8148</v>
      </c>
      <c r="O218" s="0" t="n">
        <v>-0.9295</v>
      </c>
      <c r="P218" s="0" t="n">
        <v>-0.6836</v>
      </c>
      <c r="Q218" s="0" t="n">
        <v>-0.1716</v>
      </c>
      <c r="R218" s="0" t="n">
        <v>0.4445</v>
      </c>
      <c r="S218" s="0" t="n">
        <v>0.5886</v>
      </c>
      <c r="T218" s="0" t="n">
        <v>-0.3771</v>
      </c>
      <c r="U218" s="0" t="n">
        <v>1.0652</v>
      </c>
      <c r="V218" s="0" t="n">
        <v>0.7437</v>
      </c>
      <c r="W218" s="0" t="n">
        <v>-0.2837</v>
      </c>
      <c r="X218" s="0" t="n">
        <v>0.2237</v>
      </c>
      <c r="Y218" s="0" t="n">
        <v>1.6279</v>
      </c>
      <c r="Z218" s="0" t="n">
        <v>0.6781</v>
      </c>
      <c r="AA218" s="0" t="n">
        <v>-0.2787</v>
      </c>
      <c r="AB218" s="0" t="n">
        <v>-0.3116</v>
      </c>
      <c r="AC218" s="0" t="n">
        <v>0.9868</v>
      </c>
      <c r="AD218" s="0" t="n">
        <v>0.4095</v>
      </c>
      <c r="AE218" s="0" t="n">
        <v>0.1644</v>
      </c>
      <c r="AG218" s="9" t="n">
        <f aca="false">SUMPRODUCT(($B$2:$AE$2&lt;=Portafolio!$B$5)*EXP(LN(Portafolio!$B$7)+Portafolio!$B$6*B218:AE218))/1000</f>
        <v>2.47968236802546</v>
      </c>
    </row>
    <row r="219" customFormat="false" ht="15" hidden="false" customHeight="false" outlineLevel="0" collapsed="false">
      <c r="A219" s="0" t="n">
        <v>217</v>
      </c>
      <c r="B219" s="0" t="n">
        <v>-0.7122</v>
      </c>
      <c r="C219" s="0" t="n">
        <v>-0.239</v>
      </c>
      <c r="D219" s="0" t="n">
        <v>0.1878</v>
      </c>
      <c r="E219" s="0" t="n">
        <v>1.7998</v>
      </c>
      <c r="F219" s="0" t="n">
        <v>-1.2801</v>
      </c>
      <c r="G219" s="0" t="n">
        <v>0.1477</v>
      </c>
      <c r="H219" s="0" t="n">
        <v>-0.9173</v>
      </c>
      <c r="I219" s="0" t="n">
        <v>-1.3683</v>
      </c>
      <c r="J219" s="0" t="n">
        <v>2.3316</v>
      </c>
      <c r="K219" s="0" t="n">
        <v>-1.2615</v>
      </c>
      <c r="L219" s="0" t="n">
        <v>1.2517</v>
      </c>
      <c r="M219" s="0" t="n">
        <v>1.0632</v>
      </c>
      <c r="N219" s="0" t="n">
        <v>0.4977</v>
      </c>
      <c r="O219" s="0" t="n">
        <v>0.0785</v>
      </c>
      <c r="P219" s="0" t="n">
        <v>-0.0199</v>
      </c>
      <c r="Q219" s="0" t="n">
        <v>0.5263</v>
      </c>
      <c r="R219" s="0" t="n">
        <v>0.4197</v>
      </c>
      <c r="S219" s="0" t="n">
        <v>0.5961</v>
      </c>
      <c r="T219" s="0" t="n">
        <v>0.6711</v>
      </c>
      <c r="U219" s="0" t="n">
        <v>-1.6244</v>
      </c>
      <c r="V219" s="0" t="n">
        <v>-1.2633</v>
      </c>
      <c r="W219" s="0" t="n">
        <v>-0.0114</v>
      </c>
      <c r="X219" s="0" t="n">
        <v>-0.0188</v>
      </c>
      <c r="Y219" s="0" t="n">
        <v>-1.3367</v>
      </c>
      <c r="Z219" s="0" t="n">
        <v>0.9819</v>
      </c>
      <c r="AA219" s="0" t="n">
        <v>0.5169</v>
      </c>
      <c r="AB219" s="0" t="n">
        <v>0.3301</v>
      </c>
      <c r="AC219" s="0" t="n">
        <v>1.0787</v>
      </c>
      <c r="AD219" s="0" t="n">
        <v>0.6557</v>
      </c>
      <c r="AE219" s="0" t="n">
        <v>-0.0929</v>
      </c>
      <c r="AG219" s="9" t="n">
        <f aca="false">SUMPRODUCT(($B$2:$AE$2&lt;=Portafolio!$B$5)*EXP(LN(Portafolio!$B$7)+Portafolio!$B$6*B219:AE219))/1000</f>
        <v>2.6032528366847</v>
      </c>
    </row>
    <row r="220" customFormat="false" ht="15" hidden="false" customHeight="false" outlineLevel="0" collapsed="false">
      <c r="A220" s="0" t="n">
        <v>218</v>
      </c>
      <c r="B220" s="0" t="n">
        <v>-0.5818</v>
      </c>
      <c r="C220" s="0" t="n">
        <v>1.1855</v>
      </c>
      <c r="D220" s="0" t="n">
        <v>-0.4612</v>
      </c>
      <c r="E220" s="0" t="n">
        <v>-0.7188</v>
      </c>
      <c r="F220" s="0" t="n">
        <v>-0.9279</v>
      </c>
      <c r="G220" s="0" t="n">
        <v>0.721</v>
      </c>
      <c r="H220" s="0" t="n">
        <v>0.2885</v>
      </c>
      <c r="I220" s="0" t="n">
        <v>-0.1363</v>
      </c>
      <c r="J220" s="0" t="n">
        <v>0.9847</v>
      </c>
      <c r="K220" s="0" t="n">
        <v>-0.8118</v>
      </c>
      <c r="L220" s="0" t="n">
        <v>0.8603</v>
      </c>
      <c r="M220" s="0" t="n">
        <v>-0.4997</v>
      </c>
      <c r="N220" s="0" t="n">
        <v>-0.1272</v>
      </c>
      <c r="O220" s="0" t="n">
        <v>-0.1758</v>
      </c>
      <c r="P220" s="0" t="n">
        <v>0.2493</v>
      </c>
      <c r="Q220" s="0" t="n">
        <v>1.4251</v>
      </c>
      <c r="R220" s="0" t="n">
        <v>-0.5786</v>
      </c>
      <c r="S220" s="0" t="n">
        <v>1.0603</v>
      </c>
      <c r="T220" s="0" t="n">
        <v>1.2747</v>
      </c>
      <c r="U220" s="0" t="n">
        <v>-0.1373</v>
      </c>
      <c r="V220" s="0" t="n">
        <v>-0.6274</v>
      </c>
      <c r="W220" s="0" t="n">
        <v>-1.1259</v>
      </c>
      <c r="X220" s="0" t="n">
        <v>-0.0421</v>
      </c>
      <c r="Y220" s="0" t="n">
        <v>2.9206</v>
      </c>
      <c r="Z220" s="0" t="n">
        <v>-0.1603</v>
      </c>
      <c r="AA220" s="0" t="n">
        <v>0.1501</v>
      </c>
      <c r="AB220" s="0" t="n">
        <v>-0.9227</v>
      </c>
      <c r="AC220" s="0" t="n">
        <v>0.4685</v>
      </c>
      <c r="AD220" s="0" t="n">
        <v>0.2876</v>
      </c>
      <c r="AE220" s="0" t="n">
        <v>1.0167</v>
      </c>
      <c r="AG220" s="9" t="n">
        <f aca="false">SUMPRODUCT(($B$2:$AE$2&lt;=Portafolio!$B$5)*EXP(LN(Portafolio!$B$7)+Portafolio!$B$6*B220:AE220))/1000</f>
        <v>2.42159093406685</v>
      </c>
    </row>
    <row r="221" customFormat="false" ht="15" hidden="false" customHeight="false" outlineLevel="0" collapsed="false">
      <c r="A221" s="0" t="n">
        <v>219</v>
      </c>
      <c r="B221" s="0" t="n">
        <v>2.1351</v>
      </c>
      <c r="C221" s="0" t="n">
        <v>1.049</v>
      </c>
      <c r="D221" s="0" t="n">
        <v>-0.8148</v>
      </c>
      <c r="E221" s="0" t="n">
        <v>-0.1072</v>
      </c>
      <c r="F221" s="0" t="n">
        <v>-1.2777</v>
      </c>
      <c r="G221" s="0" t="n">
        <v>-0.3966</v>
      </c>
      <c r="H221" s="0" t="n">
        <v>-1.3971</v>
      </c>
      <c r="I221" s="0" t="n">
        <v>1.1675</v>
      </c>
      <c r="J221" s="0" t="n">
        <v>-2.1747</v>
      </c>
      <c r="K221" s="0" t="n">
        <v>0.6274</v>
      </c>
      <c r="L221" s="0" t="n">
        <v>0.1577</v>
      </c>
      <c r="M221" s="0" t="n">
        <v>-1.5281</v>
      </c>
      <c r="N221" s="0" t="n">
        <v>0.814</v>
      </c>
      <c r="O221" s="0" t="n">
        <v>1.3313</v>
      </c>
      <c r="P221" s="0" t="n">
        <v>1.8165</v>
      </c>
      <c r="Q221" s="0" t="n">
        <v>-0.2359</v>
      </c>
      <c r="R221" s="0" t="n">
        <v>0.7859</v>
      </c>
      <c r="S221" s="0" t="n">
        <v>0.2221</v>
      </c>
      <c r="T221" s="0" t="n">
        <v>1.4788</v>
      </c>
      <c r="U221" s="0" t="n">
        <v>0.018</v>
      </c>
      <c r="V221" s="0" t="n">
        <v>1.1515</v>
      </c>
      <c r="W221" s="0" t="n">
        <v>-0.9969</v>
      </c>
      <c r="X221" s="0" t="n">
        <v>-0.6442</v>
      </c>
      <c r="Y221" s="0" t="n">
        <v>-1.0714</v>
      </c>
      <c r="Z221" s="0" t="n">
        <v>-0.1567</v>
      </c>
      <c r="AA221" s="0" t="n">
        <v>-1.2481</v>
      </c>
      <c r="AB221" s="0" t="n">
        <v>0.1767</v>
      </c>
      <c r="AC221" s="0" t="n">
        <v>-0.5547</v>
      </c>
      <c r="AD221" s="0" t="n">
        <v>-1.3846</v>
      </c>
      <c r="AE221" s="0" t="n">
        <v>0.2591</v>
      </c>
      <c r="AG221" s="9" t="n">
        <f aca="false">SUMPRODUCT(($B$2:$AE$2&lt;=Portafolio!$B$5)*EXP(LN(Portafolio!$B$7)+Portafolio!$B$6*B221:AE221))/1000</f>
        <v>2.78342282089183</v>
      </c>
    </row>
    <row r="222" customFormat="false" ht="15" hidden="false" customHeight="false" outlineLevel="0" collapsed="false">
      <c r="A222" s="0" t="n">
        <v>220</v>
      </c>
      <c r="B222" s="0" t="n">
        <v>1.1679</v>
      </c>
      <c r="C222" s="0" t="n">
        <v>0.5374</v>
      </c>
      <c r="D222" s="0" t="n">
        <v>0.3687</v>
      </c>
      <c r="E222" s="0" t="n">
        <v>-0.2171</v>
      </c>
      <c r="F222" s="0" t="n">
        <v>-0.1587</v>
      </c>
      <c r="G222" s="0" t="n">
        <v>-1.5852</v>
      </c>
      <c r="H222" s="0" t="n">
        <v>2.0043</v>
      </c>
      <c r="I222" s="0" t="n">
        <v>-1.6638</v>
      </c>
      <c r="J222" s="0" t="n">
        <v>-0.8769</v>
      </c>
      <c r="K222" s="0" t="n">
        <v>-1.0254</v>
      </c>
      <c r="L222" s="0" t="n">
        <v>-1.0632</v>
      </c>
      <c r="M222" s="0" t="n">
        <v>0.1718</v>
      </c>
      <c r="N222" s="0" t="n">
        <v>-0.7285</v>
      </c>
      <c r="O222" s="0" t="n">
        <v>-0.542</v>
      </c>
      <c r="P222" s="0" t="n">
        <v>0.3779</v>
      </c>
      <c r="Q222" s="0" t="n">
        <v>-1.1994</v>
      </c>
      <c r="R222" s="0" t="n">
        <v>-1.104</v>
      </c>
      <c r="S222" s="0" t="n">
        <v>0.4787</v>
      </c>
      <c r="T222" s="0" t="n">
        <v>-0.4838</v>
      </c>
      <c r="U222" s="0" t="n">
        <v>-1.8394</v>
      </c>
      <c r="V222" s="0" t="n">
        <v>0.6242</v>
      </c>
      <c r="W222" s="0" t="n">
        <v>-1.4419</v>
      </c>
      <c r="X222" s="0" t="n">
        <v>0.0009</v>
      </c>
      <c r="Y222" s="0" t="n">
        <v>0.0252</v>
      </c>
      <c r="Z222" s="0" t="n">
        <v>0.3046</v>
      </c>
      <c r="AA222" s="0" t="n">
        <v>0.2886</v>
      </c>
      <c r="AB222" s="0" t="n">
        <v>-0.4004</v>
      </c>
      <c r="AC222" s="0" t="n">
        <v>-0.0178</v>
      </c>
      <c r="AD222" s="0" t="n">
        <v>-1.6561</v>
      </c>
      <c r="AE222" s="0" t="n">
        <v>0.2803</v>
      </c>
      <c r="AG222" s="9" t="n">
        <f aca="false">SUMPRODUCT(($B$2:$AE$2&lt;=Portafolio!$B$5)*EXP(LN(Portafolio!$B$7)+Portafolio!$B$6*B222:AE222))/1000</f>
        <v>1.93200174626437</v>
      </c>
    </row>
    <row r="223" customFormat="false" ht="15" hidden="false" customHeight="false" outlineLevel="0" collapsed="false">
      <c r="A223" s="0" t="n">
        <v>221</v>
      </c>
      <c r="B223" s="0" t="n">
        <v>-1.8922</v>
      </c>
      <c r="C223" s="0" t="n">
        <v>0.7429</v>
      </c>
      <c r="D223" s="0" t="n">
        <v>-0.732</v>
      </c>
      <c r="E223" s="0" t="n">
        <v>0.8889</v>
      </c>
      <c r="F223" s="0" t="n">
        <v>-0.0496</v>
      </c>
      <c r="G223" s="0" t="n">
        <v>0.5272</v>
      </c>
      <c r="H223" s="0" t="n">
        <v>-0.4542</v>
      </c>
      <c r="I223" s="0" t="n">
        <v>-0.2414</v>
      </c>
      <c r="J223" s="0" t="n">
        <v>0.4961</v>
      </c>
      <c r="K223" s="0" t="n">
        <v>0.6628</v>
      </c>
      <c r="L223" s="0" t="n">
        <v>-0.3805</v>
      </c>
      <c r="M223" s="0" t="n">
        <v>-2.7506</v>
      </c>
      <c r="N223" s="0" t="n">
        <v>0.1519</v>
      </c>
      <c r="O223" s="0" t="n">
        <v>0.7264</v>
      </c>
      <c r="P223" s="0" t="n">
        <v>1.2943</v>
      </c>
      <c r="Q223" s="0" t="n">
        <v>-0.2501</v>
      </c>
      <c r="R223" s="0" t="n">
        <v>1.0866</v>
      </c>
      <c r="S223" s="0" t="n">
        <v>-3.6039</v>
      </c>
      <c r="T223" s="0" t="n">
        <v>-0.4055</v>
      </c>
      <c r="U223" s="0" t="n">
        <v>-0.6356</v>
      </c>
      <c r="V223" s="0" t="n">
        <v>2.098</v>
      </c>
      <c r="W223" s="0" t="n">
        <v>-0.2411</v>
      </c>
      <c r="X223" s="0" t="n">
        <v>2.6222</v>
      </c>
      <c r="Y223" s="0" t="n">
        <v>0.0473</v>
      </c>
      <c r="Z223" s="0" t="n">
        <v>-0.4329</v>
      </c>
      <c r="AA223" s="0" t="n">
        <v>-0.5837</v>
      </c>
      <c r="AB223" s="0" t="n">
        <v>-0.8361</v>
      </c>
      <c r="AC223" s="0" t="n">
        <v>0.1364</v>
      </c>
      <c r="AD223" s="0" t="n">
        <v>0.1571</v>
      </c>
      <c r="AE223" s="0" t="n">
        <v>-0.9982</v>
      </c>
      <c r="AG223" s="9" t="n">
        <f aca="false">SUMPRODUCT(($B$2:$AE$2&lt;=Portafolio!$B$5)*EXP(LN(Portafolio!$B$7)+Portafolio!$B$6*B223:AE223))/1000</f>
        <v>2.12021243660404</v>
      </c>
    </row>
    <row r="224" customFormat="false" ht="15" hidden="false" customHeight="false" outlineLevel="0" collapsed="false">
      <c r="A224" s="0" t="n">
        <v>222</v>
      </c>
      <c r="B224" s="0" t="n">
        <v>1.8006</v>
      </c>
      <c r="C224" s="0" t="n">
        <v>1.0769</v>
      </c>
      <c r="D224" s="0" t="n">
        <v>-0.3017</v>
      </c>
      <c r="E224" s="0" t="n">
        <v>0.54</v>
      </c>
      <c r="F224" s="0" t="n">
        <v>-0.1645</v>
      </c>
      <c r="G224" s="0" t="n">
        <v>-0.5021</v>
      </c>
      <c r="H224" s="0" t="n">
        <v>-0.8563</v>
      </c>
      <c r="I224" s="0" t="n">
        <v>-0.6653</v>
      </c>
      <c r="J224" s="0" t="n">
        <v>1.7988</v>
      </c>
      <c r="K224" s="0" t="n">
        <v>1.7201</v>
      </c>
      <c r="L224" s="0" t="n">
        <v>-0.1181</v>
      </c>
      <c r="M224" s="0" t="n">
        <v>-0.3177</v>
      </c>
      <c r="N224" s="0" t="n">
        <v>1.1622</v>
      </c>
      <c r="O224" s="0" t="n">
        <v>-0.8487</v>
      </c>
      <c r="P224" s="0" t="n">
        <v>0.759</v>
      </c>
      <c r="Q224" s="0" t="n">
        <v>-1.5428</v>
      </c>
      <c r="R224" s="0" t="n">
        <v>0.4175</v>
      </c>
      <c r="S224" s="0" t="n">
        <v>0.7614</v>
      </c>
      <c r="T224" s="0" t="n">
        <v>0.8557</v>
      </c>
      <c r="U224" s="0" t="n">
        <v>1.6128</v>
      </c>
      <c r="V224" s="0" t="n">
        <v>1.2347</v>
      </c>
      <c r="W224" s="0" t="n">
        <v>-0.4236</v>
      </c>
      <c r="X224" s="0" t="n">
        <v>-1.3796</v>
      </c>
      <c r="Y224" s="0" t="n">
        <v>-2.3648</v>
      </c>
      <c r="Z224" s="0" t="n">
        <v>-1.0688</v>
      </c>
      <c r="AA224" s="0" t="n">
        <v>-0.141</v>
      </c>
      <c r="AB224" s="0" t="n">
        <v>-0.5644</v>
      </c>
      <c r="AC224" s="0" t="n">
        <v>2.8669</v>
      </c>
      <c r="AD224" s="0" t="n">
        <v>0.4675</v>
      </c>
      <c r="AE224" s="0" t="n">
        <v>0.4511</v>
      </c>
      <c r="AG224" s="9" t="n">
        <f aca="false">SUMPRODUCT(($B$2:$AE$2&lt;=Portafolio!$B$5)*EXP(LN(Portafolio!$B$7)+Portafolio!$B$6*B224:AE224))/1000</f>
        <v>2.92423723133021</v>
      </c>
    </row>
    <row r="225" customFormat="false" ht="15" hidden="false" customHeight="false" outlineLevel="0" collapsed="false">
      <c r="A225" s="0" t="n">
        <v>223</v>
      </c>
      <c r="B225" s="0" t="n">
        <v>0.1387</v>
      </c>
      <c r="C225" s="0" t="n">
        <v>-0.1881</v>
      </c>
      <c r="D225" s="0" t="n">
        <v>0.3926</v>
      </c>
      <c r="E225" s="0" t="n">
        <v>1.1624</v>
      </c>
      <c r="F225" s="0" t="n">
        <v>0.0825</v>
      </c>
      <c r="G225" s="0" t="n">
        <v>0.9819</v>
      </c>
      <c r="H225" s="0" t="n">
        <v>1.4676</v>
      </c>
      <c r="I225" s="0" t="n">
        <v>0.2357</v>
      </c>
      <c r="J225" s="0" t="n">
        <v>0.7376</v>
      </c>
      <c r="K225" s="0" t="n">
        <v>0.3736</v>
      </c>
      <c r="L225" s="0" t="n">
        <v>1.2381</v>
      </c>
      <c r="M225" s="0" t="n">
        <v>0.9202</v>
      </c>
      <c r="N225" s="0" t="n">
        <v>0.2585</v>
      </c>
      <c r="O225" s="0" t="n">
        <v>1.2451</v>
      </c>
      <c r="P225" s="0" t="n">
        <v>1.2643</v>
      </c>
      <c r="Q225" s="0" t="n">
        <v>0.2679</v>
      </c>
      <c r="R225" s="0" t="n">
        <v>-1.1978</v>
      </c>
      <c r="S225" s="0" t="n">
        <v>1.8269</v>
      </c>
      <c r="T225" s="0" t="n">
        <v>0.2902</v>
      </c>
      <c r="U225" s="0" t="n">
        <v>0.7865</v>
      </c>
      <c r="V225" s="0" t="n">
        <v>0.241</v>
      </c>
      <c r="W225" s="0" t="n">
        <v>-0.2608</v>
      </c>
      <c r="X225" s="0" t="n">
        <v>-1.1506</v>
      </c>
      <c r="Y225" s="0" t="n">
        <v>0.0679</v>
      </c>
      <c r="Z225" s="0" t="n">
        <v>-0.1544</v>
      </c>
      <c r="AA225" s="0" t="n">
        <v>0.5868</v>
      </c>
      <c r="AB225" s="0" t="n">
        <v>-0.2442</v>
      </c>
      <c r="AC225" s="0" t="n">
        <v>0.0019</v>
      </c>
      <c r="AD225" s="0" t="n">
        <v>0.8193</v>
      </c>
      <c r="AE225" s="0" t="n">
        <v>0.049</v>
      </c>
      <c r="AG225" s="9" t="n">
        <f aca="false">SUMPRODUCT(($B$2:$AE$2&lt;=Portafolio!$B$5)*EXP(LN(Portafolio!$B$7)+Portafolio!$B$6*B225:AE225))/1000</f>
        <v>3.11798525686726</v>
      </c>
    </row>
    <row r="226" customFormat="false" ht="15" hidden="false" customHeight="false" outlineLevel="0" collapsed="false">
      <c r="A226" s="0" t="n">
        <v>224</v>
      </c>
      <c r="B226" s="0" t="n">
        <v>-0.5557</v>
      </c>
      <c r="C226" s="0" t="n">
        <v>0.5369</v>
      </c>
      <c r="D226" s="0" t="n">
        <v>-0.2546</v>
      </c>
      <c r="E226" s="0" t="n">
        <v>-1.0045</v>
      </c>
      <c r="F226" s="0" t="n">
        <v>-1.0348</v>
      </c>
      <c r="G226" s="0" t="n">
        <v>-0.8436</v>
      </c>
      <c r="H226" s="0" t="n">
        <v>-0.5649</v>
      </c>
      <c r="I226" s="0" t="n">
        <v>-2.2485</v>
      </c>
      <c r="J226" s="0" t="n">
        <v>-1.427</v>
      </c>
      <c r="K226" s="0" t="n">
        <v>-0.5777</v>
      </c>
      <c r="L226" s="0" t="n">
        <v>-0.3731</v>
      </c>
      <c r="M226" s="0" t="n">
        <v>-0.1388</v>
      </c>
      <c r="N226" s="0" t="n">
        <v>0.6191</v>
      </c>
      <c r="O226" s="0" t="n">
        <v>-1.0591</v>
      </c>
      <c r="P226" s="0" t="n">
        <v>1.598</v>
      </c>
      <c r="Q226" s="0" t="n">
        <v>0.4041</v>
      </c>
      <c r="R226" s="0" t="n">
        <v>-2.4263</v>
      </c>
      <c r="S226" s="0" t="n">
        <v>-0.0205</v>
      </c>
      <c r="T226" s="0" t="n">
        <v>-0.979</v>
      </c>
      <c r="U226" s="0" t="n">
        <v>0.5617</v>
      </c>
      <c r="V226" s="0" t="n">
        <v>1.821</v>
      </c>
      <c r="W226" s="0" t="n">
        <v>-1.3971</v>
      </c>
      <c r="X226" s="0" t="n">
        <v>0.1379</v>
      </c>
      <c r="Y226" s="0" t="n">
        <v>-1.0756</v>
      </c>
      <c r="Z226" s="0" t="n">
        <v>-1.482</v>
      </c>
      <c r="AA226" s="0" t="n">
        <v>0.6832</v>
      </c>
      <c r="AB226" s="0" t="n">
        <v>0.8841</v>
      </c>
      <c r="AC226" s="0" t="n">
        <v>-0.6657</v>
      </c>
      <c r="AD226" s="0" t="n">
        <v>-0.3786</v>
      </c>
      <c r="AE226" s="0" t="n">
        <v>-1.2268</v>
      </c>
      <c r="AG226" s="9" t="n">
        <f aca="false">SUMPRODUCT(($B$2:$AE$2&lt;=Portafolio!$B$5)*EXP(LN(Portafolio!$B$7)+Portafolio!$B$6*B226:AE226))/1000</f>
        <v>1.75058758563134</v>
      </c>
    </row>
    <row r="227" customFormat="false" ht="15" hidden="false" customHeight="false" outlineLevel="0" collapsed="false">
      <c r="A227" s="0" t="n">
        <v>225</v>
      </c>
      <c r="B227" s="0" t="n">
        <v>-0.6576</v>
      </c>
      <c r="C227" s="0" t="n">
        <v>-0.2208</v>
      </c>
      <c r="D227" s="0" t="n">
        <v>-0.1527</v>
      </c>
      <c r="E227" s="0" t="n">
        <v>0.7523</v>
      </c>
      <c r="F227" s="0" t="n">
        <v>0.2274</v>
      </c>
      <c r="G227" s="0" t="n">
        <v>-0.0228</v>
      </c>
      <c r="H227" s="0" t="n">
        <v>0.1301</v>
      </c>
      <c r="I227" s="0" t="n">
        <v>0.6616</v>
      </c>
      <c r="J227" s="0" t="n">
        <v>0.5998</v>
      </c>
      <c r="K227" s="0" t="n">
        <v>-1.3658</v>
      </c>
      <c r="L227" s="0" t="n">
        <v>-0.1703</v>
      </c>
      <c r="M227" s="0" t="n">
        <v>0.4435</v>
      </c>
      <c r="N227" s="0" t="n">
        <v>-0.7702</v>
      </c>
      <c r="O227" s="0" t="n">
        <v>-1.4668</v>
      </c>
      <c r="P227" s="0" t="n">
        <v>-0.9978</v>
      </c>
      <c r="Q227" s="0" t="n">
        <v>-1.2302</v>
      </c>
      <c r="R227" s="0" t="n">
        <v>-0.2002</v>
      </c>
      <c r="S227" s="0" t="n">
        <v>-0.142</v>
      </c>
      <c r="T227" s="0" t="n">
        <v>0.5669</v>
      </c>
      <c r="U227" s="0" t="n">
        <v>-1.9426</v>
      </c>
      <c r="V227" s="0" t="n">
        <v>0.4874</v>
      </c>
      <c r="W227" s="0" t="n">
        <v>0.8532</v>
      </c>
      <c r="X227" s="0" t="n">
        <v>2.7238</v>
      </c>
      <c r="Y227" s="0" t="n">
        <v>-0.2814</v>
      </c>
      <c r="Z227" s="0" t="n">
        <v>0.7855</v>
      </c>
      <c r="AA227" s="0" t="n">
        <v>-1.7565</v>
      </c>
      <c r="AB227" s="0" t="n">
        <v>1.1227</v>
      </c>
      <c r="AC227" s="0" t="n">
        <v>1.7032</v>
      </c>
      <c r="AD227" s="0" t="n">
        <v>0.2946</v>
      </c>
      <c r="AE227" s="0" t="n">
        <v>-0.5996</v>
      </c>
      <c r="AG227" s="9" t="n">
        <f aca="false">SUMPRODUCT(($B$2:$AE$2&lt;=Portafolio!$B$5)*EXP(LN(Portafolio!$B$7)+Portafolio!$B$6*B227:AE227))/1000</f>
        <v>1.84097403763266</v>
      </c>
    </row>
    <row r="228" customFormat="false" ht="15" hidden="false" customHeight="false" outlineLevel="0" collapsed="false">
      <c r="A228" s="0" t="n">
        <v>226</v>
      </c>
      <c r="B228" s="0" t="n">
        <v>1.5599</v>
      </c>
      <c r="C228" s="0" t="n">
        <v>-0.9617</v>
      </c>
      <c r="D228" s="0" t="n">
        <v>1.8464</v>
      </c>
      <c r="E228" s="0" t="n">
        <v>-1.0759</v>
      </c>
      <c r="F228" s="0" t="n">
        <v>0.5087</v>
      </c>
      <c r="G228" s="0" t="n">
        <v>0.3357</v>
      </c>
      <c r="H228" s="0" t="n">
        <v>0.2119</v>
      </c>
      <c r="I228" s="0" t="n">
        <v>-0.579</v>
      </c>
      <c r="J228" s="0" t="n">
        <v>-1.0203</v>
      </c>
      <c r="K228" s="0" t="n">
        <v>1.4391</v>
      </c>
      <c r="L228" s="0" t="n">
        <v>0.4881</v>
      </c>
      <c r="M228" s="0" t="n">
        <v>-0.8841</v>
      </c>
      <c r="N228" s="0" t="n">
        <v>-1.3167</v>
      </c>
      <c r="O228" s="0" t="n">
        <v>0.8044</v>
      </c>
      <c r="P228" s="0" t="n">
        <v>1.4058</v>
      </c>
      <c r="Q228" s="0" t="n">
        <v>-0.0382</v>
      </c>
      <c r="R228" s="0" t="n">
        <v>-0.4238</v>
      </c>
      <c r="S228" s="0" t="n">
        <v>0.6079</v>
      </c>
      <c r="T228" s="0" t="n">
        <v>0.5286</v>
      </c>
      <c r="U228" s="0" t="n">
        <v>1.2693</v>
      </c>
      <c r="V228" s="0" t="n">
        <v>-0.1332</v>
      </c>
      <c r="W228" s="0" t="n">
        <v>-0.6967</v>
      </c>
      <c r="X228" s="0" t="n">
        <v>-0.0515</v>
      </c>
      <c r="Y228" s="0" t="n">
        <v>-1.3611</v>
      </c>
      <c r="Z228" s="0" t="n">
        <v>-1.0974</v>
      </c>
      <c r="AA228" s="0" t="n">
        <v>-0.5384</v>
      </c>
      <c r="AB228" s="0" t="n">
        <v>-0.1478</v>
      </c>
      <c r="AC228" s="0" t="n">
        <v>0.0921</v>
      </c>
      <c r="AD228" s="0" t="n">
        <v>-1.4318</v>
      </c>
      <c r="AE228" s="0" t="n">
        <v>-0.3464</v>
      </c>
      <c r="AG228" s="9" t="n">
        <f aca="false">SUMPRODUCT(($B$2:$AE$2&lt;=Portafolio!$B$5)*EXP(LN(Portafolio!$B$7)+Portafolio!$B$6*B228:AE228))/1000</f>
        <v>2.70340964943437</v>
      </c>
    </row>
    <row r="229" customFormat="false" ht="15" hidden="false" customHeight="false" outlineLevel="0" collapsed="false">
      <c r="A229" s="0" t="n">
        <v>227</v>
      </c>
      <c r="B229" s="0" t="n">
        <v>2.0427</v>
      </c>
      <c r="C229" s="0" t="n">
        <v>-1.7445</v>
      </c>
      <c r="D229" s="0" t="n">
        <v>-0.3546</v>
      </c>
      <c r="E229" s="0" t="n">
        <v>-0.4735</v>
      </c>
      <c r="F229" s="0" t="n">
        <v>0.6538</v>
      </c>
      <c r="G229" s="0" t="n">
        <v>-0.8012</v>
      </c>
      <c r="H229" s="0" t="n">
        <v>2.3398</v>
      </c>
      <c r="I229" s="0" t="n">
        <v>-0.5481</v>
      </c>
      <c r="J229" s="0" t="n">
        <v>0.276</v>
      </c>
      <c r="K229" s="0" t="n">
        <v>0.1755</v>
      </c>
      <c r="L229" s="0" t="n">
        <v>1.4289</v>
      </c>
      <c r="M229" s="0" t="n">
        <v>0.457</v>
      </c>
      <c r="N229" s="0" t="n">
        <v>-1.3964</v>
      </c>
      <c r="O229" s="0" t="n">
        <v>0.07</v>
      </c>
      <c r="P229" s="0" t="n">
        <v>-0.6074</v>
      </c>
      <c r="Q229" s="0" t="n">
        <v>1.1957</v>
      </c>
      <c r="R229" s="0" t="n">
        <v>0.5624</v>
      </c>
      <c r="S229" s="0" t="n">
        <v>0.3823</v>
      </c>
      <c r="T229" s="0" t="n">
        <v>-0.0737</v>
      </c>
      <c r="U229" s="0" t="n">
        <v>-0.7171</v>
      </c>
      <c r="V229" s="0" t="n">
        <v>1.0927</v>
      </c>
      <c r="W229" s="0" t="n">
        <v>0.9496</v>
      </c>
      <c r="X229" s="0" t="n">
        <v>2.3287</v>
      </c>
      <c r="Y229" s="0" t="n">
        <v>-0.2461</v>
      </c>
      <c r="Z229" s="0" t="n">
        <v>1.1643</v>
      </c>
      <c r="AA229" s="0" t="n">
        <v>-1.0694</v>
      </c>
      <c r="AB229" s="0" t="n">
        <v>0.5815</v>
      </c>
      <c r="AC229" s="0" t="n">
        <v>0.0289</v>
      </c>
      <c r="AD229" s="0" t="n">
        <v>-1.0718</v>
      </c>
      <c r="AE229" s="0" t="n">
        <v>-0.6089</v>
      </c>
      <c r="AG229" s="9" t="n">
        <f aca="false">SUMPRODUCT(($B$2:$AE$2&lt;=Portafolio!$B$5)*EXP(LN(Portafolio!$B$7)+Portafolio!$B$6*B229:AE229))/1000</f>
        <v>2.66568401714504</v>
      </c>
    </row>
    <row r="230" customFormat="false" ht="15" hidden="false" customHeight="false" outlineLevel="0" collapsed="false">
      <c r="A230" s="0" t="n">
        <v>228</v>
      </c>
      <c r="B230" s="0" t="n">
        <v>0.1296</v>
      </c>
      <c r="C230" s="0" t="n">
        <v>-0.2128</v>
      </c>
      <c r="D230" s="0" t="n">
        <v>-0.2724</v>
      </c>
      <c r="E230" s="0" t="n">
        <v>-0.2741</v>
      </c>
      <c r="F230" s="0" t="n">
        <v>0.0137</v>
      </c>
      <c r="G230" s="0" t="n">
        <v>-0.4326</v>
      </c>
      <c r="H230" s="0" t="n">
        <v>-1.7139</v>
      </c>
      <c r="I230" s="0" t="n">
        <v>0.143</v>
      </c>
      <c r="J230" s="0" t="n">
        <v>1.7774</v>
      </c>
      <c r="K230" s="0" t="n">
        <v>-0.167</v>
      </c>
      <c r="L230" s="0" t="n">
        <v>0.169</v>
      </c>
      <c r="M230" s="0" t="n">
        <v>-0.8245</v>
      </c>
      <c r="N230" s="0" t="n">
        <v>-0.8035</v>
      </c>
      <c r="O230" s="0" t="n">
        <v>-0.9559</v>
      </c>
      <c r="P230" s="0" t="n">
        <v>-1.3446</v>
      </c>
      <c r="Q230" s="0" t="n">
        <v>0.0453</v>
      </c>
      <c r="R230" s="0" t="n">
        <v>-0.9174</v>
      </c>
      <c r="S230" s="0" t="n">
        <v>0.3314</v>
      </c>
      <c r="T230" s="0" t="n">
        <v>0.1177</v>
      </c>
      <c r="U230" s="0" t="n">
        <v>-1.4379</v>
      </c>
      <c r="V230" s="0" t="n">
        <v>2.2596</v>
      </c>
      <c r="W230" s="0" t="n">
        <v>-0.3557</v>
      </c>
      <c r="X230" s="0" t="n">
        <v>0.1513</v>
      </c>
      <c r="Y230" s="0" t="n">
        <v>-0.4587</v>
      </c>
      <c r="Z230" s="0" t="n">
        <v>-1.172</v>
      </c>
      <c r="AA230" s="0" t="n">
        <v>-0.026</v>
      </c>
      <c r="AB230" s="0" t="n">
        <v>0.5462</v>
      </c>
      <c r="AC230" s="0" t="n">
        <v>-2.1246</v>
      </c>
      <c r="AD230" s="0" t="n">
        <v>0.0477</v>
      </c>
      <c r="AE230" s="0" t="n">
        <v>0.1373</v>
      </c>
      <c r="AG230" s="9" t="n">
        <f aca="false">SUMPRODUCT(($B$2:$AE$2&lt;=Portafolio!$B$5)*EXP(LN(Portafolio!$B$7)+Portafolio!$B$6*B230:AE230))/1000</f>
        <v>1.83582764545265</v>
      </c>
    </row>
    <row r="231" customFormat="false" ht="15" hidden="false" customHeight="false" outlineLevel="0" collapsed="false">
      <c r="A231" s="0" t="n">
        <v>229</v>
      </c>
      <c r="B231" s="0" t="n">
        <v>1.8666</v>
      </c>
      <c r="C231" s="0" t="n">
        <v>-1.9936</v>
      </c>
      <c r="D231" s="0" t="n">
        <v>-0.7129</v>
      </c>
      <c r="E231" s="0" t="n">
        <v>1.1529</v>
      </c>
      <c r="F231" s="0" t="n">
        <v>-0.7394</v>
      </c>
      <c r="G231" s="0" t="n">
        <v>0.6499</v>
      </c>
      <c r="H231" s="0" t="n">
        <v>-0.9998</v>
      </c>
      <c r="I231" s="0" t="n">
        <v>-1.164</v>
      </c>
      <c r="J231" s="0" t="n">
        <v>0.7743</v>
      </c>
      <c r="K231" s="0" t="n">
        <v>-0.5554</v>
      </c>
      <c r="L231" s="0" t="n">
        <v>-1.0939</v>
      </c>
      <c r="M231" s="0" t="n">
        <v>0.0389</v>
      </c>
      <c r="N231" s="0" t="n">
        <v>1.2021</v>
      </c>
      <c r="O231" s="0" t="n">
        <v>-0.106</v>
      </c>
      <c r="P231" s="0" t="n">
        <v>2.2893</v>
      </c>
      <c r="Q231" s="0" t="n">
        <v>-1.2977</v>
      </c>
      <c r="R231" s="0" t="n">
        <v>1.6908</v>
      </c>
      <c r="S231" s="0" t="n">
        <v>0.3084</v>
      </c>
      <c r="T231" s="0" t="n">
        <v>0.8954</v>
      </c>
      <c r="U231" s="0" t="n">
        <v>0.7583</v>
      </c>
      <c r="V231" s="0" t="n">
        <v>-0.277</v>
      </c>
      <c r="W231" s="0" t="n">
        <v>-0.295</v>
      </c>
      <c r="X231" s="0" t="n">
        <v>-1.3512</v>
      </c>
      <c r="Y231" s="0" t="n">
        <v>-0.7266</v>
      </c>
      <c r="Z231" s="0" t="n">
        <v>-0.7194</v>
      </c>
      <c r="AA231" s="0" t="n">
        <v>1.0156</v>
      </c>
      <c r="AB231" s="0" t="n">
        <v>-0.4571</v>
      </c>
      <c r="AC231" s="0" t="n">
        <v>0.3487</v>
      </c>
      <c r="AD231" s="0" t="n">
        <v>-0.0759</v>
      </c>
      <c r="AE231" s="0" t="n">
        <v>2.3798</v>
      </c>
      <c r="AG231" s="9" t="n">
        <f aca="false">SUMPRODUCT(($B$2:$AE$2&lt;=Portafolio!$B$5)*EXP(LN(Portafolio!$B$7)+Portafolio!$B$6*B231:AE231))/1000</f>
        <v>2.76839263556991</v>
      </c>
    </row>
    <row r="232" customFormat="false" ht="15" hidden="false" customHeight="false" outlineLevel="0" collapsed="false">
      <c r="A232" s="0" t="n">
        <v>230</v>
      </c>
      <c r="B232" s="0" t="n">
        <v>-0.8145</v>
      </c>
      <c r="C232" s="0" t="n">
        <v>-0.9455</v>
      </c>
      <c r="D232" s="0" t="n">
        <v>0.6493</v>
      </c>
      <c r="E232" s="0" t="n">
        <v>-1.7892</v>
      </c>
      <c r="F232" s="0" t="n">
        <v>0.0384</v>
      </c>
      <c r="G232" s="0" t="n">
        <v>-1.0112</v>
      </c>
      <c r="H232" s="0" t="n">
        <v>-0.8543</v>
      </c>
      <c r="I232" s="0" t="n">
        <v>-0.2202</v>
      </c>
      <c r="J232" s="0" t="n">
        <v>2.0906</v>
      </c>
      <c r="K232" s="0" t="n">
        <v>0.8955</v>
      </c>
      <c r="L232" s="0" t="n">
        <v>0.8448</v>
      </c>
      <c r="M232" s="0" t="n">
        <v>0.4661</v>
      </c>
      <c r="N232" s="0" t="n">
        <v>0.5149</v>
      </c>
      <c r="O232" s="0" t="n">
        <v>-0.6912</v>
      </c>
      <c r="P232" s="0" t="n">
        <v>0.1767</v>
      </c>
      <c r="Q232" s="0" t="n">
        <v>-0.1098</v>
      </c>
      <c r="R232" s="0" t="n">
        <v>0.641</v>
      </c>
      <c r="S232" s="0" t="n">
        <v>0.8808</v>
      </c>
      <c r="T232" s="0" t="n">
        <v>-1.1681</v>
      </c>
      <c r="U232" s="0" t="n">
        <v>-1.3367</v>
      </c>
      <c r="V232" s="0" t="n">
        <v>1.472</v>
      </c>
      <c r="W232" s="0" t="n">
        <v>-1.1215</v>
      </c>
      <c r="X232" s="0" t="n">
        <v>1.2206</v>
      </c>
      <c r="Y232" s="0" t="n">
        <v>2.8442</v>
      </c>
      <c r="Z232" s="0" t="n">
        <v>1.0742</v>
      </c>
      <c r="AA232" s="0" t="n">
        <v>0.3211</v>
      </c>
      <c r="AB232" s="0" t="n">
        <v>-0.1279</v>
      </c>
      <c r="AC232" s="0" t="n">
        <v>0.179</v>
      </c>
      <c r="AD232" s="0" t="n">
        <v>0.9231</v>
      </c>
      <c r="AE232" s="0" t="n">
        <v>3.0487</v>
      </c>
      <c r="AG232" s="9" t="n">
        <f aca="false">SUMPRODUCT(($B$2:$AE$2&lt;=Portafolio!$B$5)*EXP(LN(Portafolio!$B$7)+Portafolio!$B$6*B232:AE232))/1000</f>
        <v>2.24225790775922</v>
      </c>
    </row>
    <row r="233" customFormat="false" ht="15" hidden="false" customHeight="false" outlineLevel="0" collapsed="false">
      <c r="A233" s="0" t="n">
        <v>231</v>
      </c>
      <c r="B233" s="0" t="n">
        <v>0.9027</v>
      </c>
      <c r="C233" s="0" t="n">
        <v>-0.1718</v>
      </c>
      <c r="D233" s="0" t="n">
        <v>1.6377</v>
      </c>
      <c r="E233" s="0" t="n">
        <v>-0.0011</v>
      </c>
      <c r="F233" s="0" t="n">
        <v>1.3295</v>
      </c>
      <c r="G233" s="0" t="n">
        <v>0.2796</v>
      </c>
      <c r="H233" s="0" t="n">
        <v>0.2258</v>
      </c>
      <c r="I233" s="0" t="n">
        <v>0.7749</v>
      </c>
      <c r="J233" s="0" t="n">
        <v>-0.1381</v>
      </c>
      <c r="K233" s="0" t="n">
        <v>-0.6677</v>
      </c>
      <c r="L233" s="0" t="n">
        <v>-0.0644</v>
      </c>
      <c r="M233" s="0" t="n">
        <v>0.0861</v>
      </c>
      <c r="N233" s="0" t="n">
        <v>-0.3682</v>
      </c>
      <c r="O233" s="0" t="n">
        <v>0.7669</v>
      </c>
      <c r="P233" s="0" t="n">
        <v>0.3419</v>
      </c>
      <c r="Q233" s="0" t="n">
        <v>0.296</v>
      </c>
      <c r="R233" s="0" t="n">
        <v>-0.3438</v>
      </c>
      <c r="S233" s="0" t="n">
        <v>0.2285</v>
      </c>
      <c r="T233" s="0" t="n">
        <v>0.711</v>
      </c>
      <c r="U233" s="0" t="n">
        <v>-0.3017</v>
      </c>
      <c r="V233" s="0" t="n">
        <v>-0.244</v>
      </c>
      <c r="W233" s="0" t="n">
        <v>0.2687</v>
      </c>
      <c r="X233" s="0" t="n">
        <v>0.2468</v>
      </c>
      <c r="Y233" s="0" t="n">
        <v>-0.5988</v>
      </c>
      <c r="Z233" s="0" t="n">
        <v>0.8541</v>
      </c>
      <c r="AA233" s="0" t="n">
        <v>0.4444</v>
      </c>
      <c r="AB233" s="0" t="n">
        <v>1.9065</v>
      </c>
      <c r="AC233" s="0" t="n">
        <v>-1.1682</v>
      </c>
      <c r="AD233" s="0" t="n">
        <v>-1.2891</v>
      </c>
      <c r="AE233" s="0" t="n">
        <v>0.2748</v>
      </c>
      <c r="AG233" s="9" t="n">
        <f aca="false">SUMPRODUCT(($B$2:$AE$2&lt;=Portafolio!$B$5)*EXP(LN(Portafolio!$B$7)+Portafolio!$B$6*B233:AE233))/1000</f>
        <v>2.51723428243935</v>
      </c>
    </row>
    <row r="234" customFormat="false" ht="15" hidden="false" customHeight="false" outlineLevel="0" collapsed="false">
      <c r="A234" s="0" t="n">
        <v>232</v>
      </c>
      <c r="B234" s="0" t="n">
        <v>1.9361</v>
      </c>
      <c r="C234" s="0" t="n">
        <v>0.9586</v>
      </c>
      <c r="D234" s="0" t="n">
        <v>0.0194</v>
      </c>
      <c r="E234" s="0" t="n">
        <v>-0.7516</v>
      </c>
      <c r="F234" s="0" t="n">
        <v>0.3164</v>
      </c>
      <c r="G234" s="0" t="n">
        <v>-0.4986</v>
      </c>
      <c r="H234" s="0" t="n">
        <v>-0.8166</v>
      </c>
      <c r="I234" s="0" t="n">
        <v>0.0887</v>
      </c>
      <c r="J234" s="0" t="n">
        <v>-0.6928</v>
      </c>
      <c r="K234" s="0" t="n">
        <v>-0.3128</v>
      </c>
      <c r="L234" s="0" t="n">
        <v>-0.7396</v>
      </c>
      <c r="M234" s="0" t="n">
        <v>-0.2075</v>
      </c>
      <c r="N234" s="0" t="n">
        <v>0.4882</v>
      </c>
      <c r="O234" s="0" t="n">
        <v>0.0482</v>
      </c>
      <c r="P234" s="0" t="n">
        <v>0.2623</v>
      </c>
      <c r="Q234" s="0" t="n">
        <v>-1.0572</v>
      </c>
      <c r="R234" s="0" t="n">
        <v>-1.464</v>
      </c>
      <c r="S234" s="0" t="n">
        <v>-0.1144</v>
      </c>
      <c r="T234" s="0" t="n">
        <v>-0.0214</v>
      </c>
      <c r="U234" s="0" t="n">
        <v>0.6455</v>
      </c>
      <c r="V234" s="0" t="n">
        <v>-1.3973</v>
      </c>
      <c r="W234" s="0" t="n">
        <v>0.9122</v>
      </c>
      <c r="X234" s="0" t="n">
        <v>-0.1257</v>
      </c>
      <c r="Y234" s="0" t="n">
        <v>-1.1026</v>
      </c>
      <c r="Z234" s="0" t="n">
        <v>-0.5998</v>
      </c>
      <c r="AA234" s="0" t="n">
        <v>-0.4783</v>
      </c>
      <c r="AB234" s="0" t="n">
        <v>1.354</v>
      </c>
      <c r="AC234" s="0" t="n">
        <v>-0.4583</v>
      </c>
      <c r="AD234" s="0" t="n">
        <v>0.3175</v>
      </c>
      <c r="AE234" s="0" t="n">
        <v>-0.9059</v>
      </c>
      <c r="AG234" s="9" t="n">
        <f aca="false">SUMPRODUCT(($B$2:$AE$2&lt;=Portafolio!$B$5)*EXP(LN(Portafolio!$B$7)+Portafolio!$B$6*B234:AE234))/1000</f>
        <v>2.11322748985035</v>
      </c>
    </row>
    <row r="235" customFormat="false" ht="15" hidden="false" customHeight="false" outlineLevel="0" collapsed="false">
      <c r="A235" s="0" t="n">
        <v>233</v>
      </c>
      <c r="B235" s="0" t="n">
        <v>-1.3855</v>
      </c>
      <c r="C235" s="0" t="n">
        <v>-0.7474</v>
      </c>
      <c r="D235" s="0" t="n">
        <v>-1.6564</v>
      </c>
      <c r="E235" s="0" t="n">
        <v>-0.3407</v>
      </c>
      <c r="F235" s="0" t="n">
        <v>-0.2424</v>
      </c>
      <c r="G235" s="0" t="n">
        <v>1.7358</v>
      </c>
      <c r="H235" s="0" t="n">
        <v>-0.4998</v>
      </c>
      <c r="I235" s="0" t="n">
        <v>1.095</v>
      </c>
      <c r="J235" s="0" t="n">
        <v>0.6311</v>
      </c>
      <c r="K235" s="0" t="n">
        <v>0.7972</v>
      </c>
      <c r="L235" s="0" t="n">
        <v>0.1874</v>
      </c>
      <c r="M235" s="0" t="n">
        <v>-0.1624</v>
      </c>
      <c r="N235" s="0" t="n">
        <v>0.4733</v>
      </c>
      <c r="O235" s="0" t="n">
        <v>1.1572</v>
      </c>
      <c r="P235" s="0" t="n">
        <v>-0.8347</v>
      </c>
      <c r="Q235" s="0" t="n">
        <v>-1.2752</v>
      </c>
      <c r="R235" s="0" t="n">
        <v>-0.6187</v>
      </c>
      <c r="S235" s="0" t="n">
        <v>-1.4703</v>
      </c>
      <c r="T235" s="0" t="n">
        <v>-0.4617</v>
      </c>
      <c r="U235" s="0" t="n">
        <v>-0.3471</v>
      </c>
      <c r="V235" s="0" t="n">
        <v>-0.7807</v>
      </c>
      <c r="W235" s="0" t="n">
        <v>-0.2226</v>
      </c>
      <c r="X235" s="0" t="n">
        <v>1.1889</v>
      </c>
      <c r="Y235" s="0" t="n">
        <v>0.0415</v>
      </c>
      <c r="Z235" s="0" t="n">
        <v>1.1071</v>
      </c>
      <c r="AA235" s="0" t="n">
        <v>-0.1769</v>
      </c>
      <c r="AB235" s="0" t="n">
        <v>0.09</v>
      </c>
      <c r="AC235" s="0" t="n">
        <v>-1.3944</v>
      </c>
      <c r="AD235" s="0" t="n">
        <v>1.2273</v>
      </c>
      <c r="AE235" s="0" t="n">
        <v>0.2929</v>
      </c>
      <c r="AG235" s="9" t="n">
        <f aca="false">SUMPRODUCT(($B$2:$AE$2&lt;=Portafolio!$B$5)*EXP(LN(Portafolio!$B$7)+Portafolio!$B$6*B235:AE235))/1000</f>
        <v>2.08030538676312</v>
      </c>
    </row>
    <row r="236" customFormat="false" ht="15" hidden="false" customHeight="false" outlineLevel="0" collapsed="false">
      <c r="A236" s="0" t="n">
        <v>234</v>
      </c>
      <c r="B236" s="0" t="n">
        <v>1.4526</v>
      </c>
      <c r="C236" s="0" t="n">
        <v>-0.1058</v>
      </c>
      <c r="D236" s="0" t="n">
        <v>-0.6389</v>
      </c>
      <c r="E236" s="0" t="n">
        <v>2.0738</v>
      </c>
      <c r="F236" s="0" t="n">
        <v>-1.1291</v>
      </c>
      <c r="G236" s="0" t="n">
        <v>-2.0308</v>
      </c>
      <c r="H236" s="0" t="n">
        <v>0.7667</v>
      </c>
      <c r="I236" s="0" t="n">
        <v>-1.0785</v>
      </c>
      <c r="J236" s="0" t="n">
        <v>-1.2041</v>
      </c>
      <c r="K236" s="0" t="n">
        <v>0.2472</v>
      </c>
      <c r="L236" s="0" t="n">
        <v>-0.8278</v>
      </c>
      <c r="M236" s="0" t="n">
        <v>1.7758</v>
      </c>
      <c r="N236" s="0" t="n">
        <v>2.0971</v>
      </c>
      <c r="O236" s="0" t="n">
        <v>2.1645</v>
      </c>
      <c r="P236" s="0" t="n">
        <v>-0.5727</v>
      </c>
      <c r="Q236" s="0" t="n">
        <v>0.9117</v>
      </c>
      <c r="R236" s="0" t="n">
        <v>-0.6692</v>
      </c>
      <c r="S236" s="0" t="n">
        <v>-0.5453</v>
      </c>
      <c r="T236" s="0" t="n">
        <v>-0.2613</v>
      </c>
      <c r="U236" s="0" t="n">
        <v>-0.2107</v>
      </c>
      <c r="V236" s="0" t="n">
        <v>0.322</v>
      </c>
      <c r="W236" s="0" t="n">
        <v>-0.3447</v>
      </c>
      <c r="X236" s="0" t="n">
        <v>1.3829</v>
      </c>
      <c r="Y236" s="0" t="n">
        <v>-1.4132</v>
      </c>
      <c r="Z236" s="0" t="n">
        <v>0.3816</v>
      </c>
      <c r="AA236" s="0" t="n">
        <v>-1.6221</v>
      </c>
      <c r="AB236" s="0" t="n">
        <v>0.5021</v>
      </c>
      <c r="AC236" s="0" t="n">
        <v>1.1943</v>
      </c>
      <c r="AD236" s="0" t="n">
        <v>1.5318</v>
      </c>
      <c r="AE236" s="0" t="n">
        <v>0.6255</v>
      </c>
      <c r="AG236" s="9" t="n">
        <f aca="false">SUMPRODUCT(($B$2:$AE$2&lt;=Portafolio!$B$5)*EXP(LN(Portafolio!$B$7)+Portafolio!$B$6*B236:AE236))/1000</f>
        <v>2.82961274376138</v>
      </c>
    </row>
    <row r="237" customFormat="false" ht="15" hidden="false" customHeight="false" outlineLevel="0" collapsed="false">
      <c r="A237" s="0" t="n">
        <v>235</v>
      </c>
      <c r="B237" s="0" t="n">
        <v>0.1622</v>
      </c>
      <c r="C237" s="0" t="n">
        <v>-0.6683</v>
      </c>
      <c r="D237" s="0" t="n">
        <v>-0.4083</v>
      </c>
      <c r="E237" s="0" t="n">
        <v>0.1538</v>
      </c>
      <c r="F237" s="0" t="n">
        <v>-0.767</v>
      </c>
      <c r="G237" s="0" t="n">
        <v>-1.3442</v>
      </c>
      <c r="H237" s="0" t="n">
        <v>1.2809</v>
      </c>
      <c r="I237" s="0" t="n">
        <v>0.5064</v>
      </c>
      <c r="J237" s="0" t="n">
        <v>0.4534</v>
      </c>
      <c r="K237" s="0" t="n">
        <v>-0.4328</v>
      </c>
      <c r="L237" s="0" t="n">
        <v>0.6678</v>
      </c>
      <c r="M237" s="0" t="n">
        <v>-0.4378</v>
      </c>
      <c r="N237" s="0" t="n">
        <v>0.4161</v>
      </c>
      <c r="O237" s="0" t="n">
        <v>0.0432</v>
      </c>
      <c r="P237" s="0" t="n">
        <v>0.0281</v>
      </c>
      <c r="Q237" s="0" t="n">
        <v>-0.6534</v>
      </c>
      <c r="R237" s="0" t="n">
        <v>0.6801</v>
      </c>
      <c r="S237" s="0" t="n">
        <v>-0.8256</v>
      </c>
      <c r="T237" s="0" t="n">
        <v>1.5975</v>
      </c>
      <c r="U237" s="0" t="n">
        <v>0.9159</v>
      </c>
      <c r="V237" s="0" t="n">
        <v>-0.2491</v>
      </c>
      <c r="W237" s="0" t="n">
        <v>0.4688</v>
      </c>
      <c r="X237" s="0" t="n">
        <v>0.8476</v>
      </c>
      <c r="Y237" s="0" t="n">
        <v>0.0205</v>
      </c>
      <c r="Z237" s="0" t="n">
        <v>-1.1363</v>
      </c>
      <c r="AA237" s="0" t="n">
        <v>0.2796</v>
      </c>
      <c r="AB237" s="0" t="n">
        <v>-0.3575</v>
      </c>
      <c r="AC237" s="0" t="n">
        <v>-0.2037</v>
      </c>
      <c r="AD237" s="0" t="n">
        <v>2.0882</v>
      </c>
      <c r="AE237" s="0" t="n">
        <v>0.0365</v>
      </c>
      <c r="AG237" s="9" t="n">
        <f aca="false">SUMPRODUCT(($B$2:$AE$2&lt;=Portafolio!$B$5)*EXP(LN(Portafolio!$B$7)+Portafolio!$B$6*B237:AE237))/1000</f>
        <v>2.30422820499299</v>
      </c>
    </row>
    <row r="238" customFormat="false" ht="15" hidden="false" customHeight="false" outlineLevel="0" collapsed="false">
      <c r="A238" s="0" t="n">
        <v>236</v>
      </c>
      <c r="B238" s="0" t="n">
        <v>-1.4281</v>
      </c>
      <c r="C238" s="0" t="n">
        <v>0.7285</v>
      </c>
      <c r="D238" s="0" t="n">
        <v>1.0602</v>
      </c>
      <c r="E238" s="0" t="n">
        <v>-0.8247</v>
      </c>
      <c r="F238" s="0" t="n">
        <v>-0.0403</v>
      </c>
      <c r="G238" s="0" t="n">
        <v>-0.7053</v>
      </c>
      <c r="H238" s="0" t="n">
        <v>0.2854</v>
      </c>
      <c r="I238" s="0" t="n">
        <v>1.1655</v>
      </c>
      <c r="J238" s="0" t="n">
        <v>2.6541</v>
      </c>
      <c r="K238" s="0" t="n">
        <v>-0.2314</v>
      </c>
      <c r="L238" s="0" t="n">
        <v>0.1632</v>
      </c>
      <c r="M238" s="0" t="n">
        <v>1.4087</v>
      </c>
      <c r="N238" s="0" t="n">
        <v>-0.2338</v>
      </c>
      <c r="O238" s="0" t="n">
        <v>0.9142</v>
      </c>
      <c r="P238" s="0" t="n">
        <v>-0.6437</v>
      </c>
      <c r="Q238" s="0" t="n">
        <v>3.2204</v>
      </c>
      <c r="R238" s="0" t="n">
        <v>-0.8311</v>
      </c>
      <c r="S238" s="0" t="n">
        <v>0.7459</v>
      </c>
      <c r="T238" s="0" t="n">
        <v>1.6624</v>
      </c>
      <c r="U238" s="0" t="n">
        <v>1.0014</v>
      </c>
      <c r="V238" s="0" t="n">
        <v>1.6144</v>
      </c>
      <c r="W238" s="0" t="n">
        <v>0.962</v>
      </c>
      <c r="X238" s="0" t="n">
        <v>0.0472</v>
      </c>
      <c r="Y238" s="0" t="n">
        <v>0.7313</v>
      </c>
      <c r="Z238" s="0" t="n">
        <v>0.902</v>
      </c>
      <c r="AA238" s="0" t="n">
        <v>0.2433</v>
      </c>
      <c r="AB238" s="0" t="n">
        <v>0.9108</v>
      </c>
      <c r="AC238" s="0" t="n">
        <v>-0.2597</v>
      </c>
      <c r="AD238" s="0" t="n">
        <v>-0.8126</v>
      </c>
      <c r="AE238" s="0" t="n">
        <v>1.4361</v>
      </c>
      <c r="AG238" s="9" t="n">
        <f aca="false">SUMPRODUCT(($B$2:$AE$2&lt;=Portafolio!$B$5)*EXP(LN(Portafolio!$B$7)+Portafolio!$B$6*B238:AE238))/1000</f>
        <v>3.5410440281807</v>
      </c>
    </row>
    <row r="239" customFormat="false" ht="15" hidden="false" customHeight="false" outlineLevel="0" collapsed="false">
      <c r="A239" s="0" t="n">
        <v>237</v>
      </c>
      <c r="B239" s="0" t="n">
        <v>0.2108</v>
      </c>
      <c r="C239" s="0" t="n">
        <v>1.6691</v>
      </c>
      <c r="D239" s="0" t="n">
        <v>1.9266</v>
      </c>
      <c r="E239" s="0" t="n">
        <v>-0.4104</v>
      </c>
      <c r="F239" s="0" t="n">
        <v>1.688</v>
      </c>
      <c r="G239" s="0" t="n">
        <v>0.4371</v>
      </c>
      <c r="H239" s="0" t="n">
        <v>0.4334</v>
      </c>
      <c r="I239" s="0" t="n">
        <v>-1.7251</v>
      </c>
      <c r="J239" s="0" t="n">
        <v>-0.4188</v>
      </c>
      <c r="K239" s="0" t="n">
        <v>-0.2252</v>
      </c>
      <c r="L239" s="0" t="n">
        <v>-0.5857</v>
      </c>
      <c r="M239" s="0" t="n">
        <v>-1.1812</v>
      </c>
      <c r="N239" s="0" t="n">
        <v>-1.7004</v>
      </c>
      <c r="O239" s="0" t="n">
        <v>0.1535</v>
      </c>
      <c r="P239" s="0" t="n">
        <v>0.3991</v>
      </c>
      <c r="Q239" s="0" t="n">
        <v>0.8849</v>
      </c>
      <c r="R239" s="0" t="n">
        <v>-1.4404</v>
      </c>
      <c r="S239" s="0" t="n">
        <v>-1.5715</v>
      </c>
      <c r="T239" s="0" t="n">
        <v>2.083</v>
      </c>
      <c r="U239" s="0" t="n">
        <v>-0.124</v>
      </c>
      <c r="V239" s="0" t="n">
        <v>-0.0826</v>
      </c>
      <c r="W239" s="0" t="n">
        <v>1.0436</v>
      </c>
      <c r="X239" s="0" t="n">
        <v>-1.0971</v>
      </c>
      <c r="Y239" s="0" t="n">
        <v>-0.1723</v>
      </c>
      <c r="Z239" s="0" t="n">
        <v>0.8394</v>
      </c>
      <c r="AA239" s="0" t="n">
        <v>0.4551</v>
      </c>
      <c r="AB239" s="0" t="n">
        <v>0.8812</v>
      </c>
      <c r="AC239" s="0" t="n">
        <v>-0.408</v>
      </c>
      <c r="AD239" s="0" t="n">
        <v>1.5299</v>
      </c>
      <c r="AE239" s="0" t="n">
        <v>-1.4496</v>
      </c>
      <c r="AG239" s="9" t="n">
        <f aca="false">SUMPRODUCT(($B$2:$AE$2&lt;=Portafolio!$B$5)*EXP(LN(Portafolio!$B$7)+Portafolio!$B$6*B239:AE239))/1000</f>
        <v>2.60255047203904</v>
      </c>
    </row>
    <row r="240" customFormat="false" ht="15" hidden="false" customHeight="false" outlineLevel="0" collapsed="false">
      <c r="A240" s="0" t="n">
        <v>238</v>
      </c>
      <c r="B240" s="0" t="n">
        <v>-2.2207</v>
      </c>
      <c r="C240" s="0" t="n">
        <v>-0.201</v>
      </c>
      <c r="D240" s="0" t="n">
        <v>0.1369</v>
      </c>
      <c r="E240" s="0" t="n">
        <v>-0.0205</v>
      </c>
      <c r="F240" s="0" t="n">
        <v>-2.0893</v>
      </c>
      <c r="G240" s="0" t="n">
        <v>-1.3383</v>
      </c>
      <c r="H240" s="0" t="n">
        <v>-0.3506</v>
      </c>
      <c r="I240" s="0" t="n">
        <v>0.8825</v>
      </c>
      <c r="J240" s="0" t="n">
        <v>1.1955</v>
      </c>
      <c r="K240" s="0" t="n">
        <v>1.6858</v>
      </c>
      <c r="L240" s="0" t="n">
        <v>-1.234</v>
      </c>
      <c r="M240" s="0" t="n">
        <v>-0.5199</v>
      </c>
      <c r="N240" s="0" t="n">
        <v>-1.7508</v>
      </c>
      <c r="O240" s="0" t="n">
        <v>-1.2198</v>
      </c>
      <c r="P240" s="0" t="n">
        <v>-1.2564</v>
      </c>
      <c r="Q240" s="0" t="n">
        <v>-0.1341</v>
      </c>
      <c r="R240" s="0" t="n">
        <v>-0.8549</v>
      </c>
      <c r="S240" s="0" t="n">
        <v>0.2947</v>
      </c>
      <c r="T240" s="0" t="n">
        <v>1.415</v>
      </c>
      <c r="U240" s="0" t="n">
        <v>-0.2772</v>
      </c>
      <c r="V240" s="0" t="n">
        <v>-0.4333</v>
      </c>
      <c r="W240" s="0" t="n">
        <v>0.0152</v>
      </c>
      <c r="X240" s="0" t="n">
        <v>-0.1924</v>
      </c>
      <c r="Y240" s="0" t="n">
        <v>-0.2302</v>
      </c>
      <c r="Z240" s="0" t="n">
        <v>-0.678</v>
      </c>
      <c r="AA240" s="0" t="n">
        <v>0.1226</v>
      </c>
      <c r="AB240" s="0" t="n">
        <v>-0.5501</v>
      </c>
      <c r="AC240" s="0" t="n">
        <v>0.4442</v>
      </c>
      <c r="AD240" s="0" t="n">
        <v>0.1713</v>
      </c>
      <c r="AE240" s="0" t="n">
        <v>1.0589</v>
      </c>
      <c r="AG240" s="9" t="n">
        <f aca="false">SUMPRODUCT(($B$2:$AE$2&lt;=Portafolio!$B$5)*EXP(LN(Portafolio!$B$7)+Portafolio!$B$6*B240:AE240))/1000</f>
        <v>1.96732219959757</v>
      </c>
    </row>
    <row r="241" customFormat="false" ht="15" hidden="false" customHeight="false" outlineLevel="0" collapsed="false">
      <c r="A241" s="0" t="n">
        <v>239</v>
      </c>
      <c r="B241" s="0" t="n">
        <v>0.5555</v>
      </c>
      <c r="C241" s="0" t="n">
        <v>0.521</v>
      </c>
      <c r="D241" s="0" t="n">
        <v>-0.0874</v>
      </c>
      <c r="E241" s="0" t="n">
        <v>-0.4547</v>
      </c>
      <c r="F241" s="0" t="n">
        <v>0.586</v>
      </c>
      <c r="G241" s="0" t="n">
        <v>-0.8466</v>
      </c>
      <c r="H241" s="0" t="n">
        <v>0.4058</v>
      </c>
      <c r="I241" s="0" t="n">
        <v>1.6725</v>
      </c>
      <c r="J241" s="0" t="n">
        <v>-0.6829</v>
      </c>
      <c r="K241" s="0" t="n">
        <v>0.6703</v>
      </c>
      <c r="L241" s="0" t="n">
        <v>0.627</v>
      </c>
      <c r="M241" s="0" t="n">
        <v>0.004</v>
      </c>
      <c r="N241" s="0" t="n">
        <v>1.0782</v>
      </c>
      <c r="O241" s="0" t="n">
        <v>-0.4479</v>
      </c>
      <c r="P241" s="0" t="n">
        <v>-1.2252</v>
      </c>
      <c r="Q241" s="0" t="n">
        <v>0.5298</v>
      </c>
      <c r="R241" s="0" t="n">
        <v>0.4848</v>
      </c>
      <c r="S241" s="0" t="n">
        <v>0.3056</v>
      </c>
      <c r="T241" s="0" t="n">
        <v>0.9152</v>
      </c>
      <c r="U241" s="0" t="n">
        <v>-1.0757</v>
      </c>
      <c r="V241" s="0" t="n">
        <v>-0.8365</v>
      </c>
      <c r="W241" s="0" t="n">
        <v>1.8079</v>
      </c>
      <c r="X241" s="0" t="n">
        <v>-0.2786</v>
      </c>
      <c r="Y241" s="0" t="n">
        <v>1.0512</v>
      </c>
      <c r="Z241" s="0" t="n">
        <v>0.4255</v>
      </c>
      <c r="AA241" s="0" t="n">
        <v>-1.9081</v>
      </c>
      <c r="AB241" s="0" t="n">
        <v>-0.5419</v>
      </c>
      <c r="AC241" s="0" t="n">
        <v>2.7845</v>
      </c>
      <c r="AD241" s="0" t="n">
        <v>0.1953</v>
      </c>
      <c r="AE241" s="0" t="n">
        <v>0.762</v>
      </c>
      <c r="AG241" s="9" t="n">
        <f aca="false">SUMPRODUCT(($B$2:$AE$2&lt;=Portafolio!$B$5)*EXP(LN(Portafolio!$B$7)+Portafolio!$B$6*B241:AE241))/1000</f>
        <v>2.44399539324432</v>
      </c>
    </row>
    <row r="242" customFormat="false" ht="15" hidden="false" customHeight="false" outlineLevel="0" collapsed="false">
      <c r="A242" s="0" t="n">
        <v>240</v>
      </c>
      <c r="B242" s="0" t="n">
        <v>-1.2798</v>
      </c>
      <c r="C242" s="0" t="n">
        <v>-0.1141</v>
      </c>
      <c r="D242" s="0" t="n">
        <v>-1.087</v>
      </c>
      <c r="E242" s="0" t="n">
        <v>-0.2801</v>
      </c>
      <c r="F242" s="0" t="n">
        <v>0.1404</v>
      </c>
      <c r="G242" s="0" t="n">
        <v>-0.7481</v>
      </c>
      <c r="H242" s="0" t="n">
        <v>-1.3776</v>
      </c>
      <c r="I242" s="0" t="n">
        <v>0.5956</v>
      </c>
      <c r="J242" s="0" t="n">
        <v>0.5927</v>
      </c>
      <c r="K242" s="0" t="n">
        <v>-0.4858</v>
      </c>
      <c r="L242" s="0" t="n">
        <v>-0.6908</v>
      </c>
      <c r="M242" s="0" t="n">
        <v>0.8902</v>
      </c>
      <c r="N242" s="0" t="n">
        <v>-0.1339</v>
      </c>
      <c r="O242" s="0" t="n">
        <v>1.1908</v>
      </c>
      <c r="P242" s="0" t="n">
        <v>0.6782</v>
      </c>
      <c r="Q242" s="0" t="n">
        <v>-0.2681</v>
      </c>
      <c r="R242" s="0" t="n">
        <v>1.0213</v>
      </c>
      <c r="S242" s="0" t="n">
        <v>-1.8309</v>
      </c>
      <c r="T242" s="0" t="n">
        <v>-0.9279</v>
      </c>
      <c r="U242" s="0" t="n">
        <v>0.0645</v>
      </c>
      <c r="V242" s="0" t="n">
        <v>0.9313</v>
      </c>
      <c r="W242" s="0" t="n">
        <v>0.8525</v>
      </c>
      <c r="X242" s="0" t="n">
        <v>0.5494</v>
      </c>
      <c r="Y242" s="0" t="n">
        <v>-0.8125</v>
      </c>
      <c r="Z242" s="0" t="n">
        <v>-0.0572</v>
      </c>
      <c r="AA242" s="0" t="n">
        <v>1.8777</v>
      </c>
      <c r="AB242" s="0" t="n">
        <v>0.7075</v>
      </c>
      <c r="AC242" s="0" t="n">
        <v>1.0756</v>
      </c>
      <c r="AD242" s="0" t="n">
        <v>0.1233</v>
      </c>
      <c r="AE242" s="0" t="n">
        <v>-1.1884</v>
      </c>
      <c r="AG242" s="9" t="n">
        <f aca="false">SUMPRODUCT(($B$2:$AE$2&lt;=Portafolio!$B$5)*EXP(LN(Portafolio!$B$7)+Portafolio!$B$6*B242:AE242))/1000</f>
        <v>2.00091949868324</v>
      </c>
    </row>
    <row r="243" customFormat="false" ht="15" hidden="false" customHeight="false" outlineLevel="0" collapsed="false">
      <c r="A243" s="0" t="n">
        <v>241</v>
      </c>
      <c r="B243" s="0" t="n">
        <v>-0.3604</v>
      </c>
      <c r="C243" s="0" t="n">
        <v>1.302</v>
      </c>
      <c r="D243" s="0" t="n">
        <v>-0.7692</v>
      </c>
      <c r="E243" s="0" t="n">
        <v>1.2723</v>
      </c>
      <c r="F243" s="0" t="n">
        <v>0.5099</v>
      </c>
      <c r="G243" s="0" t="n">
        <v>-1.7259</v>
      </c>
      <c r="H243" s="0" t="n">
        <v>0.0765</v>
      </c>
      <c r="I243" s="0" t="n">
        <v>-0.5087</v>
      </c>
      <c r="J243" s="0" t="n">
        <v>-0.1842</v>
      </c>
      <c r="K243" s="0" t="n">
        <v>1.4735</v>
      </c>
      <c r="L243" s="0" t="n">
        <v>-1.3873</v>
      </c>
      <c r="M243" s="0" t="n">
        <v>-1.596</v>
      </c>
      <c r="N243" s="0" t="n">
        <v>-0.3285</v>
      </c>
      <c r="O243" s="0" t="n">
        <v>0.1294</v>
      </c>
      <c r="P243" s="0" t="n">
        <v>0.2827</v>
      </c>
      <c r="Q243" s="0" t="n">
        <v>0.1415</v>
      </c>
      <c r="R243" s="0" t="n">
        <v>-0.8591</v>
      </c>
      <c r="S243" s="0" t="n">
        <v>-0.2101</v>
      </c>
      <c r="T243" s="0" t="n">
        <v>2.1267</v>
      </c>
      <c r="U243" s="0" t="n">
        <v>0.5084</v>
      </c>
      <c r="V243" s="0" t="n">
        <v>0.8494</v>
      </c>
      <c r="W243" s="0" t="n">
        <v>0.3666</v>
      </c>
      <c r="X243" s="0" t="n">
        <v>0.2353</v>
      </c>
      <c r="Y243" s="0" t="n">
        <v>-1.4995</v>
      </c>
      <c r="Z243" s="0" t="n">
        <v>0.5017</v>
      </c>
      <c r="AA243" s="0" t="n">
        <v>2.5101</v>
      </c>
      <c r="AB243" s="0" t="n">
        <v>-1.7592</v>
      </c>
      <c r="AC243" s="0" t="n">
        <v>0.6051</v>
      </c>
      <c r="AD243" s="0" t="n">
        <v>-1.2733</v>
      </c>
      <c r="AE243" s="0" t="n">
        <v>0.6792</v>
      </c>
      <c r="AG243" s="9" t="n">
        <f aca="false">SUMPRODUCT(($B$2:$AE$2&lt;=Portafolio!$B$5)*EXP(LN(Portafolio!$B$7)+Portafolio!$B$6*B243:AE243))/1000</f>
        <v>2.39904646769313</v>
      </c>
    </row>
    <row r="244" customFormat="false" ht="15" hidden="false" customHeight="false" outlineLevel="0" collapsed="false">
      <c r="A244" s="0" t="n">
        <v>242</v>
      </c>
      <c r="B244" s="0" t="n">
        <v>0.3356</v>
      </c>
      <c r="C244" s="0" t="n">
        <v>-0.0953</v>
      </c>
      <c r="D244" s="0" t="n">
        <v>-1.2175</v>
      </c>
      <c r="E244" s="0" t="n">
        <v>-0.5514</v>
      </c>
      <c r="F244" s="0" t="n">
        <v>1.3279</v>
      </c>
      <c r="G244" s="0" t="n">
        <v>-0.276</v>
      </c>
      <c r="H244" s="0" t="n">
        <v>-0.0404</v>
      </c>
      <c r="I244" s="0" t="n">
        <v>0.5445</v>
      </c>
      <c r="J244" s="0" t="n">
        <v>-0.5671</v>
      </c>
      <c r="K244" s="0" t="n">
        <v>-0.1985</v>
      </c>
      <c r="L244" s="0" t="n">
        <v>-1.4936</v>
      </c>
      <c r="M244" s="0" t="n">
        <v>2.0354</v>
      </c>
      <c r="N244" s="0" t="n">
        <v>0.2779</v>
      </c>
      <c r="O244" s="0" t="n">
        <v>0.6173</v>
      </c>
      <c r="P244" s="0" t="n">
        <v>-0.5731</v>
      </c>
      <c r="Q244" s="0" t="n">
        <v>-1.0358</v>
      </c>
      <c r="R244" s="0" t="n">
        <v>0.7471</v>
      </c>
      <c r="S244" s="0" t="n">
        <v>-0.485</v>
      </c>
      <c r="T244" s="0" t="n">
        <v>0.0539</v>
      </c>
      <c r="U244" s="0" t="n">
        <v>-1.0333</v>
      </c>
      <c r="V244" s="0" t="n">
        <v>2.239</v>
      </c>
      <c r="W244" s="0" t="n">
        <v>-0.0813</v>
      </c>
      <c r="X244" s="0" t="n">
        <v>0.333</v>
      </c>
      <c r="Y244" s="0" t="n">
        <v>0.9045</v>
      </c>
      <c r="Z244" s="0" t="n">
        <v>-1.1125</v>
      </c>
      <c r="AA244" s="0" t="n">
        <v>0.1825</v>
      </c>
      <c r="AB244" s="0" t="n">
        <v>-1.2858</v>
      </c>
      <c r="AC244" s="0" t="n">
        <v>-0.833</v>
      </c>
      <c r="AD244" s="0" t="n">
        <v>0.8562</v>
      </c>
      <c r="AE244" s="0" t="n">
        <v>1.1676</v>
      </c>
      <c r="AG244" s="9" t="n">
        <f aca="false">SUMPRODUCT(($B$2:$AE$2&lt;=Portafolio!$B$5)*EXP(LN(Portafolio!$B$7)+Portafolio!$B$6*B244:AE244))/1000</f>
        <v>2.19542595707516</v>
      </c>
    </row>
    <row r="245" customFormat="false" ht="15" hidden="false" customHeight="false" outlineLevel="0" collapsed="false">
      <c r="A245" s="0" t="n">
        <v>243</v>
      </c>
      <c r="B245" s="0" t="n">
        <v>0.458</v>
      </c>
      <c r="C245" s="0" t="n">
        <v>-0.9213</v>
      </c>
      <c r="D245" s="0" t="n">
        <v>-0.0932</v>
      </c>
      <c r="E245" s="0" t="n">
        <v>0.7571</v>
      </c>
      <c r="F245" s="0" t="n">
        <v>-0.3954</v>
      </c>
      <c r="G245" s="0" t="n">
        <v>-0.3167</v>
      </c>
      <c r="H245" s="0" t="n">
        <v>0.2038</v>
      </c>
      <c r="I245" s="0" t="n">
        <v>0.8217</v>
      </c>
      <c r="J245" s="0" t="n">
        <v>-0.6187</v>
      </c>
      <c r="K245" s="0" t="n">
        <v>-1.5265</v>
      </c>
      <c r="L245" s="0" t="n">
        <v>-0.5454</v>
      </c>
      <c r="M245" s="0" t="n">
        <v>-0.1534</v>
      </c>
      <c r="N245" s="0" t="n">
        <v>-0.2143</v>
      </c>
      <c r="O245" s="0" t="n">
        <v>0.2808</v>
      </c>
      <c r="P245" s="0" t="n">
        <v>1.1109</v>
      </c>
      <c r="Q245" s="0" t="n">
        <v>-0.0239</v>
      </c>
      <c r="R245" s="0" t="n">
        <v>0.3947</v>
      </c>
      <c r="S245" s="0" t="n">
        <v>-0.6398</v>
      </c>
      <c r="T245" s="0" t="n">
        <v>-0.0905</v>
      </c>
      <c r="U245" s="0" t="n">
        <v>0.5492</v>
      </c>
      <c r="V245" s="0" t="n">
        <v>-1.159</v>
      </c>
      <c r="W245" s="0" t="n">
        <v>0.9854</v>
      </c>
      <c r="X245" s="0" t="n">
        <v>-0.8372</v>
      </c>
      <c r="Y245" s="0" t="n">
        <v>-0.2818</v>
      </c>
      <c r="Z245" s="0" t="n">
        <v>0.5516</v>
      </c>
      <c r="AA245" s="0" t="n">
        <v>0.576</v>
      </c>
      <c r="AB245" s="0" t="n">
        <v>0.0763</v>
      </c>
      <c r="AC245" s="0" t="n">
        <v>-0.6189</v>
      </c>
      <c r="AD245" s="0" t="n">
        <v>1.9041</v>
      </c>
      <c r="AE245" s="0" t="n">
        <v>-0.1001</v>
      </c>
      <c r="AG245" s="9" t="n">
        <f aca="false">SUMPRODUCT(($B$2:$AE$2&lt;=Portafolio!$B$5)*EXP(LN(Portafolio!$B$7)+Portafolio!$B$6*B245:AE245))/1000</f>
        <v>2.08003060240131</v>
      </c>
    </row>
    <row r="246" customFormat="false" ht="15" hidden="false" customHeight="false" outlineLevel="0" collapsed="false">
      <c r="A246" s="0" t="n">
        <v>244</v>
      </c>
      <c r="B246" s="0" t="n">
        <v>0.0365</v>
      </c>
      <c r="C246" s="0" t="n">
        <v>0.0655</v>
      </c>
      <c r="D246" s="0" t="n">
        <v>0.1336</v>
      </c>
      <c r="E246" s="0" t="n">
        <v>-0.2646</v>
      </c>
      <c r="F246" s="0" t="n">
        <v>-0.573</v>
      </c>
      <c r="G246" s="0" t="n">
        <v>-1.0338</v>
      </c>
      <c r="H246" s="0" t="n">
        <v>-1.1248</v>
      </c>
      <c r="I246" s="0" t="n">
        <v>0.6915</v>
      </c>
      <c r="J246" s="0" t="n">
        <v>1.6555</v>
      </c>
      <c r="K246" s="0" t="n">
        <v>0.182</v>
      </c>
      <c r="L246" s="0" t="n">
        <v>0.1497</v>
      </c>
      <c r="M246" s="0" t="n">
        <v>-0.2331</v>
      </c>
      <c r="N246" s="0" t="n">
        <v>-0.3801</v>
      </c>
      <c r="O246" s="0" t="n">
        <v>1.8758</v>
      </c>
      <c r="P246" s="0" t="n">
        <v>0.1842</v>
      </c>
      <c r="Q246" s="0" t="n">
        <v>0.5278</v>
      </c>
      <c r="R246" s="0" t="n">
        <v>1.0215</v>
      </c>
      <c r="S246" s="0" t="n">
        <v>-2.8552</v>
      </c>
      <c r="T246" s="0" t="n">
        <v>0.6547</v>
      </c>
      <c r="U246" s="0" t="n">
        <v>-0.0491</v>
      </c>
      <c r="V246" s="0" t="n">
        <v>0.097</v>
      </c>
      <c r="W246" s="0" t="n">
        <v>0.1065</v>
      </c>
      <c r="X246" s="0" t="n">
        <v>0.6568</v>
      </c>
      <c r="Y246" s="0" t="n">
        <v>0.6038</v>
      </c>
      <c r="Z246" s="0" t="n">
        <v>1.6262</v>
      </c>
      <c r="AA246" s="0" t="n">
        <v>-0.4155</v>
      </c>
      <c r="AB246" s="0" t="n">
        <v>0.4233</v>
      </c>
      <c r="AC246" s="0" t="n">
        <v>0.9119</v>
      </c>
      <c r="AD246" s="0" t="n">
        <v>-0.5589</v>
      </c>
      <c r="AE246" s="0" t="n">
        <v>-0.1766</v>
      </c>
      <c r="AG246" s="9" t="n">
        <f aca="false">SUMPRODUCT(($B$2:$AE$2&lt;=Portafolio!$B$5)*EXP(LN(Portafolio!$B$7)+Portafolio!$B$6*B246:AE246))/1000</f>
        <v>2.38935542685327</v>
      </c>
    </row>
    <row r="247" customFormat="false" ht="15" hidden="false" customHeight="false" outlineLevel="0" collapsed="false">
      <c r="A247" s="0" t="n">
        <v>245</v>
      </c>
      <c r="B247" s="0" t="n">
        <v>0.6088</v>
      </c>
      <c r="C247" s="0" t="n">
        <v>0.2308</v>
      </c>
      <c r="D247" s="0" t="n">
        <v>-0.085</v>
      </c>
      <c r="E247" s="0" t="n">
        <v>0.2629</v>
      </c>
      <c r="F247" s="0" t="n">
        <v>2.6622</v>
      </c>
      <c r="G247" s="0" t="n">
        <v>-0.4279</v>
      </c>
      <c r="H247" s="0" t="n">
        <v>-1.0502</v>
      </c>
      <c r="I247" s="0" t="n">
        <v>0.1855</v>
      </c>
      <c r="J247" s="0" t="n">
        <v>-1.7892</v>
      </c>
      <c r="K247" s="0" t="n">
        <v>-0.6282</v>
      </c>
      <c r="L247" s="0" t="n">
        <v>-1.9028</v>
      </c>
      <c r="M247" s="0" t="n">
        <v>1.1981</v>
      </c>
      <c r="N247" s="0" t="n">
        <v>0.7761</v>
      </c>
      <c r="O247" s="0" t="n">
        <v>-0.216</v>
      </c>
      <c r="P247" s="0" t="n">
        <v>-2.2021</v>
      </c>
      <c r="Q247" s="0" t="n">
        <v>-1.181</v>
      </c>
      <c r="R247" s="0" t="n">
        <v>-1.0335</v>
      </c>
      <c r="S247" s="0" t="n">
        <v>2.9192</v>
      </c>
      <c r="T247" s="0" t="n">
        <v>-1.4912</v>
      </c>
      <c r="U247" s="0" t="n">
        <v>-0.0068</v>
      </c>
      <c r="V247" s="0" t="n">
        <v>0.8276</v>
      </c>
      <c r="W247" s="0" t="n">
        <v>0.5666</v>
      </c>
      <c r="X247" s="0" t="n">
        <v>-0.3758</v>
      </c>
      <c r="Y247" s="0" t="n">
        <v>-0.5636</v>
      </c>
      <c r="Z247" s="0" t="n">
        <v>0.9882</v>
      </c>
      <c r="AA247" s="0" t="n">
        <v>-0.1855</v>
      </c>
      <c r="AB247" s="0" t="n">
        <v>-1.5839</v>
      </c>
      <c r="AC247" s="0" t="n">
        <v>-0.7111</v>
      </c>
      <c r="AD247" s="0" t="n">
        <v>-0.5965</v>
      </c>
      <c r="AE247" s="0" t="n">
        <v>1.4369</v>
      </c>
      <c r="AG247" s="9" t="n">
        <f aca="false">SUMPRODUCT(($B$2:$AE$2&lt;=Portafolio!$B$5)*EXP(LN(Portafolio!$B$7)+Portafolio!$B$6*B247:AE247))/1000</f>
        <v>2.64098780574266</v>
      </c>
    </row>
    <row r="248" customFormat="false" ht="15" hidden="false" customHeight="false" outlineLevel="0" collapsed="false">
      <c r="A248" s="0" t="n">
        <v>246</v>
      </c>
      <c r="B248" s="0" t="n">
        <v>-0.1864</v>
      </c>
      <c r="C248" s="0" t="n">
        <v>-1.7189</v>
      </c>
      <c r="D248" s="0" t="n">
        <v>-0.3771</v>
      </c>
      <c r="E248" s="0" t="n">
        <v>0.8285</v>
      </c>
      <c r="F248" s="0" t="n">
        <v>-0.9432</v>
      </c>
      <c r="G248" s="0" t="n">
        <v>-0.5435</v>
      </c>
      <c r="H248" s="0" t="n">
        <v>-1.2737</v>
      </c>
      <c r="I248" s="0" t="n">
        <v>0.2213</v>
      </c>
      <c r="J248" s="0" t="n">
        <v>0.0293</v>
      </c>
      <c r="K248" s="0" t="n">
        <v>-0.5552</v>
      </c>
      <c r="L248" s="0" t="n">
        <v>0.122</v>
      </c>
      <c r="M248" s="0" t="n">
        <v>0.5049</v>
      </c>
      <c r="N248" s="0" t="n">
        <v>-0.6751</v>
      </c>
      <c r="O248" s="0" t="n">
        <v>-0.0781</v>
      </c>
      <c r="P248" s="0" t="n">
        <v>0.6152</v>
      </c>
      <c r="Q248" s="0" t="n">
        <v>-0.2879</v>
      </c>
      <c r="R248" s="0" t="n">
        <v>-1.6166</v>
      </c>
      <c r="S248" s="0" t="n">
        <v>0.553</v>
      </c>
      <c r="T248" s="0" t="n">
        <v>-0.0838</v>
      </c>
      <c r="U248" s="0" t="n">
        <v>0.3992</v>
      </c>
      <c r="V248" s="0" t="n">
        <v>0.1838</v>
      </c>
      <c r="W248" s="0" t="n">
        <v>1.5515</v>
      </c>
      <c r="X248" s="0" t="n">
        <v>-1.4087</v>
      </c>
      <c r="Y248" s="0" t="n">
        <v>1.9564</v>
      </c>
      <c r="Z248" s="0" t="n">
        <v>0.4764</v>
      </c>
      <c r="AA248" s="0" t="n">
        <v>0.704</v>
      </c>
      <c r="AB248" s="0" t="n">
        <v>-0.9014</v>
      </c>
      <c r="AC248" s="0" t="n">
        <v>0.031</v>
      </c>
      <c r="AD248" s="0" t="n">
        <v>-0.1325</v>
      </c>
      <c r="AE248" s="0" t="n">
        <v>0.448</v>
      </c>
      <c r="AG248" s="9" t="n">
        <f aca="false">SUMPRODUCT(($B$2:$AE$2&lt;=Portafolio!$B$5)*EXP(LN(Portafolio!$B$7)+Portafolio!$B$6*B248:AE248))/1000</f>
        <v>1.8656788488862</v>
      </c>
    </row>
    <row r="249" customFormat="false" ht="15" hidden="false" customHeight="false" outlineLevel="0" collapsed="false">
      <c r="A249" s="0" t="n">
        <v>247</v>
      </c>
      <c r="B249" s="0" t="n">
        <v>-1.6613</v>
      </c>
      <c r="C249" s="0" t="n">
        <v>-0.0581</v>
      </c>
      <c r="D249" s="0" t="n">
        <v>-1.9619</v>
      </c>
      <c r="E249" s="0" t="n">
        <v>2.1087</v>
      </c>
      <c r="F249" s="0" t="n">
        <v>-0.6831</v>
      </c>
      <c r="G249" s="0" t="n">
        <v>-0.6585</v>
      </c>
      <c r="H249" s="0" t="n">
        <v>-0.5376</v>
      </c>
      <c r="I249" s="0" t="n">
        <v>0.6023</v>
      </c>
      <c r="J249" s="0" t="n">
        <v>0.9346</v>
      </c>
      <c r="K249" s="0" t="n">
        <v>0.6359</v>
      </c>
      <c r="L249" s="0" t="n">
        <v>-1.7407</v>
      </c>
      <c r="M249" s="0" t="n">
        <v>-0.3811</v>
      </c>
      <c r="N249" s="0" t="n">
        <v>0.2176</v>
      </c>
      <c r="O249" s="0" t="n">
        <v>0.1165</v>
      </c>
      <c r="P249" s="0" t="n">
        <v>0.7908</v>
      </c>
      <c r="Q249" s="0" t="n">
        <v>-0.5184</v>
      </c>
      <c r="R249" s="0" t="n">
        <v>-0.3229</v>
      </c>
      <c r="S249" s="0" t="n">
        <v>-2.0225</v>
      </c>
      <c r="T249" s="0" t="n">
        <v>-0.1183</v>
      </c>
      <c r="U249" s="0" t="n">
        <v>0.6142</v>
      </c>
      <c r="V249" s="0" t="n">
        <v>0.1615</v>
      </c>
      <c r="W249" s="0" t="n">
        <v>-0.8333</v>
      </c>
      <c r="X249" s="0" t="n">
        <v>-0.0441</v>
      </c>
      <c r="Y249" s="0" t="n">
        <v>-0.0006</v>
      </c>
      <c r="Z249" s="0" t="n">
        <v>-0.9354</v>
      </c>
      <c r="AA249" s="0" t="n">
        <v>-0.5359</v>
      </c>
      <c r="AB249" s="0" t="n">
        <v>0.1654</v>
      </c>
      <c r="AC249" s="0" t="n">
        <v>0.6332</v>
      </c>
      <c r="AD249" s="0" t="n">
        <v>1.918</v>
      </c>
      <c r="AE249" s="0" t="n">
        <v>-0.9514</v>
      </c>
      <c r="AG249" s="9" t="n">
        <f aca="false">SUMPRODUCT(($B$2:$AE$2&lt;=Portafolio!$B$5)*EXP(LN(Portafolio!$B$7)+Portafolio!$B$6*B249:AE249))/1000</f>
        <v>2.1097662976329</v>
      </c>
    </row>
    <row r="250" customFormat="false" ht="15" hidden="false" customHeight="false" outlineLevel="0" collapsed="false">
      <c r="A250" s="0" t="n">
        <v>248</v>
      </c>
      <c r="B250" s="0" t="n">
        <v>-0.325</v>
      </c>
      <c r="C250" s="0" t="n">
        <v>0.8112</v>
      </c>
      <c r="D250" s="0" t="n">
        <v>-0.4892</v>
      </c>
      <c r="E250" s="0" t="n">
        <v>0.7796</v>
      </c>
      <c r="F250" s="0" t="n">
        <v>-1.8859</v>
      </c>
      <c r="G250" s="0" t="n">
        <v>1.6975</v>
      </c>
      <c r="H250" s="0" t="n">
        <v>0.9449</v>
      </c>
      <c r="I250" s="0" t="n">
        <v>0.0986</v>
      </c>
      <c r="J250" s="0" t="n">
        <v>-1.3105</v>
      </c>
      <c r="K250" s="0" t="n">
        <v>-0.4121</v>
      </c>
      <c r="L250" s="0" t="n">
        <v>-0.7982</v>
      </c>
      <c r="M250" s="0" t="n">
        <v>1.3845</v>
      </c>
      <c r="N250" s="0" t="n">
        <v>-0.5139</v>
      </c>
      <c r="O250" s="0" t="n">
        <v>0.2482</v>
      </c>
      <c r="P250" s="0" t="n">
        <v>0.5776</v>
      </c>
      <c r="Q250" s="0" t="n">
        <v>-0.3617</v>
      </c>
      <c r="R250" s="0" t="n">
        <v>-0.6531</v>
      </c>
      <c r="S250" s="0" t="n">
        <v>-2.2091</v>
      </c>
      <c r="T250" s="0" t="n">
        <v>0.8134</v>
      </c>
      <c r="U250" s="0" t="n">
        <v>1.4697</v>
      </c>
      <c r="V250" s="0" t="n">
        <v>0.1623</v>
      </c>
      <c r="W250" s="0" t="n">
        <v>-0.908</v>
      </c>
      <c r="X250" s="0" t="n">
        <v>0.4726</v>
      </c>
      <c r="Y250" s="0" t="n">
        <v>-0.2735</v>
      </c>
      <c r="Z250" s="0" t="n">
        <v>-2.7573</v>
      </c>
      <c r="AA250" s="0" t="n">
        <v>-0.3272</v>
      </c>
      <c r="AB250" s="0" t="n">
        <v>-2.0174</v>
      </c>
      <c r="AC250" s="0" t="n">
        <v>-0.3223</v>
      </c>
      <c r="AD250" s="0" t="n">
        <v>-1.1776</v>
      </c>
      <c r="AE250" s="0" t="n">
        <v>0.8376</v>
      </c>
      <c r="AG250" s="9" t="n">
        <f aca="false">SUMPRODUCT(($B$2:$AE$2&lt;=Portafolio!$B$5)*EXP(LN(Portafolio!$B$7)+Portafolio!$B$6*B250:AE250))/1000</f>
        <v>2.39583240910236</v>
      </c>
    </row>
    <row r="251" customFormat="false" ht="15" hidden="false" customHeight="false" outlineLevel="0" collapsed="false">
      <c r="A251" s="0" t="n">
        <v>249</v>
      </c>
      <c r="B251" s="0" t="n">
        <v>-1.5669</v>
      </c>
      <c r="C251" s="0" t="n">
        <v>0.1409</v>
      </c>
      <c r="D251" s="0" t="n">
        <v>-0.153</v>
      </c>
      <c r="E251" s="0" t="n">
        <v>-1.5851</v>
      </c>
      <c r="F251" s="0" t="n">
        <v>0.0422</v>
      </c>
      <c r="G251" s="0" t="n">
        <v>-0.692</v>
      </c>
      <c r="H251" s="0" t="n">
        <v>-1.0194</v>
      </c>
      <c r="I251" s="0" t="n">
        <v>-1.4569</v>
      </c>
      <c r="J251" s="0" t="n">
        <v>-0.0148</v>
      </c>
      <c r="K251" s="0" t="n">
        <v>-0.6262</v>
      </c>
      <c r="L251" s="0" t="n">
        <v>-0.1631</v>
      </c>
      <c r="M251" s="0" t="n">
        <v>-0.0528</v>
      </c>
      <c r="N251" s="0" t="n">
        <v>1.4215</v>
      </c>
      <c r="O251" s="0" t="n">
        <v>-0.2624</v>
      </c>
      <c r="P251" s="0" t="n">
        <v>0.0372</v>
      </c>
      <c r="Q251" s="0" t="n">
        <v>1.3572</v>
      </c>
      <c r="R251" s="0" t="n">
        <v>-0.49</v>
      </c>
      <c r="S251" s="0" t="n">
        <v>1.1787</v>
      </c>
      <c r="T251" s="0" t="n">
        <v>0.451</v>
      </c>
      <c r="U251" s="0" t="n">
        <v>-1.9237</v>
      </c>
      <c r="V251" s="0" t="n">
        <v>1.4581</v>
      </c>
      <c r="W251" s="0" t="n">
        <v>-0.1639</v>
      </c>
      <c r="X251" s="0" t="n">
        <v>-1.17</v>
      </c>
      <c r="Y251" s="0" t="n">
        <v>-0.2845</v>
      </c>
      <c r="Z251" s="0" t="n">
        <v>0.1512</v>
      </c>
      <c r="AA251" s="0" t="n">
        <v>0.2126</v>
      </c>
      <c r="AB251" s="0" t="n">
        <v>2.0711</v>
      </c>
      <c r="AC251" s="0" t="n">
        <v>-1.7328</v>
      </c>
      <c r="AD251" s="0" t="n">
        <v>0.31</v>
      </c>
      <c r="AE251" s="0" t="n">
        <v>-0.5674</v>
      </c>
      <c r="AG251" s="9" t="n">
        <f aca="false">SUMPRODUCT(($B$2:$AE$2&lt;=Portafolio!$B$5)*EXP(LN(Portafolio!$B$7)+Portafolio!$B$6*B251:AE251))/1000</f>
        <v>1.98571432097614</v>
      </c>
    </row>
    <row r="252" customFormat="false" ht="15" hidden="false" customHeight="false" outlineLevel="0" collapsed="false">
      <c r="A252" s="0" t="n">
        <v>250</v>
      </c>
      <c r="B252" s="0" t="n">
        <v>-0.464</v>
      </c>
      <c r="C252" s="0" t="n">
        <v>-0.4687</v>
      </c>
      <c r="D252" s="0" t="n">
        <v>-0.7787</v>
      </c>
      <c r="E252" s="0" t="n">
        <v>1.5882</v>
      </c>
      <c r="F252" s="0" t="n">
        <v>0.1428</v>
      </c>
      <c r="G252" s="0" t="n">
        <v>-0.0657</v>
      </c>
      <c r="H252" s="0" t="n">
        <v>0.289</v>
      </c>
      <c r="I252" s="0" t="n">
        <v>-1.5477</v>
      </c>
      <c r="J252" s="0" t="n">
        <v>-0.1813</v>
      </c>
      <c r="K252" s="0" t="n">
        <v>-0.5353</v>
      </c>
      <c r="L252" s="0" t="n">
        <v>-0.9759</v>
      </c>
      <c r="M252" s="0" t="n">
        <v>1.334</v>
      </c>
      <c r="N252" s="0" t="n">
        <v>0.1747</v>
      </c>
      <c r="O252" s="0" t="n">
        <v>0.5852</v>
      </c>
      <c r="P252" s="0" t="n">
        <v>-0.605</v>
      </c>
      <c r="Q252" s="0" t="n">
        <v>0.0822</v>
      </c>
      <c r="R252" s="0" t="n">
        <v>-0.0474</v>
      </c>
      <c r="S252" s="0" t="n">
        <v>0.5819</v>
      </c>
      <c r="T252" s="0" t="n">
        <v>0.1097</v>
      </c>
      <c r="U252" s="0" t="n">
        <v>0.4507</v>
      </c>
      <c r="V252" s="0" t="n">
        <v>-0.7747</v>
      </c>
      <c r="W252" s="0" t="n">
        <v>0.4749</v>
      </c>
      <c r="X252" s="0" t="n">
        <v>0.3993</v>
      </c>
      <c r="Y252" s="0" t="n">
        <v>0.4823</v>
      </c>
      <c r="Z252" s="0" t="n">
        <v>-0.3152</v>
      </c>
      <c r="AA252" s="0" t="n">
        <v>0.219</v>
      </c>
      <c r="AB252" s="0" t="n">
        <v>-0.0876</v>
      </c>
      <c r="AC252" s="0" t="n">
        <v>0.2892</v>
      </c>
      <c r="AD252" s="0" t="n">
        <v>-0.035</v>
      </c>
      <c r="AE252" s="0" t="n">
        <v>-0.5091</v>
      </c>
      <c r="AG252" s="9" t="n">
        <f aca="false">SUMPRODUCT(($B$2:$AE$2&lt;=Portafolio!$B$5)*EXP(LN(Portafolio!$B$7)+Portafolio!$B$6*B252:AE252))/1000</f>
        <v>2.18182399192358</v>
      </c>
    </row>
    <row r="253" customFormat="false" ht="15" hidden="false" customHeight="false" outlineLevel="0" collapsed="false">
      <c r="A253" s="0" t="n">
        <v>251</v>
      </c>
      <c r="B253" s="0" t="n">
        <v>-0.5314</v>
      </c>
      <c r="C253" s="0" t="n">
        <v>0.1047</v>
      </c>
      <c r="D253" s="0" t="n">
        <v>-1.1072</v>
      </c>
      <c r="E253" s="0" t="n">
        <v>-2.4574</v>
      </c>
      <c r="F253" s="0" t="n">
        <v>-0.1195</v>
      </c>
      <c r="G253" s="0" t="n">
        <v>-0.4059</v>
      </c>
      <c r="H253" s="0" t="n">
        <v>0.2026</v>
      </c>
      <c r="I253" s="0" t="n">
        <v>0.5659</v>
      </c>
      <c r="J253" s="0" t="n">
        <v>0.3133</v>
      </c>
      <c r="K253" s="0" t="n">
        <v>-0.2758</v>
      </c>
      <c r="L253" s="0" t="n">
        <v>0.1381</v>
      </c>
      <c r="M253" s="0" t="n">
        <v>-1.7096</v>
      </c>
      <c r="N253" s="0" t="n">
        <v>0.5295</v>
      </c>
      <c r="O253" s="0" t="n">
        <v>-0.9103</v>
      </c>
      <c r="P253" s="0" t="n">
        <v>-0.8099</v>
      </c>
      <c r="Q253" s="0" t="n">
        <v>0.4595</v>
      </c>
      <c r="R253" s="0" t="n">
        <v>-0.6598</v>
      </c>
      <c r="S253" s="0" t="n">
        <v>-0.9414</v>
      </c>
      <c r="T253" s="0" t="n">
        <v>-0.2941</v>
      </c>
      <c r="U253" s="0" t="n">
        <v>-1.0316</v>
      </c>
      <c r="V253" s="0" t="n">
        <v>0.7433</v>
      </c>
      <c r="W253" s="0" t="n">
        <v>-1.1293</v>
      </c>
      <c r="X253" s="0" t="n">
        <v>-0.1333</v>
      </c>
      <c r="Y253" s="0" t="n">
        <v>1.0383</v>
      </c>
      <c r="Z253" s="0" t="n">
        <v>0.2487</v>
      </c>
      <c r="AA253" s="0" t="n">
        <v>2.2141</v>
      </c>
      <c r="AB253" s="0" t="n">
        <v>0.9695</v>
      </c>
      <c r="AC253" s="0" t="n">
        <v>0.2945</v>
      </c>
      <c r="AD253" s="0" t="n">
        <v>-1.2332</v>
      </c>
      <c r="AE253" s="0" t="n">
        <v>0.586</v>
      </c>
      <c r="AG253" s="9" t="n">
        <f aca="false">SUMPRODUCT(($B$2:$AE$2&lt;=Portafolio!$B$5)*EXP(LN(Portafolio!$B$7)+Portafolio!$B$6*B253:AE253))/1000</f>
        <v>1.67867521396656</v>
      </c>
    </row>
    <row r="254" customFormat="false" ht="15" hidden="false" customHeight="false" outlineLevel="0" collapsed="false">
      <c r="A254" s="0" t="n">
        <v>252</v>
      </c>
      <c r="B254" s="0" t="n">
        <v>1.1892</v>
      </c>
      <c r="C254" s="0" t="n">
        <v>0.902</v>
      </c>
      <c r="D254" s="0" t="n">
        <v>0.5398</v>
      </c>
      <c r="E254" s="0" t="n">
        <v>0.599</v>
      </c>
      <c r="F254" s="0" t="n">
        <v>-0.1507</v>
      </c>
      <c r="G254" s="0" t="n">
        <v>0.3614</v>
      </c>
      <c r="H254" s="0" t="n">
        <v>0.3548</v>
      </c>
      <c r="I254" s="0" t="n">
        <v>-0.0026</v>
      </c>
      <c r="J254" s="0" t="n">
        <v>1.2476</v>
      </c>
      <c r="K254" s="0" t="n">
        <v>-0.8714</v>
      </c>
      <c r="L254" s="0" t="n">
        <v>1.2113</v>
      </c>
      <c r="M254" s="0" t="n">
        <v>-0.5737</v>
      </c>
      <c r="N254" s="0" t="n">
        <v>-1.0377</v>
      </c>
      <c r="O254" s="0" t="n">
        <v>-0.3212</v>
      </c>
      <c r="P254" s="0" t="n">
        <v>-0.8527</v>
      </c>
      <c r="Q254" s="0" t="n">
        <v>-0.2724</v>
      </c>
      <c r="R254" s="0" t="n">
        <v>0.5909</v>
      </c>
      <c r="S254" s="0" t="n">
        <v>1.188</v>
      </c>
      <c r="T254" s="0" t="n">
        <v>0.7468</v>
      </c>
      <c r="U254" s="0" t="n">
        <v>-2.6467</v>
      </c>
      <c r="V254" s="0" t="n">
        <v>1.141</v>
      </c>
      <c r="W254" s="0" t="n">
        <v>-0.7449</v>
      </c>
      <c r="X254" s="0" t="n">
        <v>0.3599</v>
      </c>
      <c r="Y254" s="0" t="n">
        <v>1.2276</v>
      </c>
      <c r="Z254" s="0" t="n">
        <v>1.0354</v>
      </c>
      <c r="AA254" s="0" t="n">
        <v>1.6895</v>
      </c>
      <c r="AB254" s="0" t="n">
        <v>0.033</v>
      </c>
      <c r="AC254" s="0" t="n">
        <v>-0.971</v>
      </c>
      <c r="AD254" s="0" t="n">
        <v>-0.9308</v>
      </c>
      <c r="AE254" s="0" t="n">
        <v>1.8805</v>
      </c>
      <c r="AG254" s="9" t="n">
        <f aca="false">SUMPRODUCT(($B$2:$AE$2&lt;=Portafolio!$B$5)*EXP(LN(Portafolio!$B$7)+Portafolio!$B$6*B254:AE254))/1000</f>
        <v>2.44943664823484</v>
      </c>
    </row>
    <row r="255" customFormat="false" ht="15" hidden="false" customHeight="false" outlineLevel="0" collapsed="false">
      <c r="A255" s="0" t="n">
        <v>253</v>
      </c>
      <c r="B255" s="0" t="n">
        <v>-0.3704</v>
      </c>
      <c r="C255" s="0" t="n">
        <v>0.157</v>
      </c>
      <c r="D255" s="0" t="n">
        <v>-0.5158</v>
      </c>
      <c r="E255" s="0" t="n">
        <v>-0.9108</v>
      </c>
      <c r="F255" s="0" t="n">
        <v>1.4569</v>
      </c>
      <c r="G255" s="0" t="n">
        <v>1.3238</v>
      </c>
      <c r="H255" s="0" t="n">
        <v>0.1625</v>
      </c>
      <c r="I255" s="0" t="n">
        <v>0.6307</v>
      </c>
      <c r="J255" s="0" t="n">
        <v>-0.7449</v>
      </c>
      <c r="K255" s="0" t="n">
        <v>-0.1356</v>
      </c>
      <c r="L255" s="0" t="n">
        <v>-0.5457</v>
      </c>
      <c r="M255" s="0" t="n">
        <v>0.9483</v>
      </c>
      <c r="N255" s="0" t="n">
        <v>1.2096</v>
      </c>
      <c r="O255" s="0" t="n">
        <v>-0.5683</v>
      </c>
      <c r="P255" s="0" t="n">
        <v>-1.7176</v>
      </c>
      <c r="Q255" s="0" t="n">
        <v>0.7813</v>
      </c>
      <c r="R255" s="0" t="n">
        <v>1.9998</v>
      </c>
      <c r="S255" s="0" t="n">
        <v>-0.9877</v>
      </c>
      <c r="T255" s="0" t="n">
        <v>1.7859</v>
      </c>
      <c r="U255" s="0" t="n">
        <v>0.2873</v>
      </c>
      <c r="V255" s="0" t="n">
        <v>0.252</v>
      </c>
      <c r="W255" s="0" t="n">
        <v>-1.5575</v>
      </c>
      <c r="X255" s="0" t="n">
        <v>-0.2087</v>
      </c>
      <c r="Y255" s="0" t="n">
        <v>-1.4509</v>
      </c>
      <c r="Z255" s="0" t="n">
        <v>0.616</v>
      </c>
      <c r="AA255" s="0" t="n">
        <v>2.2287</v>
      </c>
      <c r="AB255" s="0" t="n">
        <v>0.2039</v>
      </c>
      <c r="AC255" s="0" t="n">
        <v>-0.7128</v>
      </c>
      <c r="AD255" s="0" t="n">
        <v>-0.6314</v>
      </c>
      <c r="AE255" s="0" t="n">
        <v>-0.1335</v>
      </c>
      <c r="AG255" s="9" t="n">
        <f aca="false">SUMPRODUCT(($B$2:$AE$2&lt;=Portafolio!$B$5)*EXP(LN(Portafolio!$B$7)+Portafolio!$B$6*B255:AE255))/1000</f>
        <v>2.71458742132581</v>
      </c>
    </row>
    <row r="256" customFormat="false" ht="15" hidden="false" customHeight="false" outlineLevel="0" collapsed="false">
      <c r="A256" s="0" t="n">
        <v>254</v>
      </c>
      <c r="B256" s="0" t="n">
        <v>0.1293</v>
      </c>
      <c r="C256" s="0" t="n">
        <v>1.3965</v>
      </c>
      <c r="D256" s="0" t="n">
        <v>0.0823</v>
      </c>
      <c r="E256" s="0" t="n">
        <v>0.0999</v>
      </c>
      <c r="F256" s="0" t="n">
        <v>-1.0221</v>
      </c>
      <c r="G256" s="0" t="n">
        <v>-0.9313</v>
      </c>
      <c r="H256" s="0" t="n">
        <v>0.1971</v>
      </c>
      <c r="I256" s="0" t="n">
        <v>-0.1286</v>
      </c>
      <c r="J256" s="0" t="n">
        <v>-0.1877</v>
      </c>
      <c r="K256" s="0" t="n">
        <v>0.4694</v>
      </c>
      <c r="L256" s="0" t="n">
        <v>1.5542</v>
      </c>
      <c r="M256" s="0" t="n">
        <v>-0.9274</v>
      </c>
      <c r="N256" s="0" t="n">
        <v>0.6497</v>
      </c>
      <c r="O256" s="0" t="n">
        <v>0.9239</v>
      </c>
      <c r="P256" s="0" t="n">
        <v>-0.5228</v>
      </c>
      <c r="Q256" s="0" t="n">
        <v>-1.2893</v>
      </c>
      <c r="R256" s="0" t="n">
        <v>-1.2386</v>
      </c>
      <c r="S256" s="0" t="n">
        <v>0.1345</v>
      </c>
      <c r="T256" s="0" t="n">
        <v>0.088</v>
      </c>
      <c r="U256" s="0" t="n">
        <v>0.346</v>
      </c>
      <c r="V256" s="0" t="n">
        <v>0.6539</v>
      </c>
      <c r="W256" s="0" t="n">
        <v>0.9959</v>
      </c>
      <c r="X256" s="0" t="n">
        <v>1.2896</v>
      </c>
      <c r="Y256" s="0" t="n">
        <v>1.6269</v>
      </c>
      <c r="Z256" s="0" t="n">
        <v>-0.0425</v>
      </c>
      <c r="AA256" s="0" t="n">
        <v>0.1557</v>
      </c>
      <c r="AB256" s="0" t="n">
        <v>-0.8971</v>
      </c>
      <c r="AC256" s="0" t="n">
        <v>-1.1733</v>
      </c>
      <c r="AD256" s="0" t="n">
        <v>-0.041</v>
      </c>
      <c r="AE256" s="0" t="n">
        <v>-1.086</v>
      </c>
      <c r="AG256" s="9" t="n">
        <f aca="false">SUMPRODUCT(($B$2:$AE$2&lt;=Portafolio!$B$5)*EXP(LN(Portafolio!$B$7)+Portafolio!$B$6*B256:AE256))/1000</f>
        <v>2.22564897385814</v>
      </c>
    </row>
    <row r="257" customFormat="false" ht="15" hidden="false" customHeight="false" outlineLevel="0" collapsed="false">
      <c r="A257" s="0" t="n">
        <v>255</v>
      </c>
      <c r="B257" s="0" t="n">
        <v>1.295</v>
      </c>
      <c r="C257" s="0" t="n">
        <v>-0.7609</v>
      </c>
      <c r="D257" s="0" t="n">
        <v>1.6284</v>
      </c>
      <c r="E257" s="0" t="n">
        <v>-0.7191</v>
      </c>
      <c r="F257" s="0" t="n">
        <v>-0.1575</v>
      </c>
      <c r="G257" s="0" t="n">
        <v>1.05</v>
      </c>
      <c r="H257" s="0" t="n">
        <v>0.3814</v>
      </c>
      <c r="I257" s="0" t="n">
        <v>1.3613</v>
      </c>
      <c r="J257" s="0" t="n">
        <v>-0.8476</v>
      </c>
      <c r="K257" s="0" t="n">
        <v>0.7192</v>
      </c>
      <c r="L257" s="0" t="n">
        <v>-0.4174</v>
      </c>
      <c r="M257" s="0" t="n">
        <v>0.4627</v>
      </c>
      <c r="N257" s="0" t="n">
        <v>-1.3593</v>
      </c>
      <c r="O257" s="0" t="n">
        <v>-0.86</v>
      </c>
      <c r="P257" s="0" t="n">
        <v>-0.307</v>
      </c>
      <c r="Q257" s="0" t="n">
        <v>0.4265</v>
      </c>
      <c r="R257" s="0" t="n">
        <v>-1.0496</v>
      </c>
      <c r="S257" s="0" t="n">
        <v>-0.9219</v>
      </c>
      <c r="T257" s="0" t="n">
        <v>-1.7913</v>
      </c>
      <c r="U257" s="0" t="n">
        <v>-0.5652</v>
      </c>
      <c r="V257" s="0" t="n">
        <v>1.5822</v>
      </c>
      <c r="W257" s="0" t="n">
        <v>-0.612</v>
      </c>
      <c r="X257" s="0" t="n">
        <v>-1.9235</v>
      </c>
      <c r="Y257" s="0" t="n">
        <v>-1.3751</v>
      </c>
      <c r="Z257" s="0" t="n">
        <v>-1.1129</v>
      </c>
      <c r="AA257" s="0" t="n">
        <v>-0.4684</v>
      </c>
      <c r="AB257" s="0" t="n">
        <v>0.2398</v>
      </c>
      <c r="AC257" s="0" t="n">
        <v>0.8486</v>
      </c>
      <c r="AD257" s="0" t="n">
        <v>-0.5158</v>
      </c>
      <c r="AE257" s="0" t="n">
        <v>0.5936</v>
      </c>
      <c r="AG257" s="9" t="n">
        <f aca="false">SUMPRODUCT(($B$2:$AE$2&lt;=Portafolio!$B$5)*EXP(LN(Portafolio!$B$7)+Portafolio!$B$6*B257:AE257))/1000</f>
        <v>2.19860393328364</v>
      </c>
    </row>
    <row r="258" customFormat="false" ht="15" hidden="false" customHeight="false" outlineLevel="0" collapsed="false">
      <c r="A258" s="0" t="n">
        <v>256</v>
      </c>
      <c r="B258" s="0" t="n">
        <v>-0.0952</v>
      </c>
      <c r="C258" s="0" t="n">
        <v>0.6293</v>
      </c>
      <c r="D258" s="0" t="n">
        <v>1.0135</v>
      </c>
      <c r="E258" s="0" t="n">
        <v>0.7733</v>
      </c>
      <c r="F258" s="0" t="n">
        <v>-1.6598</v>
      </c>
      <c r="G258" s="0" t="n">
        <v>0.706</v>
      </c>
      <c r="H258" s="0" t="n">
        <v>-0.3605</v>
      </c>
      <c r="I258" s="0" t="n">
        <v>-2.274</v>
      </c>
      <c r="J258" s="0" t="n">
        <v>0.4082</v>
      </c>
      <c r="K258" s="0" t="n">
        <v>-0.2577</v>
      </c>
      <c r="L258" s="0" t="n">
        <v>-1.246</v>
      </c>
      <c r="M258" s="0" t="n">
        <v>-1.9128</v>
      </c>
      <c r="N258" s="0" t="n">
        <v>0.4731</v>
      </c>
      <c r="O258" s="0" t="n">
        <v>0.2706</v>
      </c>
      <c r="P258" s="0" t="n">
        <v>0.6218</v>
      </c>
      <c r="Q258" s="0" t="n">
        <v>0.0812</v>
      </c>
      <c r="R258" s="0" t="n">
        <v>1.9427</v>
      </c>
      <c r="S258" s="0" t="n">
        <v>-0.6748</v>
      </c>
      <c r="T258" s="0" t="n">
        <v>0.0592</v>
      </c>
      <c r="U258" s="0" t="n">
        <v>0.0742</v>
      </c>
      <c r="V258" s="0" t="n">
        <v>1.5671</v>
      </c>
      <c r="W258" s="0" t="n">
        <v>1.2469</v>
      </c>
      <c r="X258" s="0" t="n">
        <v>-0.5753</v>
      </c>
      <c r="Y258" s="0" t="n">
        <v>1.1647</v>
      </c>
      <c r="Z258" s="0" t="n">
        <v>-0.6637</v>
      </c>
      <c r="AA258" s="0" t="n">
        <v>0.8071</v>
      </c>
      <c r="AB258" s="0" t="n">
        <v>-1.5676</v>
      </c>
      <c r="AC258" s="0" t="n">
        <v>-1.7851</v>
      </c>
      <c r="AD258" s="0" t="n">
        <v>0.9589</v>
      </c>
      <c r="AE258" s="0" t="n">
        <v>0.4125</v>
      </c>
      <c r="AG258" s="9" t="n">
        <f aca="false">SUMPRODUCT(($B$2:$AE$2&lt;=Portafolio!$B$5)*EXP(LN(Portafolio!$B$7)+Portafolio!$B$6*B258:AE258))/1000</f>
        <v>2.26768795282438</v>
      </c>
    </row>
    <row r="259" customFormat="false" ht="15" hidden="false" customHeight="false" outlineLevel="0" collapsed="false">
      <c r="A259" s="0" t="n">
        <v>257</v>
      </c>
      <c r="B259" s="0" t="n">
        <v>-0.3973</v>
      </c>
      <c r="C259" s="0" t="n">
        <v>-1.7134</v>
      </c>
      <c r="D259" s="0" t="n">
        <v>-0.5663</v>
      </c>
      <c r="E259" s="0" t="n">
        <v>-0.5817</v>
      </c>
      <c r="F259" s="0" t="n">
        <v>0.711</v>
      </c>
      <c r="G259" s="0" t="n">
        <v>0.1212</v>
      </c>
      <c r="H259" s="0" t="n">
        <v>-1.9726</v>
      </c>
      <c r="I259" s="0" t="n">
        <v>-0.7819</v>
      </c>
      <c r="J259" s="0" t="n">
        <v>-1.1458</v>
      </c>
      <c r="K259" s="0" t="n">
        <v>-0.7114</v>
      </c>
      <c r="L259" s="0" t="n">
        <v>-1.2363</v>
      </c>
      <c r="M259" s="0" t="n">
        <v>1.1162</v>
      </c>
      <c r="N259" s="0" t="n">
        <v>1.114</v>
      </c>
      <c r="O259" s="0" t="n">
        <v>-0.2122</v>
      </c>
      <c r="P259" s="0" t="n">
        <v>-0.7653</v>
      </c>
      <c r="Q259" s="0" t="n">
        <v>-0.9634</v>
      </c>
      <c r="R259" s="0" t="n">
        <v>-0.053</v>
      </c>
      <c r="S259" s="0" t="n">
        <v>2.178</v>
      </c>
      <c r="T259" s="0" t="n">
        <v>0.9313</v>
      </c>
      <c r="U259" s="0" t="n">
        <v>0.4725</v>
      </c>
      <c r="V259" s="0" t="n">
        <v>1.1583</v>
      </c>
      <c r="W259" s="0" t="n">
        <v>-0.5975</v>
      </c>
      <c r="X259" s="0" t="n">
        <v>-0.5268</v>
      </c>
      <c r="Y259" s="0" t="n">
        <v>0.4358</v>
      </c>
      <c r="Z259" s="0" t="n">
        <v>-1.1544</v>
      </c>
      <c r="AA259" s="0" t="n">
        <v>1.1929</v>
      </c>
      <c r="AB259" s="0" t="n">
        <v>-0.5811</v>
      </c>
      <c r="AC259" s="0" t="n">
        <v>-1.2649</v>
      </c>
      <c r="AD259" s="0" t="n">
        <v>0.9123</v>
      </c>
      <c r="AE259" s="0" t="n">
        <v>-0.2957</v>
      </c>
      <c r="AG259" s="9" t="n">
        <f aca="false">SUMPRODUCT(($B$2:$AE$2&lt;=Portafolio!$B$5)*EXP(LN(Portafolio!$B$7)+Portafolio!$B$6*B259:AE259))/1000</f>
        <v>2.14511809969185</v>
      </c>
    </row>
    <row r="260" customFormat="false" ht="15" hidden="false" customHeight="false" outlineLevel="0" collapsed="false">
      <c r="A260" s="0" t="n">
        <v>258</v>
      </c>
      <c r="B260" s="0" t="n">
        <v>-0.2988</v>
      </c>
      <c r="C260" s="0" t="n">
        <v>1.3619</v>
      </c>
      <c r="D260" s="0" t="n">
        <v>1.4156</v>
      </c>
      <c r="E260" s="0" t="n">
        <v>-0.6688</v>
      </c>
      <c r="F260" s="0" t="n">
        <v>1.1732</v>
      </c>
      <c r="G260" s="0" t="n">
        <v>-1.4667</v>
      </c>
      <c r="H260" s="0" t="n">
        <v>1.4117</v>
      </c>
      <c r="I260" s="0" t="n">
        <v>0.198</v>
      </c>
      <c r="J260" s="0" t="n">
        <v>0.039</v>
      </c>
      <c r="K260" s="0" t="n">
        <v>1.5113</v>
      </c>
      <c r="L260" s="0" t="n">
        <v>0.4201</v>
      </c>
      <c r="M260" s="0" t="n">
        <v>-1.7594</v>
      </c>
      <c r="N260" s="0" t="n">
        <v>0.3503</v>
      </c>
      <c r="O260" s="0" t="n">
        <v>0.8989</v>
      </c>
      <c r="P260" s="0" t="n">
        <v>1.03</v>
      </c>
      <c r="Q260" s="0" t="n">
        <v>1.5691</v>
      </c>
      <c r="R260" s="0" t="n">
        <v>-0.359</v>
      </c>
      <c r="S260" s="0" t="n">
        <v>-1.2281</v>
      </c>
      <c r="T260" s="0" t="n">
        <v>-1.5578</v>
      </c>
      <c r="U260" s="0" t="n">
        <v>-0.4913</v>
      </c>
      <c r="V260" s="0" t="n">
        <v>-0.6038</v>
      </c>
      <c r="W260" s="0" t="n">
        <v>0.1796</v>
      </c>
      <c r="X260" s="0" t="n">
        <v>1.6526</v>
      </c>
      <c r="Y260" s="0" t="n">
        <v>-0.4911</v>
      </c>
      <c r="Z260" s="0" t="n">
        <v>-1.2849</v>
      </c>
      <c r="AA260" s="0" t="n">
        <v>0.0369</v>
      </c>
      <c r="AB260" s="0" t="n">
        <v>0.1947</v>
      </c>
      <c r="AC260" s="0" t="n">
        <v>0.7035</v>
      </c>
      <c r="AD260" s="0" t="n">
        <v>1.3921</v>
      </c>
      <c r="AE260" s="0" t="n">
        <v>0.491</v>
      </c>
      <c r="AG260" s="9" t="n">
        <f aca="false">SUMPRODUCT(($B$2:$AE$2&lt;=Portafolio!$B$5)*EXP(LN(Portafolio!$B$7)+Portafolio!$B$6*B260:AE260))/1000</f>
        <v>2.69273716715575</v>
      </c>
    </row>
    <row r="261" customFormat="false" ht="15" hidden="false" customHeight="false" outlineLevel="0" collapsed="false">
      <c r="A261" s="0" t="n">
        <v>259</v>
      </c>
      <c r="B261" s="0" t="n">
        <v>0.3013</v>
      </c>
      <c r="C261" s="0" t="n">
        <v>-0.7192</v>
      </c>
      <c r="D261" s="0" t="n">
        <v>0.3638</v>
      </c>
      <c r="E261" s="0" t="n">
        <v>0.9999</v>
      </c>
      <c r="F261" s="0" t="n">
        <v>-0.3543</v>
      </c>
      <c r="G261" s="0" t="n">
        <v>1.6442</v>
      </c>
      <c r="H261" s="0" t="n">
        <v>0.0141</v>
      </c>
      <c r="I261" s="0" t="n">
        <v>0.7751</v>
      </c>
      <c r="J261" s="0" t="n">
        <v>-1.6379</v>
      </c>
      <c r="K261" s="0" t="n">
        <v>1.1128</v>
      </c>
      <c r="L261" s="0" t="n">
        <v>-0.1164</v>
      </c>
      <c r="M261" s="0" t="n">
        <v>-0.4837</v>
      </c>
      <c r="N261" s="0" t="n">
        <v>0.2075</v>
      </c>
      <c r="O261" s="0" t="n">
        <v>0.2506</v>
      </c>
      <c r="P261" s="0" t="n">
        <v>-0.7108</v>
      </c>
      <c r="Q261" s="0" t="n">
        <v>-1.2718</v>
      </c>
      <c r="R261" s="0" t="n">
        <v>0.4089</v>
      </c>
      <c r="S261" s="0" t="n">
        <v>0.7047</v>
      </c>
      <c r="T261" s="0" t="n">
        <v>0.1895</v>
      </c>
      <c r="U261" s="0" t="n">
        <v>-0.2551</v>
      </c>
      <c r="V261" s="0" t="n">
        <v>-0.2168</v>
      </c>
      <c r="W261" s="0" t="n">
        <v>-1.8648</v>
      </c>
      <c r="X261" s="0" t="n">
        <v>-0.4961</v>
      </c>
      <c r="Y261" s="0" t="n">
        <v>-0.7214</v>
      </c>
      <c r="Z261" s="0" t="n">
        <v>-0.1457</v>
      </c>
      <c r="AA261" s="0" t="n">
        <v>-2.2547</v>
      </c>
      <c r="AB261" s="0" t="n">
        <v>-1.3032</v>
      </c>
      <c r="AC261" s="0" t="n">
        <v>-0.4965</v>
      </c>
      <c r="AD261" s="0" t="n">
        <v>-1.8548</v>
      </c>
      <c r="AE261" s="0" t="n">
        <v>-1.3639</v>
      </c>
      <c r="AG261" s="9" t="n">
        <f aca="false">SUMPRODUCT(($B$2:$AE$2&lt;=Portafolio!$B$5)*EXP(LN(Portafolio!$B$7)+Portafolio!$B$6*B261:AE261))/1000</f>
        <v>2.32059140538591</v>
      </c>
    </row>
    <row r="262" customFormat="false" ht="15" hidden="false" customHeight="false" outlineLevel="0" collapsed="false">
      <c r="A262" s="0" t="n">
        <v>260</v>
      </c>
      <c r="B262" s="0" t="n">
        <v>1.4576</v>
      </c>
      <c r="C262" s="0" t="n">
        <v>-0.2415</v>
      </c>
      <c r="D262" s="0" t="n">
        <v>-0.513</v>
      </c>
      <c r="E262" s="0" t="n">
        <v>0.0385</v>
      </c>
      <c r="F262" s="0" t="n">
        <v>-1.0463</v>
      </c>
      <c r="G262" s="0" t="n">
        <v>0.0814</v>
      </c>
      <c r="H262" s="0" t="n">
        <v>-0.4938</v>
      </c>
      <c r="I262" s="0" t="n">
        <v>-1.0421</v>
      </c>
      <c r="J262" s="0" t="n">
        <v>0.0349</v>
      </c>
      <c r="K262" s="0" t="n">
        <v>0.6661</v>
      </c>
      <c r="L262" s="0" t="n">
        <v>-0.006</v>
      </c>
      <c r="M262" s="0" t="n">
        <v>-1.3009</v>
      </c>
      <c r="N262" s="0" t="n">
        <v>0.0811</v>
      </c>
      <c r="O262" s="0" t="n">
        <v>-0.6499</v>
      </c>
      <c r="P262" s="0" t="n">
        <v>-0.4689</v>
      </c>
      <c r="Q262" s="0" t="n">
        <v>0.1662</v>
      </c>
      <c r="R262" s="0" t="n">
        <v>0.4318</v>
      </c>
      <c r="S262" s="0" t="n">
        <v>0.8201</v>
      </c>
      <c r="T262" s="0" t="n">
        <v>-0.3815</v>
      </c>
      <c r="U262" s="0" t="n">
        <v>2.447</v>
      </c>
      <c r="V262" s="0" t="n">
        <v>0.945</v>
      </c>
      <c r="W262" s="0" t="n">
        <v>0.7384</v>
      </c>
      <c r="X262" s="0" t="n">
        <v>1.7382</v>
      </c>
      <c r="Y262" s="0" t="n">
        <v>1.1468</v>
      </c>
      <c r="Z262" s="0" t="n">
        <v>1.5687</v>
      </c>
      <c r="AA262" s="0" t="n">
        <v>1.1922</v>
      </c>
      <c r="AB262" s="0" t="n">
        <v>-0.3778</v>
      </c>
      <c r="AC262" s="0" t="n">
        <v>0.8629</v>
      </c>
      <c r="AD262" s="0" t="n">
        <v>1.1449</v>
      </c>
      <c r="AE262" s="0" t="n">
        <v>0.8114</v>
      </c>
      <c r="AG262" s="9" t="n">
        <f aca="false">SUMPRODUCT(($B$2:$AE$2&lt;=Portafolio!$B$5)*EXP(LN(Portafolio!$B$7)+Portafolio!$B$6*B262:AE262))/1000</f>
        <v>2.35057680001649</v>
      </c>
    </row>
    <row r="263" customFormat="false" ht="15" hidden="false" customHeight="false" outlineLevel="0" collapsed="false">
      <c r="A263" s="0" t="n">
        <v>261</v>
      </c>
      <c r="B263" s="0" t="n">
        <v>1.3351</v>
      </c>
      <c r="C263" s="0" t="n">
        <v>0.6505</v>
      </c>
      <c r="D263" s="0" t="n">
        <v>-0.7852</v>
      </c>
      <c r="E263" s="0" t="n">
        <v>-0.1646</v>
      </c>
      <c r="F263" s="0" t="n">
        <v>-0.9259</v>
      </c>
      <c r="G263" s="0" t="n">
        <v>-1.2694</v>
      </c>
      <c r="H263" s="0" t="n">
        <v>2.0276</v>
      </c>
      <c r="I263" s="0" t="n">
        <v>0.8804</v>
      </c>
      <c r="J263" s="0" t="n">
        <v>1.2689</v>
      </c>
      <c r="K263" s="0" t="n">
        <v>-1.2622</v>
      </c>
      <c r="L263" s="0" t="n">
        <v>0.8127</v>
      </c>
      <c r="M263" s="0" t="n">
        <v>-0.4244</v>
      </c>
      <c r="N263" s="0" t="n">
        <v>0.7326</v>
      </c>
      <c r="O263" s="0" t="n">
        <v>0.7699</v>
      </c>
      <c r="P263" s="0" t="n">
        <v>1.309</v>
      </c>
      <c r="Q263" s="0" t="n">
        <v>-0.7497</v>
      </c>
      <c r="R263" s="0" t="n">
        <v>1.29</v>
      </c>
      <c r="S263" s="0" t="n">
        <v>1.0555</v>
      </c>
      <c r="T263" s="0" t="n">
        <v>0.3961</v>
      </c>
      <c r="U263" s="0" t="n">
        <v>-1.0384</v>
      </c>
      <c r="V263" s="0" t="n">
        <v>-1.2055</v>
      </c>
      <c r="W263" s="0" t="n">
        <v>-1.6276</v>
      </c>
      <c r="X263" s="0" t="n">
        <v>-1.5655</v>
      </c>
      <c r="Y263" s="0" t="n">
        <v>0.8125</v>
      </c>
      <c r="Z263" s="0" t="n">
        <v>-1.5869</v>
      </c>
      <c r="AA263" s="0" t="n">
        <v>-0.7489</v>
      </c>
      <c r="AB263" s="0" t="n">
        <v>0.3247</v>
      </c>
      <c r="AC263" s="0" t="n">
        <v>-0.4626</v>
      </c>
      <c r="AD263" s="0" t="n">
        <v>0.5006</v>
      </c>
      <c r="AE263" s="0" t="n">
        <v>1.2312</v>
      </c>
      <c r="AG263" s="9" t="n">
        <f aca="false">SUMPRODUCT(($B$2:$AE$2&lt;=Portafolio!$B$5)*EXP(LN(Portafolio!$B$7)+Portafolio!$B$6*B263:AE263))/1000</f>
        <v>2.81884776661554</v>
      </c>
    </row>
    <row r="264" customFormat="false" ht="15" hidden="false" customHeight="false" outlineLevel="0" collapsed="false">
      <c r="A264" s="0" t="n">
        <v>262</v>
      </c>
      <c r="B264" s="0" t="n">
        <v>-0.4829</v>
      </c>
      <c r="C264" s="0" t="n">
        <v>0.6874</v>
      </c>
      <c r="D264" s="0" t="n">
        <v>1.0824</v>
      </c>
      <c r="E264" s="0" t="n">
        <v>0.0025</v>
      </c>
      <c r="F264" s="0" t="n">
        <v>1.0249</v>
      </c>
      <c r="G264" s="0" t="n">
        <v>-0.0137</v>
      </c>
      <c r="H264" s="0" t="n">
        <v>0.2095</v>
      </c>
      <c r="I264" s="0" t="n">
        <v>0.9424</v>
      </c>
      <c r="J264" s="0" t="n">
        <v>-0.1867</v>
      </c>
      <c r="K264" s="0" t="n">
        <v>-0.1362</v>
      </c>
      <c r="L264" s="0" t="n">
        <v>0.5875</v>
      </c>
      <c r="M264" s="0" t="n">
        <v>1.0695</v>
      </c>
      <c r="N264" s="0" t="n">
        <v>-1.0139</v>
      </c>
      <c r="O264" s="0" t="n">
        <v>1.1605</v>
      </c>
      <c r="P264" s="0" t="n">
        <v>0.2471</v>
      </c>
      <c r="Q264" s="0" t="n">
        <v>0.2616</v>
      </c>
      <c r="R264" s="0" t="n">
        <v>1.4204</v>
      </c>
      <c r="S264" s="0" t="n">
        <v>-0.8725</v>
      </c>
      <c r="T264" s="0" t="n">
        <v>-0.8427</v>
      </c>
      <c r="U264" s="0" t="n">
        <v>-1.0664</v>
      </c>
      <c r="V264" s="0" t="n">
        <v>0.2013</v>
      </c>
      <c r="W264" s="0" t="n">
        <v>0.5311</v>
      </c>
      <c r="X264" s="0" t="n">
        <v>-1.4267</v>
      </c>
      <c r="Y264" s="0" t="n">
        <v>0.5147</v>
      </c>
      <c r="Z264" s="0" t="n">
        <v>-1.1458</v>
      </c>
      <c r="AA264" s="0" t="n">
        <v>0.2741</v>
      </c>
      <c r="AB264" s="0" t="n">
        <v>2.1373</v>
      </c>
      <c r="AC264" s="0" t="n">
        <v>1.1671</v>
      </c>
      <c r="AD264" s="0" t="n">
        <v>0.0669</v>
      </c>
      <c r="AE264" s="0" t="n">
        <v>0.9904</v>
      </c>
      <c r="AG264" s="9" t="n">
        <f aca="false">SUMPRODUCT(($B$2:$AE$2&lt;=Portafolio!$B$5)*EXP(LN(Portafolio!$B$7)+Portafolio!$B$6*B264:AE264))/1000</f>
        <v>2.49965111932298</v>
      </c>
    </row>
    <row r="265" customFormat="false" ht="15" hidden="false" customHeight="false" outlineLevel="0" collapsed="false">
      <c r="A265" s="0" t="n">
        <v>263</v>
      </c>
      <c r="B265" s="0" t="n">
        <v>0.8224</v>
      </c>
      <c r="C265" s="0" t="n">
        <v>-2.2769</v>
      </c>
      <c r="D265" s="0" t="n">
        <v>-0.7387</v>
      </c>
      <c r="E265" s="0" t="n">
        <v>0.8082</v>
      </c>
      <c r="F265" s="0" t="n">
        <v>0.617</v>
      </c>
      <c r="G265" s="0" t="n">
        <v>-0.9796</v>
      </c>
      <c r="H265" s="0" t="n">
        <v>0.5135</v>
      </c>
      <c r="I265" s="0" t="n">
        <v>0.4745</v>
      </c>
      <c r="J265" s="0" t="n">
        <v>-0.0404</v>
      </c>
      <c r="K265" s="0" t="n">
        <v>0.0654</v>
      </c>
      <c r="L265" s="0" t="n">
        <v>1.9522</v>
      </c>
      <c r="M265" s="0" t="n">
        <v>0.8214</v>
      </c>
      <c r="N265" s="0" t="n">
        <v>0.944</v>
      </c>
      <c r="O265" s="0" t="n">
        <v>-1.6234</v>
      </c>
      <c r="P265" s="0" t="n">
        <v>-0.3058</v>
      </c>
      <c r="Q265" s="0" t="n">
        <v>0.8737</v>
      </c>
      <c r="R265" s="0" t="n">
        <v>0.3031</v>
      </c>
      <c r="S265" s="0" t="n">
        <v>-0.1236</v>
      </c>
      <c r="T265" s="0" t="n">
        <v>-0.8674</v>
      </c>
      <c r="U265" s="0" t="n">
        <v>0.3889</v>
      </c>
      <c r="V265" s="0" t="n">
        <v>-0.0614</v>
      </c>
      <c r="W265" s="0" t="n">
        <v>-1.5193</v>
      </c>
      <c r="X265" s="0" t="n">
        <v>2.6028</v>
      </c>
      <c r="Y265" s="0" t="n">
        <v>-0.0969</v>
      </c>
      <c r="Z265" s="0" t="n">
        <v>-1.749</v>
      </c>
      <c r="AA265" s="0" t="n">
        <v>-1.3905</v>
      </c>
      <c r="AB265" s="0" t="n">
        <v>-0.5552</v>
      </c>
      <c r="AC265" s="0" t="n">
        <v>-0.3922</v>
      </c>
      <c r="AD265" s="0" t="n">
        <v>-0.7897</v>
      </c>
      <c r="AE265" s="0" t="n">
        <v>-0.0414</v>
      </c>
      <c r="AG265" s="9" t="n">
        <f aca="false">SUMPRODUCT(($B$2:$AE$2&lt;=Portafolio!$B$5)*EXP(LN(Portafolio!$B$7)+Portafolio!$B$6*B265:AE265))/1000</f>
        <v>2.43781309918196</v>
      </c>
    </row>
    <row r="266" customFormat="false" ht="15" hidden="false" customHeight="false" outlineLevel="0" collapsed="false">
      <c r="A266" s="0" t="n">
        <v>264</v>
      </c>
      <c r="B266" s="0" t="n">
        <v>1.5143</v>
      </c>
      <c r="C266" s="0" t="n">
        <v>-0.97</v>
      </c>
      <c r="D266" s="0" t="n">
        <v>1.1589</v>
      </c>
      <c r="E266" s="0" t="n">
        <v>0.867</v>
      </c>
      <c r="F266" s="0" t="n">
        <v>-1.0602</v>
      </c>
      <c r="G266" s="0" t="n">
        <v>-1.3509</v>
      </c>
      <c r="H266" s="0" t="n">
        <v>0.802</v>
      </c>
      <c r="I266" s="0" t="n">
        <v>1.05</v>
      </c>
      <c r="J266" s="0" t="n">
        <v>0.8159</v>
      </c>
      <c r="K266" s="0" t="n">
        <v>0.6681</v>
      </c>
      <c r="L266" s="0" t="n">
        <v>-0.6041</v>
      </c>
      <c r="M266" s="0" t="n">
        <v>0.7171</v>
      </c>
      <c r="N266" s="0" t="n">
        <v>-1.0088</v>
      </c>
      <c r="O266" s="0" t="n">
        <v>0.6542</v>
      </c>
      <c r="P266" s="0" t="n">
        <v>0.9384</v>
      </c>
      <c r="Q266" s="0" t="n">
        <v>0.7864</v>
      </c>
      <c r="R266" s="0" t="n">
        <v>1.3837</v>
      </c>
      <c r="S266" s="0" t="n">
        <v>0.7058</v>
      </c>
      <c r="T266" s="0" t="n">
        <v>1.1215</v>
      </c>
      <c r="U266" s="0" t="n">
        <v>0.2578</v>
      </c>
      <c r="V266" s="0" t="n">
        <v>1.7445</v>
      </c>
      <c r="W266" s="0" t="n">
        <v>0.04</v>
      </c>
      <c r="X266" s="0" t="n">
        <v>1.5471</v>
      </c>
      <c r="Y266" s="0" t="n">
        <v>-0.5832</v>
      </c>
      <c r="Z266" s="0" t="n">
        <v>-1.0716</v>
      </c>
      <c r="AA266" s="0" t="n">
        <v>0.3059</v>
      </c>
      <c r="AB266" s="0" t="n">
        <v>0.0133</v>
      </c>
      <c r="AC266" s="0" t="n">
        <v>-0.3993</v>
      </c>
      <c r="AD266" s="0" t="n">
        <v>-0.7033</v>
      </c>
      <c r="AE266" s="0" t="n">
        <v>0.9028</v>
      </c>
      <c r="AG266" s="9" t="n">
        <f aca="false">SUMPRODUCT(($B$2:$AE$2&lt;=Portafolio!$B$5)*EXP(LN(Portafolio!$B$7)+Portafolio!$B$6*B266:AE266))/1000</f>
        <v>2.88880706231139</v>
      </c>
    </row>
    <row r="267" customFormat="false" ht="15" hidden="false" customHeight="false" outlineLevel="0" collapsed="false">
      <c r="A267" s="0" t="n">
        <v>265</v>
      </c>
      <c r="B267" s="0" t="n">
        <v>0.5149</v>
      </c>
      <c r="C267" s="0" t="n">
        <v>0.98</v>
      </c>
      <c r="D267" s="0" t="n">
        <v>-0.3244</v>
      </c>
      <c r="E267" s="0" t="n">
        <v>0.4409</v>
      </c>
      <c r="F267" s="0" t="n">
        <v>-0.908</v>
      </c>
      <c r="G267" s="0" t="n">
        <v>-0.5665</v>
      </c>
      <c r="H267" s="0" t="n">
        <v>0.8714</v>
      </c>
      <c r="I267" s="0" t="n">
        <v>0.8781</v>
      </c>
      <c r="J267" s="0" t="n">
        <v>0.1966</v>
      </c>
      <c r="K267" s="0" t="n">
        <v>1.2819</v>
      </c>
      <c r="L267" s="0" t="n">
        <v>-0.6682</v>
      </c>
      <c r="M267" s="0" t="n">
        <v>1.4443</v>
      </c>
      <c r="N267" s="0" t="n">
        <v>-0.0599</v>
      </c>
      <c r="O267" s="0" t="n">
        <v>-0.0425</v>
      </c>
      <c r="P267" s="0" t="n">
        <v>-0.8687</v>
      </c>
      <c r="Q267" s="0" t="n">
        <v>1.4449</v>
      </c>
      <c r="R267" s="0" t="n">
        <v>-0.8926</v>
      </c>
      <c r="S267" s="0" t="n">
        <v>1.4655</v>
      </c>
      <c r="T267" s="0" t="n">
        <v>1.4737</v>
      </c>
      <c r="U267" s="0" t="n">
        <v>-1.7397</v>
      </c>
      <c r="V267" s="0" t="n">
        <v>0.0111</v>
      </c>
      <c r="W267" s="0" t="n">
        <v>-1.0537</v>
      </c>
      <c r="X267" s="0" t="n">
        <v>-0.4211</v>
      </c>
      <c r="Y267" s="0" t="n">
        <v>0.0534</v>
      </c>
      <c r="Z267" s="0" t="n">
        <v>-0.2137</v>
      </c>
      <c r="AA267" s="0" t="n">
        <v>0.7495</v>
      </c>
      <c r="AB267" s="0" t="n">
        <v>0.5192</v>
      </c>
      <c r="AC267" s="0" t="n">
        <v>-1.6745</v>
      </c>
      <c r="AD267" s="0" t="n">
        <v>-1.1583</v>
      </c>
      <c r="AE267" s="0" t="n">
        <v>-1.2414</v>
      </c>
      <c r="AG267" s="9" t="n">
        <f aca="false">SUMPRODUCT(($B$2:$AE$2&lt;=Portafolio!$B$5)*EXP(LN(Portafolio!$B$7)+Portafolio!$B$6*B267:AE267))/1000</f>
        <v>2.69728084388462</v>
      </c>
    </row>
    <row r="268" customFormat="false" ht="15" hidden="false" customHeight="false" outlineLevel="0" collapsed="false">
      <c r="A268" s="0" t="n">
        <v>266</v>
      </c>
      <c r="B268" s="0" t="n">
        <v>-1.2943</v>
      </c>
      <c r="C268" s="0" t="n">
        <v>0.6058</v>
      </c>
      <c r="D268" s="0" t="n">
        <v>-0.1041</v>
      </c>
      <c r="E268" s="0" t="n">
        <v>0.1318</v>
      </c>
      <c r="F268" s="0" t="n">
        <v>-2.0274</v>
      </c>
      <c r="G268" s="0" t="n">
        <v>-0.2933</v>
      </c>
      <c r="H268" s="0" t="n">
        <v>-2.1579</v>
      </c>
      <c r="I268" s="0" t="n">
        <v>0.0342</v>
      </c>
      <c r="J268" s="0" t="n">
        <v>-0.579</v>
      </c>
      <c r="K268" s="0" t="n">
        <v>0.5004</v>
      </c>
      <c r="L268" s="0" t="n">
        <v>0.5734</v>
      </c>
      <c r="M268" s="0" t="n">
        <v>0.8919</v>
      </c>
      <c r="N268" s="0" t="n">
        <v>-0.1771</v>
      </c>
      <c r="O268" s="0" t="n">
        <v>0.4492</v>
      </c>
      <c r="P268" s="0" t="n">
        <v>-0.9507</v>
      </c>
      <c r="Q268" s="0" t="n">
        <v>2.2839</v>
      </c>
      <c r="R268" s="0" t="n">
        <v>0.1977</v>
      </c>
      <c r="S268" s="0" t="n">
        <v>-1.026</v>
      </c>
      <c r="T268" s="0" t="n">
        <v>0.1117</v>
      </c>
      <c r="U268" s="0" t="n">
        <v>1.1662</v>
      </c>
      <c r="V268" s="0" t="n">
        <v>-0.6919</v>
      </c>
      <c r="W268" s="0" t="n">
        <v>1.205</v>
      </c>
      <c r="X268" s="0" t="n">
        <v>-0.2673</v>
      </c>
      <c r="Y268" s="0" t="n">
        <v>1.3689</v>
      </c>
      <c r="Z268" s="0" t="n">
        <v>0.0857</v>
      </c>
      <c r="AA268" s="0" t="n">
        <v>-0.8065</v>
      </c>
      <c r="AB268" s="0" t="n">
        <v>0.2309</v>
      </c>
      <c r="AC268" s="0" t="n">
        <v>1.2733</v>
      </c>
      <c r="AD268" s="0" t="n">
        <v>-1.8517</v>
      </c>
      <c r="AE268" s="0" t="n">
        <v>-0.9137</v>
      </c>
      <c r="AG268" s="9" t="n">
        <f aca="false">SUMPRODUCT(($B$2:$AE$2&lt;=Portafolio!$B$5)*EXP(LN(Portafolio!$B$7)+Portafolio!$B$6*B268:AE268))/1000</f>
        <v>2.29839587413965</v>
      </c>
    </row>
    <row r="269" customFormat="false" ht="15" hidden="false" customHeight="false" outlineLevel="0" collapsed="false">
      <c r="A269" s="0" t="n">
        <v>267</v>
      </c>
      <c r="B269" s="0" t="n">
        <v>0.4274</v>
      </c>
      <c r="C269" s="0" t="n">
        <v>-1.0275</v>
      </c>
      <c r="D269" s="0" t="n">
        <v>-1.7593</v>
      </c>
      <c r="E269" s="0" t="n">
        <v>0.0677</v>
      </c>
      <c r="F269" s="0" t="n">
        <v>-0.4516</v>
      </c>
      <c r="G269" s="0" t="n">
        <v>-0.2313</v>
      </c>
      <c r="H269" s="0" t="n">
        <v>-0.3649</v>
      </c>
      <c r="I269" s="0" t="n">
        <v>0.3356</v>
      </c>
      <c r="J269" s="0" t="n">
        <v>-0.8377</v>
      </c>
      <c r="K269" s="0" t="n">
        <v>-1.5261</v>
      </c>
      <c r="L269" s="0" t="n">
        <v>-0.2203</v>
      </c>
      <c r="M269" s="0" t="n">
        <v>-0.2526</v>
      </c>
      <c r="N269" s="0" t="n">
        <v>-0.1554</v>
      </c>
      <c r="O269" s="0" t="n">
        <v>0.1054</v>
      </c>
      <c r="P269" s="0" t="n">
        <v>-0.6807</v>
      </c>
      <c r="Q269" s="0" t="n">
        <v>-1.5267</v>
      </c>
      <c r="R269" s="0" t="n">
        <v>0.4829</v>
      </c>
      <c r="S269" s="0" t="n">
        <v>1.5104</v>
      </c>
      <c r="T269" s="0" t="n">
        <v>0.5325</v>
      </c>
      <c r="U269" s="0" t="n">
        <v>0.171</v>
      </c>
      <c r="V269" s="0" t="n">
        <v>0.6254</v>
      </c>
      <c r="W269" s="0" t="n">
        <v>-0.3106</v>
      </c>
      <c r="X269" s="0" t="n">
        <v>-1.3866</v>
      </c>
      <c r="Y269" s="0" t="n">
        <v>-1.8779</v>
      </c>
      <c r="Z269" s="0" t="n">
        <v>0.1143</v>
      </c>
      <c r="AA269" s="0" t="n">
        <v>-1.0969</v>
      </c>
      <c r="AB269" s="0" t="n">
        <v>-0.9133</v>
      </c>
      <c r="AC269" s="0" t="n">
        <v>0.4406</v>
      </c>
      <c r="AD269" s="0" t="n">
        <v>0.9874</v>
      </c>
      <c r="AE269" s="0" t="n">
        <v>1.4488</v>
      </c>
      <c r="AG269" s="9" t="n">
        <f aca="false">SUMPRODUCT(($B$2:$AE$2&lt;=Portafolio!$B$5)*EXP(LN(Portafolio!$B$7)+Portafolio!$B$6*B269:AE269))/1000</f>
        <v>1.89584774076415</v>
      </c>
    </row>
    <row r="270" customFormat="false" ht="15" hidden="false" customHeight="false" outlineLevel="0" collapsed="false">
      <c r="A270" s="0" t="n">
        <v>268</v>
      </c>
      <c r="B270" s="0" t="n">
        <v>-1.6849</v>
      </c>
      <c r="C270" s="0" t="n">
        <v>-0.2149</v>
      </c>
      <c r="D270" s="0" t="n">
        <v>-0.7276</v>
      </c>
      <c r="E270" s="0" t="n">
        <v>0.0949</v>
      </c>
      <c r="F270" s="0" t="n">
        <v>-0.0261</v>
      </c>
      <c r="G270" s="0" t="n">
        <v>0.5014</v>
      </c>
      <c r="H270" s="0" t="n">
        <v>-0.2252</v>
      </c>
      <c r="I270" s="0" t="n">
        <v>-1.1568</v>
      </c>
      <c r="J270" s="0" t="n">
        <v>-2.049</v>
      </c>
      <c r="K270" s="0" t="n">
        <v>1.7991</v>
      </c>
      <c r="L270" s="0" t="n">
        <v>-0.6178</v>
      </c>
      <c r="M270" s="0" t="n">
        <v>0.7048</v>
      </c>
      <c r="N270" s="0" t="n">
        <v>0.1387</v>
      </c>
      <c r="O270" s="0" t="n">
        <v>0.7949</v>
      </c>
      <c r="P270" s="0" t="n">
        <v>0.0126</v>
      </c>
      <c r="Q270" s="0" t="n">
        <v>1.1966</v>
      </c>
      <c r="R270" s="0" t="n">
        <v>-0.986</v>
      </c>
      <c r="S270" s="0" t="n">
        <v>0.5447</v>
      </c>
      <c r="T270" s="0" t="n">
        <v>0.4756</v>
      </c>
      <c r="U270" s="0" t="n">
        <v>-0.7987</v>
      </c>
      <c r="V270" s="0" t="n">
        <v>-0.9369</v>
      </c>
      <c r="W270" s="0" t="n">
        <v>-0.7445</v>
      </c>
      <c r="X270" s="0" t="n">
        <v>1.2741</v>
      </c>
      <c r="Y270" s="0" t="n">
        <v>-0.4363</v>
      </c>
      <c r="Z270" s="0" t="n">
        <v>0.8583</v>
      </c>
      <c r="AA270" s="0" t="n">
        <v>-0.3988</v>
      </c>
      <c r="AB270" s="0" t="n">
        <v>0.2381</v>
      </c>
      <c r="AC270" s="0" t="n">
        <v>0.6394</v>
      </c>
      <c r="AD270" s="0" t="n">
        <v>0.2069</v>
      </c>
      <c r="AE270" s="0" t="n">
        <v>-0.4467</v>
      </c>
      <c r="AG270" s="9" t="n">
        <f aca="false">SUMPRODUCT(($B$2:$AE$2&lt;=Portafolio!$B$5)*EXP(LN(Portafolio!$B$7)+Portafolio!$B$6*B270:AE270))/1000</f>
        <v>2.17537780330692</v>
      </c>
    </row>
    <row r="271" customFormat="false" ht="15" hidden="false" customHeight="false" outlineLevel="0" collapsed="false">
      <c r="A271" s="0" t="n">
        <v>269</v>
      </c>
      <c r="B271" s="0" t="n">
        <v>-0.4883</v>
      </c>
      <c r="C271" s="0" t="n">
        <v>1.8783</v>
      </c>
      <c r="D271" s="0" t="n">
        <v>1.4397</v>
      </c>
      <c r="E271" s="0" t="n">
        <v>0.5977</v>
      </c>
      <c r="F271" s="0" t="n">
        <v>-0.5555</v>
      </c>
      <c r="G271" s="0" t="n">
        <v>0.4424</v>
      </c>
      <c r="H271" s="0" t="n">
        <v>1.8676</v>
      </c>
      <c r="I271" s="0" t="n">
        <v>-0.661</v>
      </c>
      <c r="J271" s="0" t="n">
        <v>0.1234</v>
      </c>
      <c r="K271" s="0" t="n">
        <v>0.518</v>
      </c>
      <c r="L271" s="0" t="n">
        <v>-0.3672</v>
      </c>
      <c r="M271" s="0" t="n">
        <v>-0.1319</v>
      </c>
      <c r="N271" s="0" t="n">
        <v>0.8398</v>
      </c>
      <c r="O271" s="0" t="n">
        <v>-0.2974</v>
      </c>
      <c r="P271" s="0" t="n">
        <v>-0.1361</v>
      </c>
      <c r="Q271" s="0" t="n">
        <v>0.3086</v>
      </c>
      <c r="R271" s="0" t="n">
        <v>-1.2796</v>
      </c>
      <c r="S271" s="0" t="n">
        <v>0.0941</v>
      </c>
      <c r="T271" s="0" t="n">
        <v>1.0849</v>
      </c>
      <c r="U271" s="0" t="n">
        <v>1.1109</v>
      </c>
      <c r="V271" s="0" t="n">
        <v>-1.8477</v>
      </c>
      <c r="W271" s="0" t="n">
        <v>-0.1562</v>
      </c>
      <c r="X271" s="0" t="n">
        <v>1.771</v>
      </c>
      <c r="Y271" s="0" t="n">
        <v>-0.979</v>
      </c>
      <c r="Z271" s="0" t="n">
        <v>-0.8562</v>
      </c>
      <c r="AA271" s="0" t="n">
        <v>0.3459</v>
      </c>
      <c r="AB271" s="0" t="n">
        <v>-0.6654</v>
      </c>
      <c r="AC271" s="0" t="n">
        <v>-0.7767</v>
      </c>
      <c r="AD271" s="0" t="n">
        <v>-0.7234</v>
      </c>
      <c r="AE271" s="0" t="n">
        <v>0.2098</v>
      </c>
      <c r="AG271" s="9" t="n">
        <f aca="false">SUMPRODUCT(($B$2:$AE$2&lt;=Portafolio!$B$5)*EXP(LN(Portafolio!$B$7)+Portafolio!$B$6*B271:AE271))/1000</f>
        <v>2.75668558882381</v>
      </c>
    </row>
    <row r="272" customFormat="false" ht="15" hidden="false" customHeight="false" outlineLevel="0" collapsed="false">
      <c r="A272" s="0" t="n">
        <v>270</v>
      </c>
      <c r="B272" s="0" t="n">
        <v>0.2762</v>
      </c>
      <c r="C272" s="0" t="n">
        <v>0.3749</v>
      </c>
      <c r="D272" s="0" t="n">
        <v>-1.4685</v>
      </c>
      <c r="E272" s="0" t="n">
        <v>-1.6457</v>
      </c>
      <c r="F272" s="0" t="n">
        <v>0.7821</v>
      </c>
      <c r="G272" s="0" t="n">
        <v>-0.0884</v>
      </c>
      <c r="H272" s="0" t="n">
        <v>0.1184</v>
      </c>
      <c r="I272" s="0" t="n">
        <v>0.4073</v>
      </c>
      <c r="J272" s="0" t="n">
        <v>1.466</v>
      </c>
      <c r="K272" s="0" t="n">
        <v>1.1357</v>
      </c>
      <c r="L272" s="0" t="n">
        <v>-0.5445</v>
      </c>
      <c r="M272" s="0" t="n">
        <v>0.7891</v>
      </c>
      <c r="N272" s="0" t="n">
        <v>0.5188</v>
      </c>
      <c r="O272" s="0" t="n">
        <v>1.4641</v>
      </c>
      <c r="P272" s="0" t="n">
        <v>0.8936</v>
      </c>
      <c r="Q272" s="0" t="n">
        <v>2.31</v>
      </c>
      <c r="R272" s="0" t="n">
        <v>2.2629</v>
      </c>
      <c r="S272" s="0" t="n">
        <v>0.3347</v>
      </c>
      <c r="T272" s="0" t="n">
        <v>-0.9134</v>
      </c>
      <c r="U272" s="0" t="n">
        <v>0.5811</v>
      </c>
      <c r="V272" s="0" t="n">
        <v>-0.7369</v>
      </c>
      <c r="W272" s="0" t="n">
        <v>-0.0057</v>
      </c>
      <c r="X272" s="0" t="n">
        <v>1.046</v>
      </c>
      <c r="Y272" s="0" t="n">
        <v>-0.6072</v>
      </c>
      <c r="Z272" s="0" t="n">
        <v>-1.9484</v>
      </c>
      <c r="AA272" s="0" t="n">
        <v>-0.5609</v>
      </c>
      <c r="AB272" s="0" t="n">
        <v>-1.0139</v>
      </c>
      <c r="AC272" s="0" t="n">
        <v>-1.6182</v>
      </c>
      <c r="AD272" s="0" t="n">
        <v>0.6195</v>
      </c>
      <c r="AE272" s="0" t="n">
        <v>0.5725</v>
      </c>
      <c r="AG272" s="9" t="n">
        <f aca="false">SUMPRODUCT(($B$2:$AE$2&lt;=Portafolio!$B$5)*EXP(LN(Portafolio!$B$7)+Portafolio!$B$6*B272:AE272))/1000</f>
        <v>3.14160835459458</v>
      </c>
    </row>
    <row r="273" customFormat="false" ht="15" hidden="false" customHeight="false" outlineLevel="0" collapsed="false">
      <c r="A273" s="0" t="n">
        <v>271</v>
      </c>
      <c r="B273" s="0" t="n">
        <v>0.2803</v>
      </c>
      <c r="C273" s="0" t="n">
        <v>1.1647</v>
      </c>
      <c r="D273" s="0" t="n">
        <v>-0.1567</v>
      </c>
      <c r="E273" s="0" t="n">
        <v>2.1283</v>
      </c>
      <c r="F273" s="0" t="n">
        <v>0.2512</v>
      </c>
      <c r="G273" s="0" t="n">
        <v>0.9602</v>
      </c>
      <c r="H273" s="0" t="n">
        <v>-0.7226</v>
      </c>
      <c r="I273" s="0" t="n">
        <v>0.4923</v>
      </c>
      <c r="J273" s="0" t="n">
        <v>-0.2958</v>
      </c>
      <c r="K273" s="0" t="n">
        <v>-1.1268</v>
      </c>
      <c r="L273" s="0" t="n">
        <v>0.2656</v>
      </c>
      <c r="M273" s="0" t="n">
        <v>-0.8932</v>
      </c>
      <c r="N273" s="0" t="n">
        <v>0.9781</v>
      </c>
      <c r="O273" s="0" t="n">
        <v>-1.6239</v>
      </c>
      <c r="P273" s="0" t="n">
        <v>-1.9289</v>
      </c>
      <c r="Q273" s="0" t="n">
        <v>1.3454</v>
      </c>
      <c r="R273" s="0" t="n">
        <v>0.6408</v>
      </c>
      <c r="S273" s="0" t="n">
        <v>-0.3131</v>
      </c>
      <c r="T273" s="0" t="n">
        <v>-1.9212</v>
      </c>
      <c r="U273" s="0" t="n">
        <v>-0.6379</v>
      </c>
      <c r="V273" s="0" t="n">
        <v>0.2677</v>
      </c>
      <c r="W273" s="0" t="n">
        <v>1.9942</v>
      </c>
      <c r="X273" s="0" t="n">
        <v>-0.6083</v>
      </c>
      <c r="Y273" s="0" t="n">
        <v>1.7513</v>
      </c>
      <c r="Z273" s="0" t="n">
        <v>-1.7235</v>
      </c>
      <c r="AA273" s="0" t="n">
        <v>1.6734</v>
      </c>
      <c r="AB273" s="0" t="n">
        <v>0.6998</v>
      </c>
      <c r="AC273" s="0" t="n">
        <v>-0.6818</v>
      </c>
      <c r="AD273" s="0" t="n">
        <v>1.385</v>
      </c>
      <c r="AE273" s="0" t="n">
        <v>0.1094</v>
      </c>
      <c r="AG273" s="9" t="n">
        <f aca="false">SUMPRODUCT(($B$2:$AE$2&lt;=Portafolio!$B$5)*EXP(LN(Portafolio!$B$7)+Portafolio!$B$6*B273:AE273))/1000</f>
        <v>2.37552445126965</v>
      </c>
    </row>
    <row r="274" customFormat="false" ht="15" hidden="false" customHeight="false" outlineLevel="0" collapsed="false">
      <c r="A274" s="0" t="n">
        <v>272</v>
      </c>
      <c r="B274" s="0" t="n">
        <v>-0.7655</v>
      </c>
      <c r="C274" s="0" t="n">
        <v>-0.3401</v>
      </c>
      <c r="D274" s="0" t="n">
        <v>0.8991</v>
      </c>
      <c r="E274" s="0" t="n">
        <v>-0.5254</v>
      </c>
      <c r="F274" s="0" t="n">
        <v>-0.7022</v>
      </c>
      <c r="G274" s="0" t="n">
        <v>-0.1292</v>
      </c>
      <c r="H274" s="0" t="n">
        <v>-0.1467</v>
      </c>
      <c r="I274" s="0" t="n">
        <v>-1.2295</v>
      </c>
      <c r="J274" s="0" t="n">
        <v>1.4406</v>
      </c>
      <c r="K274" s="0" t="n">
        <v>1.8811</v>
      </c>
      <c r="L274" s="0" t="n">
        <v>-0.0939</v>
      </c>
      <c r="M274" s="0" t="n">
        <v>0.534</v>
      </c>
      <c r="N274" s="0" t="n">
        <v>-0.178</v>
      </c>
      <c r="O274" s="0" t="n">
        <v>-1.0285</v>
      </c>
      <c r="P274" s="0" t="n">
        <v>0.3595</v>
      </c>
      <c r="Q274" s="0" t="n">
        <v>-0.9897</v>
      </c>
      <c r="R274" s="0" t="n">
        <v>-1.5021</v>
      </c>
      <c r="S274" s="0" t="n">
        <v>-0.5322</v>
      </c>
      <c r="T274" s="0" t="n">
        <v>0.4208</v>
      </c>
      <c r="U274" s="0" t="n">
        <v>-0.4252</v>
      </c>
      <c r="V274" s="0" t="n">
        <v>0.872</v>
      </c>
      <c r="W274" s="0" t="n">
        <v>0.7407</v>
      </c>
      <c r="X274" s="0" t="n">
        <v>1.014</v>
      </c>
      <c r="Y274" s="0" t="n">
        <v>1.4624</v>
      </c>
      <c r="Z274" s="0" t="n">
        <v>-0.5074</v>
      </c>
      <c r="AA274" s="0" t="n">
        <v>0.7898</v>
      </c>
      <c r="AB274" s="0" t="n">
        <v>0.6869</v>
      </c>
      <c r="AC274" s="0" t="n">
        <v>0.4088</v>
      </c>
      <c r="AD274" s="0" t="n">
        <v>-0.5101</v>
      </c>
      <c r="AE274" s="0" t="n">
        <v>0.5971</v>
      </c>
      <c r="AG274" s="9" t="n">
        <f aca="false">SUMPRODUCT(($B$2:$AE$2&lt;=Portafolio!$B$5)*EXP(LN(Portafolio!$B$7)+Portafolio!$B$6*B274:AE274))/1000</f>
        <v>2.10811651571923</v>
      </c>
    </row>
    <row r="275" customFormat="false" ht="15" hidden="false" customHeight="false" outlineLevel="0" collapsed="false">
      <c r="A275" s="0" t="n">
        <v>273</v>
      </c>
      <c r="B275" s="0" t="n">
        <v>0.1964</v>
      </c>
      <c r="C275" s="0" t="n">
        <v>0.7897</v>
      </c>
      <c r="D275" s="0" t="n">
        <v>-0.0833</v>
      </c>
      <c r="E275" s="0" t="n">
        <v>-0.5046</v>
      </c>
      <c r="F275" s="0" t="n">
        <v>-1.4462</v>
      </c>
      <c r="G275" s="0" t="n">
        <v>-0.0445</v>
      </c>
      <c r="H275" s="0" t="n">
        <v>1.8313</v>
      </c>
      <c r="I275" s="0" t="n">
        <v>0.253</v>
      </c>
      <c r="J275" s="0" t="n">
        <v>0.0355</v>
      </c>
      <c r="K275" s="0" t="n">
        <v>-0.7485</v>
      </c>
      <c r="L275" s="0" t="n">
        <v>0.3628</v>
      </c>
      <c r="M275" s="0" t="n">
        <v>0.1396</v>
      </c>
      <c r="N275" s="0" t="n">
        <v>0.2059</v>
      </c>
      <c r="O275" s="0" t="n">
        <v>-0.2084</v>
      </c>
      <c r="P275" s="0" t="n">
        <v>-1.0347</v>
      </c>
      <c r="Q275" s="0" t="n">
        <v>-0.8321</v>
      </c>
      <c r="R275" s="0" t="n">
        <v>-0.5956</v>
      </c>
      <c r="S275" s="0" t="n">
        <v>-0.9149</v>
      </c>
      <c r="T275" s="0" t="n">
        <v>-1.0639</v>
      </c>
      <c r="U275" s="0" t="n">
        <v>0.3389</v>
      </c>
      <c r="V275" s="0" t="n">
        <v>0.0203</v>
      </c>
      <c r="W275" s="0" t="n">
        <v>-0.4605</v>
      </c>
      <c r="X275" s="0" t="n">
        <v>-0.1366</v>
      </c>
      <c r="Y275" s="0" t="n">
        <v>1.1587</v>
      </c>
      <c r="Z275" s="0" t="n">
        <v>-1.1869</v>
      </c>
      <c r="AA275" s="0" t="n">
        <v>0.6954</v>
      </c>
      <c r="AB275" s="0" t="n">
        <v>-2.0487</v>
      </c>
      <c r="AC275" s="0" t="n">
        <v>1.6372</v>
      </c>
      <c r="AD275" s="0" t="n">
        <v>0.5042</v>
      </c>
      <c r="AE275" s="0" t="n">
        <v>2.1974</v>
      </c>
      <c r="AG275" s="9" t="n">
        <f aca="false">SUMPRODUCT(($B$2:$AE$2&lt;=Portafolio!$B$5)*EXP(LN(Portafolio!$B$7)+Portafolio!$B$6*B275:AE275))/1000</f>
        <v>2.01586662162317</v>
      </c>
    </row>
    <row r="276" customFormat="false" ht="15" hidden="false" customHeight="false" outlineLevel="0" collapsed="false">
      <c r="A276" s="0" t="n">
        <v>274</v>
      </c>
      <c r="B276" s="0" t="n">
        <v>1.822</v>
      </c>
      <c r="C276" s="0" t="n">
        <v>0.193</v>
      </c>
      <c r="D276" s="0" t="n">
        <v>0.6599</v>
      </c>
      <c r="E276" s="0" t="n">
        <v>0.4949</v>
      </c>
      <c r="F276" s="0" t="n">
        <v>-1.9531</v>
      </c>
      <c r="G276" s="0" t="n">
        <v>0.9988</v>
      </c>
      <c r="H276" s="0" t="n">
        <v>0.8038</v>
      </c>
      <c r="I276" s="0" t="n">
        <v>0.8819</v>
      </c>
      <c r="J276" s="0" t="n">
        <v>0.2932</v>
      </c>
      <c r="K276" s="0" t="n">
        <v>-1.1195</v>
      </c>
      <c r="L276" s="0" t="n">
        <v>-0.6511</v>
      </c>
      <c r="M276" s="0" t="n">
        <v>-3.71</v>
      </c>
      <c r="N276" s="0" t="n">
        <v>0.2463</v>
      </c>
      <c r="O276" s="0" t="n">
        <v>-0.7177</v>
      </c>
      <c r="P276" s="0" t="n">
        <v>-0.5759</v>
      </c>
      <c r="Q276" s="0" t="n">
        <v>1.1226</v>
      </c>
      <c r="R276" s="0" t="n">
        <v>0.0059</v>
      </c>
      <c r="S276" s="0" t="n">
        <v>-2.8098</v>
      </c>
      <c r="T276" s="0" t="n">
        <v>1.0033</v>
      </c>
      <c r="U276" s="0" t="n">
        <v>-1.4236</v>
      </c>
      <c r="V276" s="0" t="n">
        <v>-1.2172</v>
      </c>
      <c r="W276" s="0" t="n">
        <v>-1.0025</v>
      </c>
      <c r="X276" s="0" t="n">
        <v>1.24</v>
      </c>
      <c r="Y276" s="0" t="n">
        <v>-1.2971</v>
      </c>
      <c r="Z276" s="0" t="n">
        <v>0.3386</v>
      </c>
      <c r="AA276" s="0" t="n">
        <v>0.6307</v>
      </c>
      <c r="AB276" s="0" t="n">
        <v>-2.1523</v>
      </c>
      <c r="AC276" s="0" t="n">
        <v>1.4288</v>
      </c>
      <c r="AD276" s="0" t="n">
        <v>-0.7189</v>
      </c>
      <c r="AE276" s="0" t="n">
        <v>1.6857</v>
      </c>
      <c r="AG276" s="9" t="n">
        <f aca="false">SUMPRODUCT(($B$2:$AE$2&lt;=Portafolio!$B$5)*EXP(LN(Portafolio!$B$7)+Portafolio!$B$6*B276:AE276))/1000</f>
        <v>2.2792284204372</v>
      </c>
    </row>
    <row r="277" customFormat="false" ht="15" hidden="false" customHeight="false" outlineLevel="0" collapsed="false">
      <c r="A277" s="0" t="n">
        <v>275</v>
      </c>
      <c r="B277" s="0" t="n">
        <v>-0.4339</v>
      </c>
      <c r="C277" s="0" t="n">
        <v>1.5078</v>
      </c>
      <c r="D277" s="0" t="n">
        <v>2.0895</v>
      </c>
      <c r="E277" s="0" t="n">
        <v>-2.1695</v>
      </c>
      <c r="F277" s="0" t="n">
        <v>-1.2131</v>
      </c>
      <c r="G277" s="0" t="n">
        <v>-0.584</v>
      </c>
      <c r="H277" s="0" t="n">
        <v>0.9575</v>
      </c>
      <c r="I277" s="0" t="n">
        <v>1.6992</v>
      </c>
      <c r="J277" s="0" t="n">
        <v>0.1245</v>
      </c>
      <c r="K277" s="0" t="n">
        <v>0.5043</v>
      </c>
      <c r="L277" s="0" t="n">
        <v>0.7817</v>
      </c>
      <c r="M277" s="0" t="n">
        <v>-0.9316</v>
      </c>
      <c r="N277" s="0" t="n">
        <v>-0.6324</v>
      </c>
      <c r="O277" s="0" t="n">
        <v>0.1557</v>
      </c>
      <c r="P277" s="0" t="n">
        <v>1.3497</v>
      </c>
      <c r="Q277" s="0" t="n">
        <v>-0.7065</v>
      </c>
      <c r="R277" s="0" t="n">
        <v>0.6553</v>
      </c>
      <c r="S277" s="0" t="n">
        <v>-0.7483</v>
      </c>
      <c r="T277" s="0" t="n">
        <v>-1.1884</v>
      </c>
      <c r="U277" s="0" t="n">
        <v>0.1432</v>
      </c>
      <c r="V277" s="0" t="n">
        <v>0.1666</v>
      </c>
      <c r="W277" s="0" t="n">
        <v>0.1086</v>
      </c>
      <c r="X277" s="0" t="n">
        <v>-0.7809</v>
      </c>
      <c r="Y277" s="0" t="n">
        <v>-0.5267</v>
      </c>
      <c r="Z277" s="0" t="n">
        <v>0.9278</v>
      </c>
      <c r="AA277" s="0" t="n">
        <v>-1.421</v>
      </c>
      <c r="AB277" s="0" t="n">
        <v>-0.6399</v>
      </c>
      <c r="AC277" s="0" t="n">
        <v>-1.1405</v>
      </c>
      <c r="AD277" s="0" t="n">
        <v>0.0722</v>
      </c>
      <c r="AE277" s="0" t="n">
        <v>1.3188</v>
      </c>
      <c r="AG277" s="9" t="n">
        <f aca="false">SUMPRODUCT(($B$2:$AE$2&lt;=Portafolio!$B$5)*EXP(LN(Portafolio!$B$7)+Portafolio!$B$6*B277:AE277))/1000</f>
        <v>2.57378664100901</v>
      </c>
    </row>
    <row r="278" customFormat="false" ht="15" hidden="false" customHeight="false" outlineLevel="0" collapsed="false">
      <c r="A278" s="0" t="n">
        <v>276</v>
      </c>
      <c r="B278" s="0" t="n">
        <v>-0.3878</v>
      </c>
      <c r="C278" s="0" t="n">
        <v>-0.6666</v>
      </c>
      <c r="D278" s="0" t="n">
        <v>-0.3709</v>
      </c>
      <c r="E278" s="0" t="n">
        <v>0.0824</v>
      </c>
      <c r="F278" s="0" t="n">
        <v>-0.4944</v>
      </c>
      <c r="G278" s="0" t="n">
        <v>-0.9426</v>
      </c>
      <c r="H278" s="0" t="n">
        <v>0.3134</v>
      </c>
      <c r="I278" s="0" t="n">
        <v>1.5423</v>
      </c>
      <c r="J278" s="0" t="n">
        <v>0.2102</v>
      </c>
      <c r="K278" s="0" t="n">
        <v>-0.6688</v>
      </c>
      <c r="L278" s="0" t="n">
        <v>1.323</v>
      </c>
      <c r="M278" s="0" t="n">
        <v>0.0599</v>
      </c>
      <c r="N278" s="0" t="n">
        <v>0.4084</v>
      </c>
      <c r="O278" s="0" t="n">
        <v>-0.1272</v>
      </c>
      <c r="P278" s="0" t="n">
        <v>0.4422</v>
      </c>
      <c r="Q278" s="0" t="n">
        <v>-1.291</v>
      </c>
      <c r="R278" s="0" t="n">
        <v>-0.0449</v>
      </c>
      <c r="S278" s="0" t="n">
        <v>-0.154</v>
      </c>
      <c r="T278" s="0" t="n">
        <v>-0.2358</v>
      </c>
      <c r="U278" s="0" t="n">
        <v>0.1799</v>
      </c>
      <c r="V278" s="0" t="n">
        <v>2.8123</v>
      </c>
      <c r="W278" s="0" t="n">
        <v>-0.9638</v>
      </c>
      <c r="X278" s="0" t="n">
        <v>-0.3163</v>
      </c>
      <c r="Y278" s="0" t="n">
        <v>-1.3052</v>
      </c>
      <c r="Z278" s="0" t="n">
        <v>0.0811</v>
      </c>
      <c r="AA278" s="0" t="n">
        <v>-0.524</v>
      </c>
      <c r="AB278" s="0" t="n">
        <v>0.9835</v>
      </c>
      <c r="AC278" s="0" t="n">
        <v>-0.0961</v>
      </c>
      <c r="AD278" s="0" t="n">
        <v>-0.1381</v>
      </c>
      <c r="AE278" s="0" t="n">
        <v>0.0665</v>
      </c>
      <c r="AG278" s="9" t="n">
        <f aca="false">SUMPRODUCT(($B$2:$AE$2&lt;=Portafolio!$B$5)*EXP(LN(Portafolio!$B$7)+Portafolio!$B$6*B278:AE278))/1000</f>
        <v>2.12433831358025</v>
      </c>
    </row>
    <row r="279" customFormat="false" ht="15" hidden="false" customHeight="false" outlineLevel="0" collapsed="false">
      <c r="A279" s="0" t="n">
        <v>277</v>
      </c>
      <c r="B279" s="0" t="n">
        <v>1.9962</v>
      </c>
      <c r="C279" s="0" t="n">
        <v>1.1103</v>
      </c>
      <c r="D279" s="0" t="n">
        <v>0.3963</v>
      </c>
      <c r="E279" s="0" t="n">
        <v>1.1142</v>
      </c>
      <c r="F279" s="0" t="n">
        <v>-0.2462</v>
      </c>
      <c r="G279" s="0" t="n">
        <v>-1.5995</v>
      </c>
      <c r="H279" s="0" t="n">
        <v>-1.4314</v>
      </c>
      <c r="I279" s="0" t="n">
        <v>0.5502</v>
      </c>
      <c r="J279" s="0" t="n">
        <v>0.3413</v>
      </c>
      <c r="K279" s="0" t="n">
        <v>-0.5815</v>
      </c>
      <c r="L279" s="0" t="n">
        <v>-0.9838</v>
      </c>
      <c r="M279" s="0" t="n">
        <v>0.8657</v>
      </c>
      <c r="N279" s="0" t="n">
        <v>-0.4583</v>
      </c>
      <c r="O279" s="0" t="n">
        <v>-1.2118</v>
      </c>
      <c r="P279" s="0" t="n">
        <v>0.7327</v>
      </c>
      <c r="Q279" s="0" t="n">
        <v>0.1481</v>
      </c>
      <c r="R279" s="0" t="n">
        <v>-1.2525</v>
      </c>
      <c r="S279" s="0" t="n">
        <v>1.5662</v>
      </c>
      <c r="T279" s="0" t="n">
        <v>-0.5915</v>
      </c>
      <c r="U279" s="0" t="n">
        <v>-0.5318</v>
      </c>
      <c r="V279" s="0" t="n">
        <v>-0.7663</v>
      </c>
      <c r="W279" s="0" t="n">
        <v>-0.3409</v>
      </c>
      <c r="X279" s="0" t="n">
        <v>1.5068</v>
      </c>
      <c r="Y279" s="0" t="n">
        <v>-0.3177</v>
      </c>
      <c r="Z279" s="0" t="n">
        <v>0.7235</v>
      </c>
      <c r="AA279" s="0" t="n">
        <v>-0.6841</v>
      </c>
      <c r="AB279" s="0" t="n">
        <v>1.1989</v>
      </c>
      <c r="AC279" s="0" t="n">
        <v>1.292</v>
      </c>
      <c r="AD279" s="0" t="n">
        <v>0.8229</v>
      </c>
      <c r="AE279" s="0" t="n">
        <v>1.774</v>
      </c>
      <c r="AG279" s="9" t="n">
        <f aca="false">SUMPRODUCT(($B$2:$AE$2&lt;=Portafolio!$B$5)*EXP(LN(Portafolio!$B$7)+Portafolio!$B$6*B279:AE279))/1000</f>
        <v>2.40544659005847</v>
      </c>
    </row>
    <row r="280" customFormat="false" ht="15" hidden="false" customHeight="false" outlineLevel="0" collapsed="false">
      <c r="A280" s="0" t="n">
        <v>278</v>
      </c>
      <c r="B280" s="0" t="n">
        <v>0.2236</v>
      </c>
      <c r="C280" s="0" t="n">
        <v>-1.985</v>
      </c>
      <c r="D280" s="0" t="n">
        <v>-1.2913</v>
      </c>
      <c r="E280" s="0" t="n">
        <v>-0.6294</v>
      </c>
      <c r="F280" s="0" t="n">
        <v>0.7964</v>
      </c>
      <c r="G280" s="0" t="n">
        <v>0.1456</v>
      </c>
      <c r="H280" s="0" t="n">
        <v>0.2629</v>
      </c>
      <c r="I280" s="0" t="n">
        <v>0.2473</v>
      </c>
      <c r="J280" s="0" t="n">
        <v>-0.3513</v>
      </c>
      <c r="K280" s="0" t="n">
        <v>-0.0731</v>
      </c>
      <c r="L280" s="0" t="n">
        <v>-0.583</v>
      </c>
      <c r="M280" s="0" t="n">
        <v>0.0193</v>
      </c>
      <c r="N280" s="0" t="n">
        <v>0.6793</v>
      </c>
      <c r="O280" s="0" t="n">
        <v>1.6634</v>
      </c>
      <c r="P280" s="0" t="n">
        <v>1.4092</v>
      </c>
      <c r="Q280" s="0" t="n">
        <v>-0.1178</v>
      </c>
      <c r="R280" s="0" t="n">
        <v>-0.4724</v>
      </c>
      <c r="S280" s="0" t="n">
        <v>-0.4141</v>
      </c>
      <c r="T280" s="0" t="n">
        <v>-1.8705</v>
      </c>
      <c r="U280" s="0" t="n">
        <v>0.9592</v>
      </c>
      <c r="V280" s="0" t="n">
        <v>0.8771</v>
      </c>
      <c r="W280" s="0" t="n">
        <v>0.427</v>
      </c>
      <c r="X280" s="0" t="n">
        <v>0.032</v>
      </c>
      <c r="Y280" s="0" t="n">
        <v>0.7099</v>
      </c>
      <c r="Z280" s="0" t="n">
        <v>0.9522</v>
      </c>
      <c r="AA280" s="0" t="n">
        <v>1.3171</v>
      </c>
      <c r="AB280" s="0" t="n">
        <v>-1.5385</v>
      </c>
      <c r="AC280" s="0" t="n">
        <v>2.4693</v>
      </c>
      <c r="AD280" s="0" t="n">
        <v>-0.6837</v>
      </c>
      <c r="AE280" s="0" t="n">
        <v>1.4119</v>
      </c>
      <c r="AG280" s="9" t="n">
        <f aca="false">SUMPRODUCT(($B$2:$AE$2&lt;=Portafolio!$B$5)*EXP(LN(Portafolio!$B$7)+Portafolio!$B$6*B280:AE280))/1000</f>
        <v>2.22258421764985</v>
      </c>
    </row>
    <row r="281" customFormat="false" ht="15" hidden="false" customHeight="false" outlineLevel="0" collapsed="false">
      <c r="A281" s="0" t="n">
        <v>279</v>
      </c>
      <c r="B281" s="0" t="n">
        <v>-1.1289</v>
      </c>
      <c r="C281" s="0" t="n">
        <v>1.2919</v>
      </c>
      <c r="D281" s="0" t="n">
        <v>2.6693</v>
      </c>
      <c r="E281" s="0" t="n">
        <v>1.0557</v>
      </c>
      <c r="F281" s="0" t="n">
        <v>0.0221</v>
      </c>
      <c r="G281" s="0" t="n">
        <v>1.6406</v>
      </c>
      <c r="H281" s="0" t="n">
        <v>-0.083</v>
      </c>
      <c r="I281" s="0" t="n">
        <v>0.1678</v>
      </c>
      <c r="J281" s="0" t="n">
        <v>-0.5037</v>
      </c>
      <c r="K281" s="0" t="n">
        <v>-0.1246</v>
      </c>
      <c r="L281" s="0" t="n">
        <v>0.1404</v>
      </c>
      <c r="M281" s="0" t="n">
        <v>-0.6811</v>
      </c>
      <c r="N281" s="0" t="n">
        <v>1.1838</v>
      </c>
      <c r="O281" s="0" t="n">
        <v>0.3826</v>
      </c>
      <c r="P281" s="0" t="n">
        <v>-1.2312</v>
      </c>
      <c r="Q281" s="0" t="n">
        <v>-0.7326</v>
      </c>
      <c r="R281" s="0" t="n">
        <v>-0.073</v>
      </c>
      <c r="S281" s="0" t="n">
        <v>-0.3133</v>
      </c>
      <c r="T281" s="0" t="n">
        <v>1.5015</v>
      </c>
      <c r="U281" s="0" t="n">
        <v>-1.021</v>
      </c>
      <c r="V281" s="0" t="n">
        <v>-0.0021</v>
      </c>
      <c r="W281" s="0" t="n">
        <v>-0.1087</v>
      </c>
      <c r="X281" s="0" t="n">
        <v>-0.1711</v>
      </c>
      <c r="Y281" s="0" t="n">
        <v>0.6553</v>
      </c>
      <c r="Z281" s="0" t="n">
        <v>0.5853</v>
      </c>
      <c r="AA281" s="0" t="n">
        <v>-0.5346</v>
      </c>
      <c r="AB281" s="0" t="n">
        <v>-0.546</v>
      </c>
      <c r="AC281" s="0" t="n">
        <v>0.4132</v>
      </c>
      <c r="AD281" s="0" t="n">
        <v>-0.0601</v>
      </c>
      <c r="AE281" s="0" t="n">
        <v>-0.5041</v>
      </c>
      <c r="AG281" s="9" t="n">
        <f aca="false">SUMPRODUCT(($B$2:$AE$2&lt;=Portafolio!$B$5)*EXP(LN(Portafolio!$B$7)+Portafolio!$B$6*B281:AE281))/1000</f>
        <v>2.7894317295021</v>
      </c>
    </row>
    <row r="282" customFormat="false" ht="15" hidden="false" customHeight="false" outlineLevel="0" collapsed="false">
      <c r="A282" s="0" t="n">
        <v>280</v>
      </c>
      <c r="B282" s="0" t="n">
        <v>-1.6353</v>
      </c>
      <c r="C282" s="0" t="n">
        <v>0.3585</v>
      </c>
      <c r="D282" s="0" t="n">
        <v>-0.4627</v>
      </c>
      <c r="E282" s="0" t="n">
        <v>0.5466</v>
      </c>
      <c r="F282" s="0" t="n">
        <v>-0.6471</v>
      </c>
      <c r="G282" s="0" t="n">
        <v>-0.0507</v>
      </c>
      <c r="H282" s="0" t="n">
        <v>-0.2598</v>
      </c>
      <c r="I282" s="0" t="n">
        <v>-1.815</v>
      </c>
      <c r="J282" s="0" t="n">
        <v>0.0301</v>
      </c>
      <c r="K282" s="0" t="n">
        <v>0.3202</v>
      </c>
      <c r="L282" s="0" t="n">
        <v>-0.105</v>
      </c>
      <c r="M282" s="0" t="n">
        <v>0.1078</v>
      </c>
      <c r="N282" s="0" t="n">
        <v>1.4438</v>
      </c>
      <c r="O282" s="0" t="n">
        <v>-2.0112</v>
      </c>
      <c r="P282" s="0" t="n">
        <v>-1.0157</v>
      </c>
      <c r="Q282" s="0" t="n">
        <v>-0.6705</v>
      </c>
      <c r="R282" s="0" t="n">
        <v>-0.805</v>
      </c>
      <c r="S282" s="0" t="n">
        <v>-0.5002</v>
      </c>
      <c r="T282" s="0" t="n">
        <v>-1.3368</v>
      </c>
      <c r="U282" s="0" t="n">
        <v>-0.3463</v>
      </c>
      <c r="V282" s="0" t="n">
        <v>0.4828</v>
      </c>
      <c r="W282" s="0" t="n">
        <v>-0.6842</v>
      </c>
      <c r="X282" s="0" t="n">
        <v>0.6531</v>
      </c>
      <c r="Y282" s="0" t="n">
        <v>0.8654</v>
      </c>
      <c r="Z282" s="0" t="n">
        <v>0.8238</v>
      </c>
      <c r="AA282" s="0" t="n">
        <v>0.2616</v>
      </c>
      <c r="AB282" s="0" t="n">
        <v>-1.9619</v>
      </c>
      <c r="AC282" s="0" t="n">
        <v>-0.1253</v>
      </c>
      <c r="AD282" s="0" t="n">
        <v>-2.5076</v>
      </c>
      <c r="AE282" s="0" t="n">
        <v>-1.5529</v>
      </c>
      <c r="AG282" s="9" t="n">
        <f aca="false">SUMPRODUCT(($B$2:$AE$2&lt;=Portafolio!$B$5)*EXP(LN(Portafolio!$B$7)+Portafolio!$B$6*B282:AE282))/1000</f>
        <v>1.73449737084773</v>
      </c>
    </row>
    <row r="283" customFormat="false" ht="15" hidden="false" customHeight="false" outlineLevel="0" collapsed="false">
      <c r="A283" s="0" t="n">
        <v>281</v>
      </c>
      <c r="B283" s="0" t="n">
        <v>0.6319</v>
      </c>
      <c r="C283" s="0" t="n">
        <v>-2.8257</v>
      </c>
      <c r="D283" s="0" t="n">
        <v>0.6584</v>
      </c>
      <c r="E283" s="0" t="n">
        <v>-0.6034</v>
      </c>
      <c r="F283" s="0" t="n">
        <v>0.6634</v>
      </c>
      <c r="G283" s="0" t="n">
        <v>1.3976</v>
      </c>
      <c r="H283" s="0" t="n">
        <v>-0.0689</v>
      </c>
      <c r="I283" s="0" t="n">
        <v>-1.0205</v>
      </c>
      <c r="J283" s="0" t="n">
        <v>0.6177</v>
      </c>
      <c r="K283" s="0" t="n">
        <v>-1.2994</v>
      </c>
      <c r="L283" s="0" t="n">
        <v>0.0256</v>
      </c>
      <c r="M283" s="0" t="n">
        <v>-0.0556</v>
      </c>
      <c r="N283" s="0" t="n">
        <v>1.0941</v>
      </c>
      <c r="O283" s="0" t="n">
        <v>-1.7396</v>
      </c>
      <c r="P283" s="0" t="n">
        <v>0.1939</v>
      </c>
      <c r="Q283" s="0" t="n">
        <v>1.9044</v>
      </c>
      <c r="R283" s="0" t="n">
        <v>-0.1652</v>
      </c>
      <c r="S283" s="0" t="n">
        <v>1.9392</v>
      </c>
      <c r="T283" s="0" t="n">
        <v>0.9421</v>
      </c>
      <c r="U283" s="0" t="n">
        <v>-1.6306</v>
      </c>
      <c r="V283" s="0" t="n">
        <v>0.5443</v>
      </c>
      <c r="W283" s="0" t="n">
        <v>0.3705</v>
      </c>
      <c r="X283" s="0" t="n">
        <v>-0.705</v>
      </c>
      <c r="Y283" s="0" t="n">
        <v>-0.2204</v>
      </c>
      <c r="Z283" s="0" t="n">
        <v>-1.8473</v>
      </c>
      <c r="AA283" s="0" t="n">
        <v>1.7314</v>
      </c>
      <c r="AB283" s="0" t="n">
        <v>0.5067</v>
      </c>
      <c r="AC283" s="0" t="n">
        <v>-0.3133</v>
      </c>
      <c r="AD283" s="0" t="n">
        <v>0.8573</v>
      </c>
      <c r="AE283" s="0" t="n">
        <v>1.511</v>
      </c>
      <c r="AG283" s="9" t="n">
        <f aca="false">SUMPRODUCT(($B$2:$AE$2&lt;=Portafolio!$B$5)*EXP(LN(Portafolio!$B$7)+Portafolio!$B$6*B283:AE283))/1000</f>
        <v>2.57998062797151</v>
      </c>
    </row>
    <row r="284" customFormat="false" ht="15" hidden="false" customHeight="false" outlineLevel="0" collapsed="false">
      <c r="A284" s="0" t="n">
        <v>282</v>
      </c>
      <c r="B284" s="0" t="n">
        <v>-0.1212</v>
      </c>
      <c r="C284" s="0" t="n">
        <v>-0.0558</v>
      </c>
      <c r="D284" s="0" t="n">
        <v>0.6161</v>
      </c>
      <c r="E284" s="0" t="n">
        <v>-0.1572</v>
      </c>
      <c r="F284" s="0" t="n">
        <v>1.7876</v>
      </c>
      <c r="G284" s="0" t="n">
        <v>1.0618</v>
      </c>
      <c r="H284" s="0" t="n">
        <v>0.2124</v>
      </c>
      <c r="I284" s="0" t="n">
        <v>-0.4086</v>
      </c>
      <c r="J284" s="0" t="n">
        <v>-2.1214</v>
      </c>
      <c r="K284" s="0" t="n">
        <v>-1.108</v>
      </c>
      <c r="L284" s="0" t="n">
        <v>2.1851</v>
      </c>
      <c r="M284" s="0" t="n">
        <v>-0.0557</v>
      </c>
      <c r="N284" s="0" t="n">
        <v>1.2488</v>
      </c>
      <c r="O284" s="0" t="n">
        <v>-1.9903</v>
      </c>
      <c r="P284" s="0" t="n">
        <v>-1.268</v>
      </c>
      <c r="Q284" s="0" t="n">
        <v>0.9331</v>
      </c>
      <c r="R284" s="0" t="n">
        <v>1.1397</v>
      </c>
      <c r="S284" s="0" t="n">
        <v>-1.4607</v>
      </c>
      <c r="T284" s="0" t="n">
        <v>-1.566</v>
      </c>
      <c r="U284" s="0" t="n">
        <v>-1.0977</v>
      </c>
      <c r="V284" s="0" t="n">
        <v>0.1064</v>
      </c>
      <c r="W284" s="0" t="n">
        <v>-2.2587</v>
      </c>
      <c r="X284" s="0" t="n">
        <v>1.6924</v>
      </c>
      <c r="Y284" s="0" t="n">
        <v>-1.1263</v>
      </c>
      <c r="Z284" s="0" t="n">
        <v>0.3588</v>
      </c>
      <c r="AA284" s="0" t="n">
        <v>0.8378</v>
      </c>
      <c r="AB284" s="0" t="n">
        <v>-0.088</v>
      </c>
      <c r="AC284" s="0" t="n">
        <v>0.0031</v>
      </c>
      <c r="AD284" s="0" t="n">
        <v>-0.4216</v>
      </c>
      <c r="AE284" s="0" t="n">
        <v>1.9825</v>
      </c>
      <c r="AG284" s="9" t="n">
        <f aca="false">SUMPRODUCT(($B$2:$AE$2&lt;=Portafolio!$B$5)*EXP(LN(Portafolio!$B$7)+Portafolio!$B$6*B284:AE284))/1000</f>
        <v>2.44003178137363</v>
      </c>
    </row>
    <row r="285" customFormat="false" ht="15" hidden="false" customHeight="false" outlineLevel="0" collapsed="false">
      <c r="A285" s="0" t="n">
        <v>283</v>
      </c>
      <c r="B285" s="0" t="n">
        <v>1.1477</v>
      </c>
      <c r="C285" s="0" t="n">
        <v>-0.1791</v>
      </c>
      <c r="D285" s="0" t="n">
        <v>-0.484</v>
      </c>
      <c r="E285" s="0" t="n">
        <v>-0.0514</v>
      </c>
      <c r="F285" s="0" t="n">
        <v>-2.2599</v>
      </c>
      <c r="G285" s="0" t="n">
        <v>-0.535</v>
      </c>
      <c r="H285" s="0" t="n">
        <v>-0.5255</v>
      </c>
      <c r="I285" s="0" t="n">
        <v>1.3637</v>
      </c>
      <c r="J285" s="0" t="n">
        <v>0.4477</v>
      </c>
      <c r="K285" s="0" t="n">
        <v>-1.007</v>
      </c>
      <c r="L285" s="0" t="n">
        <v>-1.4392</v>
      </c>
      <c r="M285" s="0" t="n">
        <v>0.6551</v>
      </c>
      <c r="N285" s="0" t="n">
        <v>0.4004</v>
      </c>
      <c r="O285" s="0" t="n">
        <v>0.8162</v>
      </c>
      <c r="P285" s="0" t="n">
        <v>0.043</v>
      </c>
      <c r="Q285" s="0" t="n">
        <v>0.3614</v>
      </c>
      <c r="R285" s="0" t="n">
        <v>0.0764</v>
      </c>
      <c r="S285" s="0" t="n">
        <v>1.8859</v>
      </c>
      <c r="T285" s="0" t="n">
        <v>-0.0082</v>
      </c>
      <c r="U285" s="0" t="n">
        <v>-1.0159</v>
      </c>
      <c r="V285" s="0" t="n">
        <v>0.9039</v>
      </c>
      <c r="W285" s="0" t="n">
        <v>0.7889</v>
      </c>
      <c r="X285" s="0" t="n">
        <v>-0.3181</v>
      </c>
      <c r="Y285" s="0" t="n">
        <v>1.3733</v>
      </c>
      <c r="Z285" s="0" t="n">
        <v>0.587</v>
      </c>
      <c r="AA285" s="0" t="n">
        <v>-0.7424</v>
      </c>
      <c r="AB285" s="0" t="n">
        <v>-0.8711</v>
      </c>
      <c r="AC285" s="0" t="n">
        <v>1.6587</v>
      </c>
      <c r="AD285" s="0" t="n">
        <v>0.9562</v>
      </c>
      <c r="AE285" s="0" t="n">
        <v>-1.2039</v>
      </c>
      <c r="AG285" s="9" t="n">
        <f aca="false">SUMPRODUCT(($B$2:$AE$2&lt;=Portafolio!$B$5)*EXP(LN(Portafolio!$B$7)+Portafolio!$B$6*B285:AE285))/1000</f>
        <v>2.32014074236224</v>
      </c>
    </row>
    <row r="286" customFormat="false" ht="15" hidden="false" customHeight="false" outlineLevel="0" collapsed="false">
      <c r="A286" s="0" t="n">
        <v>284</v>
      </c>
      <c r="B286" s="0" t="n">
        <v>-1.1669</v>
      </c>
      <c r="C286" s="0" t="n">
        <v>1.9623</v>
      </c>
      <c r="D286" s="0" t="n">
        <v>2.7468</v>
      </c>
      <c r="E286" s="0" t="n">
        <v>1.1625</v>
      </c>
      <c r="F286" s="0" t="n">
        <v>-0.0619</v>
      </c>
      <c r="G286" s="0" t="n">
        <v>-0.3515</v>
      </c>
      <c r="H286" s="0" t="n">
        <v>0.8646</v>
      </c>
      <c r="I286" s="0" t="n">
        <v>1.5599</v>
      </c>
      <c r="J286" s="0" t="n">
        <v>0.4174</v>
      </c>
      <c r="K286" s="0" t="n">
        <v>-0.1818</v>
      </c>
      <c r="L286" s="0" t="n">
        <v>-1.4487</v>
      </c>
      <c r="M286" s="0" t="n">
        <v>-1.3416</v>
      </c>
      <c r="N286" s="0" t="n">
        <v>-1.1463</v>
      </c>
      <c r="O286" s="0" t="n">
        <v>-1.9875</v>
      </c>
      <c r="P286" s="0" t="n">
        <v>0.4492</v>
      </c>
      <c r="Q286" s="0" t="n">
        <v>-0.4331</v>
      </c>
      <c r="R286" s="0" t="n">
        <v>1.8187</v>
      </c>
      <c r="S286" s="0" t="n">
        <v>1.0757</v>
      </c>
      <c r="T286" s="0" t="n">
        <v>0.0455</v>
      </c>
      <c r="U286" s="0" t="n">
        <v>2.0445</v>
      </c>
      <c r="V286" s="0" t="n">
        <v>0.952</v>
      </c>
      <c r="W286" s="0" t="n">
        <v>-0.2674</v>
      </c>
      <c r="X286" s="0" t="n">
        <v>0.0711</v>
      </c>
      <c r="Y286" s="0" t="n">
        <v>-0.6835</v>
      </c>
      <c r="Z286" s="0" t="n">
        <v>-0.5111</v>
      </c>
      <c r="AA286" s="0" t="n">
        <v>-0.0368</v>
      </c>
      <c r="AB286" s="0" t="n">
        <v>-0.3871</v>
      </c>
      <c r="AC286" s="0" t="n">
        <v>-0.3964</v>
      </c>
      <c r="AD286" s="0" t="n">
        <v>-0.1978</v>
      </c>
      <c r="AE286" s="0" t="n">
        <v>0.0997</v>
      </c>
      <c r="AG286" s="9" t="n">
        <f aca="false">SUMPRODUCT(($B$2:$AE$2&lt;=Portafolio!$B$5)*EXP(LN(Portafolio!$B$7)+Portafolio!$B$6*B286:AE286))/1000</f>
        <v>3.22076478383332</v>
      </c>
    </row>
    <row r="287" customFormat="false" ht="15" hidden="false" customHeight="false" outlineLevel="0" collapsed="false">
      <c r="A287" s="0" t="n">
        <v>285</v>
      </c>
      <c r="B287" s="0" t="n">
        <v>1.369</v>
      </c>
      <c r="C287" s="0" t="n">
        <v>-0.1914</v>
      </c>
      <c r="D287" s="0" t="n">
        <v>-0.375</v>
      </c>
      <c r="E287" s="0" t="n">
        <v>0.6077</v>
      </c>
      <c r="F287" s="0" t="n">
        <v>0.2441</v>
      </c>
      <c r="G287" s="0" t="n">
        <v>-1.136</v>
      </c>
      <c r="H287" s="0" t="n">
        <v>-0.2673</v>
      </c>
      <c r="I287" s="0" t="n">
        <v>-0.1179</v>
      </c>
      <c r="J287" s="0" t="n">
        <v>-0.7429</v>
      </c>
      <c r="K287" s="0" t="n">
        <v>0.8396</v>
      </c>
      <c r="L287" s="0" t="n">
        <v>0.3629</v>
      </c>
      <c r="M287" s="0" t="n">
        <v>-0.5702</v>
      </c>
      <c r="N287" s="0" t="n">
        <v>1.1835</v>
      </c>
      <c r="O287" s="0" t="n">
        <v>0.3789</v>
      </c>
      <c r="P287" s="0" t="n">
        <v>0.0569</v>
      </c>
      <c r="Q287" s="0" t="n">
        <v>0.2737</v>
      </c>
      <c r="R287" s="0" t="n">
        <v>0.8893</v>
      </c>
      <c r="S287" s="0" t="n">
        <v>0.72</v>
      </c>
      <c r="T287" s="0" t="n">
        <v>-0.7039</v>
      </c>
      <c r="U287" s="0" t="n">
        <v>0.3466</v>
      </c>
      <c r="V287" s="0" t="n">
        <v>-0.091</v>
      </c>
      <c r="W287" s="0" t="n">
        <v>-0.3072</v>
      </c>
      <c r="X287" s="0" t="n">
        <v>-0.3171</v>
      </c>
      <c r="Y287" s="0" t="n">
        <v>1.1259</v>
      </c>
      <c r="Z287" s="0" t="n">
        <v>0.0942</v>
      </c>
      <c r="AA287" s="0" t="n">
        <v>2.6033</v>
      </c>
      <c r="AB287" s="0" t="n">
        <v>-0.5836</v>
      </c>
      <c r="AC287" s="0" t="n">
        <v>0.9364</v>
      </c>
      <c r="AD287" s="0" t="n">
        <v>1.1527</v>
      </c>
      <c r="AE287" s="0" t="n">
        <v>-0.3718</v>
      </c>
      <c r="AG287" s="9" t="n">
        <f aca="false">SUMPRODUCT(($B$2:$AE$2&lt;=Portafolio!$B$5)*EXP(LN(Portafolio!$B$7)+Portafolio!$B$6*B287:AE287))/1000</f>
        <v>2.37342312161367</v>
      </c>
    </row>
    <row r="288" customFormat="false" ht="15" hidden="false" customHeight="false" outlineLevel="0" collapsed="false">
      <c r="A288" s="0" t="n">
        <v>286</v>
      </c>
      <c r="B288" s="0" t="n">
        <v>0.118</v>
      </c>
      <c r="C288" s="0" t="n">
        <v>1.1311</v>
      </c>
      <c r="D288" s="0" t="n">
        <v>1.8835</v>
      </c>
      <c r="E288" s="0" t="n">
        <v>-0.1048</v>
      </c>
      <c r="F288" s="0" t="n">
        <v>-0.1453</v>
      </c>
      <c r="G288" s="0" t="n">
        <v>0.3622</v>
      </c>
      <c r="H288" s="0" t="n">
        <v>0.7524</v>
      </c>
      <c r="I288" s="0" t="n">
        <v>-0.3819</v>
      </c>
      <c r="J288" s="0" t="n">
        <v>0.9122</v>
      </c>
      <c r="K288" s="0" t="n">
        <v>0.5072</v>
      </c>
      <c r="L288" s="0" t="n">
        <v>0.0812</v>
      </c>
      <c r="M288" s="0" t="n">
        <v>-0.9607</v>
      </c>
      <c r="N288" s="0" t="n">
        <v>0.7707</v>
      </c>
      <c r="O288" s="0" t="n">
        <v>-2.2277</v>
      </c>
      <c r="P288" s="0" t="n">
        <v>-0.9707</v>
      </c>
      <c r="Q288" s="0" t="n">
        <v>-1.8248</v>
      </c>
      <c r="R288" s="0" t="n">
        <v>-0.3568</v>
      </c>
      <c r="S288" s="0" t="n">
        <v>-0.2238</v>
      </c>
      <c r="T288" s="0" t="n">
        <v>-0.3389</v>
      </c>
      <c r="U288" s="0" t="n">
        <v>-0.6892</v>
      </c>
      <c r="V288" s="0" t="n">
        <v>0.7672</v>
      </c>
      <c r="W288" s="0" t="n">
        <v>-1.991</v>
      </c>
      <c r="X288" s="0" t="n">
        <v>-1.5266</v>
      </c>
      <c r="Y288" s="0" t="n">
        <v>0.3312</v>
      </c>
      <c r="Z288" s="0" t="n">
        <v>1.2473</v>
      </c>
      <c r="AA288" s="0" t="n">
        <v>0.3947</v>
      </c>
      <c r="AB288" s="0" t="n">
        <v>-1.2031</v>
      </c>
      <c r="AC288" s="0" t="n">
        <v>-1.8893</v>
      </c>
      <c r="AD288" s="0" t="n">
        <v>0.5996</v>
      </c>
      <c r="AE288" s="0" t="n">
        <v>0.2799</v>
      </c>
      <c r="AG288" s="9" t="n">
        <f aca="false">SUMPRODUCT(($B$2:$AE$2&lt;=Portafolio!$B$5)*EXP(LN(Portafolio!$B$7)+Portafolio!$B$6*B288:AE288))/1000</f>
        <v>2.22035333011667</v>
      </c>
    </row>
    <row r="289" customFormat="false" ht="15" hidden="false" customHeight="false" outlineLevel="0" collapsed="false">
      <c r="A289" s="0" t="n">
        <v>287</v>
      </c>
      <c r="B289" s="0" t="n">
        <v>0.0946</v>
      </c>
      <c r="C289" s="0" t="n">
        <v>-1.3741</v>
      </c>
      <c r="D289" s="0" t="n">
        <v>-2.5336</v>
      </c>
      <c r="E289" s="0" t="n">
        <v>0.8256</v>
      </c>
      <c r="F289" s="0" t="n">
        <v>1.8248</v>
      </c>
      <c r="G289" s="0" t="n">
        <v>0.8707</v>
      </c>
      <c r="H289" s="0" t="n">
        <v>0.5668</v>
      </c>
      <c r="I289" s="0" t="n">
        <v>0.483</v>
      </c>
      <c r="J289" s="0" t="n">
        <v>-0.1779</v>
      </c>
      <c r="K289" s="0" t="n">
        <v>-0.272</v>
      </c>
      <c r="L289" s="0" t="n">
        <v>0.0827</v>
      </c>
      <c r="M289" s="0" t="n">
        <v>-0.8547</v>
      </c>
      <c r="N289" s="0" t="n">
        <v>0.3866</v>
      </c>
      <c r="O289" s="0" t="n">
        <v>-1.2979</v>
      </c>
      <c r="P289" s="0" t="n">
        <v>-0.0646</v>
      </c>
      <c r="Q289" s="0" t="n">
        <v>1.7685</v>
      </c>
      <c r="R289" s="0" t="n">
        <v>1.5401</v>
      </c>
      <c r="S289" s="0" t="n">
        <v>-0.8689</v>
      </c>
      <c r="T289" s="0" t="n">
        <v>0.8988</v>
      </c>
      <c r="U289" s="0" t="n">
        <v>0.5999</v>
      </c>
      <c r="V289" s="0" t="n">
        <v>0.9953</v>
      </c>
      <c r="W289" s="0" t="n">
        <v>0.4479</v>
      </c>
      <c r="X289" s="0" t="n">
        <v>-0.2476</v>
      </c>
      <c r="Y289" s="0" t="n">
        <v>1.2026</v>
      </c>
      <c r="Z289" s="0" t="n">
        <v>1.1137</v>
      </c>
      <c r="AA289" s="0" t="n">
        <v>-1.2216</v>
      </c>
      <c r="AB289" s="0" t="n">
        <v>0.0918</v>
      </c>
      <c r="AC289" s="0" t="n">
        <v>-0.3271</v>
      </c>
      <c r="AD289" s="0" t="n">
        <v>-1.0329</v>
      </c>
      <c r="AE289" s="0" t="n">
        <v>0.0961</v>
      </c>
      <c r="AG289" s="9" t="n">
        <f aca="false">SUMPRODUCT(($B$2:$AE$2&lt;=Portafolio!$B$5)*EXP(LN(Portafolio!$B$7)+Portafolio!$B$6*B289:AE289))/1000</f>
        <v>2.60034644540407</v>
      </c>
    </row>
    <row r="290" customFormat="false" ht="15" hidden="false" customHeight="false" outlineLevel="0" collapsed="false">
      <c r="A290" s="0" t="n">
        <v>288</v>
      </c>
      <c r="B290" s="0" t="n">
        <v>-0.3194</v>
      </c>
      <c r="C290" s="0" t="n">
        <v>-2.0623</v>
      </c>
      <c r="D290" s="0" t="n">
        <v>1.9898</v>
      </c>
      <c r="E290" s="0" t="n">
        <v>0.093</v>
      </c>
      <c r="F290" s="0" t="n">
        <v>-0.1255</v>
      </c>
      <c r="G290" s="0" t="n">
        <v>0.2258</v>
      </c>
      <c r="H290" s="0" t="n">
        <v>-0.9054</v>
      </c>
      <c r="I290" s="0" t="n">
        <v>-0.8438</v>
      </c>
      <c r="J290" s="0" t="n">
        <v>1.7486</v>
      </c>
      <c r="K290" s="0" t="n">
        <v>-0.4412</v>
      </c>
      <c r="L290" s="0" t="n">
        <v>-1.7056</v>
      </c>
      <c r="M290" s="0" t="n">
        <v>0.3405</v>
      </c>
      <c r="N290" s="0" t="n">
        <v>0.9298</v>
      </c>
      <c r="O290" s="0" t="n">
        <v>-0.7666</v>
      </c>
      <c r="P290" s="0" t="n">
        <v>-0.6023</v>
      </c>
      <c r="Q290" s="0" t="n">
        <v>1.3245</v>
      </c>
      <c r="R290" s="0" t="n">
        <v>0.9339</v>
      </c>
      <c r="S290" s="0" t="n">
        <v>-1.2718</v>
      </c>
      <c r="T290" s="0" t="n">
        <v>-0.4398</v>
      </c>
      <c r="U290" s="0" t="n">
        <v>-0.4049</v>
      </c>
      <c r="V290" s="0" t="n">
        <v>-0.1784</v>
      </c>
      <c r="W290" s="0" t="n">
        <v>-1.3405</v>
      </c>
      <c r="X290" s="0" t="n">
        <v>-0.1844</v>
      </c>
      <c r="Y290" s="0" t="n">
        <v>-1.0934</v>
      </c>
      <c r="Z290" s="0" t="n">
        <v>0.7446</v>
      </c>
      <c r="AA290" s="0" t="n">
        <v>0.1817</v>
      </c>
      <c r="AB290" s="0" t="n">
        <v>-0.4873</v>
      </c>
      <c r="AC290" s="0" t="n">
        <v>-0.3179</v>
      </c>
      <c r="AD290" s="0" t="n">
        <v>-0.4693</v>
      </c>
      <c r="AE290" s="0" t="n">
        <v>0.9128</v>
      </c>
      <c r="AG290" s="9" t="n">
        <f aca="false">SUMPRODUCT(($B$2:$AE$2&lt;=Portafolio!$B$5)*EXP(LN(Portafolio!$B$7)+Portafolio!$B$6*B290:AE290))/1000</f>
        <v>2.29965109257568</v>
      </c>
    </row>
    <row r="291" customFormat="false" ht="15" hidden="false" customHeight="false" outlineLevel="0" collapsed="false">
      <c r="A291" s="0" t="n">
        <v>289</v>
      </c>
      <c r="B291" s="0" t="n">
        <v>0.5077</v>
      </c>
      <c r="C291" s="0" t="n">
        <v>0.635</v>
      </c>
      <c r="D291" s="0" t="n">
        <v>-2.0982</v>
      </c>
      <c r="E291" s="0" t="n">
        <v>0.6893</v>
      </c>
      <c r="F291" s="0" t="n">
        <v>-0.0898</v>
      </c>
      <c r="G291" s="0" t="n">
        <v>-0.4551</v>
      </c>
      <c r="H291" s="0" t="n">
        <v>-1.4116</v>
      </c>
      <c r="I291" s="0" t="n">
        <v>1.1494</v>
      </c>
      <c r="J291" s="0" t="n">
        <v>1.5696</v>
      </c>
      <c r="K291" s="0" t="n">
        <v>0.0001</v>
      </c>
      <c r="L291" s="0" t="n">
        <v>-0.1515</v>
      </c>
      <c r="M291" s="0" t="n">
        <v>-0.7449</v>
      </c>
      <c r="N291" s="0" t="n">
        <v>0.8568</v>
      </c>
      <c r="O291" s="0" t="n">
        <v>0.0732</v>
      </c>
      <c r="P291" s="0" t="n">
        <v>-0.6979</v>
      </c>
      <c r="Q291" s="0" t="n">
        <v>1.3029</v>
      </c>
      <c r="R291" s="0" t="n">
        <v>0.5354</v>
      </c>
      <c r="S291" s="0" t="n">
        <v>0.278</v>
      </c>
      <c r="T291" s="0" t="n">
        <v>-0.0507</v>
      </c>
      <c r="U291" s="0" t="n">
        <v>-0.2804</v>
      </c>
      <c r="V291" s="0" t="n">
        <v>-0.7983</v>
      </c>
      <c r="W291" s="0" t="n">
        <v>-0.5406</v>
      </c>
      <c r="X291" s="0" t="n">
        <v>-0.5247</v>
      </c>
      <c r="Y291" s="0" t="n">
        <v>0.8806</v>
      </c>
      <c r="Z291" s="0" t="n">
        <v>-0.9597</v>
      </c>
      <c r="AA291" s="0" t="n">
        <v>1.4968</v>
      </c>
      <c r="AB291" s="0" t="n">
        <v>1.1188</v>
      </c>
      <c r="AC291" s="0" t="n">
        <v>-0.6595</v>
      </c>
      <c r="AD291" s="0" t="n">
        <v>-0.7722</v>
      </c>
      <c r="AE291" s="0" t="n">
        <v>-1.7671</v>
      </c>
      <c r="AG291" s="9" t="n">
        <f aca="false">SUMPRODUCT(($B$2:$AE$2&lt;=Portafolio!$B$5)*EXP(LN(Portafolio!$B$7)+Portafolio!$B$6*B291:AE291))/1000</f>
        <v>2.3799277125507</v>
      </c>
    </row>
    <row r="292" customFormat="false" ht="15" hidden="false" customHeight="false" outlineLevel="0" collapsed="false">
      <c r="A292" s="0" t="n">
        <v>290</v>
      </c>
      <c r="B292" s="0" t="n">
        <v>0.8728</v>
      </c>
      <c r="C292" s="0" t="n">
        <v>0.7093</v>
      </c>
      <c r="D292" s="0" t="n">
        <v>1.6547</v>
      </c>
      <c r="E292" s="0" t="n">
        <v>0.2824</v>
      </c>
      <c r="F292" s="0" t="n">
        <v>0.4251</v>
      </c>
      <c r="G292" s="0" t="n">
        <v>-0.3341</v>
      </c>
      <c r="H292" s="0" t="n">
        <v>-1.2325</v>
      </c>
      <c r="I292" s="0" t="n">
        <v>0.6511</v>
      </c>
      <c r="J292" s="0" t="n">
        <v>-0.3273</v>
      </c>
      <c r="K292" s="0" t="n">
        <v>-0.0673</v>
      </c>
      <c r="L292" s="0" t="n">
        <v>-0.7632</v>
      </c>
      <c r="M292" s="0" t="n">
        <v>0.4941</v>
      </c>
      <c r="N292" s="0" t="n">
        <v>-1.69</v>
      </c>
      <c r="O292" s="0" t="n">
        <v>-1.27</v>
      </c>
      <c r="P292" s="0" t="n">
        <v>1.0984</v>
      </c>
      <c r="Q292" s="0" t="n">
        <v>0.5905</v>
      </c>
      <c r="R292" s="0" t="n">
        <v>-0.9603</v>
      </c>
      <c r="S292" s="0" t="n">
        <v>0.2355</v>
      </c>
      <c r="T292" s="0" t="n">
        <v>0.3872</v>
      </c>
      <c r="U292" s="0" t="n">
        <v>1.0251</v>
      </c>
      <c r="V292" s="0" t="n">
        <v>1.1035</v>
      </c>
      <c r="W292" s="0" t="n">
        <v>1.0132</v>
      </c>
      <c r="X292" s="0" t="n">
        <v>-0.5592</v>
      </c>
      <c r="Y292" s="0" t="n">
        <v>1.9494</v>
      </c>
      <c r="Z292" s="0" t="n">
        <v>0.0286</v>
      </c>
      <c r="AA292" s="0" t="n">
        <v>0.6883</v>
      </c>
      <c r="AB292" s="0" t="n">
        <v>0.613</v>
      </c>
      <c r="AC292" s="0" t="n">
        <v>1.4909</v>
      </c>
      <c r="AD292" s="0" t="n">
        <v>1.084</v>
      </c>
      <c r="AE292" s="0" t="n">
        <v>-1.6983</v>
      </c>
      <c r="AG292" s="9" t="n">
        <f aca="false">SUMPRODUCT(($B$2:$AE$2&lt;=Portafolio!$B$5)*EXP(LN(Portafolio!$B$7)+Portafolio!$B$6*B292:AE292))/1000</f>
        <v>2.39389132644097</v>
      </c>
    </row>
    <row r="293" customFormat="false" ht="15" hidden="false" customHeight="false" outlineLevel="0" collapsed="false">
      <c r="A293" s="0" t="n">
        <v>291</v>
      </c>
      <c r="B293" s="0" t="n">
        <v>-1.4184</v>
      </c>
      <c r="C293" s="0" t="n">
        <v>-0.1417</v>
      </c>
      <c r="D293" s="0" t="n">
        <v>-0.7669</v>
      </c>
      <c r="E293" s="0" t="n">
        <v>0.9725</v>
      </c>
      <c r="F293" s="0" t="n">
        <v>1.5409</v>
      </c>
      <c r="G293" s="0" t="n">
        <v>1.3201</v>
      </c>
      <c r="H293" s="0" t="n">
        <v>-1.0203</v>
      </c>
      <c r="I293" s="0" t="n">
        <v>0.5188</v>
      </c>
      <c r="J293" s="0" t="n">
        <v>0.9583</v>
      </c>
      <c r="K293" s="0" t="n">
        <v>0.7232</v>
      </c>
      <c r="L293" s="0" t="n">
        <v>0.9547</v>
      </c>
      <c r="M293" s="0" t="n">
        <v>2.7068</v>
      </c>
      <c r="N293" s="0" t="n">
        <v>0.8349</v>
      </c>
      <c r="O293" s="0" t="n">
        <v>0.4213</v>
      </c>
      <c r="P293" s="0" t="n">
        <v>0.5914</v>
      </c>
      <c r="Q293" s="0" t="n">
        <v>0.317</v>
      </c>
      <c r="R293" s="0" t="n">
        <v>-0.3748</v>
      </c>
      <c r="S293" s="0" t="n">
        <v>-0.0045</v>
      </c>
      <c r="T293" s="0" t="n">
        <v>-0.9022</v>
      </c>
      <c r="U293" s="0" t="n">
        <v>-1.0085</v>
      </c>
      <c r="V293" s="0" t="n">
        <v>0.0923</v>
      </c>
      <c r="W293" s="0" t="n">
        <v>-0.9096</v>
      </c>
      <c r="X293" s="0" t="n">
        <v>-0.5977</v>
      </c>
      <c r="Y293" s="0" t="n">
        <v>-0.6828</v>
      </c>
      <c r="Z293" s="0" t="n">
        <v>-1.131</v>
      </c>
      <c r="AA293" s="0" t="n">
        <v>-2.7367</v>
      </c>
      <c r="AB293" s="0" t="n">
        <v>0.6576</v>
      </c>
      <c r="AC293" s="0" t="n">
        <v>1.3617</v>
      </c>
      <c r="AD293" s="0" t="n">
        <v>0.2207</v>
      </c>
      <c r="AE293" s="0" t="n">
        <v>-0.7218</v>
      </c>
      <c r="AG293" s="9" t="n">
        <f aca="false">SUMPRODUCT(($B$2:$AE$2&lt;=Portafolio!$B$5)*EXP(LN(Portafolio!$B$7)+Portafolio!$B$6*B293:AE293))/1000</f>
        <v>2.90695787895209</v>
      </c>
    </row>
    <row r="294" customFormat="false" ht="15" hidden="false" customHeight="false" outlineLevel="0" collapsed="false">
      <c r="A294" s="0" t="n">
        <v>292</v>
      </c>
      <c r="B294" s="0" t="n">
        <v>1.1394</v>
      </c>
      <c r="C294" s="0" t="n">
        <v>0.3686</v>
      </c>
      <c r="D294" s="0" t="n">
        <v>-1.3714</v>
      </c>
      <c r="E294" s="0" t="n">
        <v>-0.0902</v>
      </c>
      <c r="F294" s="0" t="n">
        <v>0.062</v>
      </c>
      <c r="G294" s="0" t="n">
        <v>-0.8988</v>
      </c>
      <c r="H294" s="0" t="n">
        <v>0.5471</v>
      </c>
      <c r="I294" s="0" t="n">
        <v>-1.481</v>
      </c>
      <c r="J294" s="0" t="n">
        <v>0.0232</v>
      </c>
      <c r="K294" s="0" t="n">
        <v>0.7257</v>
      </c>
      <c r="L294" s="0" t="n">
        <v>-1.8886</v>
      </c>
      <c r="M294" s="0" t="n">
        <v>0.5784</v>
      </c>
      <c r="N294" s="0" t="n">
        <v>0.8709</v>
      </c>
      <c r="O294" s="0" t="n">
        <v>-0.8707</v>
      </c>
      <c r="P294" s="0" t="n">
        <v>-1.1497</v>
      </c>
      <c r="Q294" s="0" t="n">
        <v>-0.2106</v>
      </c>
      <c r="R294" s="0" t="n">
        <v>-0.0031</v>
      </c>
      <c r="S294" s="0" t="n">
        <v>-0.2123</v>
      </c>
      <c r="T294" s="0" t="n">
        <v>-0.3135</v>
      </c>
      <c r="U294" s="0" t="n">
        <v>-1.163</v>
      </c>
      <c r="V294" s="0" t="n">
        <v>-1.8132</v>
      </c>
      <c r="W294" s="0" t="n">
        <v>-0.7563</v>
      </c>
      <c r="X294" s="0" t="n">
        <v>0.9325</v>
      </c>
      <c r="Y294" s="0" t="n">
        <v>0.7512</v>
      </c>
      <c r="Z294" s="0" t="n">
        <v>0.7151</v>
      </c>
      <c r="AA294" s="0" t="n">
        <v>-0.2257</v>
      </c>
      <c r="AB294" s="0" t="n">
        <v>-0.6</v>
      </c>
      <c r="AC294" s="0" t="n">
        <v>-0.5379</v>
      </c>
      <c r="AD294" s="0" t="n">
        <v>0.1616</v>
      </c>
      <c r="AE294" s="0" t="n">
        <v>-1.4184</v>
      </c>
      <c r="AG294" s="9" t="n">
        <f aca="false">SUMPRODUCT(($B$2:$AE$2&lt;=Portafolio!$B$5)*EXP(LN(Portafolio!$B$7)+Portafolio!$B$6*B294:AE294))/1000</f>
        <v>1.91995706739714</v>
      </c>
    </row>
    <row r="295" customFormat="false" ht="15" hidden="false" customHeight="false" outlineLevel="0" collapsed="false">
      <c r="A295" s="0" t="n">
        <v>293</v>
      </c>
      <c r="B295" s="0" t="n">
        <v>0.3506</v>
      </c>
      <c r="C295" s="0" t="n">
        <v>0.4198</v>
      </c>
      <c r="D295" s="0" t="n">
        <v>-0.6202</v>
      </c>
      <c r="E295" s="0" t="n">
        <v>0.8894</v>
      </c>
      <c r="F295" s="0" t="n">
        <v>0.7044</v>
      </c>
      <c r="G295" s="0" t="n">
        <v>-2.2862</v>
      </c>
      <c r="H295" s="0" t="n">
        <v>-0.411</v>
      </c>
      <c r="I295" s="0" t="n">
        <v>-0.141</v>
      </c>
      <c r="J295" s="0" t="n">
        <v>-2.324</v>
      </c>
      <c r="K295" s="0" t="n">
        <v>0.6124</v>
      </c>
      <c r="L295" s="0" t="n">
        <v>0.9525</v>
      </c>
      <c r="M295" s="0" t="n">
        <v>0.5085</v>
      </c>
      <c r="N295" s="0" t="n">
        <v>-0.149</v>
      </c>
      <c r="O295" s="0" t="n">
        <v>1.434</v>
      </c>
      <c r="P295" s="0" t="n">
        <v>0.0726</v>
      </c>
      <c r="Q295" s="0" t="n">
        <v>0.2944</v>
      </c>
      <c r="R295" s="0" t="n">
        <v>0.4747</v>
      </c>
      <c r="S295" s="0" t="n">
        <v>1.1237</v>
      </c>
      <c r="T295" s="0" t="n">
        <v>-1.697</v>
      </c>
      <c r="U295" s="0" t="n">
        <v>0.9107</v>
      </c>
      <c r="V295" s="0" t="n">
        <v>0.3377</v>
      </c>
      <c r="W295" s="0" t="n">
        <v>1.4109</v>
      </c>
      <c r="X295" s="0" t="n">
        <v>0.2047</v>
      </c>
      <c r="Y295" s="0" t="n">
        <v>-0.1016</v>
      </c>
      <c r="Z295" s="0" t="n">
        <v>-0.6816</v>
      </c>
      <c r="AA295" s="0" t="n">
        <v>0.0375</v>
      </c>
      <c r="AB295" s="0" t="n">
        <v>-0.5823</v>
      </c>
      <c r="AC295" s="0" t="n">
        <v>0.5091</v>
      </c>
      <c r="AD295" s="0" t="n">
        <v>0.0402</v>
      </c>
      <c r="AE295" s="0" t="n">
        <v>-0.7698</v>
      </c>
      <c r="AG295" s="9" t="n">
        <f aca="false">SUMPRODUCT(($B$2:$AE$2&lt;=Portafolio!$B$5)*EXP(LN(Portafolio!$B$7)+Portafolio!$B$6*B295:AE295))/1000</f>
        <v>2.4111286237348</v>
      </c>
    </row>
    <row r="296" customFormat="false" ht="15" hidden="false" customHeight="false" outlineLevel="0" collapsed="false">
      <c r="A296" s="0" t="n">
        <v>294</v>
      </c>
      <c r="B296" s="0" t="n">
        <v>0.6768</v>
      </c>
      <c r="C296" s="0" t="n">
        <v>-0.0722</v>
      </c>
      <c r="D296" s="0" t="n">
        <v>-0.3951</v>
      </c>
      <c r="E296" s="0" t="n">
        <v>1.3716</v>
      </c>
      <c r="F296" s="0" t="n">
        <v>0.4377</v>
      </c>
      <c r="G296" s="0" t="n">
        <v>0.4326</v>
      </c>
      <c r="H296" s="0" t="n">
        <v>-0.7441</v>
      </c>
      <c r="I296" s="0" t="n">
        <v>1.2745</v>
      </c>
      <c r="J296" s="0" t="n">
        <v>0.5779</v>
      </c>
      <c r="K296" s="0" t="n">
        <v>-1.2033</v>
      </c>
      <c r="L296" s="0" t="n">
        <v>-0.2913</v>
      </c>
      <c r="M296" s="0" t="n">
        <v>1.2539</v>
      </c>
      <c r="N296" s="0" t="n">
        <v>0.9534</v>
      </c>
      <c r="O296" s="0" t="n">
        <v>-0.1067</v>
      </c>
      <c r="P296" s="0" t="n">
        <v>0.212</v>
      </c>
      <c r="Q296" s="0" t="n">
        <v>0.1833</v>
      </c>
      <c r="R296" s="0" t="n">
        <v>-2.3338</v>
      </c>
      <c r="S296" s="0" t="n">
        <v>0.7136</v>
      </c>
      <c r="T296" s="0" t="n">
        <v>1.4366</v>
      </c>
      <c r="U296" s="0" t="n">
        <v>-0.5589</v>
      </c>
      <c r="V296" s="0" t="n">
        <v>0.1086</v>
      </c>
      <c r="W296" s="0" t="n">
        <v>0.9673</v>
      </c>
      <c r="X296" s="0" t="n">
        <v>0.2493</v>
      </c>
      <c r="Y296" s="0" t="n">
        <v>1.0458</v>
      </c>
      <c r="Z296" s="0" t="n">
        <v>0.0331</v>
      </c>
      <c r="AA296" s="0" t="n">
        <v>-0.249</v>
      </c>
      <c r="AB296" s="0" t="n">
        <v>-0.6894</v>
      </c>
      <c r="AC296" s="0" t="n">
        <v>-0.0913</v>
      </c>
      <c r="AD296" s="0" t="n">
        <v>-1.2951</v>
      </c>
      <c r="AE296" s="0" t="n">
        <v>-1.1993</v>
      </c>
      <c r="AG296" s="9" t="n">
        <f aca="false">SUMPRODUCT(($B$2:$AE$2&lt;=Portafolio!$B$5)*EXP(LN(Portafolio!$B$7)+Portafolio!$B$6*B296:AE296))/1000</f>
        <v>2.55970883690107</v>
      </c>
    </row>
    <row r="297" customFormat="false" ht="15" hidden="false" customHeight="false" outlineLevel="0" collapsed="false">
      <c r="A297" s="0" t="n">
        <v>295</v>
      </c>
      <c r="B297" s="0" t="n">
        <v>0.0902</v>
      </c>
      <c r="C297" s="0" t="n">
        <v>-0.9194</v>
      </c>
      <c r="D297" s="0" t="n">
        <v>0.1343</v>
      </c>
      <c r="E297" s="0" t="n">
        <v>-0.1015</v>
      </c>
      <c r="F297" s="0" t="n">
        <v>-0.1586</v>
      </c>
      <c r="G297" s="0" t="n">
        <v>0.5419</v>
      </c>
      <c r="H297" s="0" t="n">
        <v>-0.4652</v>
      </c>
      <c r="I297" s="0" t="n">
        <v>-1.0512</v>
      </c>
      <c r="J297" s="0" t="n">
        <v>-0.2733</v>
      </c>
      <c r="K297" s="0" t="n">
        <v>-0.2051</v>
      </c>
      <c r="L297" s="0" t="n">
        <v>1.3235</v>
      </c>
      <c r="M297" s="0" t="n">
        <v>1.0081</v>
      </c>
      <c r="N297" s="0" t="n">
        <v>-1.3377</v>
      </c>
      <c r="O297" s="0" t="n">
        <v>-1.8059</v>
      </c>
      <c r="P297" s="0" t="n">
        <v>-1.2315</v>
      </c>
      <c r="Q297" s="0" t="n">
        <v>0.5486</v>
      </c>
      <c r="R297" s="0" t="n">
        <v>-1.845</v>
      </c>
      <c r="S297" s="0" t="n">
        <v>0.885</v>
      </c>
      <c r="T297" s="0" t="n">
        <v>-0.3274</v>
      </c>
      <c r="U297" s="0" t="n">
        <v>1.1165</v>
      </c>
      <c r="V297" s="0" t="n">
        <v>0.2255</v>
      </c>
      <c r="W297" s="0" t="n">
        <v>-0.9393</v>
      </c>
      <c r="X297" s="0" t="n">
        <v>-0.4178</v>
      </c>
      <c r="Y297" s="0" t="n">
        <v>0.1845</v>
      </c>
      <c r="Z297" s="0" t="n">
        <v>1.1448</v>
      </c>
      <c r="AA297" s="0" t="n">
        <v>-0.283</v>
      </c>
      <c r="AB297" s="0" t="n">
        <v>-0.5905</v>
      </c>
      <c r="AC297" s="0" t="n">
        <v>0.11</v>
      </c>
      <c r="AD297" s="0" t="n">
        <v>-0.7854</v>
      </c>
      <c r="AE297" s="0" t="n">
        <v>0.5001</v>
      </c>
      <c r="AG297" s="9" t="n">
        <f aca="false">SUMPRODUCT(($B$2:$AE$2&lt;=Portafolio!$B$5)*EXP(LN(Portafolio!$B$7)+Portafolio!$B$6*B297:AE297))/1000</f>
        <v>2.04758340895512</v>
      </c>
    </row>
    <row r="298" customFormat="false" ht="15" hidden="false" customHeight="false" outlineLevel="0" collapsed="false">
      <c r="A298" s="0" t="n">
        <v>296</v>
      </c>
      <c r="B298" s="0" t="n">
        <v>0.369</v>
      </c>
      <c r="C298" s="0" t="n">
        <v>0.8741</v>
      </c>
      <c r="D298" s="0" t="n">
        <v>-0.8709</v>
      </c>
      <c r="E298" s="0" t="n">
        <v>1.1369</v>
      </c>
      <c r="F298" s="0" t="n">
        <v>2.8172</v>
      </c>
      <c r="G298" s="0" t="n">
        <v>1.3999</v>
      </c>
      <c r="H298" s="0" t="n">
        <v>0.0795</v>
      </c>
      <c r="I298" s="0" t="n">
        <v>-0.1194</v>
      </c>
      <c r="J298" s="0" t="n">
        <v>-1.5611</v>
      </c>
      <c r="K298" s="0" t="n">
        <v>0.4614</v>
      </c>
      <c r="L298" s="0" t="n">
        <v>2.0353</v>
      </c>
      <c r="M298" s="0" t="n">
        <v>0.5355</v>
      </c>
      <c r="N298" s="0" t="n">
        <v>0.3709</v>
      </c>
      <c r="O298" s="0" t="n">
        <v>-0.0748</v>
      </c>
      <c r="P298" s="0" t="n">
        <v>-1.1632</v>
      </c>
      <c r="Q298" s="0" t="n">
        <v>2.3539</v>
      </c>
      <c r="R298" s="0" t="n">
        <v>-0.3512</v>
      </c>
      <c r="S298" s="0" t="n">
        <v>1.5966</v>
      </c>
      <c r="T298" s="0" t="n">
        <v>0.0292</v>
      </c>
      <c r="U298" s="0" t="n">
        <v>-0.0864</v>
      </c>
      <c r="V298" s="0" t="n">
        <v>-0.8864</v>
      </c>
      <c r="W298" s="0" t="n">
        <v>0.1218</v>
      </c>
      <c r="X298" s="0" t="n">
        <v>0.1826</v>
      </c>
      <c r="Y298" s="0" t="n">
        <v>-0.3624</v>
      </c>
      <c r="Z298" s="0" t="n">
        <v>-0.107</v>
      </c>
      <c r="AA298" s="0" t="n">
        <v>-0.1946</v>
      </c>
      <c r="AB298" s="0" t="n">
        <v>-0.8879</v>
      </c>
      <c r="AC298" s="0" t="n">
        <v>-0.7076</v>
      </c>
      <c r="AD298" s="0" t="n">
        <v>2.6366</v>
      </c>
      <c r="AE298" s="0" t="n">
        <v>-1.2987</v>
      </c>
      <c r="AG298" s="9" t="n">
        <f aca="false">SUMPRODUCT(($B$2:$AE$2&lt;=Portafolio!$B$5)*EXP(LN(Portafolio!$B$7)+Portafolio!$B$6*B298:AE298))/1000</f>
        <v>3.38987072212334</v>
      </c>
    </row>
    <row r="299" customFormat="false" ht="15" hidden="false" customHeight="false" outlineLevel="0" collapsed="false">
      <c r="A299" s="0" t="n">
        <v>297</v>
      </c>
      <c r="B299" s="0" t="n">
        <v>0.6821</v>
      </c>
      <c r="C299" s="0" t="n">
        <v>-1.3908</v>
      </c>
      <c r="D299" s="0" t="n">
        <v>-0.9587</v>
      </c>
      <c r="E299" s="0" t="n">
        <v>0.9335</v>
      </c>
      <c r="F299" s="0" t="n">
        <v>-1.4635</v>
      </c>
      <c r="G299" s="0" t="n">
        <v>0.7546</v>
      </c>
      <c r="H299" s="0" t="n">
        <v>1.45</v>
      </c>
      <c r="I299" s="0" t="n">
        <v>-0.2209</v>
      </c>
      <c r="J299" s="0" t="n">
        <v>0.7615</v>
      </c>
      <c r="K299" s="0" t="n">
        <v>1.0116</v>
      </c>
      <c r="L299" s="0" t="n">
        <v>-2.0906</v>
      </c>
      <c r="M299" s="0" t="n">
        <v>-0.4218</v>
      </c>
      <c r="N299" s="0" t="n">
        <v>-0.4346</v>
      </c>
      <c r="O299" s="0" t="n">
        <v>0.9065</v>
      </c>
      <c r="P299" s="0" t="n">
        <v>-0.4648</v>
      </c>
      <c r="Q299" s="0" t="n">
        <v>-1.2804</v>
      </c>
      <c r="R299" s="0" t="n">
        <v>-1.3555</v>
      </c>
      <c r="S299" s="0" t="n">
        <v>0.0543</v>
      </c>
      <c r="T299" s="0" t="n">
        <v>0.0573</v>
      </c>
      <c r="U299" s="0" t="n">
        <v>0.4301</v>
      </c>
      <c r="V299" s="0" t="n">
        <v>-1.1309</v>
      </c>
      <c r="W299" s="0" t="n">
        <v>0.4801</v>
      </c>
      <c r="X299" s="0" t="n">
        <v>-0.1306</v>
      </c>
      <c r="Y299" s="0" t="n">
        <v>-0.9976</v>
      </c>
      <c r="Z299" s="0" t="n">
        <v>-1.2903</v>
      </c>
      <c r="AA299" s="0" t="n">
        <v>2.1685</v>
      </c>
      <c r="AB299" s="0" t="n">
        <v>0.5749</v>
      </c>
      <c r="AC299" s="0" t="n">
        <v>-0.3735</v>
      </c>
      <c r="AD299" s="0" t="n">
        <v>0.5603</v>
      </c>
      <c r="AE299" s="0" t="n">
        <v>-0.722</v>
      </c>
      <c r="AG299" s="9" t="n">
        <f aca="false">SUMPRODUCT(($B$2:$AE$2&lt;=Portafolio!$B$5)*EXP(LN(Portafolio!$B$7)+Portafolio!$B$6*B299:AE299))/1000</f>
        <v>2.14994500876831</v>
      </c>
    </row>
    <row r="300" customFormat="false" ht="15" hidden="false" customHeight="false" outlineLevel="0" collapsed="false">
      <c r="A300" s="0" t="n">
        <v>298</v>
      </c>
      <c r="B300" s="0" t="n">
        <v>1.6914</v>
      </c>
      <c r="C300" s="0" t="n">
        <v>0.5683</v>
      </c>
      <c r="D300" s="0" t="n">
        <v>-2.2827</v>
      </c>
      <c r="E300" s="0" t="n">
        <v>-0.3883</v>
      </c>
      <c r="F300" s="0" t="n">
        <v>-0.2653</v>
      </c>
      <c r="G300" s="0" t="n">
        <v>0.1156</v>
      </c>
      <c r="H300" s="0" t="n">
        <v>-1.2006</v>
      </c>
      <c r="I300" s="0" t="n">
        <v>0.9705</v>
      </c>
      <c r="J300" s="0" t="n">
        <v>0.1494</v>
      </c>
      <c r="K300" s="0" t="n">
        <v>1.458</v>
      </c>
      <c r="L300" s="0" t="n">
        <v>0.2028</v>
      </c>
      <c r="M300" s="0" t="n">
        <v>1.4724</v>
      </c>
      <c r="N300" s="0" t="n">
        <v>1.5646</v>
      </c>
      <c r="O300" s="0" t="n">
        <v>0.1144</v>
      </c>
      <c r="P300" s="0" t="n">
        <v>0.2795</v>
      </c>
      <c r="Q300" s="0" t="n">
        <v>0.9493</v>
      </c>
      <c r="R300" s="0" t="n">
        <v>0.4611</v>
      </c>
      <c r="S300" s="0" t="n">
        <v>-0.0921</v>
      </c>
      <c r="T300" s="0" t="n">
        <v>2.3481</v>
      </c>
      <c r="U300" s="0" t="n">
        <v>1.2045</v>
      </c>
      <c r="V300" s="0" t="n">
        <v>0.4947</v>
      </c>
      <c r="W300" s="0" t="n">
        <v>-1.1961</v>
      </c>
      <c r="X300" s="0" t="n">
        <v>-1.0961</v>
      </c>
      <c r="Y300" s="0" t="n">
        <v>-0.177</v>
      </c>
      <c r="Z300" s="0" t="n">
        <v>-1.1386</v>
      </c>
      <c r="AA300" s="0" t="n">
        <v>-1.4493</v>
      </c>
      <c r="AB300" s="0" t="n">
        <v>0.6155</v>
      </c>
      <c r="AC300" s="0" t="n">
        <v>0.711</v>
      </c>
      <c r="AD300" s="0" t="n">
        <v>-0.5865</v>
      </c>
      <c r="AE300" s="0" t="n">
        <v>-0.0113</v>
      </c>
      <c r="AG300" s="9" t="n">
        <f aca="false">SUMPRODUCT(($B$2:$AE$2&lt;=Portafolio!$B$5)*EXP(LN(Portafolio!$B$7)+Portafolio!$B$6*B300:AE300))/1000</f>
        <v>3.14479883398855</v>
      </c>
    </row>
    <row r="301" customFormat="false" ht="15" hidden="false" customHeight="false" outlineLevel="0" collapsed="false">
      <c r="A301" s="0" t="n">
        <v>299</v>
      </c>
      <c r="B301" s="0" t="n">
        <v>1.116</v>
      </c>
      <c r="C301" s="0" t="n">
        <v>0.9059</v>
      </c>
      <c r="D301" s="0" t="n">
        <v>1.8266</v>
      </c>
      <c r="E301" s="0" t="n">
        <v>-0.1838</v>
      </c>
      <c r="F301" s="0" t="n">
        <v>-0.3701</v>
      </c>
      <c r="G301" s="0" t="n">
        <v>0.8271</v>
      </c>
      <c r="H301" s="0" t="n">
        <v>1.8508</v>
      </c>
      <c r="I301" s="0" t="n">
        <v>-0.1415</v>
      </c>
      <c r="J301" s="0" t="n">
        <v>-0.3363</v>
      </c>
      <c r="K301" s="0" t="n">
        <v>-0.2318</v>
      </c>
      <c r="L301" s="0" t="n">
        <v>1.1318</v>
      </c>
      <c r="M301" s="0" t="n">
        <v>1.2174</v>
      </c>
      <c r="N301" s="0" t="n">
        <v>-0.9909</v>
      </c>
      <c r="O301" s="0" t="n">
        <v>1.0874</v>
      </c>
      <c r="P301" s="0" t="n">
        <v>0.7788</v>
      </c>
      <c r="Q301" s="0" t="n">
        <v>1.3048</v>
      </c>
      <c r="R301" s="0" t="n">
        <v>-0.4812</v>
      </c>
      <c r="S301" s="0" t="n">
        <v>-0.0412</v>
      </c>
      <c r="T301" s="0" t="n">
        <v>0.5241</v>
      </c>
      <c r="U301" s="0" t="n">
        <v>0.5467</v>
      </c>
      <c r="V301" s="0" t="n">
        <v>-0.9773</v>
      </c>
      <c r="W301" s="0" t="n">
        <v>0.7728</v>
      </c>
      <c r="X301" s="0" t="n">
        <v>0.6113</v>
      </c>
      <c r="Y301" s="0" t="n">
        <v>-0.2148</v>
      </c>
      <c r="Z301" s="0" t="n">
        <v>0.4233</v>
      </c>
      <c r="AA301" s="0" t="n">
        <v>1.1551</v>
      </c>
      <c r="AB301" s="0" t="n">
        <v>0.0173</v>
      </c>
      <c r="AC301" s="0" t="n">
        <v>0.1003</v>
      </c>
      <c r="AD301" s="0" t="n">
        <v>-1.03</v>
      </c>
      <c r="AE301" s="0" t="n">
        <v>-0.0396</v>
      </c>
      <c r="AG301" s="9" t="n">
        <f aca="false">SUMPRODUCT(($B$2:$AE$2&lt;=Portafolio!$B$5)*EXP(LN(Portafolio!$B$7)+Portafolio!$B$6*B301:AE301))/1000</f>
        <v>3.04345180934331</v>
      </c>
    </row>
    <row r="302" customFormat="false" ht="15" hidden="false" customHeight="false" outlineLevel="0" collapsed="false">
      <c r="A302" s="0" t="n">
        <v>300</v>
      </c>
      <c r="B302" s="0" t="n">
        <v>-0.6929</v>
      </c>
      <c r="C302" s="0" t="n">
        <v>-0.9718</v>
      </c>
      <c r="D302" s="0" t="n">
        <v>0.9641</v>
      </c>
      <c r="E302" s="0" t="n">
        <v>0.4805</v>
      </c>
      <c r="F302" s="0" t="n">
        <v>0.3326</v>
      </c>
      <c r="G302" s="0" t="n">
        <v>0.2169</v>
      </c>
      <c r="H302" s="0" t="n">
        <v>1.3727</v>
      </c>
      <c r="I302" s="0" t="n">
        <v>-1.6917</v>
      </c>
      <c r="J302" s="0" t="n">
        <v>1.5646</v>
      </c>
      <c r="K302" s="0" t="n">
        <v>-0.4386</v>
      </c>
      <c r="L302" s="0" t="n">
        <v>-0.8972</v>
      </c>
      <c r="M302" s="0" t="n">
        <v>-0.7723</v>
      </c>
      <c r="N302" s="0" t="n">
        <v>-0.866</v>
      </c>
      <c r="O302" s="0" t="n">
        <v>-0.1288</v>
      </c>
      <c r="P302" s="0" t="n">
        <v>0.7775</v>
      </c>
      <c r="Q302" s="0" t="n">
        <v>-0.8011</v>
      </c>
      <c r="R302" s="0" t="n">
        <v>0.8096</v>
      </c>
      <c r="S302" s="0" t="n">
        <v>-0.4901</v>
      </c>
      <c r="T302" s="0" t="n">
        <v>0.0033</v>
      </c>
      <c r="U302" s="0" t="n">
        <v>1.4262</v>
      </c>
      <c r="V302" s="0" t="n">
        <v>-0.3285</v>
      </c>
      <c r="W302" s="0" t="n">
        <v>-1.1064</v>
      </c>
      <c r="X302" s="0" t="n">
        <v>0.0789</v>
      </c>
      <c r="Y302" s="0" t="n">
        <v>0.4113</v>
      </c>
      <c r="Z302" s="0" t="n">
        <v>-0.3644</v>
      </c>
      <c r="AA302" s="0" t="n">
        <v>-0.3951</v>
      </c>
      <c r="AB302" s="0" t="n">
        <v>0.6297</v>
      </c>
      <c r="AC302" s="0" t="n">
        <v>-0.9137</v>
      </c>
      <c r="AD302" s="0" t="n">
        <v>-0.1317</v>
      </c>
      <c r="AE302" s="0" t="n">
        <v>-0.7833</v>
      </c>
      <c r="AG302" s="9" t="n">
        <f aca="false">SUMPRODUCT(($B$2:$AE$2&lt;=Portafolio!$B$5)*EXP(LN(Portafolio!$B$7)+Portafolio!$B$6*B302:AE302))/1000</f>
        <v>2.33336275577927</v>
      </c>
    </row>
    <row r="303" customFormat="false" ht="15" hidden="false" customHeight="false" outlineLevel="0" collapsed="false">
      <c r="A303" s="0" t="n">
        <v>301</v>
      </c>
      <c r="B303" s="0" t="n">
        <v>0.62</v>
      </c>
      <c r="C303" s="0" t="n">
        <v>-0.4085</v>
      </c>
      <c r="D303" s="0" t="n">
        <v>0.3634</v>
      </c>
      <c r="E303" s="0" t="n">
        <v>-0.0196</v>
      </c>
      <c r="F303" s="0" t="n">
        <v>-0.0695</v>
      </c>
      <c r="G303" s="0" t="n">
        <v>-0.8399</v>
      </c>
      <c r="H303" s="0" t="n">
        <v>1.2618</v>
      </c>
      <c r="I303" s="0" t="n">
        <v>-0.5103</v>
      </c>
      <c r="J303" s="0" t="n">
        <v>-0.1268</v>
      </c>
      <c r="K303" s="0" t="n">
        <v>-1.2509</v>
      </c>
      <c r="L303" s="0" t="n">
        <v>0.0819</v>
      </c>
      <c r="M303" s="0" t="n">
        <v>-0.8122</v>
      </c>
      <c r="N303" s="0" t="n">
        <v>-1.0645</v>
      </c>
      <c r="O303" s="0" t="n">
        <v>1.0212</v>
      </c>
      <c r="P303" s="0" t="n">
        <v>0.7666</v>
      </c>
      <c r="Q303" s="0" t="n">
        <v>0.3035</v>
      </c>
      <c r="R303" s="0" t="n">
        <v>0.2028</v>
      </c>
      <c r="S303" s="0" t="n">
        <v>0.588</v>
      </c>
      <c r="T303" s="0" t="n">
        <v>-0.0049</v>
      </c>
      <c r="U303" s="0" t="n">
        <v>0.2267</v>
      </c>
      <c r="V303" s="0" t="n">
        <v>-0.979</v>
      </c>
      <c r="W303" s="0" t="n">
        <v>-0.3645</v>
      </c>
      <c r="X303" s="0" t="n">
        <v>-0.1576</v>
      </c>
      <c r="Y303" s="0" t="n">
        <v>-2.5378</v>
      </c>
      <c r="Z303" s="0" t="n">
        <v>-1.1994</v>
      </c>
      <c r="AA303" s="0" t="n">
        <v>-0.8399</v>
      </c>
      <c r="AB303" s="0" t="n">
        <v>2.0273</v>
      </c>
      <c r="AC303" s="0" t="n">
        <v>-1.5664</v>
      </c>
      <c r="AD303" s="0" t="n">
        <v>-1.8702</v>
      </c>
      <c r="AE303" s="0" t="n">
        <v>0.7</v>
      </c>
      <c r="AG303" s="9" t="n">
        <f aca="false">SUMPRODUCT(($B$2:$AE$2&lt;=Portafolio!$B$5)*EXP(LN(Portafolio!$B$7)+Portafolio!$B$6*B303:AE303))/1000</f>
        <v>2.18126707263122</v>
      </c>
    </row>
    <row r="304" customFormat="false" ht="15" hidden="false" customHeight="false" outlineLevel="0" collapsed="false">
      <c r="A304" s="0" t="n">
        <v>302</v>
      </c>
      <c r="B304" s="0" t="n">
        <v>-0.993</v>
      </c>
      <c r="C304" s="0" t="n">
        <v>0.4975</v>
      </c>
      <c r="D304" s="0" t="n">
        <v>-0.0454</v>
      </c>
      <c r="E304" s="0" t="n">
        <v>1.6501</v>
      </c>
      <c r="F304" s="0" t="n">
        <v>-0.0094</v>
      </c>
      <c r="G304" s="0" t="n">
        <v>0.8708</v>
      </c>
      <c r="H304" s="0" t="n">
        <v>-0.1717</v>
      </c>
      <c r="I304" s="0" t="n">
        <v>0.0626</v>
      </c>
      <c r="J304" s="0" t="n">
        <v>0.0184</v>
      </c>
      <c r="K304" s="0" t="n">
        <v>-0.0395</v>
      </c>
      <c r="L304" s="0" t="n">
        <v>1.4239</v>
      </c>
      <c r="M304" s="0" t="n">
        <v>1.5878</v>
      </c>
      <c r="N304" s="0" t="n">
        <v>0.0316</v>
      </c>
      <c r="O304" s="0" t="n">
        <v>-0.206</v>
      </c>
      <c r="P304" s="0" t="n">
        <v>0.1933</v>
      </c>
      <c r="Q304" s="0" t="n">
        <v>1.0133</v>
      </c>
      <c r="R304" s="0" t="n">
        <v>0.7253</v>
      </c>
      <c r="S304" s="0" t="n">
        <v>0.0863</v>
      </c>
      <c r="T304" s="0" t="n">
        <v>-1.5802</v>
      </c>
      <c r="U304" s="0" t="n">
        <v>2.3222</v>
      </c>
      <c r="V304" s="0" t="n">
        <v>1.4664</v>
      </c>
      <c r="W304" s="0" t="n">
        <v>0.4979</v>
      </c>
      <c r="X304" s="0" t="n">
        <v>0.3341</v>
      </c>
      <c r="Y304" s="0" t="n">
        <v>1.3627</v>
      </c>
      <c r="Z304" s="0" t="n">
        <v>1.6684</v>
      </c>
      <c r="AA304" s="0" t="n">
        <v>0.1226</v>
      </c>
      <c r="AB304" s="0" t="n">
        <v>0.318</v>
      </c>
      <c r="AC304" s="0" t="n">
        <v>-0.165</v>
      </c>
      <c r="AD304" s="0" t="n">
        <v>1.9533</v>
      </c>
      <c r="AE304" s="0" t="n">
        <v>-0.3381</v>
      </c>
      <c r="AG304" s="9" t="n">
        <f aca="false">SUMPRODUCT(($B$2:$AE$2&lt;=Portafolio!$B$5)*EXP(LN(Portafolio!$B$7)+Portafolio!$B$6*B304:AE304))/1000</f>
        <v>2.8991215969563</v>
      </c>
    </row>
    <row r="305" customFormat="false" ht="15" hidden="false" customHeight="false" outlineLevel="0" collapsed="false">
      <c r="A305" s="0" t="n">
        <v>303</v>
      </c>
      <c r="B305" s="0" t="n">
        <v>-0.4139</v>
      </c>
      <c r="C305" s="0" t="n">
        <v>1.0725</v>
      </c>
      <c r="D305" s="0" t="n">
        <v>0.6327</v>
      </c>
      <c r="E305" s="0" t="n">
        <v>0.0207</v>
      </c>
      <c r="F305" s="0" t="n">
        <v>0.8604</v>
      </c>
      <c r="G305" s="0" t="n">
        <v>0.3217</v>
      </c>
      <c r="H305" s="0" t="n">
        <v>-0.0015</v>
      </c>
      <c r="I305" s="0" t="n">
        <v>0.3791</v>
      </c>
      <c r="J305" s="0" t="n">
        <v>0.5897</v>
      </c>
      <c r="K305" s="0" t="n">
        <v>0.2462</v>
      </c>
      <c r="L305" s="0" t="n">
        <v>0.5054</v>
      </c>
      <c r="M305" s="0" t="n">
        <v>0.1929</v>
      </c>
      <c r="N305" s="0" t="n">
        <v>0.5507</v>
      </c>
      <c r="O305" s="0" t="n">
        <v>-0.8969</v>
      </c>
      <c r="P305" s="0" t="n">
        <v>1.7099</v>
      </c>
      <c r="Q305" s="0" t="n">
        <v>1.0481</v>
      </c>
      <c r="R305" s="0" t="n">
        <v>0.3352</v>
      </c>
      <c r="S305" s="0" t="n">
        <v>0.628</v>
      </c>
      <c r="T305" s="0" t="n">
        <v>1.8351</v>
      </c>
      <c r="U305" s="0" t="n">
        <v>0.5156</v>
      </c>
      <c r="V305" s="0" t="n">
        <v>-1.2467</v>
      </c>
      <c r="W305" s="0" t="n">
        <v>0.426</v>
      </c>
      <c r="X305" s="0" t="n">
        <v>-1.9523</v>
      </c>
      <c r="Y305" s="0" t="n">
        <v>-0.1414</v>
      </c>
      <c r="Z305" s="0" t="n">
        <v>1.4667</v>
      </c>
      <c r="AA305" s="0" t="n">
        <v>-1.039</v>
      </c>
      <c r="AB305" s="0" t="n">
        <v>-1.5139</v>
      </c>
      <c r="AC305" s="0" t="n">
        <v>-0.3096</v>
      </c>
      <c r="AD305" s="0" t="n">
        <v>0.4143</v>
      </c>
      <c r="AE305" s="0" t="n">
        <v>1.9506</v>
      </c>
      <c r="AG305" s="9" t="n">
        <f aca="false">SUMPRODUCT(($B$2:$AE$2&lt;=Portafolio!$B$5)*EXP(LN(Portafolio!$B$7)+Portafolio!$B$6*B305:AE305))/1000</f>
        <v>2.90520742168287</v>
      </c>
    </row>
    <row r="306" customFormat="false" ht="15" hidden="false" customHeight="false" outlineLevel="0" collapsed="false">
      <c r="A306" s="0" t="n">
        <v>304</v>
      </c>
      <c r="B306" s="0" t="n">
        <v>-0.2268</v>
      </c>
      <c r="C306" s="0" t="n">
        <v>-0.0244</v>
      </c>
      <c r="D306" s="0" t="n">
        <v>-1.1723</v>
      </c>
      <c r="E306" s="0" t="n">
        <v>2.1238</v>
      </c>
      <c r="F306" s="0" t="n">
        <v>-0.1319</v>
      </c>
      <c r="G306" s="0" t="n">
        <v>0.488</v>
      </c>
      <c r="H306" s="0" t="n">
        <v>1.0526</v>
      </c>
      <c r="I306" s="0" t="n">
        <v>-0.0955</v>
      </c>
      <c r="J306" s="0" t="n">
        <v>-0.8471</v>
      </c>
      <c r="K306" s="0" t="n">
        <v>-0.4258</v>
      </c>
      <c r="L306" s="0" t="n">
        <v>-0.056</v>
      </c>
      <c r="M306" s="0" t="n">
        <v>0.8803</v>
      </c>
      <c r="N306" s="0" t="n">
        <v>1.0572</v>
      </c>
      <c r="O306" s="0" t="n">
        <v>-0.4738</v>
      </c>
      <c r="P306" s="0" t="n">
        <v>-0.3268</v>
      </c>
      <c r="Q306" s="0" t="n">
        <v>-1.3409</v>
      </c>
      <c r="R306" s="0" t="n">
        <v>0.0586</v>
      </c>
      <c r="S306" s="0" t="n">
        <v>2.1748</v>
      </c>
      <c r="T306" s="0" t="n">
        <v>0.4757</v>
      </c>
      <c r="U306" s="0" t="n">
        <v>-0.2715</v>
      </c>
      <c r="V306" s="0" t="n">
        <v>1.5347</v>
      </c>
      <c r="W306" s="0" t="n">
        <v>0.4797</v>
      </c>
      <c r="X306" s="0" t="n">
        <v>1.1752</v>
      </c>
      <c r="Y306" s="0" t="n">
        <v>1.6291</v>
      </c>
      <c r="Z306" s="0" t="n">
        <v>-1.2008</v>
      </c>
      <c r="AA306" s="0" t="n">
        <v>0.0963</v>
      </c>
      <c r="AB306" s="0" t="n">
        <v>-0.2023</v>
      </c>
      <c r="AC306" s="0" t="n">
        <v>1.2568</v>
      </c>
      <c r="AD306" s="0" t="n">
        <v>-0.0692</v>
      </c>
      <c r="AE306" s="0" t="n">
        <v>0.1673</v>
      </c>
      <c r="AG306" s="9" t="n">
        <f aca="false">SUMPRODUCT(($B$2:$AE$2&lt;=Portafolio!$B$5)*EXP(LN(Portafolio!$B$7)+Portafolio!$B$6*B306:AE306))/1000</f>
        <v>2.58676642520592</v>
      </c>
    </row>
    <row r="307" customFormat="false" ht="15" hidden="false" customHeight="false" outlineLevel="0" collapsed="false">
      <c r="A307" s="0" t="n">
        <v>305</v>
      </c>
      <c r="B307" s="0" t="n">
        <v>-1.9817</v>
      </c>
      <c r="C307" s="0" t="n">
        <v>-0.4431</v>
      </c>
      <c r="D307" s="0" t="n">
        <v>-0.5631</v>
      </c>
      <c r="E307" s="0" t="n">
        <v>-0.9682</v>
      </c>
      <c r="F307" s="0" t="n">
        <v>0.1825</v>
      </c>
      <c r="G307" s="0" t="n">
        <v>-0.2553</v>
      </c>
      <c r="H307" s="0" t="n">
        <v>0.2206</v>
      </c>
      <c r="I307" s="0" t="n">
        <v>0.9322</v>
      </c>
      <c r="J307" s="0" t="n">
        <v>0.43</v>
      </c>
      <c r="K307" s="0" t="n">
        <v>0.0609</v>
      </c>
      <c r="L307" s="0" t="n">
        <v>0.3478</v>
      </c>
      <c r="M307" s="0" t="n">
        <v>-1.0727</v>
      </c>
      <c r="N307" s="0" t="n">
        <v>-0.3598</v>
      </c>
      <c r="O307" s="0" t="n">
        <v>-0.5267</v>
      </c>
      <c r="P307" s="0" t="n">
        <v>1.9044</v>
      </c>
      <c r="Q307" s="0" t="n">
        <v>-1.2142</v>
      </c>
      <c r="R307" s="0" t="n">
        <v>-0.3507</v>
      </c>
      <c r="S307" s="0" t="n">
        <v>0.5652</v>
      </c>
      <c r="T307" s="0" t="n">
        <v>-0.4619</v>
      </c>
      <c r="U307" s="0" t="n">
        <v>0.6758</v>
      </c>
      <c r="V307" s="0" t="n">
        <v>-1.1274</v>
      </c>
      <c r="W307" s="0" t="n">
        <v>1.018</v>
      </c>
      <c r="X307" s="0" t="n">
        <v>0.2213</v>
      </c>
      <c r="Y307" s="0" t="n">
        <v>-2.1333</v>
      </c>
      <c r="Z307" s="0" t="n">
        <v>-1.3938</v>
      </c>
      <c r="AA307" s="0" t="n">
        <v>-1.2282</v>
      </c>
      <c r="AB307" s="0" t="n">
        <v>-0.242</v>
      </c>
      <c r="AC307" s="0" t="n">
        <v>-0.327</v>
      </c>
      <c r="AD307" s="0" t="n">
        <v>0.3424</v>
      </c>
      <c r="AE307" s="0" t="n">
        <v>0.6496</v>
      </c>
      <c r="AG307" s="9" t="n">
        <f aca="false">SUMPRODUCT(($B$2:$AE$2&lt;=Portafolio!$B$5)*EXP(LN(Portafolio!$B$7)+Portafolio!$B$6*B307:AE307))/1000</f>
        <v>2.09218938871827</v>
      </c>
    </row>
    <row r="308" customFormat="false" ht="15" hidden="false" customHeight="false" outlineLevel="0" collapsed="false">
      <c r="A308" s="0" t="n">
        <v>306</v>
      </c>
      <c r="B308" s="0" t="n">
        <v>0.6053</v>
      </c>
      <c r="C308" s="0" t="n">
        <v>0.4845</v>
      </c>
      <c r="D308" s="0" t="n">
        <v>-0.7997</v>
      </c>
      <c r="E308" s="0" t="n">
        <v>-1.4423</v>
      </c>
      <c r="F308" s="0" t="n">
        <v>-1.1932</v>
      </c>
      <c r="G308" s="0" t="n">
        <v>0.393</v>
      </c>
      <c r="H308" s="0" t="n">
        <v>-0.9568</v>
      </c>
      <c r="I308" s="0" t="n">
        <v>-1.1789</v>
      </c>
      <c r="J308" s="0" t="n">
        <v>-0.8565</v>
      </c>
      <c r="K308" s="0" t="n">
        <v>0.4111</v>
      </c>
      <c r="L308" s="0" t="n">
        <v>-1.3073</v>
      </c>
      <c r="M308" s="0" t="n">
        <v>-0.177</v>
      </c>
      <c r="N308" s="0" t="n">
        <v>0.727</v>
      </c>
      <c r="O308" s="0" t="n">
        <v>0.8384</v>
      </c>
      <c r="P308" s="0" t="n">
        <v>-1.6913</v>
      </c>
      <c r="Q308" s="0" t="n">
        <v>-0.0157</v>
      </c>
      <c r="R308" s="0" t="n">
        <v>-0.5551</v>
      </c>
      <c r="S308" s="0" t="n">
        <v>2.4658</v>
      </c>
      <c r="T308" s="0" t="n">
        <v>-0.2365</v>
      </c>
      <c r="U308" s="0" t="n">
        <v>-1.3748</v>
      </c>
      <c r="V308" s="0" t="n">
        <v>-0.6123</v>
      </c>
      <c r="W308" s="0" t="n">
        <v>-0.0054</v>
      </c>
      <c r="X308" s="0" t="n">
        <v>-0.4648</v>
      </c>
      <c r="Y308" s="0" t="n">
        <v>0.7252</v>
      </c>
      <c r="Z308" s="0" t="n">
        <v>-0.3854</v>
      </c>
      <c r="AA308" s="0" t="n">
        <v>0.0579</v>
      </c>
      <c r="AB308" s="0" t="n">
        <v>3.4032</v>
      </c>
      <c r="AC308" s="0" t="n">
        <v>0.4506</v>
      </c>
      <c r="AD308" s="0" t="n">
        <v>0.8434</v>
      </c>
      <c r="AE308" s="0" t="n">
        <v>0.0435</v>
      </c>
      <c r="AG308" s="9" t="n">
        <f aca="false">SUMPRODUCT(($B$2:$AE$2&lt;=Portafolio!$B$5)*EXP(LN(Portafolio!$B$7)+Portafolio!$B$6*B308:AE308))/1000</f>
        <v>2.08264839779359</v>
      </c>
    </row>
    <row r="309" customFormat="false" ht="15" hidden="false" customHeight="false" outlineLevel="0" collapsed="false">
      <c r="A309" s="0" t="n">
        <v>307</v>
      </c>
      <c r="B309" s="0" t="n">
        <v>-2.4257</v>
      </c>
      <c r="C309" s="0" t="n">
        <v>1.6874</v>
      </c>
      <c r="D309" s="0" t="n">
        <v>-0.4482</v>
      </c>
      <c r="E309" s="0" t="n">
        <v>0.6933</v>
      </c>
      <c r="F309" s="0" t="n">
        <v>-1.3999</v>
      </c>
      <c r="G309" s="0" t="n">
        <v>0.1321</v>
      </c>
      <c r="H309" s="0" t="n">
        <v>1.0864</v>
      </c>
      <c r="I309" s="0" t="n">
        <v>-1.0755</v>
      </c>
      <c r="J309" s="0" t="n">
        <v>1.9153</v>
      </c>
      <c r="K309" s="0" t="n">
        <v>0.9914</v>
      </c>
      <c r="L309" s="0" t="n">
        <v>0.3925</v>
      </c>
      <c r="M309" s="0" t="n">
        <v>-0.2566</v>
      </c>
      <c r="N309" s="0" t="n">
        <v>0.9425</v>
      </c>
      <c r="O309" s="0" t="n">
        <v>-2.0053</v>
      </c>
      <c r="P309" s="0" t="n">
        <v>1.2528</v>
      </c>
      <c r="Q309" s="0" t="n">
        <v>-1.9466</v>
      </c>
      <c r="R309" s="0" t="n">
        <v>-0.5001</v>
      </c>
      <c r="S309" s="0" t="n">
        <v>1.3316</v>
      </c>
      <c r="T309" s="0" t="n">
        <v>0.3359</v>
      </c>
      <c r="U309" s="0" t="n">
        <v>-1.8595</v>
      </c>
      <c r="V309" s="0" t="n">
        <v>-1.6538</v>
      </c>
      <c r="W309" s="0" t="n">
        <v>-1.2562</v>
      </c>
      <c r="X309" s="0" t="n">
        <v>-0.5248</v>
      </c>
      <c r="Y309" s="0" t="n">
        <v>-0.8305</v>
      </c>
      <c r="Z309" s="0" t="n">
        <v>0.97</v>
      </c>
      <c r="AA309" s="0" t="n">
        <v>-0.3406</v>
      </c>
      <c r="AB309" s="0" t="n">
        <v>1.7501</v>
      </c>
      <c r="AC309" s="0" t="n">
        <v>1.3493</v>
      </c>
      <c r="AD309" s="0" t="n">
        <v>-1.2281</v>
      </c>
      <c r="AE309" s="0" t="n">
        <v>1.2865</v>
      </c>
      <c r="AG309" s="9" t="n">
        <f aca="false">SUMPRODUCT(($B$2:$AE$2&lt;=Portafolio!$B$5)*EXP(LN(Portafolio!$B$7)+Portafolio!$B$6*B309:AE309))/1000</f>
        <v>2.53217578750666</v>
      </c>
    </row>
    <row r="310" customFormat="false" ht="15" hidden="false" customHeight="false" outlineLevel="0" collapsed="false">
      <c r="A310" s="0" t="n">
        <v>308</v>
      </c>
      <c r="B310" s="0" t="n">
        <v>1.3191</v>
      </c>
      <c r="C310" s="0" t="n">
        <v>-1.141</v>
      </c>
      <c r="D310" s="0" t="n">
        <v>-0.3298</v>
      </c>
      <c r="E310" s="0" t="n">
        <v>-0.8226</v>
      </c>
      <c r="F310" s="0" t="n">
        <v>-0.9995</v>
      </c>
      <c r="G310" s="0" t="n">
        <v>-0.0483</v>
      </c>
      <c r="H310" s="0" t="n">
        <v>0.3121</v>
      </c>
      <c r="I310" s="0" t="n">
        <v>-0.8098</v>
      </c>
      <c r="J310" s="0" t="n">
        <v>-1.6047</v>
      </c>
      <c r="K310" s="0" t="n">
        <v>0.6389</v>
      </c>
      <c r="L310" s="0" t="n">
        <v>1.3321</v>
      </c>
      <c r="M310" s="0" t="n">
        <v>1.15</v>
      </c>
      <c r="N310" s="0" t="n">
        <v>-1.4199</v>
      </c>
      <c r="O310" s="0" t="n">
        <v>-0.5001</v>
      </c>
      <c r="P310" s="0" t="n">
        <v>-0.3158</v>
      </c>
      <c r="Q310" s="0" t="n">
        <v>-0.6772</v>
      </c>
      <c r="R310" s="0" t="n">
        <v>1.0661</v>
      </c>
      <c r="S310" s="0" t="n">
        <v>-0.8943</v>
      </c>
      <c r="T310" s="0" t="n">
        <v>-0.2953</v>
      </c>
      <c r="U310" s="0" t="n">
        <v>0.3714</v>
      </c>
      <c r="V310" s="0" t="n">
        <v>0.0733</v>
      </c>
      <c r="W310" s="0" t="n">
        <v>0.2566</v>
      </c>
      <c r="X310" s="0" t="n">
        <v>-0.1381</v>
      </c>
      <c r="Y310" s="0" t="n">
        <v>0.5249</v>
      </c>
      <c r="Z310" s="0" t="n">
        <v>0.3233</v>
      </c>
      <c r="AA310" s="0" t="n">
        <v>0.0621</v>
      </c>
      <c r="AB310" s="0" t="n">
        <v>0.5603</v>
      </c>
      <c r="AC310" s="0" t="n">
        <v>0.4206</v>
      </c>
      <c r="AD310" s="0" t="n">
        <v>0.7089</v>
      </c>
      <c r="AE310" s="0" t="n">
        <v>0.484</v>
      </c>
      <c r="AG310" s="9" t="n">
        <f aca="false">SUMPRODUCT(($B$2:$AE$2&lt;=Portafolio!$B$5)*EXP(LN(Portafolio!$B$7)+Portafolio!$B$6*B310:AE310))/1000</f>
        <v>2.07786125139173</v>
      </c>
    </row>
    <row r="311" customFormat="false" ht="15" hidden="false" customHeight="false" outlineLevel="0" collapsed="false">
      <c r="A311" s="0" t="n">
        <v>309</v>
      </c>
      <c r="B311" s="0" t="n">
        <v>0.4597</v>
      </c>
      <c r="C311" s="0" t="n">
        <v>0.3634</v>
      </c>
      <c r="D311" s="0" t="n">
        <v>-0.8474</v>
      </c>
      <c r="E311" s="0" t="n">
        <v>-0.473</v>
      </c>
      <c r="F311" s="0" t="n">
        <v>-0.293</v>
      </c>
      <c r="G311" s="0" t="n">
        <v>-0.6631</v>
      </c>
      <c r="H311" s="0" t="n">
        <v>-0.4722</v>
      </c>
      <c r="I311" s="0" t="n">
        <v>-0.6615</v>
      </c>
      <c r="J311" s="0" t="n">
        <v>-0.6883</v>
      </c>
      <c r="K311" s="0" t="n">
        <v>0.3314</v>
      </c>
      <c r="L311" s="0" t="n">
        <v>2.9882</v>
      </c>
      <c r="M311" s="0" t="n">
        <v>1.9253</v>
      </c>
      <c r="N311" s="0" t="n">
        <v>-0.0038</v>
      </c>
      <c r="O311" s="0" t="n">
        <v>0.0727</v>
      </c>
      <c r="P311" s="0" t="n">
        <v>-0.2539</v>
      </c>
      <c r="Q311" s="0" t="n">
        <v>-0.2268</v>
      </c>
      <c r="R311" s="0" t="n">
        <v>0.5749</v>
      </c>
      <c r="S311" s="0" t="n">
        <v>0.4306</v>
      </c>
      <c r="T311" s="0" t="n">
        <v>0.2846</v>
      </c>
      <c r="U311" s="0" t="n">
        <v>0.9238</v>
      </c>
      <c r="V311" s="0" t="n">
        <v>-0.4384</v>
      </c>
      <c r="W311" s="0" t="n">
        <v>0.7388</v>
      </c>
      <c r="X311" s="0" t="n">
        <v>0.1701</v>
      </c>
      <c r="Y311" s="0" t="n">
        <v>-0.9651</v>
      </c>
      <c r="Z311" s="0" t="n">
        <v>1.2579</v>
      </c>
      <c r="AA311" s="0" t="n">
        <v>-0.9153</v>
      </c>
      <c r="AB311" s="0" t="n">
        <v>0.7953</v>
      </c>
      <c r="AC311" s="0" t="n">
        <v>-0.7064</v>
      </c>
      <c r="AD311" s="0" t="n">
        <v>-0.6855</v>
      </c>
      <c r="AE311" s="0" t="n">
        <v>1.1254</v>
      </c>
      <c r="AG311" s="9" t="n">
        <f aca="false">SUMPRODUCT(($B$2:$AE$2&lt;=Portafolio!$B$5)*EXP(LN(Portafolio!$B$7)+Portafolio!$B$6*B311:AE311))/1000</f>
        <v>2.73224241703987</v>
      </c>
    </row>
    <row r="312" customFormat="false" ht="15" hidden="false" customHeight="false" outlineLevel="0" collapsed="false">
      <c r="A312" s="0" t="n">
        <v>310</v>
      </c>
      <c r="B312" s="0" t="n">
        <v>0.4061</v>
      </c>
      <c r="C312" s="0" t="n">
        <v>-0.0033</v>
      </c>
      <c r="D312" s="0" t="n">
        <v>-0.7787</v>
      </c>
      <c r="E312" s="0" t="n">
        <v>-1.6967</v>
      </c>
      <c r="F312" s="0" t="n">
        <v>-0.4871</v>
      </c>
      <c r="G312" s="0" t="n">
        <v>-0.1657</v>
      </c>
      <c r="H312" s="0" t="n">
        <v>0.8902</v>
      </c>
      <c r="I312" s="0" t="n">
        <v>-0.0106</v>
      </c>
      <c r="J312" s="0" t="n">
        <v>1.0007</v>
      </c>
      <c r="K312" s="0" t="n">
        <v>-0.5352</v>
      </c>
      <c r="L312" s="0" t="n">
        <v>0.9107</v>
      </c>
      <c r="M312" s="0" t="n">
        <v>0.8341</v>
      </c>
      <c r="N312" s="0" t="n">
        <v>-0.2404</v>
      </c>
      <c r="O312" s="0" t="n">
        <v>0.8254</v>
      </c>
      <c r="P312" s="0" t="n">
        <v>1.6652</v>
      </c>
      <c r="Q312" s="0" t="n">
        <v>-1.3597</v>
      </c>
      <c r="R312" s="0" t="n">
        <v>-1.2997</v>
      </c>
      <c r="S312" s="0" t="n">
        <v>-0.6679</v>
      </c>
      <c r="T312" s="0" t="n">
        <v>-0.5578</v>
      </c>
      <c r="U312" s="0" t="n">
        <v>-0.939</v>
      </c>
      <c r="V312" s="0" t="n">
        <v>0.1513</v>
      </c>
      <c r="W312" s="0" t="n">
        <v>-1.3585</v>
      </c>
      <c r="X312" s="0" t="n">
        <v>1.7995</v>
      </c>
      <c r="Y312" s="0" t="n">
        <v>-0.0848</v>
      </c>
      <c r="Z312" s="0" t="n">
        <v>0.2084</v>
      </c>
      <c r="AA312" s="0" t="n">
        <v>-0.1795</v>
      </c>
      <c r="AB312" s="0" t="n">
        <v>-0.5614</v>
      </c>
      <c r="AC312" s="0" t="n">
        <v>0.1178</v>
      </c>
      <c r="AD312" s="0" t="n">
        <v>-0.1334</v>
      </c>
      <c r="AE312" s="0" t="n">
        <v>0.366</v>
      </c>
      <c r="AG312" s="9" t="n">
        <f aca="false">SUMPRODUCT(($B$2:$AE$2&lt;=Portafolio!$B$5)*EXP(LN(Portafolio!$B$7)+Portafolio!$B$6*B312:AE312))/1000</f>
        <v>2.16161761877506</v>
      </c>
    </row>
    <row r="313" customFormat="false" ht="15" hidden="false" customHeight="false" outlineLevel="0" collapsed="false">
      <c r="A313" s="0" t="n">
        <v>311</v>
      </c>
      <c r="B313" s="0" t="n">
        <v>0.7479</v>
      </c>
      <c r="C313" s="0" t="n">
        <v>-0.8105</v>
      </c>
      <c r="D313" s="0" t="n">
        <v>-1.7536</v>
      </c>
      <c r="E313" s="0" t="n">
        <v>-0.6558</v>
      </c>
      <c r="F313" s="0" t="n">
        <v>0.2449</v>
      </c>
      <c r="G313" s="0" t="n">
        <v>-1.9968</v>
      </c>
      <c r="H313" s="0" t="n">
        <v>0.4499</v>
      </c>
      <c r="I313" s="0" t="n">
        <v>0.1045</v>
      </c>
      <c r="J313" s="0" t="n">
        <v>-1.3102</v>
      </c>
      <c r="K313" s="0" t="n">
        <v>0.2126</v>
      </c>
      <c r="L313" s="0" t="n">
        <v>0.9259</v>
      </c>
      <c r="M313" s="0" t="n">
        <v>-0.0884</v>
      </c>
      <c r="N313" s="0" t="n">
        <v>0.4848</v>
      </c>
      <c r="O313" s="0" t="n">
        <v>0.5718</v>
      </c>
      <c r="P313" s="0" t="n">
        <v>1.1694</v>
      </c>
      <c r="Q313" s="0" t="n">
        <v>1.1758</v>
      </c>
      <c r="R313" s="0" t="n">
        <v>-0.7278</v>
      </c>
      <c r="S313" s="0" t="n">
        <v>-0.2132</v>
      </c>
      <c r="T313" s="0" t="n">
        <v>0.0402</v>
      </c>
      <c r="U313" s="0" t="n">
        <v>-0.9816</v>
      </c>
      <c r="V313" s="0" t="n">
        <v>0.1268</v>
      </c>
      <c r="W313" s="0" t="n">
        <v>0.3657</v>
      </c>
      <c r="X313" s="0" t="n">
        <v>0.3235</v>
      </c>
      <c r="Y313" s="0" t="n">
        <v>-1.8536</v>
      </c>
      <c r="Z313" s="0" t="n">
        <v>-0.6244</v>
      </c>
      <c r="AA313" s="0" t="n">
        <v>-2.4525</v>
      </c>
      <c r="AB313" s="0" t="n">
        <v>0.101</v>
      </c>
      <c r="AC313" s="0" t="n">
        <v>-0.0233</v>
      </c>
      <c r="AD313" s="0" t="n">
        <v>0.7876</v>
      </c>
      <c r="AE313" s="0" t="n">
        <v>0.8818</v>
      </c>
      <c r="AG313" s="9" t="n">
        <f aca="false">SUMPRODUCT(($B$2:$AE$2&lt;=Portafolio!$B$5)*EXP(LN(Portafolio!$B$7)+Portafolio!$B$6*B313:AE313))/1000</f>
        <v>2.12168402328455</v>
      </c>
    </row>
    <row r="314" customFormat="false" ht="15" hidden="false" customHeight="false" outlineLevel="0" collapsed="false">
      <c r="A314" s="0" t="n">
        <v>312</v>
      </c>
      <c r="B314" s="0" t="n">
        <v>-0.929</v>
      </c>
      <c r="C314" s="0" t="n">
        <v>-0.0954</v>
      </c>
      <c r="D314" s="0" t="n">
        <v>0.1649</v>
      </c>
      <c r="E314" s="0" t="n">
        <v>0.7684</v>
      </c>
      <c r="F314" s="0" t="n">
        <v>1.1518</v>
      </c>
      <c r="G314" s="0" t="n">
        <v>-0.1796</v>
      </c>
      <c r="H314" s="0" t="n">
        <v>-1.4444</v>
      </c>
      <c r="I314" s="0" t="n">
        <v>0.7803</v>
      </c>
      <c r="J314" s="0" t="n">
        <v>-0.2009</v>
      </c>
      <c r="K314" s="0" t="n">
        <v>-1.7822</v>
      </c>
      <c r="L314" s="0" t="n">
        <v>0.1803</v>
      </c>
      <c r="M314" s="0" t="n">
        <v>-0.8393</v>
      </c>
      <c r="N314" s="0" t="n">
        <v>0.0385</v>
      </c>
      <c r="O314" s="0" t="n">
        <v>1.1803</v>
      </c>
      <c r="P314" s="0" t="n">
        <v>-0.0552</v>
      </c>
      <c r="Q314" s="0" t="n">
        <v>-0.788</v>
      </c>
      <c r="R314" s="0" t="n">
        <v>0.4235</v>
      </c>
      <c r="S314" s="0" t="n">
        <v>-0.2811</v>
      </c>
      <c r="T314" s="0" t="n">
        <v>0.1067</v>
      </c>
      <c r="U314" s="0" t="n">
        <v>0.9809</v>
      </c>
      <c r="V314" s="0" t="n">
        <v>0.2343</v>
      </c>
      <c r="W314" s="0" t="n">
        <v>0.4771</v>
      </c>
      <c r="X314" s="0" t="n">
        <v>-0.0491</v>
      </c>
      <c r="Y314" s="0" t="n">
        <v>0.1197</v>
      </c>
      <c r="Z314" s="0" t="n">
        <v>-1.0139</v>
      </c>
      <c r="AA314" s="0" t="n">
        <v>-0.7502</v>
      </c>
      <c r="AB314" s="0" t="n">
        <v>1.0211</v>
      </c>
      <c r="AC314" s="0" t="n">
        <v>1.2875</v>
      </c>
      <c r="AD314" s="0" t="n">
        <v>-1.0717</v>
      </c>
      <c r="AE314" s="0" t="n">
        <v>0.6617</v>
      </c>
      <c r="AG314" s="9" t="n">
        <f aca="false">SUMPRODUCT(($B$2:$AE$2&lt;=Portafolio!$B$5)*EXP(LN(Portafolio!$B$7)+Portafolio!$B$6*B314:AE314))/1000</f>
        <v>2.17121460561547</v>
      </c>
    </row>
    <row r="315" customFormat="false" ht="15" hidden="false" customHeight="false" outlineLevel="0" collapsed="false">
      <c r="A315" s="0" t="n">
        <v>313</v>
      </c>
      <c r="B315" s="0" t="n">
        <v>0.8813</v>
      </c>
      <c r="C315" s="0" t="n">
        <v>-0.7816</v>
      </c>
      <c r="D315" s="0" t="n">
        <v>0.6987</v>
      </c>
      <c r="E315" s="0" t="n">
        <v>0.5689</v>
      </c>
      <c r="F315" s="0" t="n">
        <v>1.1938</v>
      </c>
      <c r="G315" s="0" t="n">
        <v>1.7176</v>
      </c>
      <c r="H315" s="0" t="n">
        <v>0.0298</v>
      </c>
      <c r="I315" s="0" t="n">
        <v>0.3833</v>
      </c>
      <c r="J315" s="0" t="n">
        <v>-0.8616</v>
      </c>
      <c r="K315" s="0" t="n">
        <v>0.2738</v>
      </c>
      <c r="L315" s="0" t="n">
        <v>0.0433</v>
      </c>
      <c r="M315" s="0" t="n">
        <v>-0.2072</v>
      </c>
      <c r="N315" s="0" t="n">
        <v>0.1463</v>
      </c>
      <c r="O315" s="0" t="n">
        <v>0.8574</v>
      </c>
      <c r="P315" s="0" t="n">
        <v>0.9341</v>
      </c>
      <c r="Q315" s="0" t="n">
        <v>0.7535</v>
      </c>
      <c r="R315" s="0" t="n">
        <v>1.7839</v>
      </c>
      <c r="S315" s="0" t="n">
        <v>-1.3927</v>
      </c>
      <c r="T315" s="0" t="n">
        <v>-0.1267</v>
      </c>
      <c r="U315" s="0" t="n">
        <v>-0.0761</v>
      </c>
      <c r="V315" s="0" t="n">
        <v>-0.3696</v>
      </c>
      <c r="W315" s="0" t="n">
        <v>-0.4328</v>
      </c>
      <c r="X315" s="0" t="n">
        <v>-1.3571</v>
      </c>
      <c r="Y315" s="0" t="n">
        <v>-0.3105</v>
      </c>
      <c r="Z315" s="0" t="n">
        <v>1.2225</v>
      </c>
      <c r="AA315" s="0" t="n">
        <v>-0.4276</v>
      </c>
      <c r="AB315" s="0" t="n">
        <v>-0.0098</v>
      </c>
      <c r="AC315" s="0" t="n">
        <v>0.4236</v>
      </c>
      <c r="AD315" s="0" t="n">
        <v>0.0132</v>
      </c>
      <c r="AE315" s="0" t="n">
        <v>-0.9345</v>
      </c>
      <c r="AG315" s="9" t="n">
        <f aca="false">SUMPRODUCT(($B$2:$AE$2&lt;=Portafolio!$B$5)*EXP(LN(Portafolio!$B$7)+Portafolio!$B$6*B315:AE315))/1000</f>
        <v>2.73801452087896</v>
      </c>
    </row>
    <row r="316" customFormat="false" ht="15" hidden="false" customHeight="false" outlineLevel="0" collapsed="false">
      <c r="A316" s="0" t="n">
        <v>314</v>
      </c>
      <c r="B316" s="0" t="n">
        <v>-0.4817</v>
      </c>
      <c r="C316" s="0" t="n">
        <v>1.1541</v>
      </c>
      <c r="D316" s="0" t="n">
        <v>-0.6458</v>
      </c>
      <c r="E316" s="0" t="n">
        <v>-1.2004</v>
      </c>
      <c r="F316" s="0" t="n">
        <v>1.8987</v>
      </c>
      <c r="G316" s="0" t="n">
        <v>0.1442</v>
      </c>
      <c r="H316" s="0" t="n">
        <v>-1.0653</v>
      </c>
      <c r="I316" s="0" t="n">
        <v>-1.7141</v>
      </c>
      <c r="J316" s="0" t="n">
        <v>-0.7164</v>
      </c>
      <c r="K316" s="0" t="n">
        <v>-1.2768</v>
      </c>
      <c r="L316" s="0" t="n">
        <v>-0.1198</v>
      </c>
      <c r="M316" s="0" t="n">
        <v>0.9147</v>
      </c>
      <c r="N316" s="0" t="n">
        <v>0.7945</v>
      </c>
      <c r="O316" s="0" t="n">
        <v>-0.3519</v>
      </c>
      <c r="P316" s="0" t="n">
        <v>0.6581</v>
      </c>
      <c r="Q316" s="0" t="n">
        <v>-0.4122</v>
      </c>
      <c r="R316" s="0" t="n">
        <v>-2.4885</v>
      </c>
      <c r="S316" s="0" t="n">
        <v>0.6921</v>
      </c>
      <c r="T316" s="0" t="n">
        <v>-0.7724</v>
      </c>
      <c r="U316" s="0" t="n">
        <v>-0.9344</v>
      </c>
      <c r="V316" s="0" t="n">
        <v>0.9999</v>
      </c>
      <c r="W316" s="0" t="n">
        <v>0.0602</v>
      </c>
      <c r="X316" s="0" t="n">
        <v>0.8778</v>
      </c>
      <c r="Y316" s="0" t="n">
        <v>0.9483</v>
      </c>
      <c r="Z316" s="0" t="n">
        <v>0.769</v>
      </c>
      <c r="AA316" s="0" t="n">
        <v>-0.1066</v>
      </c>
      <c r="AB316" s="0" t="n">
        <v>2.0534</v>
      </c>
      <c r="AC316" s="0" t="n">
        <v>-0.9741</v>
      </c>
      <c r="AD316" s="0" t="n">
        <v>0.9725</v>
      </c>
      <c r="AE316" s="0" t="n">
        <v>1.8406</v>
      </c>
      <c r="AG316" s="9" t="n">
        <f aca="false">SUMPRODUCT(($B$2:$AE$2&lt;=Portafolio!$B$5)*EXP(LN(Portafolio!$B$7)+Portafolio!$B$6*B316:AE316))/1000</f>
        <v>2.04151831319527</v>
      </c>
    </row>
    <row r="317" customFormat="false" ht="15" hidden="false" customHeight="false" outlineLevel="0" collapsed="false">
      <c r="A317" s="0" t="n">
        <v>315</v>
      </c>
      <c r="B317" s="0" t="n">
        <v>-0.1467</v>
      </c>
      <c r="C317" s="0" t="n">
        <v>-0.5869</v>
      </c>
      <c r="D317" s="0" t="n">
        <v>0.8547</v>
      </c>
      <c r="E317" s="0" t="n">
        <v>1.0829</v>
      </c>
      <c r="F317" s="0" t="n">
        <v>0.5836</v>
      </c>
      <c r="G317" s="0" t="n">
        <v>-0.6148</v>
      </c>
      <c r="H317" s="0" t="n">
        <v>0.1815</v>
      </c>
      <c r="I317" s="0" t="n">
        <v>-1.4192</v>
      </c>
      <c r="J317" s="0" t="n">
        <v>1.0913</v>
      </c>
      <c r="K317" s="0" t="n">
        <v>1.1191</v>
      </c>
      <c r="L317" s="0" t="n">
        <v>-0.1496</v>
      </c>
      <c r="M317" s="0" t="n">
        <v>0.5913</v>
      </c>
      <c r="N317" s="0" t="n">
        <v>-0.258</v>
      </c>
      <c r="O317" s="0" t="n">
        <v>0.0698</v>
      </c>
      <c r="P317" s="0" t="n">
        <v>0.1906</v>
      </c>
      <c r="Q317" s="0" t="n">
        <v>-0.1928</v>
      </c>
      <c r="R317" s="0" t="n">
        <v>2.9187</v>
      </c>
      <c r="S317" s="0" t="n">
        <v>-0.2865</v>
      </c>
      <c r="T317" s="0" t="n">
        <v>1.0391</v>
      </c>
      <c r="U317" s="0" t="n">
        <v>-0.8558</v>
      </c>
      <c r="V317" s="0" t="n">
        <v>0.3006</v>
      </c>
      <c r="W317" s="0" t="n">
        <v>-0.0239</v>
      </c>
      <c r="X317" s="0" t="n">
        <v>-0.7808</v>
      </c>
      <c r="Y317" s="0" t="n">
        <v>0.823</v>
      </c>
      <c r="Z317" s="0" t="n">
        <v>0.7991</v>
      </c>
      <c r="AA317" s="0" t="n">
        <v>1.2981</v>
      </c>
      <c r="AB317" s="0" t="n">
        <v>0.4514</v>
      </c>
      <c r="AC317" s="0" t="n">
        <v>-0.9896</v>
      </c>
      <c r="AD317" s="0" t="n">
        <v>0.8431</v>
      </c>
      <c r="AE317" s="0" t="n">
        <v>0.3056</v>
      </c>
      <c r="AG317" s="9" t="n">
        <f aca="false">SUMPRODUCT(($B$2:$AE$2&lt;=Portafolio!$B$5)*EXP(LN(Portafolio!$B$7)+Portafolio!$B$6*B317:AE317))/1000</f>
        <v>2.8057152950225</v>
      </c>
    </row>
    <row r="318" customFormat="false" ht="15" hidden="false" customHeight="false" outlineLevel="0" collapsed="false">
      <c r="A318" s="0" t="n">
        <v>316</v>
      </c>
      <c r="B318" s="0" t="n">
        <v>1.8516</v>
      </c>
      <c r="C318" s="0" t="n">
        <v>-2.2982</v>
      </c>
      <c r="D318" s="0" t="n">
        <v>-0.1248</v>
      </c>
      <c r="E318" s="0" t="n">
        <v>0.1109</v>
      </c>
      <c r="F318" s="0" t="n">
        <v>1.0667</v>
      </c>
      <c r="G318" s="0" t="n">
        <v>-1.1418</v>
      </c>
      <c r="H318" s="0" t="n">
        <v>1.1402</v>
      </c>
      <c r="I318" s="0" t="n">
        <v>0.2996</v>
      </c>
      <c r="J318" s="0" t="n">
        <v>-1.9918</v>
      </c>
      <c r="K318" s="0" t="n">
        <v>2.3111</v>
      </c>
      <c r="L318" s="0" t="n">
        <v>-2.0757</v>
      </c>
      <c r="M318" s="0" t="n">
        <v>-0.9966</v>
      </c>
      <c r="N318" s="0" t="n">
        <v>-0.8008</v>
      </c>
      <c r="O318" s="0" t="n">
        <v>0.4579</v>
      </c>
      <c r="P318" s="0" t="n">
        <v>-0.4243</v>
      </c>
      <c r="Q318" s="0" t="n">
        <v>-0.0789</v>
      </c>
      <c r="R318" s="0" t="n">
        <v>-0.7191</v>
      </c>
      <c r="S318" s="0" t="n">
        <v>0.4878</v>
      </c>
      <c r="T318" s="0" t="n">
        <v>0.8456</v>
      </c>
      <c r="U318" s="0" t="n">
        <v>1.7071</v>
      </c>
      <c r="V318" s="0" t="n">
        <v>-1.4271</v>
      </c>
      <c r="W318" s="0" t="n">
        <v>-0.7114</v>
      </c>
      <c r="X318" s="0" t="n">
        <v>-0.563</v>
      </c>
      <c r="Y318" s="0" t="n">
        <v>-0.4377</v>
      </c>
      <c r="Z318" s="0" t="n">
        <v>-0.1147</v>
      </c>
      <c r="AA318" s="0" t="n">
        <v>0.6292</v>
      </c>
      <c r="AB318" s="0" t="n">
        <v>-0.5898</v>
      </c>
      <c r="AC318" s="0" t="n">
        <v>-0.6193</v>
      </c>
      <c r="AD318" s="0" t="n">
        <v>1.2706</v>
      </c>
      <c r="AE318" s="0" t="n">
        <v>1.3521</v>
      </c>
      <c r="AG318" s="9" t="n">
        <f aca="false">SUMPRODUCT(($B$2:$AE$2&lt;=Portafolio!$B$5)*EXP(LN(Portafolio!$B$7)+Portafolio!$B$6*B318:AE318))/1000</f>
        <v>2.61063906186664</v>
      </c>
    </row>
    <row r="319" customFormat="false" ht="15" hidden="false" customHeight="false" outlineLevel="0" collapsed="false">
      <c r="A319" s="0" t="n">
        <v>317</v>
      </c>
      <c r="B319" s="0" t="n">
        <v>1.8702</v>
      </c>
      <c r="C319" s="0" t="n">
        <v>1.9926</v>
      </c>
      <c r="D319" s="0" t="n">
        <v>-0.7064</v>
      </c>
      <c r="E319" s="0" t="n">
        <v>1.3195</v>
      </c>
      <c r="F319" s="0" t="n">
        <v>0.7437</v>
      </c>
      <c r="G319" s="0" t="n">
        <v>-0.0709</v>
      </c>
      <c r="H319" s="0" t="n">
        <v>0.6502</v>
      </c>
      <c r="I319" s="0" t="n">
        <v>-0.6195</v>
      </c>
      <c r="J319" s="0" t="n">
        <v>-1.072</v>
      </c>
      <c r="K319" s="0" t="n">
        <v>-0.2426</v>
      </c>
      <c r="L319" s="0" t="n">
        <v>-1.4676</v>
      </c>
      <c r="M319" s="0" t="n">
        <v>-0.3857</v>
      </c>
      <c r="N319" s="0" t="n">
        <v>0.1055</v>
      </c>
      <c r="O319" s="0" t="n">
        <v>-0.971</v>
      </c>
      <c r="P319" s="0" t="n">
        <v>-0.6985</v>
      </c>
      <c r="Q319" s="0" t="n">
        <v>-1.9183</v>
      </c>
      <c r="R319" s="0" t="n">
        <v>-1.125</v>
      </c>
      <c r="S319" s="0" t="n">
        <v>-0.0694</v>
      </c>
      <c r="T319" s="0" t="n">
        <v>-0.6199</v>
      </c>
      <c r="U319" s="0" t="n">
        <v>0.1444</v>
      </c>
      <c r="V319" s="0" t="n">
        <v>-0.6094</v>
      </c>
      <c r="W319" s="0" t="n">
        <v>-0.4888</v>
      </c>
      <c r="X319" s="0" t="n">
        <v>-1.6065</v>
      </c>
      <c r="Y319" s="0" t="n">
        <v>1.6531</v>
      </c>
      <c r="Z319" s="0" t="n">
        <v>-0.2163</v>
      </c>
      <c r="AA319" s="0" t="n">
        <v>0.8736</v>
      </c>
      <c r="AB319" s="0" t="n">
        <v>-0.7438</v>
      </c>
      <c r="AC319" s="0" t="n">
        <v>-1.139</v>
      </c>
      <c r="AD319" s="0" t="n">
        <v>0.3035</v>
      </c>
      <c r="AE319" s="0" t="n">
        <v>-0.4213</v>
      </c>
      <c r="AG319" s="9" t="n">
        <f aca="false">SUMPRODUCT(($B$2:$AE$2&lt;=Portafolio!$B$5)*EXP(LN(Portafolio!$B$7)+Portafolio!$B$6*B319:AE319))/1000</f>
        <v>2.23700369762257</v>
      </c>
    </row>
    <row r="320" customFormat="false" ht="15" hidden="false" customHeight="false" outlineLevel="0" collapsed="false">
      <c r="A320" s="0" t="n">
        <v>318</v>
      </c>
      <c r="B320" s="0" t="n">
        <v>-0.0454</v>
      </c>
      <c r="C320" s="0" t="n">
        <v>0.6199</v>
      </c>
      <c r="D320" s="0" t="n">
        <v>0.6282</v>
      </c>
      <c r="E320" s="0" t="n">
        <v>0.7799</v>
      </c>
      <c r="F320" s="0" t="n">
        <v>0.222</v>
      </c>
      <c r="G320" s="0" t="n">
        <v>-1.8754</v>
      </c>
      <c r="H320" s="0" t="n">
        <v>0.508</v>
      </c>
      <c r="I320" s="0" t="n">
        <v>1.4876</v>
      </c>
      <c r="J320" s="0" t="n">
        <v>0.4152</v>
      </c>
      <c r="K320" s="0" t="n">
        <v>1.0172</v>
      </c>
      <c r="L320" s="0" t="n">
        <v>0.5146</v>
      </c>
      <c r="M320" s="0" t="n">
        <v>0.5278</v>
      </c>
      <c r="N320" s="0" t="n">
        <v>0.6253</v>
      </c>
      <c r="O320" s="0" t="n">
        <v>-1.4629</v>
      </c>
      <c r="P320" s="0" t="n">
        <v>-2.087</v>
      </c>
      <c r="Q320" s="0" t="n">
        <v>0.0757</v>
      </c>
      <c r="R320" s="0" t="n">
        <v>0.642</v>
      </c>
      <c r="S320" s="0" t="n">
        <v>0.5391</v>
      </c>
      <c r="T320" s="0" t="n">
        <v>-0.2393</v>
      </c>
      <c r="U320" s="0" t="n">
        <v>-0.4683</v>
      </c>
      <c r="V320" s="0" t="n">
        <v>-0.9985</v>
      </c>
      <c r="W320" s="0" t="n">
        <v>0.3436</v>
      </c>
      <c r="X320" s="0" t="n">
        <v>0.3607</v>
      </c>
      <c r="Y320" s="0" t="n">
        <v>0.7186</v>
      </c>
      <c r="Z320" s="0" t="n">
        <v>-0.0874</v>
      </c>
      <c r="AA320" s="0" t="n">
        <v>1.2488</v>
      </c>
      <c r="AB320" s="0" t="n">
        <v>-0.687</v>
      </c>
      <c r="AC320" s="0" t="n">
        <v>1.0999</v>
      </c>
      <c r="AD320" s="0" t="n">
        <v>-0.7605</v>
      </c>
      <c r="AE320" s="0" t="n">
        <v>1.4055</v>
      </c>
      <c r="AG320" s="9" t="n">
        <f aca="false">SUMPRODUCT(($B$2:$AE$2&lt;=Portafolio!$B$5)*EXP(LN(Portafolio!$B$7)+Portafolio!$B$6*B320:AE320))/1000</f>
        <v>2.42775776597555</v>
      </c>
    </row>
    <row r="321" customFormat="false" ht="15" hidden="false" customHeight="false" outlineLevel="0" collapsed="false">
      <c r="A321" s="0" t="n">
        <v>319</v>
      </c>
      <c r="B321" s="0" t="n">
        <v>0.9953</v>
      </c>
      <c r="C321" s="0" t="n">
        <v>-0.961</v>
      </c>
      <c r="D321" s="0" t="n">
        <v>0.5661</v>
      </c>
      <c r="E321" s="0" t="n">
        <v>-0.9634</v>
      </c>
      <c r="F321" s="0" t="n">
        <v>1.8386</v>
      </c>
      <c r="G321" s="0" t="n">
        <v>1.0764</v>
      </c>
      <c r="H321" s="0" t="n">
        <v>0.1264</v>
      </c>
      <c r="I321" s="0" t="n">
        <v>0.3726</v>
      </c>
      <c r="J321" s="0" t="n">
        <v>-0.01</v>
      </c>
      <c r="K321" s="0" t="n">
        <v>-0.4451</v>
      </c>
      <c r="L321" s="0" t="n">
        <v>-1.0546</v>
      </c>
      <c r="M321" s="0" t="n">
        <v>-0.0684</v>
      </c>
      <c r="N321" s="0" t="n">
        <v>1.0417</v>
      </c>
      <c r="O321" s="0" t="n">
        <v>0.3509</v>
      </c>
      <c r="P321" s="0" t="n">
        <v>1.1703</v>
      </c>
      <c r="Q321" s="0" t="n">
        <v>1.0183</v>
      </c>
      <c r="R321" s="0" t="n">
        <v>0.5706</v>
      </c>
      <c r="S321" s="0" t="n">
        <v>-0.871</v>
      </c>
      <c r="T321" s="0" t="n">
        <v>-0.9313</v>
      </c>
      <c r="U321" s="0" t="n">
        <v>-0.3618</v>
      </c>
      <c r="V321" s="0" t="n">
        <v>-2.1519</v>
      </c>
      <c r="W321" s="0" t="n">
        <v>-1.523</v>
      </c>
      <c r="X321" s="0" t="n">
        <v>0.1185</v>
      </c>
      <c r="Y321" s="0" t="n">
        <v>1.3413</v>
      </c>
      <c r="Z321" s="0" t="n">
        <v>2.2195</v>
      </c>
      <c r="AA321" s="0" t="n">
        <v>0.1896</v>
      </c>
      <c r="AB321" s="0" t="n">
        <v>0.9916</v>
      </c>
      <c r="AC321" s="0" t="n">
        <v>0.3641</v>
      </c>
      <c r="AD321" s="0" t="n">
        <v>-0.8413</v>
      </c>
      <c r="AE321" s="0" t="n">
        <v>0.934</v>
      </c>
      <c r="AG321" s="9" t="n">
        <f aca="false">SUMPRODUCT(($B$2:$AE$2&lt;=Portafolio!$B$5)*EXP(LN(Portafolio!$B$7)+Portafolio!$B$6*B321:AE321))/1000</f>
        <v>2.51864200815337</v>
      </c>
    </row>
    <row r="322" customFormat="false" ht="15" hidden="false" customHeight="false" outlineLevel="0" collapsed="false">
      <c r="A322" s="0" t="n">
        <v>320</v>
      </c>
      <c r="B322" s="0" t="n">
        <v>-0.0024</v>
      </c>
      <c r="C322" s="0" t="n">
        <v>0.6306</v>
      </c>
      <c r="D322" s="0" t="n">
        <v>-1.811</v>
      </c>
      <c r="E322" s="0" t="n">
        <v>-0.3124</v>
      </c>
      <c r="F322" s="0" t="n">
        <v>1.0138</v>
      </c>
      <c r="G322" s="0" t="n">
        <v>-0.1984</v>
      </c>
      <c r="H322" s="0" t="n">
        <v>0.0319</v>
      </c>
      <c r="I322" s="0" t="n">
        <v>0.8807</v>
      </c>
      <c r="J322" s="0" t="n">
        <v>1.5003</v>
      </c>
      <c r="K322" s="0" t="n">
        <v>1.3728</v>
      </c>
      <c r="L322" s="0" t="n">
        <v>0.1787</v>
      </c>
      <c r="M322" s="0" t="n">
        <v>-0.5159</v>
      </c>
      <c r="N322" s="0" t="n">
        <v>0.9953</v>
      </c>
      <c r="O322" s="0" t="n">
        <v>-0.6186</v>
      </c>
      <c r="P322" s="0" t="n">
        <v>-1.1771</v>
      </c>
      <c r="Q322" s="0" t="n">
        <v>-0.7804</v>
      </c>
      <c r="R322" s="0" t="n">
        <v>-0.0051</v>
      </c>
      <c r="S322" s="0" t="n">
        <v>-0.6914</v>
      </c>
      <c r="T322" s="0" t="n">
        <v>-0.7758</v>
      </c>
      <c r="U322" s="0" t="n">
        <v>0.9975</v>
      </c>
      <c r="V322" s="0" t="n">
        <v>-1.093</v>
      </c>
      <c r="W322" s="0" t="n">
        <v>-1.1705</v>
      </c>
      <c r="X322" s="0" t="n">
        <v>0.1021</v>
      </c>
      <c r="Y322" s="0" t="n">
        <v>0.6529</v>
      </c>
      <c r="Z322" s="0" t="n">
        <v>-0.4788</v>
      </c>
      <c r="AA322" s="0" t="n">
        <v>-0.9374</v>
      </c>
      <c r="AB322" s="0" t="n">
        <v>2.4741</v>
      </c>
      <c r="AC322" s="0" t="n">
        <v>-0.3883</v>
      </c>
      <c r="AD322" s="0" t="n">
        <v>2.7158</v>
      </c>
      <c r="AE322" s="0" t="n">
        <v>-0.6951</v>
      </c>
      <c r="AG322" s="9" t="n">
        <f aca="false">SUMPRODUCT(($B$2:$AE$2&lt;=Portafolio!$B$5)*EXP(LN(Portafolio!$B$7)+Portafolio!$B$6*B322:AE322))/1000</f>
        <v>2.33825081045294</v>
      </c>
    </row>
    <row r="323" customFormat="false" ht="15" hidden="false" customHeight="false" outlineLevel="0" collapsed="false">
      <c r="A323" s="0" t="n">
        <v>321</v>
      </c>
      <c r="B323" s="0" t="n">
        <v>1.3406</v>
      </c>
      <c r="C323" s="0" t="n">
        <v>-1.1724</v>
      </c>
      <c r="D323" s="0" t="n">
        <v>1.6918</v>
      </c>
      <c r="E323" s="0" t="n">
        <v>0.5767</v>
      </c>
      <c r="F323" s="0" t="n">
        <v>0.3279</v>
      </c>
      <c r="G323" s="0" t="n">
        <v>-0.517</v>
      </c>
      <c r="H323" s="0" t="n">
        <v>1.6562</v>
      </c>
      <c r="I323" s="0" t="n">
        <v>1.3842</v>
      </c>
      <c r="J323" s="0" t="n">
        <v>0.1453</v>
      </c>
      <c r="K323" s="0" t="n">
        <v>0.2789</v>
      </c>
      <c r="L323" s="0" t="n">
        <v>-0.5744</v>
      </c>
      <c r="M323" s="0" t="n">
        <v>0.7278</v>
      </c>
      <c r="N323" s="0" t="n">
        <v>-0.2088</v>
      </c>
      <c r="O323" s="0" t="n">
        <v>0.6082</v>
      </c>
      <c r="P323" s="0" t="n">
        <v>-1.8549</v>
      </c>
      <c r="Q323" s="0" t="n">
        <v>0.517</v>
      </c>
      <c r="R323" s="0" t="n">
        <v>1.115</v>
      </c>
      <c r="S323" s="0" t="n">
        <v>0.2492</v>
      </c>
      <c r="T323" s="0" t="n">
        <v>1.6871</v>
      </c>
      <c r="U323" s="0" t="n">
        <v>-0.679</v>
      </c>
      <c r="V323" s="0" t="n">
        <v>1.2777</v>
      </c>
      <c r="W323" s="0" t="n">
        <v>0.2263</v>
      </c>
      <c r="X323" s="0" t="n">
        <v>0.1984</v>
      </c>
      <c r="Y323" s="0" t="n">
        <v>0.5425</v>
      </c>
      <c r="Z323" s="0" t="n">
        <v>1.478</v>
      </c>
      <c r="AA323" s="0" t="n">
        <v>-1.6562</v>
      </c>
      <c r="AB323" s="0" t="n">
        <v>0.1769</v>
      </c>
      <c r="AC323" s="0" t="n">
        <v>-0.004</v>
      </c>
      <c r="AD323" s="0" t="n">
        <v>0.9044</v>
      </c>
      <c r="AE323" s="0" t="n">
        <v>0.0928</v>
      </c>
      <c r="AG323" s="9" t="n">
        <f aca="false">SUMPRODUCT(($B$2:$AE$2&lt;=Portafolio!$B$5)*EXP(LN(Portafolio!$B$7)+Portafolio!$B$6*B323:AE323))/1000</f>
        <v>2.89246394056206</v>
      </c>
    </row>
    <row r="324" customFormat="false" ht="15" hidden="false" customHeight="false" outlineLevel="0" collapsed="false">
      <c r="A324" s="0" t="n">
        <v>322</v>
      </c>
      <c r="B324" s="0" t="n">
        <v>-0.3359</v>
      </c>
      <c r="C324" s="0" t="n">
        <v>0.3406</v>
      </c>
      <c r="D324" s="0" t="n">
        <v>0.9603</v>
      </c>
      <c r="E324" s="0" t="n">
        <v>-0.5759</v>
      </c>
      <c r="F324" s="0" t="n">
        <v>0.3035</v>
      </c>
      <c r="G324" s="0" t="n">
        <v>-0.0275</v>
      </c>
      <c r="H324" s="0" t="n">
        <v>-0.4608</v>
      </c>
      <c r="I324" s="0" t="n">
        <v>0.0943</v>
      </c>
      <c r="J324" s="0" t="n">
        <v>2.0996</v>
      </c>
      <c r="K324" s="0" t="n">
        <v>-0.3749</v>
      </c>
      <c r="L324" s="0" t="n">
        <v>0.697</v>
      </c>
      <c r="M324" s="0" t="n">
        <v>0.6209</v>
      </c>
      <c r="N324" s="0" t="n">
        <v>1.3228</v>
      </c>
      <c r="O324" s="0" t="n">
        <v>-0.2323</v>
      </c>
      <c r="P324" s="0" t="n">
        <v>-1.107</v>
      </c>
      <c r="Q324" s="0" t="n">
        <v>0.8092</v>
      </c>
      <c r="R324" s="0" t="n">
        <v>-1.8971</v>
      </c>
      <c r="S324" s="0" t="n">
        <v>0.3521</v>
      </c>
      <c r="T324" s="0" t="n">
        <v>1.1005</v>
      </c>
      <c r="U324" s="0" t="n">
        <v>0.7059</v>
      </c>
      <c r="V324" s="0" t="n">
        <v>0.2073</v>
      </c>
      <c r="W324" s="0" t="n">
        <v>-0.1279</v>
      </c>
      <c r="X324" s="0" t="n">
        <v>-0.3838</v>
      </c>
      <c r="Y324" s="0" t="n">
        <v>0.9662</v>
      </c>
      <c r="Z324" s="0" t="n">
        <v>-1.5408</v>
      </c>
      <c r="AA324" s="0" t="n">
        <v>-1.0933</v>
      </c>
      <c r="AB324" s="0" t="n">
        <v>-0.4071</v>
      </c>
      <c r="AC324" s="0" t="n">
        <v>-0.1092</v>
      </c>
      <c r="AD324" s="0" t="n">
        <v>0.6137</v>
      </c>
      <c r="AE324" s="0" t="n">
        <v>-0.1833</v>
      </c>
      <c r="AG324" s="9" t="n">
        <f aca="false">SUMPRODUCT(($B$2:$AE$2&lt;=Portafolio!$B$5)*EXP(LN(Portafolio!$B$7)+Portafolio!$B$6*B324:AE324))/1000</f>
        <v>2.60645509640692</v>
      </c>
    </row>
    <row r="325" customFormat="false" ht="15" hidden="false" customHeight="false" outlineLevel="0" collapsed="false">
      <c r="A325" s="0" t="n">
        <v>323</v>
      </c>
      <c r="B325" s="0" t="n">
        <v>0.1704</v>
      </c>
      <c r="C325" s="0" t="n">
        <v>-0.4553</v>
      </c>
      <c r="D325" s="0" t="n">
        <v>1.1687</v>
      </c>
      <c r="E325" s="0" t="n">
        <v>0.906</v>
      </c>
      <c r="F325" s="0" t="n">
        <v>-1.5624</v>
      </c>
      <c r="G325" s="0" t="n">
        <v>1.1439</v>
      </c>
      <c r="H325" s="0" t="n">
        <v>0.4398</v>
      </c>
      <c r="I325" s="0" t="n">
        <v>0.1745</v>
      </c>
      <c r="J325" s="0" t="n">
        <v>0.9475</v>
      </c>
      <c r="K325" s="0" t="n">
        <v>0.5383</v>
      </c>
      <c r="L325" s="0" t="n">
        <v>0.2945</v>
      </c>
      <c r="M325" s="0" t="n">
        <v>0.5179</v>
      </c>
      <c r="N325" s="0" t="n">
        <v>-1.6618</v>
      </c>
      <c r="O325" s="0" t="n">
        <v>0.4929</v>
      </c>
      <c r="P325" s="0" t="n">
        <v>0.2546</v>
      </c>
      <c r="Q325" s="0" t="n">
        <v>-0.9784</v>
      </c>
      <c r="R325" s="0" t="n">
        <v>-0.4456</v>
      </c>
      <c r="S325" s="0" t="n">
        <v>0.6348</v>
      </c>
      <c r="T325" s="0" t="n">
        <v>-0.347</v>
      </c>
      <c r="U325" s="0" t="n">
        <v>-0.9002</v>
      </c>
      <c r="V325" s="0" t="n">
        <v>-0.1391</v>
      </c>
      <c r="W325" s="0" t="n">
        <v>-0.4753</v>
      </c>
      <c r="X325" s="0" t="n">
        <v>0.2111</v>
      </c>
      <c r="Y325" s="0" t="n">
        <v>1.2409</v>
      </c>
      <c r="Z325" s="0" t="n">
        <v>2.1313</v>
      </c>
      <c r="AA325" s="0" t="n">
        <v>0.072</v>
      </c>
      <c r="AB325" s="0" t="n">
        <v>0.578</v>
      </c>
      <c r="AC325" s="0" t="n">
        <v>-0.9</v>
      </c>
      <c r="AD325" s="0" t="n">
        <v>0.7886</v>
      </c>
      <c r="AE325" s="0" t="n">
        <v>0.5714</v>
      </c>
      <c r="AG325" s="9" t="n">
        <f aca="false">SUMPRODUCT(($B$2:$AE$2&lt;=Portafolio!$B$5)*EXP(LN(Portafolio!$B$7)+Portafolio!$B$6*B325:AE325))/1000</f>
        <v>2.31597680225146</v>
      </c>
    </row>
    <row r="326" customFormat="false" ht="15" hidden="false" customHeight="false" outlineLevel="0" collapsed="false">
      <c r="A326" s="0" t="n">
        <v>324</v>
      </c>
      <c r="B326" s="0" t="n">
        <v>-0.531</v>
      </c>
      <c r="C326" s="0" t="n">
        <v>0.7695</v>
      </c>
      <c r="D326" s="0" t="n">
        <v>-0.5119</v>
      </c>
      <c r="E326" s="0" t="n">
        <v>0.2149</v>
      </c>
      <c r="F326" s="0" t="n">
        <v>0.37</v>
      </c>
      <c r="G326" s="0" t="n">
        <v>0.1496</v>
      </c>
      <c r="H326" s="0" t="n">
        <v>0.4149</v>
      </c>
      <c r="I326" s="0" t="n">
        <v>0.5144</v>
      </c>
      <c r="J326" s="0" t="n">
        <v>-0.4854</v>
      </c>
      <c r="K326" s="0" t="n">
        <v>0.2814</v>
      </c>
      <c r="L326" s="0" t="n">
        <v>0.8019</v>
      </c>
      <c r="M326" s="0" t="n">
        <v>1.0471</v>
      </c>
      <c r="N326" s="0" t="n">
        <v>-0.7393</v>
      </c>
      <c r="O326" s="0" t="n">
        <v>-0.3257</v>
      </c>
      <c r="P326" s="0" t="n">
        <v>-0.3415</v>
      </c>
      <c r="Q326" s="0" t="n">
        <v>-1.185</v>
      </c>
      <c r="R326" s="0" t="n">
        <v>0.5281</v>
      </c>
      <c r="S326" s="0" t="n">
        <v>1.9209</v>
      </c>
      <c r="T326" s="0" t="n">
        <v>-0.4988</v>
      </c>
      <c r="U326" s="0" t="n">
        <v>-0.2332</v>
      </c>
      <c r="V326" s="0" t="n">
        <v>-0.3108</v>
      </c>
      <c r="W326" s="0" t="n">
        <v>0.0034</v>
      </c>
      <c r="X326" s="0" t="n">
        <v>-0.7428</v>
      </c>
      <c r="Y326" s="0" t="n">
        <v>1.9518</v>
      </c>
      <c r="Z326" s="0" t="n">
        <v>-0.9162</v>
      </c>
      <c r="AA326" s="0" t="n">
        <v>0.7381</v>
      </c>
      <c r="AB326" s="0" t="n">
        <v>1.0564</v>
      </c>
      <c r="AC326" s="0" t="n">
        <v>0.2168</v>
      </c>
      <c r="AD326" s="0" t="n">
        <v>1.5249</v>
      </c>
      <c r="AE326" s="0" t="n">
        <v>-1.5801</v>
      </c>
      <c r="AG326" s="9" t="n">
        <f aca="false">SUMPRODUCT(($B$2:$AE$2&lt;=Portafolio!$B$5)*EXP(LN(Portafolio!$B$7)+Portafolio!$B$6*B326:AE326))/1000</f>
        <v>2.35172769516051</v>
      </c>
    </row>
    <row r="327" customFormat="false" ht="15" hidden="false" customHeight="false" outlineLevel="0" collapsed="false">
      <c r="A327" s="0" t="n">
        <v>325</v>
      </c>
      <c r="B327" s="0" t="n">
        <v>-2.811</v>
      </c>
      <c r="C327" s="0" t="n">
        <v>0.718</v>
      </c>
      <c r="D327" s="0" t="n">
        <v>0.4817</v>
      </c>
      <c r="E327" s="0" t="n">
        <v>-0.0687</v>
      </c>
      <c r="F327" s="0" t="n">
        <v>0.325</v>
      </c>
      <c r="G327" s="0" t="n">
        <v>-0.6801</v>
      </c>
      <c r="H327" s="0" t="n">
        <v>-0.9038</v>
      </c>
      <c r="I327" s="0" t="n">
        <v>-0.6922</v>
      </c>
      <c r="J327" s="0" t="n">
        <v>0.1164</v>
      </c>
      <c r="K327" s="0" t="n">
        <v>0.6493</v>
      </c>
      <c r="L327" s="0" t="n">
        <v>2.0103</v>
      </c>
      <c r="M327" s="0" t="n">
        <v>-0.1751</v>
      </c>
      <c r="N327" s="0" t="n">
        <v>-1.569</v>
      </c>
      <c r="O327" s="0" t="n">
        <v>0.9686</v>
      </c>
      <c r="P327" s="0" t="n">
        <v>-0.3091</v>
      </c>
      <c r="Q327" s="0" t="n">
        <v>-0.9199</v>
      </c>
      <c r="R327" s="0" t="n">
        <v>0.7736</v>
      </c>
      <c r="S327" s="0" t="n">
        <v>-1.7583</v>
      </c>
      <c r="T327" s="0" t="n">
        <v>-1.1917</v>
      </c>
      <c r="U327" s="0" t="n">
        <v>1.8802</v>
      </c>
      <c r="V327" s="0" t="n">
        <v>-0.4361</v>
      </c>
      <c r="W327" s="0" t="n">
        <v>0.5466</v>
      </c>
      <c r="X327" s="0" t="n">
        <v>1.3762</v>
      </c>
      <c r="Y327" s="0" t="n">
        <v>-1.1385</v>
      </c>
      <c r="Z327" s="0" t="n">
        <v>0.2271</v>
      </c>
      <c r="AA327" s="0" t="n">
        <v>1.2024</v>
      </c>
      <c r="AB327" s="0" t="n">
        <v>0.9416</v>
      </c>
      <c r="AC327" s="0" t="n">
        <v>1.4345</v>
      </c>
      <c r="AD327" s="0" t="n">
        <v>2.5645</v>
      </c>
      <c r="AE327" s="0" t="n">
        <v>2.0662</v>
      </c>
      <c r="AG327" s="9" t="n">
        <f aca="false">SUMPRODUCT(($B$2:$AE$2&lt;=Portafolio!$B$5)*EXP(LN(Portafolio!$B$7)+Portafolio!$B$6*B327:AE327))/1000</f>
        <v>2.30324865066506</v>
      </c>
    </row>
    <row r="328" customFormat="false" ht="15" hidden="false" customHeight="false" outlineLevel="0" collapsed="false">
      <c r="A328" s="0" t="n">
        <v>326</v>
      </c>
      <c r="B328" s="0" t="n">
        <v>0.7854</v>
      </c>
      <c r="C328" s="0" t="n">
        <v>-0.535</v>
      </c>
      <c r="D328" s="0" t="n">
        <v>0.9321</v>
      </c>
      <c r="E328" s="0" t="n">
        <v>-0.5805</v>
      </c>
      <c r="F328" s="0" t="n">
        <v>-1.7047</v>
      </c>
      <c r="G328" s="0" t="n">
        <v>-1.3585</v>
      </c>
      <c r="H328" s="0" t="n">
        <v>0.1179</v>
      </c>
      <c r="I328" s="0" t="n">
        <v>0.0166</v>
      </c>
      <c r="J328" s="0" t="n">
        <v>-0.4759</v>
      </c>
      <c r="K328" s="0" t="n">
        <v>1.1495</v>
      </c>
      <c r="L328" s="0" t="n">
        <v>-0.056</v>
      </c>
      <c r="M328" s="0" t="n">
        <v>-0.6667</v>
      </c>
      <c r="N328" s="0" t="n">
        <v>0.0634</v>
      </c>
      <c r="O328" s="0" t="n">
        <v>0.03</v>
      </c>
      <c r="P328" s="0" t="n">
        <v>0.6796</v>
      </c>
      <c r="Q328" s="0" t="n">
        <v>0.0192</v>
      </c>
      <c r="R328" s="0" t="n">
        <v>0.9801</v>
      </c>
      <c r="S328" s="0" t="n">
        <v>-0.3575</v>
      </c>
      <c r="T328" s="0" t="n">
        <v>-0.0605</v>
      </c>
      <c r="U328" s="0" t="n">
        <v>0.6334</v>
      </c>
      <c r="V328" s="0" t="n">
        <v>-0.6952</v>
      </c>
      <c r="W328" s="0" t="n">
        <v>0.2738</v>
      </c>
      <c r="X328" s="0" t="n">
        <v>0.2582</v>
      </c>
      <c r="Y328" s="0" t="n">
        <v>1.0697</v>
      </c>
      <c r="Z328" s="0" t="n">
        <v>-2.3589</v>
      </c>
      <c r="AA328" s="0" t="n">
        <v>1.3223</v>
      </c>
      <c r="AB328" s="0" t="n">
        <v>-0.2623</v>
      </c>
      <c r="AC328" s="0" t="n">
        <v>0.1396</v>
      </c>
      <c r="AD328" s="0" t="n">
        <v>1.4756</v>
      </c>
      <c r="AE328" s="0" t="n">
        <v>0.5758</v>
      </c>
      <c r="AG328" s="9" t="n">
        <f aca="false">SUMPRODUCT(($B$2:$AE$2&lt;=Portafolio!$B$5)*EXP(LN(Portafolio!$B$7)+Portafolio!$B$6*B328:AE328))/1000</f>
        <v>2.16562438898987</v>
      </c>
    </row>
    <row r="329" customFormat="false" ht="15" hidden="false" customHeight="false" outlineLevel="0" collapsed="false">
      <c r="A329" s="0" t="n">
        <v>327</v>
      </c>
      <c r="B329" s="0" t="n">
        <v>-1.3208</v>
      </c>
      <c r="C329" s="0" t="n">
        <v>-0.2307</v>
      </c>
      <c r="D329" s="0" t="n">
        <v>0.8102</v>
      </c>
      <c r="E329" s="0" t="n">
        <v>-0.2183</v>
      </c>
      <c r="F329" s="0" t="n">
        <v>0.445</v>
      </c>
      <c r="G329" s="0" t="n">
        <v>0.9282</v>
      </c>
      <c r="H329" s="0" t="n">
        <v>2.0261</v>
      </c>
      <c r="I329" s="0" t="n">
        <v>-0.5995</v>
      </c>
      <c r="J329" s="0" t="n">
        <v>-1.5121</v>
      </c>
      <c r="K329" s="0" t="n">
        <v>-0.6604</v>
      </c>
      <c r="L329" s="0" t="n">
        <v>-0.3833</v>
      </c>
      <c r="M329" s="0" t="n">
        <v>1.0375</v>
      </c>
      <c r="N329" s="0" t="n">
        <v>0.327</v>
      </c>
      <c r="O329" s="0" t="n">
        <v>1.3125</v>
      </c>
      <c r="P329" s="0" t="n">
        <v>0.2706</v>
      </c>
      <c r="Q329" s="0" t="n">
        <v>-1.2521</v>
      </c>
      <c r="R329" s="0" t="n">
        <v>0.4637</v>
      </c>
      <c r="S329" s="0" t="n">
        <v>-0.5766</v>
      </c>
      <c r="T329" s="0" t="n">
        <v>0.386</v>
      </c>
      <c r="U329" s="0" t="n">
        <v>-1.5206</v>
      </c>
      <c r="V329" s="0" t="n">
        <v>0.8392</v>
      </c>
      <c r="W329" s="0" t="n">
        <v>-0.945</v>
      </c>
      <c r="X329" s="0" t="n">
        <v>-0.3331</v>
      </c>
      <c r="Y329" s="0" t="n">
        <v>0.9263</v>
      </c>
      <c r="Z329" s="0" t="n">
        <v>-0.1614</v>
      </c>
      <c r="AA329" s="0" t="n">
        <v>-0.8142</v>
      </c>
      <c r="AB329" s="0" t="n">
        <v>1.5335</v>
      </c>
      <c r="AC329" s="0" t="n">
        <v>-0.2567</v>
      </c>
      <c r="AD329" s="0" t="n">
        <v>1.0427</v>
      </c>
      <c r="AE329" s="0" t="n">
        <v>-0.0203</v>
      </c>
      <c r="AG329" s="9" t="n">
        <f aca="false">SUMPRODUCT(($B$2:$AE$2&lt;=Portafolio!$B$5)*EXP(LN(Portafolio!$B$7)+Portafolio!$B$6*B329:AE329))/1000</f>
        <v>2.34362512400801</v>
      </c>
    </row>
    <row r="330" customFormat="false" ht="15" hidden="false" customHeight="false" outlineLevel="0" collapsed="false">
      <c r="A330" s="0" t="n">
        <v>328</v>
      </c>
      <c r="B330" s="0" t="n">
        <v>-1.7179</v>
      </c>
      <c r="C330" s="0" t="n">
        <v>-0.1281</v>
      </c>
      <c r="D330" s="0" t="n">
        <v>0.4528</v>
      </c>
      <c r="E330" s="0" t="n">
        <v>-0.0848</v>
      </c>
      <c r="F330" s="0" t="n">
        <v>1.7215</v>
      </c>
      <c r="G330" s="0" t="n">
        <v>-1.5876</v>
      </c>
      <c r="H330" s="0" t="n">
        <v>-0.6535</v>
      </c>
      <c r="I330" s="0" t="n">
        <v>0.6883</v>
      </c>
      <c r="J330" s="0" t="n">
        <v>1.1915</v>
      </c>
      <c r="K330" s="0" t="n">
        <v>0.9066</v>
      </c>
      <c r="L330" s="0" t="n">
        <v>-0.8761</v>
      </c>
      <c r="M330" s="0" t="n">
        <v>0.402</v>
      </c>
      <c r="N330" s="0" t="n">
        <v>0.5779</v>
      </c>
      <c r="O330" s="0" t="n">
        <v>1.8374</v>
      </c>
      <c r="P330" s="0" t="n">
        <v>2.2148</v>
      </c>
      <c r="Q330" s="0" t="n">
        <v>0.547</v>
      </c>
      <c r="R330" s="0" t="n">
        <v>0.7076</v>
      </c>
      <c r="S330" s="0" t="n">
        <v>0.8098</v>
      </c>
      <c r="T330" s="0" t="n">
        <v>-0.034</v>
      </c>
      <c r="U330" s="0" t="n">
        <v>0.3503</v>
      </c>
      <c r="V330" s="0" t="n">
        <v>0.4466</v>
      </c>
      <c r="W330" s="0" t="n">
        <v>0.2066</v>
      </c>
      <c r="X330" s="0" t="n">
        <v>0.7444</v>
      </c>
      <c r="Y330" s="0" t="n">
        <v>0.0858</v>
      </c>
      <c r="Z330" s="0" t="n">
        <v>-0.4919</v>
      </c>
      <c r="AA330" s="0" t="n">
        <v>1.1775</v>
      </c>
      <c r="AB330" s="0" t="n">
        <v>0.9998</v>
      </c>
      <c r="AC330" s="0" t="n">
        <v>-0.6561</v>
      </c>
      <c r="AD330" s="0" t="n">
        <v>0.6678</v>
      </c>
      <c r="AE330" s="0" t="n">
        <v>-0.7806</v>
      </c>
      <c r="AG330" s="9" t="n">
        <f aca="false">SUMPRODUCT(($B$2:$AE$2&lt;=Portafolio!$B$5)*EXP(LN(Portafolio!$B$7)+Portafolio!$B$6*B330:AE330))/1000</f>
        <v>2.95174259951405</v>
      </c>
    </row>
    <row r="331" customFormat="false" ht="15" hidden="false" customHeight="false" outlineLevel="0" collapsed="false">
      <c r="A331" s="0" t="n">
        <v>329</v>
      </c>
      <c r="B331" s="0" t="n">
        <v>0.3925</v>
      </c>
      <c r="C331" s="0" t="n">
        <v>-0.6239</v>
      </c>
      <c r="D331" s="0" t="n">
        <v>-0.5289</v>
      </c>
      <c r="E331" s="0" t="n">
        <v>0.4846</v>
      </c>
      <c r="F331" s="0" t="n">
        <v>-0.8328</v>
      </c>
      <c r="G331" s="0" t="n">
        <v>0.8122</v>
      </c>
      <c r="H331" s="0" t="n">
        <v>1.6654</v>
      </c>
      <c r="I331" s="0" t="n">
        <v>-0.1709</v>
      </c>
      <c r="J331" s="0" t="n">
        <v>-0.6769</v>
      </c>
      <c r="K331" s="0" t="n">
        <v>0.4566</v>
      </c>
      <c r="L331" s="0" t="n">
        <v>-0.1592</v>
      </c>
      <c r="M331" s="0" t="n">
        <v>-1.411</v>
      </c>
      <c r="N331" s="0" t="n">
        <v>2.2188</v>
      </c>
      <c r="O331" s="0" t="n">
        <v>-0.4078</v>
      </c>
      <c r="P331" s="0" t="n">
        <v>1.8971</v>
      </c>
      <c r="Q331" s="0" t="n">
        <v>0.9389</v>
      </c>
      <c r="R331" s="0" t="n">
        <v>0.7399</v>
      </c>
      <c r="S331" s="0" t="n">
        <v>0.4638</v>
      </c>
      <c r="T331" s="0" t="n">
        <v>-0.249</v>
      </c>
      <c r="U331" s="0" t="n">
        <v>0.6886</v>
      </c>
      <c r="V331" s="0" t="n">
        <v>-0.5171</v>
      </c>
      <c r="W331" s="0" t="n">
        <v>0.4572</v>
      </c>
      <c r="X331" s="0" t="n">
        <v>-0.7914</v>
      </c>
      <c r="Y331" s="0" t="n">
        <v>0.1077</v>
      </c>
      <c r="Z331" s="0" t="n">
        <v>-2.7798</v>
      </c>
      <c r="AA331" s="0" t="n">
        <v>-0.4682</v>
      </c>
      <c r="AB331" s="0" t="n">
        <v>0.4384</v>
      </c>
      <c r="AC331" s="0" t="n">
        <v>0.1515</v>
      </c>
      <c r="AD331" s="0" t="n">
        <v>0.3741</v>
      </c>
      <c r="AE331" s="0" t="n">
        <v>0.5821</v>
      </c>
      <c r="AG331" s="9" t="n">
        <f aca="false">SUMPRODUCT(($B$2:$AE$2&lt;=Portafolio!$B$5)*EXP(LN(Portafolio!$B$7)+Portafolio!$B$6*B331:AE331))/1000</f>
        <v>2.78905997063888</v>
      </c>
    </row>
    <row r="332" customFormat="false" ht="15" hidden="false" customHeight="false" outlineLevel="0" collapsed="false">
      <c r="A332" s="0" t="n">
        <v>330</v>
      </c>
      <c r="B332" s="0" t="n">
        <v>1.7864</v>
      </c>
      <c r="C332" s="0" t="n">
        <v>-0.4334</v>
      </c>
      <c r="D332" s="0" t="n">
        <v>-3.5078</v>
      </c>
      <c r="E332" s="0" t="n">
        <v>0.5747</v>
      </c>
      <c r="F332" s="0" t="n">
        <v>0.278</v>
      </c>
      <c r="G332" s="0" t="n">
        <v>0.0806</v>
      </c>
      <c r="H332" s="0" t="n">
        <v>0.7831</v>
      </c>
      <c r="I332" s="0" t="n">
        <v>1.6224</v>
      </c>
      <c r="J332" s="0" t="n">
        <v>0.3695</v>
      </c>
      <c r="K332" s="0" t="n">
        <v>-0.8337</v>
      </c>
      <c r="L332" s="0" t="n">
        <v>0.8021</v>
      </c>
      <c r="M332" s="0" t="n">
        <v>-0.6139</v>
      </c>
      <c r="N332" s="0" t="n">
        <v>-1.4303</v>
      </c>
      <c r="O332" s="0" t="n">
        <v>-0.9806</v>
      </c>
      <c r="P332" s="0" t="n">
        <v>0.0716</v>
      </c>
      <c r="Q332" s="0" t="n">
        <v>-1.2849</v>
      </c>
      <c r="R332" s="0" t="n">
        <v>-0.3116</v>
      </c>
      <c r="S332" s="0" t="n">
        <v>0.5171</v>
      </c>
      <c r="T332" s="0" t="n">
        <v>-2.1966</v>
      </c>
      <c r="U332" s="0" t="n">
        <v>1.2748</v>
      </c>
      <c r="V332" s="0" t="n">
        <v>2.0473</v>
      </c>
      <c r="W332" s="0" t="n">
        <v>-0.0913</v>
      </c>
      <c r="X332" s="0" t="n">
        <v>-0.0288</v>
      </c>
      <c r="Y332" s="0" t="n">
        <v>-0.1787</v>
      </c>
      <c r="Z332" s="0" t="n">
        <v>-2.8783</v>
      </c>
      <c r="AA332" s="0" t="n">
        <v>0.2505</v>
      </c>
      <c r="AB332" s="0" t="n">
        <v>-1.4382</v>
      </c>
      <c r="AC332" s="0" t="n">
        <v>-0.0908</v>
      </c>
      <c r="AD332" s="0" t="n">
        <v>-1.0026</v>
      </c>
      <c r="AE332" s="0" t="n">
        <v>-0.804</v>
      </c>
      <c r="AG332" s="9" t="n">
        <f aca="false">SUMPRODUCT(($B$2:$AE$2&lt;=Portafolio!$B$5)*EXP(LN(Portafolio!$B$7)+Portafolio!$B$6*B332:AE332))/1000</f>
        <v>2.29631671998466</v>
      </c>
    </row>
    <row r="333" customFormat="false" ht="15" hidden="false" customHeight="false" outlineLevel="0" collapsed="false">
      <c r="A333" s="0" t="n">
        <v>331</v>
      </c>
      <c r="B333" s="0" t="n">
        <v>-0.6652</v>
      </c>
      <c r="C333" s="0" t="n">
        <v>-0.9595</v>
      </c>
      <c r="D333" s="0" t="n">
        <v>-2.124</v>
      </c>
      <c r="E333" s="0" t="n">
        <v>1.2177</v>
      </c>
      <c r="F333" s="0" t="n">
        <v>-1.0241</v>
      </c>
      <c r="G333" s="0" t="n">
        <v>0.9457</v>
      </c>
      <c r="H333" s="0" t="n">
        <v>0.7969</v>
      </c>
      <c r="I333" s="0" t="n">
        <v>-0.2423</v>
      </c>
      <c r="J333" s="0" t="n">
        <v>0.101</v>
      </c>
      <c r="K333" s="0" t="n">
        <v>0.1095</v>
      </c>
      <c r="L333" s="0" t="n">
        <v>0.56</v>
      </c>
      <c r="M333" s="0" t="n">
        <v>0.4579</v>
      </c>
      <c r="N333" s="0" t="n">
        <v>-0.2223</v>
      </c>
      <c r="O333" s="0" t="n">
        <v>0.0182</v>
      </c>
      <c r="P333" s="0" t="n">
        <v>1.0661</v>
      </c>
      <c r="Q333" s="0" t="n">
        <v>-0.7381</v>
      </c>
      <c r="R333" s="0" t="n">
        <v>-1.6006</v>
      </c>
      <c r="S333" s="0" t="n">
        <v>-1.9933</v>
      </c>
      <c r="T333" s="0" t="n">
        <v>-0.3042</v>
      </c>
      <c r="U333" s="0" t="n">
        <v>0.9988</v>
      </c>
      <c r="V333" s="0" t="n">
        <v>2.112</v>
      </c>
      <c r="W333" s="0" t="n">
        <v>-0.5195</v>
      </c>
      <c r="X333" s="0" t="n">
        <v>0.2157</v>
      </c>
      <c r="Y333" s="0" t="n">
        <v>-0.7853</v>
      </c>
      <c r="Z333" s="0" t="n">
        <v>0.1605</v>
      </c>
      <c r="AA333" s="0" t="n">
        <v>-0.1172</v>
      </c>
      <c r="AB333" s="0" t="n">
        <v>0.9407</v>
      </c>
      <c r="AC333" s="0" t="n">
        <v>0.8311</v>
      </c>
      <c r="AD333" s="0" t="n">
        <v>0.4786</v>
      </c>
      <c r="AE333" s="0" t="n">
        <v>0.1325</v>
      </c>
      <c r="AG333" s="9" t="n">
        <f aca="false">SUMPRODUCT(($B$2:$AE$2&lt;=Portafolio!$B$5)*EXP(LN(Portafolio!$B$7)+Portafolio!$B$6*B333:AE333))/1000</f>
        <v>2.09807872442608</v>
      </c>
    </row>
    <row r="334" customFormat="false" ht="15" hidden="false" customHeight="false" outlineLevel="0" collapsed="false">
      <c r="A334" s="0" t="n">
        <v>332</v>
      </c>
      <c r="B334" s="0" t="n">
        <v>0.9158</v>
      </c>
      <c r="C334" s="0" t="n">
        <v>-0.1367</v>
      </c>
      <c r="D334" s="0" t="n">
        <v>1.3272</v>
      </c>
      <c r="E334" s="0" t="n">
        <v>1.4957</v>
      </c>
      <c r="F334" s="0" t="n">
        <v>0.8852</v>
      </c>
      <c r="G334" s="0" t="n">
        <v>1.7198</v>
      </c>
      <c r="H334" s="0" t="n">
        <v>-0.5625</v>
      </c>
      <c r="I334" s="0" t="n">
        <v>0.5431</v>
      </c>
      <c r="J334" s="0" t="n">
        <v>0.3142</v>
      </c>
      <c r="K334" s="0" t="n">
        <v>-0.6555</v>
      </c>
      <c r="L334" s="0" t="n">
        <v>0.3821</v>
      </c>
      <c r="M334" s="0" t="n">
        <v>-0.0906</v>
      </c>
      <c r="N334" s="0" t="n">
        <v>0.5174</v>
      </c>
      <c r="O334" s="0" t="n">
        <v>0.2042</v>
      </c>
      <c r="P334" s="0" t="n">
        <v>0.7492</v>
      </c>
      <c r="Q334" s="0" t="n">
        <v>-0.2473</v>
      </c>
      <c r="R334" s="0" t="n">
        <v>0.058</v>
      </c>
      <c r="S334" s="0" t="n">
        <v>0.9518</v>
      </c>
      <c r="T334" s="0" t="n">
        <v>1.3307</v>
      </c>
      <c r="U334" s="0" t="n">
        <v>0.2265</v>
      </c>
      <c r="V334" s="0" t="n">
        <v>-1.6706</v>
      </c>
      <c r="W334" s="0" t="n">
        <v>0.9535</v>
      </c>
      <c r="X334" s="0" t="n">
        <v>0.6812</v>
      </c>
      <c r="Y334" s="0" t="n">
        <v>-0.9855</v>
      </c>
      <c r="Z334" s="0" t="n">
        <v>-1.8992</v>
      </c>
      <c r="AA334" s="0" t="n">
        <v>-1.4871</v>
      </c>
      <c r="AB334" s="0" t="n">
        <v>-1.5245</v>
      </c>
      <c r="AC334" s="0" t="n">
        <v>1.8026</v>
      </c>
      <c r="AD334" s="0" t="n">
        <v>-0.3847</v>
      </c>
      <c r="AE334" s="0" t="n">
        <v>-0.089</v>
      </c>
      <c r="AG334" s="9" t="n">
        <f aca="false">SUMPRODUCT(($B$2:$AE$2&lt;=Portafolio!$B$5)*EXP(LN(Portafolio!$B$7)+Portafolio!$B$6*B334:AE334))/1000</f>
        <v>2.91144459586221</v>
      </c>
    </row>
    <row r="335" customFormat="false" ht="15" hidden="false" customHeight="false" outlineLevel="0" collapsed="false">
      <c r="A335" s="0" t="n">
        <v>333</v>
      </c>
      <c r="B335" s="0" t="n">
        <v>0.7863</v>
      </c>
      <c r="C335" s="0" t="n">
        <v>1.5022</v>
      </c>
      <c r="D335" s="0" t="n">
        <v>0.207</v>
      </c>
      <c r="E335" s="0" t="n">
        <v>-0.0098</v>
      </c>
      <c r="F335" s="0" t="n">
        <v>1.0749</v>
      </c>
      <c r="G335" s="0" t="n">
        <v>1.3558</v>
      </c>
      <c r="H335" s="0" t="n">
        <v>0.3132</v>
      </c>
      <c r="I335" s="0" t="n">
        <v>-0.4765</v>
      </c>
      <c r="J335" s="0" t="n">
        <v>-1.0006</v>
      </c>
      <c r="K335" s="0" t="n">
        <v>0.9012</v>
      </c>
      <c r="L335" s="0" t="n">
        <v>-0.8974</v>
      </c>
      <c r="M335" s="0" t="n">
        <v>-0.4932</v>
      </c>
      <c r="N335" s="0" t="n">
        <v>-2.0815</v>
      </c>
      <c r="O335" s="0" t="n">
        <v>-1.1355</v>
      </c>
      <c r="P335" s="0" t="n">
        <v>0.6583</v>
      </c>
      <c r="Q335" s="0" t="n">
        <v>-0.5048</v>
      </c>
      <c r="R335" s="0" t="n">
        <v>0.8122</v>
      </c>
      <c r="S335" s="0" t="n">
        <v>-0.0938</v>
      </c>
      <c r="T335" s="0" t="n">
        <v>-0.4857</v>
      </c>
      <c r="U335" s="0" t="n">
        <v>0.9584</v>
      </c>
      <c r="V335" s="0" t="n">
        <v>0.1783</v>
      </c>
      <c r="W335" s="0" t="n">
        <v>-0.2608</v>
      </c>
      <c r="X335" s="0" t="n">
        <v>1.5448</v>
      </c>
      <c r="Y335" s="0" t="n">
        <v>-0.8955</v>
      </c>
      <c r="Z335" s="0" t="n">
        <v>-1.0704</v>
      </c>
      <c r="AA335" s="0" t="n">
        <v>0.0831</v>
      </c>
      <c r="AB335" s="0" t="n">
        <v>0.0196</v>
      </c>
      <c r="AC335" s="0" t="n">
        <v>-1.7819</v>
      </c>
      <c r="AD335" s="0" t="n">
        <v>-0.2509</v>
      </c>
      <c r="AE335" s="0" t="n">
        <v>-0.188</v>
      </c>
      <c r="AG335" s="9" t="n">
        <f aca="false">SUMPRODUCT(($B$2:$AE$2&lt;=Portafolio!$B$5)*EXP(LN(Portafolio!$B$7)+Portafolio!$B$6*B335:AE335))/1000</f>
        <v>2.40185763130216</v>
      </c>
    </row>
    <row r="336" customFormat="false" ht="15" hidden="false" customHeight="false" outlineLevel="0" collapsed="false">
      <c r="A336" s="0" t="n">
        <v>334</v>
      </c>
      <c r="B336" s="0" t="n">
        <v>-0.8203</v>
      </c>
      <c r="C336" s="0" t="n">
        <v>0.2565</v>
      </c>
      <c r="D336" s="0" t="n">
        <v>-2.0637</v>
      </c>
      <c r="E336" s="0" t="n">
        <v>0.4773</v>
      </c>
      <c r="F336" s="0" t="n">
        <v>1.0583</v>
      </c>
      <c r="G336" s="0" t="n">
        <v>2.2644</v>
      </c>
      <c r="H336" s="0" t="n">
        <v>-1.2474</v>
      </c>
      <c r="I336" s="0" t="n">
        <v>0.9866</v>
      </c>
      <c r="J336" s="0" t="n">
        <v>-0.7581</v>
      </c>
      <c r="K336" s="0" t="n">
        <v>-1.5365</v>
      </c>
      <c r="L336" s="0" t="n">
        <v>0.0178</v>
      </c>
      <c r="M336" s="0" t="n">
        <v>-0.7447</v>
      </c>
      <c r="N336" s="0" t="n">
        <v>-0.5488</v>
      </c>
      <c r="O336" s="0" t="n">
        <v>-0.7778</v>
      </c>
      <c r="P336" s="0" t="n">
        <v>0.4997</v>
      </c>
      <c r="Q336" s="0" t="n">
        <v>-0.1184</v>
      </c>
      <c r="R336" s="0" t="n">
        <v>0.4499</v>
      </c>
      <c r="S336" s="0" t="n">
        <v>0.2772</v>
      </c>
      <c r="T336" s="0" t="n">
        <v>0.4679</v>
      </c>
      <c r="U336" s="0" t="n">
        <v>0.0961</v>
      </c>
      <c r="V336" s="0" t="n">
        <v>-1.1541</v>
      </c>
      <c r="W336" s="0" t="n">
        <v>0.7066</v>
      </c>
      <c r="X336" s="0" t="n">
        <v>-0.3404</v>
      </c>
      <c r="Y336" s="0" t="n">
        <v>0.1102</v>
      </c>
      <c r="Z336" s="0" t="n">
        <v>0.1748</v>
      </c>
      <c r="AA336" s="0" t="n">
        <v>0.1774</v>
      </c>
      <c r="AB336" s="0" t="n">
        <v>-0.6251</v>
      </c>
      <c r="AC336" s="0" t="n">
        <v>-0.5301</v>
      </c>
      <c r="AD336" s="0" t="n">
        <v>-0.8762</v>
      </c>
      <c r="AE336" s="0" t="n">
        <v>-0.2536</v>
      </c>
      <c r="AG336" s="9" t="n">
        <f aca="false">SUMPRODUCT(($B$2:$AE$2&lt;=Portafolio!$B$5)*EXP(LN(Portafolio!$B$7)+Portafolio!$B$6*B336:AE336))/1000</f>
        <v>2.26422381611445</v>
      </c>
    </row>
    <row r="337" customFormat="false" ht="15" hidden="false" customHeight="false" outlineLevel="0" collapsed="false">
      <c r="A337" s="0" t="n">
        <v>335</v>
      </c>
      <c r="B337" s="0" t="n">
        <v>0.7448</v>
      </c>
      <c r="C337" s="0" t="n">
        <v>-0.8344</v>
      </c>
      <c r="D337" s="0" t="n">
        <v>0.3053</v>
      </c>
      <c r="E337" s="0" t="n">
        <v>1.748</v>
      </c>
      <c r="F337" s="0" t="n">
        <v>-1.371</v>
      </c>
      <c r="G337" s="0" t="n">
        <v>0.108</v>
      </c>
      <c r="H337" s="0" t="n">
        <v>0.3452</v>
      </c>
      <c r="I337" s="0" t="n">
        <v>-0.184</v>
      </c>
      <c r="J337" s="0" t="n">
        <v>-0.5157</v>
      </c>
      <c r="K337" s="0" t="n">
        <v>0.7676</v>
      </c>
      <c r="L337" s="0" t="n">
        <v>-0.0801</v>
      </c>
      <c r="M337" s="0" t="n">
        <v>0.2795</v>
      </c>
      <c r="N337" s="0" t="n">
        <v>-1.0711</v>
      </c>
      <c r="O337" s="0" t="n">
        <v>1.2579</v>
      </c>
      <c r="P337" s="0" t="n">
        <v>1.9597</v>
      </c>
      <c r="Q337" s="0" t="n">
        <v>-0.2258</v>
      </c>
      <c r="R337" s="0" t="n">
        <v>0.4508</v>
      </c>
      <c r="S337" s="0" t="n">
        <v>-0.4781</v>
      </c>
      <c r="T337" s="0" t="n">
        <v>1.2488</v>
      </c>
      <c r="U337" s="0" t="n">
        <v>0.4744</v>
      </c>
      <c r="V337" s="0" t="n">
        <v>0.2639</v>
      </c>
      <c r="W337" s="0" t="n">
        <v>-0.046</v>
      </c>
      <c r="X337" s="0" t="n">
        <v>-0.9191</v>
      </c>
      <c r="Y337" s="0" t="n">
        <v>0.2714</v>
      </c>
      <c r="Z337" s="0" t="n">
        <v>0.3928</v>
      </c>
      <c r="AA337" s="0" t="n">
        <v>-1.7412</v>
      </c>
      <c r="AB337" s="0" t="n">
        <v>0.1462</v>
      </c>
      <c r="AC337" s="0" t="n">
        <v>-1.7684</v>
      </c>
      <c r="AD337" s="0" t="n">
        <v>1.5583</v>
      </c>
      <c r="AE337" s="0" t="n">
        <v>0.1723</v>
      </c>
      <c r="AG337" s="9" t="n">
        <f aca="false">SUMPRODUCT(($B$2:$AE$2&lt;=Portafolio!$B$5)*EXP(LN(Portafolio!$B$7)+Portafolio!$B$6*B337:AE337))/1000</f>
        <v>2.65841716738913</v>
      </c>
    </row>
    <row r="338" customFormat="false" ht="15" hidden="false" customHeight="false" outlineLevel="0" collapsed="false">
      <c r="A338" s="0" t="n">
        <v>336</v>
      </c>
      <c r="B338" s="0" t="n">
        <v>0.5226</v>
      </c>
      <c r="C338" s="0" t="n">
        <v>-0.7009</v>
      </c>
      <c r="D338" s="0" t="n">
        <v>1.8401</v>
      </c>
      <c r="E338" s="0" t="n">
        <v>0.4247</v>
      </c>
      <c r="F338" s="0" t="n">
        <v>0.1487</v>
      </c>
      <c r="G338" s="0" t="n">
        <v>-0.1132</v>
      </c>
      <c r="H338" s="0" t="n">
        <v>-0.7866</v>
      </c>
      <c r="I338" s="0" t="n">
        <v>-0.3102</v>
      </c>
      <c r="J338" s="0" t="n">
        <v>-0.2805</v>
      </c>
      <c r="K338" s="0" t="n">
        <v>-1.1258</v>
      </c>
      <c r="L338" s="0" t="n">
        <v>1.1229</v>
      </c>
      <c r="M338" s="0" t="n">
        <v>-1.4887</v>
      </c>
      <c r="N338" s="0" t="n">
        <v>0.4457</v>
      </c>
      <c r="O338" s="0" t="n">
        <v>1.2863</v>
      </c>
      <c r="P338" s="0" t="n">
        <v>0.2864</v>
      </c>
      <c r="Q338" s="0" t="n">
        <v>0.3965</v>
      </c>
      <c r="R338" s="0" t="n">
        <v>-0.3762</v>
      </c>
      <c r="S338" s="0" t="n">
        <v>-0.965</v>
      </c>
      <c r="T338" s="0" t="n">
        <v>1.7705</v>
      </c>
      <c r="U338" s="0" t="n">
        <v>-1.3779</v>
      </c>
      <c r="V338" s="0" t="n">
        <v>0.4578</v>
      </c>
      <c r="W338" s="0" t="n">
        <v>-1.0361</v>
      </c>
      <c r="X338" s="0" t="n">
        <v>0.5823</v>
      </c>
      <c r="Y338" s="0" t="n">
        <v>0.6758</v>
      </c>
      <c r="Z338" s="0" t="n">
        <v>1.1931</v>
      </c>
      <c r="AA338" s="0" t="n">
        <v>0.0713</v>
      </c>
      <c r="AB338" s="0" t="n">
        <v>0.0765</v>
      </c>
      <c r="AC338" s="0" t="n">
        <v>-0.2591</v>
      </c>
      <c r="AD338" s="0" t="n">
        <v>0.0695</v>
      </c>
      <c r="AE338" s="0" t="n">
        <v>-0.0194</v>
      </c>
      <c r="AG338" s="9" t="n">
        <f aca="false">SUMPRODUCT(($B$2:$AE$2&lt;=Portafolio!$B$5)*EXP(LN(Portafolio!$B$7)+Portafolio!$B$6*B338:AE338))/1000</f>
        <v>2.41532770952855</v>
      </c>
    </row>
    <row r="339" customFormat="false" ht="15" hidden="false" customHeight="false" outlineLevel="0" collapsed="false">
      <c r="A339" s="0" t="n">
        <v>337</v>
      </c>
      <c r="B339" s="0" t="n">
        <v>0.8522</v>
      </c>
      <c r="C339" s="0" t="n">
        <v>-0.1391</v>
      </c>
      <c r="D339" s="0" t="n">
        <v>-0.1518</v>
      </c>
      <c r="E339" s="0" t="n">
        <v>2.2849</v>
      </c>
      <c r="F339" s="0" t="n">
        <v>-1.1138</v>
      </c>
      <c r="G339" s="0" t="n">
        <v>0.167</v>
      </c>
      <c r="H339" s="0" t="n">
        <v>2.4922</v>
      </c>
      <c r="I339" s="0" t="n">
        <v>-1.2265</v>
      </c>
      <c r="J339" s="0" t="n">
        <v>1.4517</v>
      </c>
      <c r="K339" s="0" t="n">
        <v>0.2533</v>
      </c>
      <c r="L339" s="0" t="n">
        <v>1.0858</v>
      </c>
      <c r="M339" s="0" t="n">
        <v>0.7123</v>
      </c>
      <c r="N339" s="0" t="n">
        <v>-1.4005</v>
      </c>
      <c r="O339" s="0" t="n">
        <v>0.9625</v>
      </c>
      <c r="P339" s="0" t="n">
        <v>-0.2812</v>
      </c>
      <c r="Q339" s="0" t="n">
        <v>-1.4225</v>
      </c>
      <c r="R339" s="0" t="n">
        <v>0.5221</v>
      </c>
      <c r="S339" s="0" t="n">
        <v>-0.9566</v>
      </c>
      <c r="T339" s="0" t="n">
        <v>-0.1336</v>
      </c>
      <c r="U339" s="0" t="n">
        <v>0.3433</v>
      </c>
      <c r="V339" s="0" t="n">
        <v>-1.4158</v>
      </c>
      <c r="W339" s="0" t="n">
        <v>0.8237</v>
      </c>
      <c r="X339" s="0" t="n">
        <v>0.7976</v>
      </c>
      <c r="Y339" s="0" t="n">
        <v>0.1594</v>
      </c>
      <c r="Z339" s="0" t="n">
        <v>0.9437</v>
      </c>
      <c r="AA339" s="0" t="n">
        <v>-0.0397</v>
      </c>
      <c r="AB339" s="0" t="n">
        <v>1.5357</v>
      </c>
      <c r="AC339" s="0" t="n">
        <v>-0.3746</v>
      </c>
      <c r="AD339" s="0" t="n">
        <v>0.2471</v>
      </c>
      <c r="AE339" s="0" t="n">
        <v>0.7312</v>
      </c>
      <c r="AG339" s="9" t="n">
        <f aca="false">SUMPRODUCT(($B$2:$AE$2&lt;=Portafolio!$B$5)*EXP(LN(Portafolio!$B$7)+Portafolio!$B$6*B339:AE339))/1000</f>
        <v>2.85690229153384</v>
      </c>
    </row>
    <row r="340" customFormat="false" ht="15" hidden="false" customHeight="false" outlineLevel="0" collapsed="false">
      <c r="A340" s="0" t="n">
        <v>338</v>
      </c>
      <c r="B340" s="0" t="n">
        <v>0.5149</v>
      </c>
      <c r="C340" s="0" t="n">
        <v>-1.4646</v>
      </c>
      <c r="D340" s="0" t="n">
        <v>-0.2603</v>
      </c>
      <c r="E340" s="0" t="n">
        <v>1.1696</v>
      </c>
      <c r="F340" s="0" t="n">
        <v>-0.4675</v>
      </c>
      <c r="G340" s="0" t="n">
        <v>-1.4069</v>
      </c>
      <c r="H340" s="0" t="n">
        <v>0.4788</v>
      </c>
      <c r="I340" s="0" t="n">
        <v>-0.9064</v>
      </c>
      <c r="J340" s="0" t="n">
        <v>1.2877</v>
      </c>
      <c r="K340" s="0" t="n">
        <v>-0.5844</v>
      </c>
      <c r="L340" s="0" t="n">
        <v>-2.3288</v>
      </c>
      <c r="M340" s="0" t="n">
        <v>-1.1716</v>
      </c>
      <c r="N340" s="0" t="n">
        <v>-1.0239</v>
      </c>
      <c r="O340" s="0" t="n">
        <v>-0.6456</v>
      </c>
      <c r="P340" s="0" t="n">
        <v>0.3254</v>
      </c>
      <c r="Q340" s="0" t="n">
        <v>0.1045</v>
      </c>
      <c r="R340" s="0" t="n">
        <v>0.9287</v>
      </c>
      <c r="S340" s="0" t="n">
        <v>-0.7666</v>
      </c>
      <c r="T340" s="0" t="n">
        <v>-0.4501</v>
      </c>
      <c r="U340" s="0" t="n">
        <v>0.3959</v>
      </c>
      <c r="V340" s="0" t="n">
        <v>0.5104</v>
      </c>
      <c r="W340" s="0" t="n">
        <v>0.8525</v>
      </c>
      <c r="X340" s="0" t="n">
        <v>-1.4388</v>
      </c>
      <c r="Y340" s="0" t="n">
        <v>0.2129</v>
      </c>
      <c r="Z340" s="0" t="n">
        <v>0.449</v>
      </c>
      <c r="AA340" s="0" t="n">
        <v>0.5377</v>
      </c>
      <c r="AB340" s="0" t="n">
        <v>-0.2701</v>
      </c>
      <c r="AC340" s="0" t="n">
        <v>0.2692</v>
      </c>
      <c r="AD340" s="0" t="n">
        <v>-1.6573</v>
      </c>
      <c r="AE340" s="0" t="n">
        <v>-0.9641</v>
      </c>
      <c r="AG340" s="9" t="n">
        <f aca="false">SUMPRODUCT(($B$2:$AE$2&lt;=Portafolio!$B$5)*EXP(LN(Portafolio!$B$7)+Portafolio!$B$6*B340:AE340))/1000</f>
        <v>1.92694194398233</v>
      </c>
    </row>
    <row r="341" customFormat="false" ht="15" hidden="false" customHeight="false" outlineLevel="0" collapsed="false">
      <c r="A341" s="0" t="n">
        <v>339</v>
      </c>
      <c r="B341" s="0" t="n">
        <v>1.146</v>
      </c>
      <c r="C341" s="0" t="n">
        <v>-0.8188</v>
      </c>
      <c r="D341" s="0" t="n">
        <v>0.3425</v>
      </c>
      <c r="E341" s="0" t="n">
        <v>2.1735</v>
      </c>
      <c r="F341" s="0" t="n">
        <v>-1.5689</v>
      </c>
      <c r="G341" s="0" t="n">
        <v>-0.9628</v>
      </c>
      <c r="H341" s="0" t="n">
        <v>0.156</v>
      </c>
      <c r="I341" s="0" t="n">
        <v>0.3128</v>
      </c>
      <c r="J341" s="0" t="n">
        <v>0.1664</v>
      </c>
      <c r="K341" s="0" t="n">
        <v>0.1753</v>
      </c>
      <c r="L341" s="0" t="n">
        <v>-1.1676</v>
      </c>
      <c r="M341" s="0" t="n">
        <v>-0.2825</v>
      </c>
      <c r="N341" s="0" t="n">
        <v>0.9883</v>
      </c>
      <c r="O341" s="0" t="n">
        <v>-1.0304</v>
      </c>
      <c r="P341" s="0" t="n">
        <v>-0.1759</v>
      </c>
      <c r="Q341" s="0" t="n">
        <v>-0.0029</v>
      </c>
      <c r="R341" s="0" t="n">
        <v>0.9092</v>
      </c>
      <c r="S341" s="0" t="n">
        <v>-0.6355</v>
      </c>
      <c r="T341" s="0" t="n">
        <v>1.3261</v>
      </c>
      <c r="U341" s="0" t="n">
        <v>0.3092</v>
      </c>
      <c r="V341" s="0" t="n">
        <v>0.2897</v>
      </c>
      <c r="W341" s="0" t="n">
        <v>-0.1956</v>
      </c>
      <c r="X341" s="0" t="n">
        <v>-0.6107</v>
      </c>
      <c r="Y341" s="0" t="n">
        <v>-1.1448</v>
      </c>
      <c r="Z341" s="0" t="n">
        <v>0.767</v>
      </c>
      <c r="AA341" s="0" t="n">
        <v>0</v>
      </c>
      <c r="AB341" s="0" t="n">
        <v>0.836</v>
      </c>
      <c r="AC341" s="0" t="n">
        <v>0.7584</v>
      </c>
      <c r="AD341" s="0" t="n">
        <v>-0.8385</v>
      </c>
      <c r="AE341" s="0" t="n">
        <v>0.1389</v>
      </c>
      <c r="AG341" s="9" t="n">
        <f aca="false">SUMPRODUCT(($B$2:$AE$2&lt;=Portafolio!$B$5)*EXP(LN(Portafolio!$B$7)+Portafolio!$B$6*B341:AE341))/1000</f>
        <v>2.44000498575146</v>
      </c>
    </row>
    <row r="342" customFormat="false" ht="15" hidden="false" customHeight="false" outlineLevel="0" collapsed="false">
      <c r="A342" s="0" t="n">
        <v>340</v>
      </c>
      <c r="B342" s="0" t="n">
        <v>-0.6315</v>
      </c>
      <c r="C342" s="0" t="n">
        <v>-1.7992</v>
      </c>
      <c r="D342" s="0" t="n">
        <v>0.9831</v>
      </c>
      <c r="E342" s="0" t="n">
        <v>0.1205</v>
      </c>
      <c r="F342" s="0" t="n">
        <v>0.1161</v>
      </c>
      <c r="G342" s="0" t="n">
        <v>1.2125</v>
      </c>
      <c r="H342" s="0" t="n">
        <v>-1.0909</v>
      </c>
      <c r="I342" s="0" t="n">
        <v>1.1547</v>
      </c>
      <c r="J342" s="0" t="n">
        <v>-0.4672</v>
      </c>
      <c r="K342" s="0" t="n">
        <v>0.3622</v>
      </c>
      <c r="L342" s="0" t="n">
        <v>0.0946</v>
      </c>
      <c r="M342" s="0" t="n">
        <v>-0.7972</v>
      </c>
      <c r="N342" s="0" t="n">
        <v>-1.392</v>
      </c>
      <c r="O342" s="0" t="n">
        <v>1.0457</v>
      </c>
      <c r="P342" s="0" t="n">
        <v>-0.3924</v>
      </c>
      <c r="Q342" s="0" t="n">
        <v>0.3982</v>
      </c>
      <c r="R342" s="0" t="n">
        <v>-0.435</v>
      </c>
      <c r="S342" s="0" t="n">
        <v>0.244</v>
      </c>
      <c r="T342" s="0" t="n">
        <v>-0.164</v>
      </c>
      <c r="U342" s="0" t="n">
        <v>-0.0513</v>
      </c>
      <c r="V342" s="0" t="n">
        <v>0.8359</v>
      </c>
      <c r="W342" s="0" t="n">
        <v>1.6392</v>
      </c>
      <c r="X342" s="0" t="n">
        <v>-0.9466</v>
      </c>
      <c r="Y342" s="0" t="n">
        <v>-0.5462</v>
      </c>
      <c r="Z342" s="0" t="n">
        <v>0.3956</v>
      </c>
      <c r="AA342" s="0" t="n">
        <v>-0.3132</v>
      </c>
      <c r="AB342" s="0" t="n">
        <v>-0.0559</v>
      </c>
      <c r="AC342" s="0" t="n">
        <v>0.7833</v>
      </c>
      <c r="AD342" s="0" t="n">
        <v>0.0206</v>
      </c>
      <c r="AE342" s="0" t="n">
        <v>-0.9866</v>
      </c>
      <c r="AG342" s="9" t="n">
        <f aca="false">SUMPRODUCT(($B$2:$AE$2&lt;=Portafolio!$B$5)*EXP(LN(Portafolio!$B$7)+Portafolio!$B$6*B342:AE342))/1000</f>
        <v>2.14112409148044</v>
      </c>
    </row>
    <row r="343" customFormat="false" ht="15" hidden="false" customHeight="false" outlineLevel="0" collapsed="false">
      <c r="A343" s="0" t="n">
        <v>341</v>
      </c>
      <c r="B343" s="0" t="n">
        <v>0.8725</v>
      </c>
      <c r="C343" s="0" t="n">
        <v>0.1883</v>
      </c>
      <c r="D343" s="0" t="n">
        <v>0.4682</v>
      </c>
      <c r="E343" s="0" t="n">
        <v>0.1731</v>
      </c>
      <c r="F343" s="0" t="n">
        <v>-1.7856</v>
      </c>
      <c r="G343" s="0" t="n">
        <v>1.236</v>
      </c>
      <c r="H343" s="0" t="n">
        <v>-0.7049</v>
      </c>
      <c r="I343" s="0" t="n">
        <v>1.1479</v>
      </c>
      <c r="J343" s="0" t="n">
        <v>-1.1696</v>
      </c>
      <c r="K343" s="0" t="n">
        <v>0.1064</v>
      </c>
      <c r="L343" s="0" t="n">
        <v>0.3024</v>
      </c>
      <c r="M343" s="0" t="n">
        <v>-0.557</v>
      </c>
      <c r="N343" s="0" t="n">
        <v>0.4595</v>
      </c>
      <c r="O343" s="0" t="n">
        <v>0.5476</v>
      </c>
      <c r="P343" s="0" t="n">
        <v>-0.5029</v>
      </c>
      <c r="Q343" s="0" t="n">
        <v>0.6492</v>
      </c>
      <c r="R343" s="0" t="n">
        <v>0.1101</v>
      </c>
      <c r="S343" s="0" t="n">
        <v>0.6565</v>
      </c>
      <c r="T343" s="0" t="n">
        <v>-0.7549</v>
      </c>
      <c r="U343" s="0" t="n">
        <v>-0.5698</v>
      </c>
      <c r="V343" s="0" t="n">
        <v>-0.4315</v>
      </c>
      <c r="W343" s="0" t="n">
        <v>-0.459</v>
      </c>
      <c r="X343" s="0" t="n">
        <v>-0.3586</v>
      </c>
      <c r="Y343" s="0" t="n">
        <v>0.5547</v>
      </c>
      <c r="Z343" s="0" t="n">
        <v>0.3747</v>
      </c>
      <c r="AA343" s="0" t="n">
        <v>-0.7036</v>
      </c>
      <c r="AB343" s="0" t="n">
        <v>-0.1652</v>
      </c>
      <c r="AC343" s="0" t="n">
        <v>0.4916</v>
      </c>
      <c r="AD343" s="0" t="n">
        <v>-0.734</v>
      </c>
      <c r="AE343" s="0" t="n">
        <v>-0.3155</v>
      </c>
      <c r="AG343" s="9" t="n">
        <f aca="false">SUMPRODUCT(($B$2:$AE$2&lt;=Portafolio!$B$5)*EXP(LN(Portafolio!$B$7)+Portafolio!$B$6*B343:AE343))/1000</f>
        <v>2.2625425773854</v>
      </c>
    </row>
    <row r="344" customFormat="false" ht="15" hidden="false" customHeight="false" outlineLevel="0" collapsed="false">
      <c r="A344" s="0" t="n">
        <v>342</v>
      </c>
      <c r="B344" s="0" t="n">
        <v>-0.4198</v>
      </c>
      <c r="C344" s="0" t="n">
        <v>-0.9068</v>
      </c>
      <c r="D344" s="0" t="n">
        <v>-0.9868</v>
      </c>
      <c r="E344" s="0" t="n">
        <v>-0.7196</v>
      </c>
      <c r="F344" s="0" t="n">
        <v>0.6727</v>
      </c>
      <c r="G344" s="0" t="n">
        <v>-0.3429</v>
      </c>
      <c r="H344" s="0" t="n">
        <v>0.3877</v>
      </c>
      <c r="I344" s="0" t="n">
        <v>-0.5159</v>
      </c>
      <c r="J344" s="0" t="n">
        <v>-1.4306</v>
      </c>
      <c r="K344" s="0" t="n">
        <v>-0.5025</v>
      </c>
      <c r="L344" s="0" t="n">
        <v>0.8495</v>
      </c>
      <c r="M344" s="0" t="n">
        <v>0.1126</v>
      </c>
      <c r="N344" s="0" t="n">
        <v>-0.4877</v>
      </c>
      <c r="O344" s="0" t="n">
        <v>0.3167</v>
      </c>
      <c r="P344" s="0" t="n">
        <v>0.0041</v>
      </c>
      <c r="Q344" s="0" t="n">
        <v>-0.4872</v>
      </c>
      <c r="R344" s="0" t="n">
        <v>-0.5739</v>
      </c>
      <c r="S344" s="0" t="n">
        <v>0.3079</v>
      </c>
      <c r="T344" s="0" t="n">
        <v>-0.3982</v>
      </c>
      <c r="U344" s="0" t="n">
        <v>-1.4882</v>
      </c>
      <c r="V344" s="0" t="n">
        <v>0.3105</v>
      </c>
      <c r="W344" s="0" t="n">
        <v>-1.1823</v>
      </c>
      <c r="X344" s="0" t="n">
        <v>-1.7086</v>
      </c>
      <c r="Y344" s="0" t="n">
        <v>-1.3377</v>
      </c>
      <c r="Z344" s="0" t="n">
        <v>-2.0962</v>
      </c>
      <c r="AA344" s="0" t="n">
        <v>1.2262</v>
      </c>
      <c r="AB344" s="0" t="n">
        <v>-0.2591</v>
      </c>
      <c r="AC344" s="0" t="n">
        <v>1.0009</v>
      </c>
      <c r="AD344" s="0" t="n">
        <v>0.3268</v>
      </c>
      <c r="AE344" s="0" t="n">
        <v>-0.2907</v>
      </c>
      <c r="AG344" s="9" t="n">
        <f aca="false">SUMPRODUCT(($B$2:$AE$2&lt;=Portafolio!$B$5)*EXP(LN(Portafolio!$B$7)+Portafolio!$B$6*B344:AE344))/1000</f>
        <v>1.75785726014728</v>
      </c>
    </row>
    <row r="345" customFormat="false" ht="15" hidden="false" customHeight="false" outlineLevel="0" collapsed="false">
      <c r="A345" s="0" t="n">
        <v>343</v>
      </c>
      <c r="B345" s="0" t="n">
        <v>-1.5023</v>
      </c>
      <c r="C345" s="0" t="n">
        <v>0.5405</v>
      </c>
      <c r="D345" s="0" t="n">
        <v>-0.1967</v>
      </c>
      <c r="E345" s="0" t="n">
        <v>-0.1196</v>
      </c>
      <c r="F345" s="0" t="n">
        <v>-1.3375</v>
      </c>
      <c r="G345" s="0" t="n">
        <v>1.3085</v>
      </c>
      <c r="H345" s="0" t="n">
        <v>-0.8249</v>
      </c>
      <c r="I345" s="0" t="n">
        <v>0.3361</v>
      </c>
      <c r="J345" s="0" t="n">
        <v>0.0081</v>
      </c>
      <c r="K345" s="0" t="n">
        <v>1.6621</v>
      </c>
      <c r="L345" s="0" t="n">
        <v>1.6185</v>
      </c>
      <c r="M345" s="0" t="n">
        <v>0.4762</v>
      </c>
      <c r="N345" s="0" t="n">
        <v>-0.237</v>
      </c>
      <c r="O345" s="0" t="n">
        <v>1.1229</v>
      </c>
      <c r="P345" s="0" t="n">
        <v>0.8774</v>
      </c>
      <c r="Q345" s="0" t="n">
        <v>-1.5693</v>
      </c>
      <c r="R345" s="0" t="n">
        <v>0.0742</v>
      </c>
      <c r="S345" s="0" t="n">
        <v>-0.6124</v>
      </c>
      <c r="T345" s="0" t="n">
        <v>1.2919</v>
      </c>
      <c r="U345" s="0" t="n">
        <v>1.5628</v>
      </c>
      <c r="V345" s="0" t="n">
        <v>-0.7581</v>
      </c>
      <c r="W345" s="0" t="n">
        <v>-0.3126</v>
      </c>
      <c r="X345" s="0" t="n">
        <v>-0.8091</v>
      </c>
      <c r="Y345" s="0" t="n">
        <v>0.5679</v>
      </c>
      <c r="Z345" s="0" t="n">
        <v>0.9126</v>
      </c>
      <c r="AA345" s="0" t="n">
        <v>-1.4284</v>
      </c>
      <c r="AB345" s="0" t="n">
        <v>-1.5335</v>
      </c>
      <c r="AC345" s="0" t="n">
        <v>0.647</v>
      </c>
      <c r="AD345" s="0" t="n">
        <v>0.2626</v>
      </c>
      <c r="AE345" s="0" t="n">
        <v>-0.7586</v>
      </c>
      <c r="AG345" s="9" t="n">
        <f aca="false">SUMPRODUCT(($B$2:$AE$2&lt;=Portafolio!$B$5)*EXP(LN(Portafolio!$B$7)+Portafolio!$B$6*B345:AE345))/1000</f>
        <v>2.71445492548666</v>
      </c>
    </row>
    <row r="346" customFormat="false" ht="15" hidden="false" customHeight="false" outlineLevel="0" collapsed="false">
      <c r="A346" s="0" t="n">
        <v>344</v>
      </c>
      <c r="B346" s="0" t="n">
        <v>0.4288</v>
      </c>
      <c r="C346" s="0" t="n">
        <v>1.1281</v>
      </c>
      <c r="D346" s="0" t="n">
        <v>1.5085</v>
      </c>
      <c r="E346" s="0" t="n">
        <v>0.5662</v>
      </c>
      <c r="F346" s="0" t="n">
        <v>-0.5795</v>
      </c>
      <c r="G346" s="0" t="n">
        <v>0.8564</v>
      </c>
      <c r="H346" s="0" t="n">
        <v>0.5423</v>
      </c>
      <c r="I346" s="0" t="n">
        <v>-0.476</v>
      </c>
      <c r="J346" s="0" t="n">
        <v>1.4995</v>
      </c>
      <c r="K346" s="0" t="n">
        <v>1.4193</v>
      </c>
      <c r="L346" s="0" t="n">
        <v>2.2076</v>
      </c>
      <c r="M346" s="0" t="n">
        <v>0.1566</v>
      </c>
      <c r="N346" s="0" t="n">
        <v>-0.2879</v>
      </c>
      <c r="O346" s="0" t="n">
        <v>-0.1508</v>
      </c>
      <c r="P346" s="0" t="n">
        <v>0.1394</v>
      </c>
      <c r="Q346" s="0" t="n">
        <v>-0.7755</v>
      </c>
      <c r="R346" s="0" t="n">
        <v>-1.3154</v>
      </c>
      <c r="S346" s="0" t="n">
        <v>1.7432</v>
      </c>
      <c r="T346" s="0" t="n">
        <v>0.7834</v>
      </c>
      <c r="U346" s="0" t="n">
        <v>0.4733</v>
      </c>
      <c r="V346" s="0" t="n">
        <v>1.0357</v>
      </c>
      <c r="W346" s="0" t="n">
        <v>-0.5022</v>
      </c>
      <c r="X346" s="0" t="n">
        <v>-0.2579</v>
      </c>
      <c r="Y346" s="0" t="n">
        <v>-0.1338</v>
      </c>
      <c r="Z346" s="0" t="n">
        <v>1.4214</v>
      </c>
      <c r="AA346" s="0" t="n">
        <v>-0.0587</v>
      </c>
      <c r="AB346" s="0" t="n">
        <v>0.3157</v>
      </c>
      <c r="AC346" s="0" t="n">
        <v>-0.3692</v>
      </c>
      <c r="AD346" s="0" t="n">
        <v>0.4846</v>
      </c>
      <c r="AE346" s="0" t="n">
        <v>0.6243</v>
      </c>
      <c r="AG346" s="9" t="n">
        <f aca="false">SUMPRODUCT(($B$2:$AE$2&lt;=Portafolio!$B$5)*EXP(LN(Portafolio!$B$7)+Portafolio!$B$6*B346:AE346))/1000</f>
        <v>3.10119199300266</v>
      </c>
    </row>
    <row r="347" customFormat="false" ht="15" hidden="false" customHeight="false" outlineLevel="0" collapsed="false">
      <c r="A347" s="0" t="n">
        <v>345</v>
      </c>
      <c r="B347" s="0" t="n">
        <v>0.0631</v>
      </c>
      <c r="C347" s="0" t="n">
        <v>-0.3317</v>
      </c>
      <c r="D347" s="0" t="n">
        <v>1.9016</v>
      </c>
      <c r="E347" s="0" t="n">
        <v>-0.8625</v>
      </c>
      <c r="F347" s="0" t="n">
        <v>-0.6641</v>
      </c>
      <c r="G347" s="0" t="n">
        <v>0.7471</v>
      </c>
      <c r="H347" s="0" t="n">
        <v>-0.94</v>
      </c>
      <c r="I347" s="0" t="n">
        <v>-0.9045</v>
      </c>
      <c r="J347" s="0" t="n">
        <v>0.4856</v>
      </c>
      <c r="K347" s="0" t="n">
        <v>0.9398</v>
      </c>
      <c r="L347" s="0" t="n">
        <v>2.2818</v>
      </c>
      <c r="M347" s="0" t="n">
        <v>1.9304</v>
      </c>
      <c r="N347" s="0" t="n">
        <v>0.509</v>
      </c>
      <c r="O347" s="0" t="n">
        <v>1.9126</v>
      </c>
      <c r="P347" s="0" t="n">
        <v>-1.1467</v>
      </c>
      <c r="Q347" s="0" t="n">
        <v>-0.1113</v>
      </c>
      <c r="R347" s="0" t="n">
        <v>-1.4322</v>
      </c>
      <c r="S347" s="0" t="n">
        <v>1.4141</v>
      </c>
      <c r="T347" s="0" t="n">
        <v>-0.5197</v>
      </c>
      <c r="U347" s="0" t="n">
        <v>0.2449</v>
      </c>
      <c r="V347" s="0" t="n">
        <v>-0.3274</v>
      </c>
      <c r="W347" s="0" t="n">
        <v>0.2618</v>
      </c>
      <c r="X347" s="0" t="n">
        <v>-0.2723</v>
      </c>
      <c r="Y347" s="0" t="n">
        <v>0.7226</v>
      </c>
      <c r="Z347" s="0" t="n">
        <v>1.0698</v>
      </c>
      <c r="AA347" s="0" t="n">
        <v>-0.3003</v>
      </c>
      <c r="AB347" s="0" t="n">
        <v>0.0065</v>
      </c>
      <c r="AC347" s="0" t="n">
        <v>-0.2096</v>
      </c>
      <c r="AD347" s="0" t="n">
        <v>-0.7392</v>
      </c>
      <c r="AE347" s="0" t="n">
        <v>1.6207</v>
      </c>
      <c r="AG347" s="9" t="n">
        <f aca="false">SUMPRODUCT(($B$2:$AE$2&lt;=Portafolio!$B$5)*EXP(LN(Portafolio!$B$7)+Portafolio!$B$6*B347:AE347))/1000</f>
        <v>2.97782539243013</v>
      </c>
    </row>
    <row r="348" customFormat="false" ht="15" hidden="false" customHeight="false" outlineLevel="0" collapsed="false">
      <c r="A348" s="0" t="n">
        <v>346</v>
      </c>
      <c r="B348" s="0" t="n">
        <v>-1.8798</v>
      </c>
      <c r="C348" s="0" t="n">
        <v>-1.7338</v>
      </c>
      <c r="D348" s="0" t="n">
        <v>-1.6048</v>
      </c>
      <c r="E348" s="0" t="n">
        <v>1.2439</v>
      </c>
      <c r="F348" s="0" t="n">
        <v>0.6323</v>
      </c>
      <c r="G348" s="0" t="n">
        <v>1.0816</v>
      </c>
      <c r="H348" s="0" t="n">
        <v>-1.0896</v>
      </c>
      <c r="I348" s="0" t="n">
        <v>-0.0976</v>
      </c>
      <c r="J348" s="0" t="n">
        <v>2.0625</v>
      </c>
      <c r="K348" s="0" t="n">
        <v>-1.2399</v>
      </c>
      <c r="L348" s="0" t="n">
        <v>-1.9548</v>
      </c>
      <c r="M348" s="0" t="n">
        <v>-1.3446</v>
      </c>
      <c r="N348" s="0" t="n">
        <v>-0.2594</v>
      </c>
      <c r="O348" s="0" t="n">
        <v>0.8783</v>
      </c>
      <c r="P348" s="0" t="n">
        <v>0.8626</v>
      </c>
      <c r="Q348" s="0" t="n">
        <v>-0.1201</v>
      </c>
      <c r="R348" s="0" t="n">
        <v>0.3722</v>
      </c>
      <c r="S348" s="0" t="n">
        <v>-0.0337</v>
      </c>
      <c r="T348" s="0" t="n">
        <v>-0.3661</v>
      </c>
      <c r="U348" s="0" t="n">
        <v>1.362</v>
      </c>
      <c r="V348" s="0" t="n">
        <v>0.1402</v>
      </c>
      <c r="W348" s="0" t="n">
        <v>-0.141</v>
      </c>
      <c r="X348" s="0" t="n">
        <v>0.0677</v>
      </c>
      <c r="Y348" s="0" t="n">
        <v>0.2096</v>
      </c>
      <c r="Z348" s="0" t="n">
        <v>0.499</v>
      </c>
      <c r="AA348" s="0" t="n">
        <v>1.1029</v>
      </c>
      <c r="AB348" s="0" t="n">
        <v>0.0432</v>
      </c>
      <c r="AC348" s="0" t="n">
        <v>0.4956</v>
      </c>
      <c r="AD348" s="0" t="n">
        <v>-0.2528</v>
      </c>
      <c r="AE348" s="0" t="n">
        <v>-0.4898</v>
      </c>
      <c r="AG348" s="9" t="n">
        <f aca="false">SUMPRODUCT(($B$2:$AE$2&lt;=Portafolio!$B$5)*EXP(LN(Portafolio!$B$7)+Portafolio!$B$6*B348:AE348))/1000</f>
        <v>2.31394942943806</v>
      </c>
    </row>
    <row r="349" customFormat="false" ht="15" hidden="false" customHeight="false" outlineLevel="0" collapsed="false">
      <c r="A349" s="0" t="n">
        <v>347</v>
      </c>
      <c r="B349" s="0" t="n">
        <v>1.9483</v>
      </c>
      <c r="C349" s="0" t="n">
        <v>-0.3626</v>
      </c>
      <c r="D349" s="0" t="n">
        <v>1.7723</v>
      </c>
      <c r="E349" s="0" t="n">
        <v>-1.3915</v>
      </c>
      <c r="F349" s="0" t="n">
        <v>1.7544</v>
      </c>
      <c r="G349" s="0" t="n">
        <v>-1.0489</v>
      </c>
      <c r="H349" s="0" t="n">
        <v>-0.0156</v>
      </c>
      <c r="I349" s="0" t="n">
        <v>0.1299</v>
      </c>
      <c r="J349" s="0" t="n">
        <v>0.071</v>
      </c>
      <c r="K349" s="0" t="n">
        <v>0.0457</v>
      </c>
      <c r="L349" s="0" t="n">
        <v>-0.65</v>
      </c>
      <c r="M349" s="0" t="n">
        <v>0.8411</v>
      </c>
      <c r="N349" s="0" t="n">
        <v>-0.2406</v>
      </c>
      <c r="O349" s="0" t="n">
        <v>-0.9793</v>
      </c>
      <c r="P349" s="0" t="n">
        <v>0.8746</v>
      </c>
      <c r="Q349" s="0" t="n">
        <v>0.5237</v>
      </c>
      <c r="R349" s="0" t="n">
        <v>-0.598</v>
      </c>
      <c r="S349" s="0" t="n">
        <v>-1.2193</v>
      </c>
      <c r="T349" s="0" t="n">
        <v>1.0314</v>
      </c>
      <c r="U349" s="0" t="n">
        <v>0.1674</v>
      </c>
      <c r="V349" s="0" t="n">
        <v>-0.1181</v>
      </c>
      <c r="W349" s="0" t="n">
        <v>-0.6065</v>
      </c>
      <c r="X349" s="0" t="n">
        <v>-1.0756</v>
      </c>
      <c r="Y349" s="0" t="n">
        <v>1.3966</v>
      </c>
      <c r="Z349" s="0" t="n">
        <v>0.4537</v>
      </c>
      <c r="AA349" s="0" t="n">
        <v>-0.6816</v>
      </c>
      <c r="AB349" s="0" t="n">
        <v>0.6478</v>
      </c>
      <c r="AC349" s="0" t="n">
        <v>0.3275</v>
      </c>
      <c r="AD349" s="0" t="n">
        <v>0.2014</v>
      </c>
      <c r="AE349" s="0" t="n">
        <v>-1.6492</v>
      </c>
      <c r="AG349" s="9" t="n">
        <f aca="false">SUMPRODUCT(($B$2:$AE$2&lt;=Portafolio!$B$5)*EXP(LN(Portafolio!$B$7)+Portafolio!$B$6*B349:AE349))/1000</f>
        <v>2.58505206260602</v>
      </c>
    </row>
    <row r="350" customFormat="false" ht="15" hidden="false" customHeight="false" outlineLevel="0" collapsed="false">
      <c r="A350" s="0" t="n">
        <v>348</v>
      </c>
      <c r="B350" s="0" t="n">
        <v>0.5593</v>
      </c>
      <c r="C350" s="0" t="n">
        <v>0.7076</v>
      </c>
      <c r="D350" s="0" t="n">
        <v>-1.019</v>
      </c>
      <c r="E350" s="0" t="n">
        <v>0.5548</v>
      </c>
      <c r="F350" s="0" t="n">
        <v>-0.1692</v>
      </c>
      <c r="G350" s="0" t="n">
        <v>0.2464</v>
      </c>
      <c r="H350" s="0" t="n">
        <v>-0.9678</v>
      </c>
      <c r="I350" s="0" t="n">
        <v>0.7973</v>
      </c>
      <c r="J350" s="0" t="n">
        <v>0.0587</v>
      </c>
      <c r="K350" s="0" t="n">
        <v>-0.0338</v>
      </c>
      <c r="L350" s="0" t="n">
        <v>0.3436</v>
      </c>
      <c r="M350" s="0" t="n">
        <v>-0.9703</v>
      </c>
      <c r="N350" s="0" t="n">
        <v>0.4954</v>
      </c>
      <c r="O350" s="0" t="n">
        <v>1.7245</v>
      </c>
      <c r="P350" s="0" t="n">
        <v>0.685</v>
      </c>
      <c r="Q350" s="0" t="n">
        <v>0.0273</v>
      </c>
      <c r="R350" s="0" t="n">
        <v>-0.83</v>
      </c>
      <c r="S350" s="0" t="n">
        <v>0.2503</v>
      </c>
      <c r="T350" s="0" t="n">
        <v>0.0014</v>
      </c>
      <c r="U350" s="0" t="n">
        <v>-0.2489</v>
      </c>
      <c r="V350" s="0" t="n">
        <v>-0.456</v>
      </c>
      <c r="W350" s="0" t="n">
        <v>-0.0527</v>
      </c>
      <c r="X350" s="0" t="n">
        <v>0.6838</v>
      </c>
      <c r="Y350" s="0" t="n">
        <v>0.116</v>
      </c>
      <c r="Z350" s="0" t="n">
        <v>0.4086</v>
      </c>
      <c r="AA350" s="0" t="n">
        <v>0.307</v>
      </c>
      <c r="AB350" s="0" t="n">
        <v>-2.3673</v>
      </c>
      <c r="AC350" s="0" t="n">
        <v>2.4042</v>
      </c>
      <c r="AD350" s="0" t="n">
        <v>0.7587</v>
      </c>
      <c r="AE350" s="0" t="n">
        <v>-0.0887</v>
      </c>
      <c r="AG350" s="9" t="n">
        <f aca="false">SUMPRODUCT(($B$2:$AE$2&lt;=Portafolio!$B$5)*EXP(LN(Portafolio!$B$7)+Portafolio!$B$6*B350:AE350))/1000</f>
        <v>2.32215524033185</v>
      </c>
    </row>
    <row r="351" customFormat="false" ht="15" hidden="false" customHeight="false" outlineLevel="0" collapsed="false">
      <c r="A351" s="0" t="n">
        <v>349</v>
      </c>
      <c r="B351" s="0" t="n">
        <v>0.0565</v>
      </c>
      <c r="C351" s="0" t="n">
        <v>0.9989</v>
      </c>
      <c r="D351" s="0" t="n">
        <v>0.5923</v>
      </c>
      <c r="E351" s="0" t="n">
        <v>1.5416</v>
      </c>
      <c r="F351" s="0" t="n">
        <v>-1.3763</v>
      </c>
      <c r="G351" s="0" t="n">
        <v>0.1864</v>
      </c>
      <c r="H351" s="0" t="n">
        <v>-0.6345</v>
      </c>
      <c r="I351" s="0" t="n">
        <v>0.2917</v>
      </c>
      <c r="J351" s="0" t="n">
        <v>0.3809</v>
      </c>
      <c r="K351" s="0" t="n">
        <v>0.452</v>
      </c>
      <c r="L351" s="0" t="n">
        <v>-0.8807</v>
      </c>
      <c r="M351" s="0" t="n">
        <v>0.7374</v>
      </c>
      <c r="N351" s="0" t="n">
        <v>1.0219</v>
      </c>
      <c r="O351" s="0" t="n">
        <v>0.2191</v>
      </c>
      <c r="P351" s="0" t="n">
        <v>0.1723</v>
      </c>
      <c r="Q351" s="0" t="n">
        <v>1.5178</v>
      </c>
      <c r="R351" s="0" t="n">
        <v>0.9845</v>
      </c>
      <c r="S351" s="0" t="n">
        <v>-0.4029</v>
      </c>
      <c r="T351" s="0" t="n">
        <v>1.2024</v>
      </c>
      <c r="U351" s="0" t="n">
        <v>0.5053</v>
      </c>
      <c r="V351" s="0" t="n">
        <v>-0.8707</v>
      </c>
      <c r="W351" s="0" t="n">
        <v>-0.5622</v>
      </c>
      <c r="X351" s="0" t="n">
        <v>-1.7507</v>
      </c>
      <c r="Y351" s="0" t="n">
        <v>-0.736</v>
      </c>
      <c r="Z351" s="0" t="n">
        <v>0.0713</v>
      </c>
      <c r="AA351" s="0" t="n">
        <v>0.9472</v>
      </c>
      <c r="AB351" s="0" t="n">
        <v>-0.008</v>
      </c>
      <c r="AC351" s="0" t="n">
        <v>-0.3709</v>
      </c>
      <c r="AD351" s="0" t="n">
        <v>-0.238</v>
      </c>
      <c r="AE351" s="0" t="n">
        <v>-0.5681</v>
      </c>
      <c r="AG351" s="9" t="n">
        <f aca="false">SUMPRODUCT(($B$2:$AE$2&lt;=Portafolio!$B$5)*EXP(LN(Portafolio!$B$7)+Portafolio!$B$6*B351:AE351))/1000</f>
        <v>2.7532806044107</v>
      </c>
    </row>
    <row r="352" customFormat="false" ht="15" hidden="false" customHeight="false" outlineLevel="0" collapsed="false">
      <c r="A352" s="0" t="n">
        <v>350</v>
      </c>
      <c r="B352" s="0" t="n">
        <v>-0.3768</v>
      </c>
      <c r="C352" s="0" t="n">
        <v>1.7715</v>
      </c>
      <c r="D352" s="0" t="n">
        <v>0.142</v>
      </c>
      <c r="E352" s="0" t="n">
        <v>-1.0252</v>
      </c>
      <c r="F352" s="0" t="n">
        <v>-0.0356</v>
      </c>
      <c r="G352" s="0" t="n">
        <v>-0.6208</v>
      </c>
      <c r="H352" s="0" t="n">
        <v>-1.0088</v>
      </c>
      <c r="I352" s="0" t="n">
        <v>-0.7958</v>
      </c>
      <c r="J352" s="0" t="n">
        <v>1.8106</v>
      </c>
      <c r="K352" s="0" t="n">
        <v>-0.819</v>
      </c>
      <c r="L352" s="0" t="n">
        <v>-0.7349</v>
      </c>
      <c r="M352" s="0" t="n">
        <v>-0.1037</v>
      </c>
      <c r="N352" s="0" t="n">
        <v>1.1156</v>
      </c>
      <c r="O352" s="0" t="n">
        <v>2.1801</v>
      </c>
      <c r="P352" s="0" t="n">
        <v>0.6335</v>
      </c>
      <c r="Q352" s="0" t="n">
        <v>0.4854</v>
      </c>
      <c r="R352" s="0" t="n">
        <v>-0.2957</v>
      </c>
      <c r="S352" s="0" t="n">
        <v>-0.1245</v>
      </c>
      <c r="T352" s="0" t="n">
        <v>1.4034</v>
      </c>
      <c r="U352" s="0" t="n">
        <v>-0.618</v>
      </c>
      <c r="V352" s="0" t="n">
        <v>0.6897</v>
      </c>
      <c r="W352" s="0" t="n">
        <v>-0.8543</v>
      </c>
      <c r="X352" s="0" t="n">
        <v>-0.0655</v>
      </c>
      <c r="Y352" s="0" t="n">
        <v>-0.1133</v>
      </c>
      <c r="Z352" s="0" t="n">
        <v>0.9046</v>
      </c>
      <c r="AA352" s="0" t="n">
        <v>-1.7496</v>
      </c>
      <c r="AB352" s="0" t="n">
        <v>-1.4654</v>
      </c>
      <c r="AC352" s="0" t="n">
        <v>0.0546</v>
      </c>
      <c r="AD352" s="0" t="n">
        <v>0.1625</v>
      </c>
      <c r="AE352" s="0" t="n">
        <v>0.8135</v>
      </c>
      <c r="AG352" s="9" t="n">
        <f aca="false">SUMPRODUCT(($B$2:$AE$2&lt;=Portafolio!$B$5)*EXP(LN(Portafolio!$B$7)+Portafolio!$B$6*B352:AE352))/1000</f>
        <v>2.65436423144283</v>
      </c>
    </row>
    <row r="353" customFormat="false" ht="15" hidden="false" customHeight="false" outlineLevel="0" collapsed="false">
      <c r="A353" s="0" t="n">
        <v>351</v>
      </c>
      <c r="B353" s="0" t="n">
        <v>-1.3638</v>
      </c>
      <c r="C353" s="0" t="n">
        <v>1.0111</v>
      </c>
      <c r="D353" s="0" t="n">
        <v>0.6162</v>
      </c>
      <c r="E353" s="0" t="n">
        <v>-0.1505</v>
      </c>
      <c r="F353" s="0" t="n">
        <v>1.4045</v>
      </c>
      <c r="G353" s="0" t="n">
        <v>-0.5038</v>
      </c>
      <c r="H353" s="0" t="n">
        <v>1.1176</v>
      </c>
      <c r="I353" s="0" t="n">
        <v>1.3656</v>
      </c>
      <c r="J353" s="0" t="n">
        <v>-0.0697</v>
      </c>
      <c r="K353" s="0" t="n">
        <v>0.2532</v>
      </c>
      <c r="L353" s="0" t="n">
        <v>-0.3919</v>
      </c>
      <c r="M353" s="0" t="n">
        <v>0.2633</v>
      </c>
      <c r="N353" s="0" t="n">
        <v>0.5218</v>
      </c>
      <c r="O353" s="0" t="n">
        <v>-0.3922</v>
      </c>
      <c r="P353" s="0" t="n">
        <v>0.0195</v>
      </c>
      <c r="Q353" s="0" t="n">
        <v>0.3945</v>
      </c>
      <c r="R353" s="0" t="n">
        <v>-1.1847</v>
      </c>
      <c r="S353" s="0" t="n">
        <v>0.1278</v>
      </c>
      <c r="T353" s="0" t="n">
        <v>0.1931</v>
      </c>
      <c r="U353" s="0" t="n">
        <v>1.5655</v>
      </c>
      <c r="V353" s="0" t="n">
        <v>0.5277</v>
      </c>
      <c r="W353" s="0" t="n">
        <v>-0.2566</v>
      </c>
      <c r="X353" s="0" t="n">
        <v>-0.048</v>
      </c>
      <c r="Y353" s="0" t="n">
        <v>0.6637</v>
      </c>
      <c r="Z353" s="0" t="n">
        <v>-0.9284</v>
      </c>
      <c r="AA353" s="0" t="n">
        <v>0.5193</v>
      </c>
      <c r="AB353" s="0" t="n">
        <v>-0.7572</v>
      </c>
      <c r="AC353" s="0" t="n">
        <v>1.0204</v>
      </c>
      <c r="AD353" s="0" t="n">
        <v>1.0892</v>
      </c>
      <c r="AE353" s="0" t="n">
        <v>-0.7119</v>
      </c>
      <c r="AG353" s="9" t="n">
        <f aca="false">SUMPRODUCT(($B$2:$AE$2&lt;=Portafolio!$B$5)*EXP(LN(Portafolio!$B$7)+Portafolio!$B$6*B353:AE353))/1000</f>
        <v>2.56960680973704</v>
      </c>
    </row>
    <row r="354" customFormat="false" ht="15" hidden="false" customHeight="false" outlineLevel="0" collapsed="false">
      <c r="A354" s="0" t="n">
        <v>352</v>
      </c>
      <c r="B354" s="0" t="n">
        <v>0.8437</v>
      </c>
      <c r="C354" s="0" t="n">
        <v>0.8237</v>
      </c>
      <c r="D354" s="0" t="n">
        <v>-1.1442</v>
      </c>
      <c r="E354" s="0" t="n">
        <v>-0.2687</v>
      </c>
      <c r="F354" s="0" t="n">
        <v>-0.0312</v>
      </c>
      <c r="G354" s="0" t="n">
        <v>0.9785</v>
      </c>
      <c r="H354" s="0" t="n">
        <v>-0.6107</v>
      </c>
      <c r="I354" s="0" t="n">
        <v>1.18</v>
      </c>
      <c r="J354" s="0" t="n">
        <v>1.0804</v>
      </c>
      <c r="K354" s="0" t="n">
        <v>-0.0728</v>
      </c>
      <c r="L354" s="0" t="n">
        <v>-0.2212</v>
      </c>
      <c r="M354" s="0" t="n">
        <v>0.2976</v>
      </c>
      <c r="N354" s="0" t="n">
        <v>0.4833</v>
      </c>
      <c r="O354" s="0" t="n">
        <v>0.5783</v>
      </c>
      <c r="P354" s="0" t="n">
        <v>-1.3361</v>
      </c>
      <c r="Q354" s="0" t="n">
        <v>-0.4835</v>
      </c>
      <c r="R354" s="0" t="n">
        <v>-1.4123</v>
      </c>
      <c r="S354" s="0" t="n">
        <v>1.2083</v>
      </c>
      <c r="T354" s="0" t="n">
        <v>0.937</v>
      </c>
      <c r="U354" s="0" t="n">
        <v>-0.0901</v>
      </c>
      <c r="V354" s="0" t="n">
        <v>0.6949</v>
      </c>
      <c r="W354" s="0" t="n">
        <v>-0.9877</v>
      </c>
      <c r="X354" s="0" t="n">
        <v>0.0588</v>
      </c>
      <c r="Y354" s="0" t="n">
        <v>0.5432</v>
      </c>
      <c r="Z354" s="0" t="n">
        <v>-1.4971</v>
      </c>
      <c r="AA354" s="0" t="n">
        <v>0.1243</v>
      </c>
      <c r="AB354" s="0" t="n">
        <v>-1.0885</v>
      </c>
      <c r="AC354" s="0" t="n">
        <v>0.9987</v>
      </c>
      <c r="AD354" s="0" t="n">
        <v>-0.0575</v>
      </c>
      <c r="AE354" s="0" t="n">
        <v>-0.2947</v>
      </c>
      <c r="AG354" s="9" t="n">
        <f aca="false">SUMPRODUCT(($B$2:$AE$2&lt;=Portafolio!$B$5)*EXP(LN(Portafolio!$B$7)+Portafolio!$B$6*B354:AE354))/1000</f>
        <v>2.4239743005735</v>
      </c>
    </row>
    <row r="355" customFormat="false" ht="15" hidden="false" customHeight="false" outlineLevel="0" collapsed="false">
      <c r="A355" s="0" t="n">
        <v>353</v>
      </c>
      <c r="B355" s="0" t="n">
        <v>-0.978</v>
      </c>
      <c r="C355" s="0" t="n">
        <v>1.0384</v>
      </c>
      <c r="D355" s="0" t="n">
        <v>0.1781</v>
      </c>
      <c r="E355" s="0" t="n">
        <v>-0.4905</v>
      </c>
      <c r="F355" s="0" t="n">
        <v>-0.5117</v>
      </c>
      <c r="G355" s="0" t="n">
        <v>-0.7272</v>
      </c>
      <c r="H355" s="0" t="n">
        <v>1.1974</v>
      </c>
      <c r="I355" s="0" t="n">
        <v>-0.3697</v>
      </c>
      <c r="J355" s="0" t="n">
        <v>1.7636</v>
      </c>
      <c r="K355" s="0" t="n">
        <v>-0.3025</v>
      </c>
      <c r="L355" s="0" t="n">
        <v>-0.8554</v>
      </c>
      <c r="M355" s="0" t="n">
        <v>-0.1896</v>
      </c>
      <c r="N355" s="0" t="n">
        <v>-0.0799</v>
      </c>
      <c r="O355" s="0" t="n">
        <v>0.7824</v>
      </c>
      <c r="P355" s="0" t="n">
        <v>2.4306</v>
      </c>
      <c r="Q355" s="0" t="n">
        <v>1.8505</v>
      </c>
      <c r="R355" s="0" t="n">
        <v>0.6897</v>
      </c>
      <c r="S355" s="0" t="n">
        <v>-1.2901</v>
      </c>
      <c r="T355" s="0" t="n">
        <v>1.556</v>
      </c>
      <c r="U355" s="0" t="n">
        <v>1.8568</v>
      </c>
      <c r="V355" s="0" t="n">
        <v>-1.3842</v>
      </c>
      <c r="W355" s="0" t="n">
        <v>-0.1539</v>
      </c>
      <c r="X355" s="0" t="n">
        <v>0.4548</v>
      </c>
      <c r="Y355" s="0" t="n">
        <v>2.1639</v>
      </c>
      <c r="Z355" s="0" t="n">
        <v>1.0001</v>
      </c>
      <c r="AA355" s="0" t="n">
        <v>0.2374</v>
      </c>
      <c r="AB355" s="0" t="n">
        <v>-2.1838</v>
      </c>
      <c r="AC355" s="0" t="n">
        <v>1.0653</v>
      </c>
      <c r="AD355" s="0" t="n">
        <v>-1.1635</v>
      </c>
      <c r="AE355" s="0" t="n">
        <v>-0.496</v>
      </c>
      <c r="AG355" s="9" t="n">
        <f aca="false">SUMPRODUCT(($B$2:$AE$2&lt;=Portafolio!$B$5)*EXP(LN(Portafolio!$B$7)+Portafolio!$B$6*B355:AE355))/1000</f>
        <v>3.11695660651083</v>
      </c>
    </row>
    <row r="356" customFormat="false" ht="15" hidden="false" customHeight="false" outlineLevel="0" collapsed="false">
      <c r="A356" s="0" t="n">
        <v>354</v>
      </c>
      <c r="B356" s="0" t="n">
        <v>-1.3503</v>
      </c>
      <c r="C356" s="0" t="n">
        <v>0.6067</v>
      </c>
      <c r="D356" s="0" t="n">
        <v>1.9977</v>
      </c>
      <c r="E356" s="0" t="n">
        <v>0.2963</v>
      </c>
      <c r="F356" s="0" t="n">
        <v>0.936</v>
      </c>
      <c r="G356" s="0" t="n">
        <v>-0.6077</v>
      </c>
      <c r="H356" s="0" t="n">
        <v>-1.1542</v>
      </c>
      <c r="I356" s="0" t="n">
        <v>0.367</v>
      </c>
      <c r="J356" s="0" t="n">
        <v>-1.626</v>
      </c>
      <c r="K356" s="0" t="n">
        <v>-0.7765</v>
      </c>
      <c r="L356" s="0" t="n">
        <v>0.1393</v>
      </c>
      <c r="M356" s="0" t="n">
        <v>-0.9163</v>
      </c>
      <c r="N356" s="0" t="n">
        <v>0.5238</v>
      </c>
      <c r="O356" s="0" t="n">
        <v>2.2811</v>
      </c>
      <c r="P356" s="0" t="n">
        <v>0.8875</v>
      </c>
      <c r="Q356" s="0" t="n">
        <v>1.4141</v>
      </c>
      <c r="R356" s="0" t="n">
        <v>-0.7553</v>
      </c>
      <c r="S356" s="0" t="n">
        <v>-0.1402</v>
      </c>
      <c r="T356" s="0" t="n">
        <v>0.0044</v>
      </c>
      <c r="U356" s="0" t="n">
        <v>0.5531</v>
      </c>
      <c r="V356" s="0" t="n">
        <v>-1.081</v>
      </c>
      <c r="W356" s="0" t="n">
        <v>-0.634</v>
      </c>
      <c r="X356" s="0" t="n">
        <v>1.0534</v>
      </c>
      <c r="Y356" s="0" t="n">
        <v>0.6917</v>
      </c>
      <c r="Z356" s="0" t="n">
        <v>1.7955</v>
      </c>
      <c r="AA356" s="0" t="n">
        <v>1.6646</v>
      </c>
      <c r="AB356" s="0" t="n">
        <v>0.455</v>
      </c>
      <c r="AC356" s="0" t="n">
        <v>-0.5783</v>
      </c>
      <c r="AD356" s="0" t="n">
        <v>-0.6055</v>
      </c>
      <c r="AE356" s="0" t="n">
        <v>-0.865</v>
      </c>
      <c r="AG356" s="9" t="n">
        <f aca="false">SUMPRODUCT(($B$2:$AE$2&lt;=Portafolio!$B$5)*EXP(LN(Portafolio!$B$7)+Portafolio!$B$6*B356:AE356))/1000</f>
        <v>2.65470541896541</v>
      </c>
    </row>
    <row r="357" customFormat="false" ht="15" hidden="false" customHeight="false" outlineLevel="0" collapsed="false">
      <c r="A357" s="0" t="n">
        <v>355</v>
      </c>
      <c r="B357" s="0" t="n">
        <v>0.9192</v>
      </c>
      <c r="C357" s="0" t="n">
        <v>1.0573</v>
      </c>
      <c r="D357" s="0" t="n">
        <v>1.505</v>
      </c>
      <c r="E357" s="0" t="n">
        <v>-0.4236</v>
      </c>
      <c r="F357" s="0" t="n">
        <v>1.2898</v>
      </c>
      <c r="G357" s="0" t="n">
        <v>-0.4759</v>
      </c>
      <c r="H357" s="0" t="n">
        <v>0.0838</v>
      </c>
      <c r="I357" s="0" t="n">
        <v>-0.4984</v>
      </c>
      <c r="J357" s="0" t="n">
        <v>0.4953</v>
      </c>
      <c r="K357" s="0" t="n">
        <v>0.2386</v>
      </c>
      <c r="L357" s="0" t="n">
        <v>0.1223</v>
      </c>
      <c r="M357" s="0" t="n">
        <v>-2.1248</v>
      </c>
      <c r="N357" s="0" t="n">
        <v>0.4749</v>
      </c>
      <c r="O357" s="0" t="n">
        <v>0.9844</v>
      </c>
      <c r="P357" s="0" t="n">
        <v>0.9777</v>
      </c>
      <c r="Q357" s="0" t="n">
        <v>-1.1532</v>
      </c>
      <c r="R357" s="0" t="n">
        <v>-1.9769</v>
      </c>
      <c r="S357" s="0" t="n">
        <v>1.3444</v>
      </c>
      <c r="T357" s="0" t="n">
        <v>0.055</v>
      </c>
      <c r="U357" s="0" t="n">
        <v>-0.3267</v>
      </c>
      <c r="V357" s="0" t="n">
        <v>-1.021</v>
      </c>
      <c r="W357" s="0" t="n">
        <v>-0.6536</v>
      </c>
      <c r="X357" s="0" t="n">
        <v>-1.0795</v>
      </c>
      <c r="Y357" s="0" t="n">
        <v>-0.6823</v>
      </c>
      <c r="Z357" s="0" t="n">
        <v>0.4727</v>
      </c>
      <c r="AA357" s="0" t="n">
        <v>-1.6687</v>
      </c>
      <c r="AB357" s="0" t="n">
        <v>1.7192</v>
      </c>
      <c r="AC357" s="0" t="n">
        <v>1.2938</v>
      </c>
      <c r="AD357" s="0" t="n">
        <v>-1.707</v>
      </c>
      <c r="AE357" s="0" t="n">
        <v>0.2371</v>
      </c>
      <c r="AG357" s="9" t="n">
        <f aca="false">SUMPRODUCT(($B$2:$AE$2&lt;=Portafolio!$B$5)*EXP(LN(Portafolio!$B$7)+Portafolio!$B$6*B357:AE357))/1000</f>
        <v>2.52673972636297</v>
      </c>
    </row>
    <row r="358" customFormat="false" ht="15" hidden="false" customHeight="false" outlineLevel="0" collapsed="false">
      <c r="A358" s="0" t="n">
        <v>356</v>
      </c>
      <c r="B358" s="0" t="n">
        <v>0.2029</v>
      </c>
      <c r="C358" s="0" t="n">
        <v>0.9346</v>
      </c>
      <c r="D358" s="0" t="n">
        <v>-3.0766</v>
      </c>
      <c r="E358" s="0" t="n">
        <v>1.2965</v>
      </c>
      <c r="F358" s="0" t="n">
        <v>1.4939</v>
      </c>
      <c r="G358" s="0" t="n">
        <v>-0.5292</v>
      </c>
      <c r="H358" s="0" t="n">
        <v>-0.3828</v>
      </c>
      <c r="I358" s="0" t="n">
        <v>0.9656</v>
      </c>
      <c r="J358" s="0" t="n">
        <v>0.3636</v>
      </c>
      <c r="K358" s="0" t="n">
        <v>1.7738</v>
      </c>
      <c r="L358" s="0" t="n">
        <v>-1.1679</v>
      </c>
      <c r="M358" s="0" t="n">
        <v>-1.2195</v>
      </c>
      <c r="N358" s="0" t="n">
        <v>-0.1662</v>
      </c>
      <c r="O358" s="0" t="n">
        <v>0.1097</v>
      </c>
      <c r="P358" s="0" t="n">
        <v>-0.4814</v>
      </c>
      <c r="Q358" s="0" t="n">
        <v>0.6488</v>
      </c>
      <c r="R358" s="0" t="n">
        <v>-0.6503</v>
      </c>
      <c r="S358" s="0" t="n">
        <v>0.5852</v>
      </c>
      <c r="T358" s="0" t="n">
        <v>-1.1243</v>
      </c>
      <c r="U358" s="0" t="n">
        <v>1.6516</v>
      </c>
      <c r="V358" s="0" t="n">
        <v>0.8814</v>
      </c>
      <c r="W358" s="0" t="n">
        <v>0.2185</v>
      </c>
      <c r="X358" s="0" t="n">
        <v>-0.786</v>
      </c>
      <c r="Y358" s="0" t="n">
        <v>-0.3031</v>
      </c>
      <c r="Z358" s="0" t="n">
        <v>-0.9112</v>
      </c>
      <c r="AA358" s="0" t="n">
        <v>-1.3786</v>
      </c>
      <c r="AB358" s="0" t="n">
        <v>-0.9601</v>
      </c>
      <c r="AC358" s="0" t="n">
        <v>1.2056</v>
      </c>
      <c r="AD358" s="0" t="n">
        <v>-0.3307</v>
      </c>
      <c r="AE358" s="0" t="n">
        <v>1.0085</v>
      </c>
      <c r="AG358" s="9" t="n">
        <f aca="false">SUMPRODUCT(($B$2:$AE$2&lt;=Portafolio!$B$5)*EXP(LN(Portafolio!$B$7)+Portafolio!$B$6*B358:AE358))/1000</f>
        <v>2.55932898405322</v>
      </c>
    </row>
    <row r="359" customFormat="false" ht="15" hidden="false" customHeight="false" outlineLevel="0" collapsed="false">
      <c r="A359" s="0" t="n">
        <v>357</v>
      </c>
      <c r="B359" s="0" t="n">
        <v>0.1764</v>
      </c>
      <c r="C359" s="0" t="n">
        <v>-0.4389</v>
      </c>
      <c r="D359" s="0" t="n">
        <v>-1.1329</v>
      </c>
      <c r="E359" s="0" t="n">
        <v>-0.3174</v>
      </c>
      <c r="F359" s="0" t="n">
        <v>0.0577</v>
      </c>
      <c r="G359" s="0" t="n">
        <v>-0.715</v>
      </c>
      <c r="H359" s="0" t="n">
        <v>-0.6853</v>
      </c>
      <c r="I359" s="0" t="n">
        <v>-1.0501</v>
      </c>
      <c r="J359" s="0" t="n">
        <v>1.4013</v>
      </c>
      <c r="K359" s="0" t="n">
        <v>-1.4954</v>
      </c>
      <c r="L359" s="0" t="n">
        <v>0.4898</v>
      </c>
      <c r="M359" s="0" t="n">
        <v>-1.1482</v>
      </c>
      <c r="N359" s="0" t="n">
        <v>-0.3632</v>
      </c>
      <c r="O359" s="0" t="n">
        <v>1.822</v>
      </c>
      <c r="P359" s="0" t="n">
        <v>-0.7425</v>
      </c>
      <c r="Q359" s="0" t="n">
        <v>0.4601</v>
      </c>
      <c r="R359" s="0" t="n">
        <v>-1.0994</v>
      </c>
      <c r="S359" s="0" t="n">
        <v>1.795</v>
      </c>
      <c r="T359" s="0" t="n">
        <v>1.2923</v>
      </c>
      <c r="U359" s="0" t="n">
        <v>1.5208</v>
      </c>
      <c r="V359" s="0" t="n">
        <v>-0.7473</v>
      </c>
      <c r="W359" s="0" t="n">
        <v>-1.5368</v>
      </c>
      <c r="X359" s="0" t="n">
        <v>-1.2352</v>
      </c>
      <c r="Y359" s="0" t="n">
        <v>-1.4785</v>
      </c>
      <c r="Z359" s="0" t="n">
        <v>1.168</v>
      </c>
      <c r="AA359" s="0" t="n">
        <v>0.2801</v>
      </c>
      <c r="AB359" s="0" t="n">
        <v>-0.2075</v>
      </c>
      <c r="AC359" s="0" t="n">
        <v>-0.806</v>
      </c>
      <c r="AD359" s="0" t="n">
        <v>0.4306</v>
      </c>
      <c r="AE359" s="0" t="n">
        <v>-0.2623</v>
      </c>
      <c r="AG359" s="9" t="n">
        <f aca="false">SUMPRODUCT(($B$2:$AE$2&lt;=Portafolio!$B$5)*EXP(LN(Portafolio!$B$7)+Portafolio!$B$6*B359:AE359))/1000</f>
        <v>2.45261232745918</v>
      </c>
    </row>
    <row r="360" customFormat="false" ht="15" hidden="false" customHeight="false" outlineLevel="0" collapsed="false">
      <c r="A360" s="0" t="n">
        <v>358</v>
      </c>
      <c r="B360" s="0" t="n">
        <v>-0.5331</v>
      </c>
      <c r="C360" s="0" t="n">
        <v>0.2625</v>
      </c>
      <c r="D360" s="0" t="n">
        <v>-1.0471</v>
      </c>
      <c r="E360" s="0" t="n">
        <v>-1.4517</v>
      </c>
      <c r="F360" s="0" t="n">
        <v>1.0588</v>
      </c>
      <c r="G360" s="0" t="n">
        <v>1.7745</v>
      </c>
      <c r="H360" s="0" t="n">
        <v>-1.9434</v>
      </c>
      <c r="I360" s="0" t="n">
        <v>0.5441</v>
      </c>
      <c r="J360" s="0" t="n">
        <v>-1.5268</v>
      </c>
      <c r="K360" s="0" t="n">
        <v>-0.589</v>
      </c>
      <c r="L360" s="0" t="n">
        <v>-0.3891</v>
      </c>
      <c r="M360" s="0" t="n">
        <v>0.9459</v>
      </c>
      <c r="N360" s="0" t="n">
        <v>-1.7288</v>
      </c>
      <c r="O360" s="0" t="n">
        <v>1.4705</v>
      </c>
      <c r="P360" s="0" t="n">
        <v>-0.0209</v>
      </c>
      <c r="Q360" s="0" t="n">
        <v>1.6742</v>
      </c>
      <c r="R360" s="0" t="n">
        <v>-0.8679</v>
      </c>
      <c r="S360" s="0" t="n">
        <v>-2.1685</v>
      </c>
      <c r="T360" s="0" t="n">
        <v>0.7625</v>
      </c>
      <c r="U360" s="0" t="n">
        <v>-1.057</v>
      </c>
      <c r="V360" s="0" t="n">
        <v>2.4776</v>
      </c>
      <c r="W360" s="0" t="n">
        <v>0.3703</v>
      </c>
      <c r="X360" s="0" t="n">
        <v>1.0347</v>
      </c>
      <c r="Y360" s="0" t="n">
        <v>-1.0521</v>
      </c>
      <c r="Z360" s="0" t="n">
        <v>-0.1362</v>
      </c>
      <c r="AA360" s="0" t="n">
        <v>0.2235</v>
      </c>
      <c r="AB360" s="0" t="n">
        <v>-1.8584</v>
      </c>
      <c r="AC360" s="0" t="n">
        <v>-1.3801</v>
      </c>
      <c r="AD360" s="0" t="n">
        <v>0.1591</v>
      </c>
      <c r="AE360" s="0" t="n">
        <v>0.5244</v>
      </c>
      <c r="AG360" s="9" t="n">
        <f aca="false">SUMPRODUCT(($B$2:$AE$2&lt;=Portafolio!$B$5)*EXP(LN(Portafolio!$B$7)+Portafolio!$B$6*B360:AE360))/1000</f>
        <v>2.24579325525848</v>
      </c>
    </row>
    <row r="361" customFormat="false" ht="15" hidden="false" customHeight="false" outlineLevel="0" collapsed="false">
      <c r="A361" s="0" t="n">
        <v>359</v>
      </c>
      <c r="B361" s="0" t="n">
        <v>-0.4988</v>
      </c>
      <c r="C361" s="0" t="n">
        <v>1.9974</v>
      </c>
      <c r="D361" s="0" t="n">
        <v>1.4386</v>
      </c>
      <c r="E361" s="0" t="n">
        <v>-1.9319</v>
      </c>
      <c r="F361" s="0" t="n">
        <v>-0.6324</v>
      </c>
      <c r="G361" s="0" t="n">
        <v>-1.1677</v>
      </c>
      <c r="H361" s="0" t="n">
        <v>-1.1266</v>
      </c>
      <c r="I361" s="0" t="n">
        <v>-0.4895</v>
      </c>
      <c r="J361" s="0" t="n">
        <v>-1.9976</v>
      </c>
      <c r="K361" s="0" t="n">
        <v>0.3473</v>
      </c>
      <c r="L361" s="0" t="n">
        <v>1.2616</v>
      </c>
      <c r="M361" s="0" t="n">
        <v>1.3663</v>
      </c>
      <c r="N361" s="0" t="n">
        <v>-1.7275</v>
      </c>
      <c r="O361" s="0" t="n">
        <v>0.2769</v>
      </c>
      <c r="P361" s="0" t="n">
        <v>0.489</v>
      </c>
      <c r="Q361" s="0" t="n">
        <v>-0.445</v>
      </c>
      <c r="R361" s="0" t="n">
        <v>1.7515</v>
      </c>
      <c r="S361" s="0" t="n">
        <v>0.6789</v>
      </c>
      <c r="T361" s="0" t="n">
        <v>1.3021</v>
      </c>
      <c r="U361" s="0" t="n">
        <v>0.1223</v>
      </c>
      <c r="V361" s="0" t="n">
        <v>0.6271</v>
      </c>
      <c r="W361" s="0" t="n">
        <v>0.7988</v>
      </c>
      <c r="X361" s="0" t="n">
        <v>-1.0262</v>
      </c>
      <c r="Y361" s="0" t="n">
        <v>-1.7058</v>
      </c>
      <c r="Z361" s="0" t="n">
        <v>0.0253</v>
      </c>
      <c r="AA361" s="0" t="n">
        <v>-1.0047</v>
      </c>
      <c r="AB361" s="0" t="n">
        <v>0.9338</v>
      </c>
      <c r="AC361" s="0" t="n">
        <v>-1.0798</v>
      </c>
      <c r="AD361" s="0" t="n">
        <v>0.4741</v>
      </c>
      <c r="AE361" s="0" t="n">
        <v>-1.3035</v>
      </c>
      <c r="AG361" s="9" t="n">
        <f aca="false">SUMPRODUCT(($B$2:$AE$2&lt;=Portafolio!$B$5)*EXP(LN(Portafolio!$B$7)+Portafolio!$B$6*B361:AE361))/1000</f>
        <v>2.63759604764749</v>
      </c>
    </row>
    <row r="362" customFormat="false" ht="15" hidden="false" customHeight="false" outlineLevel="0" collapsed="false">
      <c r="A362" s="0" t="n">
        <v>360</v>
      </c>
      <c r="B362" s="0" t="n">
        <v>1.9905</v>
      </c>
      <c r="C362" s="0" t="n">
        <v>0.245</v>
      </c>
      <c r="D362" s="0" t="n">
        <v>-1.2368</v>
      </c>
      <c r="E362" s="0" t="n">
        <v>-0.0035</v>
      </c>
      <c r="F362" s="0" t="n">
        <v>0.1067</v>
      </c>
      <c r="G362" s="0" t="n">
        <v>-2.4865</v>
      </c>
      <c r="H362" s="0" t="n">
        <v>-1.1647</v>
      </c>
      <c r="I362" s="0" t="n">
        <v>0.3408</v>
      </c>
      <c r="J362" s="0" t="n">
        <v>-0.8897</v>
      </c>
      <c r="K362" s="0" t="n">
        <v>-0.3675</v>
      </c>
      <c r="L362" s="0" t="n">
        <v>1.4497</v>
      </c>
      <c r="M362" s="0" t="n">
        <v>1.2334</v>
      </c>
      <c r="N362" s="0" t="n">
        <v>0.1504</v>
      </c>
      <c r="O362" s="0" t="n">
        <v>0.4406</v>
      </c>
      <c r="P362" s="0" t="n">
        <v>1.6114</v>
      </c>
      <c r="Q362" s="0" t="n">
        <v>0.3839</v>
      </c>
      <c r="R362" s="0" t="n">
        <v>-1.5414</v>
      </c>
      <c r="S362" s="0" t="n">
        <v>0.2215</v>
      </c>
      <c r="T362" s="0" t="n">
        <v>-1.2879</v>
      </c>
      <c r="U362" s="0" t="n">
        <v>-0.7972</v>
      </c>
      <c r="V362" s="0" t="n">
        <v>0.0229</v>
      </c>
      <c r="W362" s="0" t="n">
        <v>-0.057</v>
      </c>
      <c r="X362" s="0" t="n">
        <v>-0.1236</v>
      </c>
      <c r="Y362" s="0" t="n">
        <v>0.7697</v>
      </c>
      <c r="Z362" s="0" t="n">
        <v>-0.2735</v>
      </c>
      <c r="AA362" s="0" t="n">
        <v>0.2303</v>
      </c>
      <c r="AB362" s="0" t="n">
        <v>0.7138</v>
      </c>
      <c r="AC362" s="0" t="n">
        <v>-0.5005</v>
      </c>
      <c r="AD362" s="0" t="n">
        <v>-0.2905</v>
      </c>
      <c r="AE362" s="0" t="n">
        <v>-0.3043</v>
      </c>
      <c r="AG362" s="9" t="n">
        <f aca="false">SUMPRODUCT(($B$2:$AE$2&lt;=Portafolio!$B$5)*EXP(LN(Portafolio!$B$7)+Portafolio!$B$6*B362:AE362))/1000</f>
        <v>2.37257052483364</v>
      </c>
    </row>
    <row r="363" customFormat="false" ht="15" hidden="false" customHeight="false" outlineLevel="0" collapsed="false">
      <c r="A363" s="0" t="n">
        <v>361</v>
      </c>
      <c r="B363" s="0" t="n">
        <v>-1.1928</v>
      </c>
      <c r="C363" s="0" t="n">
        <v>-0.8326</v>
      </c>
      <c r="D363" s="0" t="n">
        <v>0.4297</v>
      </c>
      <c r="E363" s="0" t="n">
        <v>0.1027</v>
      </c>
      <c r="F363" s="0" t="n">
        <v>-1.5097</v>
      </c>
      <c r="G363" s="0" t="n">
        <v>0.7222</v>
      </c>
      <c r="H363" s="0" t="n">
        <v>0.7179</v>
      </c>
      <c r="I363" s="0" t="n">
        <v>0.9399</v>
      </c>
      <c r="J363" s="0" t="n">
        <v>1.2253</v>
      </c>
      <c r="K363" s="0" t="n">
        <v>0.1306</v>
      </c>
      <c r="L363" s="0" t="n">
        <v>0.5679</v>
      </c>
      <c r="M363" s="0" t="n">
        <v>-0.1857</v>
      </c>
      <c r="N363" s="0" t="n">
        <v>-1.0639</v>
      </c>
      <c r="O363" s="0" t="n">
        <v>-0.0878</v>
      </c>
      <c r="P363" s="0" t="n">
        <v>0.4283</v>
      </c>
      <c r="Q363" s="0" t="n">
        <v>0.2641</v>
      </c>
      <c r="R363" s="0" t="n">
        <v>-0.6674</v>
      </c>
      <c r="S363" s="0" t="n">
        <v>-0.7049</v>
      </c>
      <c r="T363" s="0" t="n">
        <v>-0.6512</v>
      </c>
      <c r="U363" s="0" t="n">
        <v>-0.412</v>
      </c>
      <c r="V363" s="0" t="n">
        <v>-0.335</v>
      </c>
      <c r="W363" s="0" t="n">
        <v>0.5289</v>
      </c>
      <c r="X363" s="0" t="n">
        <v>-0.1547</v>
      </c>
      <c r="Y363" s="0" t="n">
        <v>-2.2057</v>
      </c>
      <c r="Z363" s="0" t="n">
        <v>0.7129</v>
      </c>
      <c r="AA363" s="0" t="n">
        <v>-0.4703</v>
      </c>
      <c r="AB363" s="0" t="n">
        <v>1.9483</v>
      </c>
      <c r="AC363" s="0" t="n">
        <v>1.8372</v>
      </c>
      <c r="AD363" s="0" t="n">
        <v>0.9849</v>
      </c>
      <c r="AE363" s="0" t="n">
        <v>-0.2168</v>
      </c>
      <c r="AG363" s="9" t="n">
        <f aca="false">SUMPRODUCT(($B$2:$AE$2&lt;=Portafolio!$B$5)*EXP(LN(Portafolio!$B$7)+Portafolio!$B$6*B363:AE363))/1000</f>
        <v>2.08880738240892</v>
      </c>
    </row>
    <row r="364" customFormat="false" ht="15" hidden="false" customHeight="false" outlineLevel="0" collapsed="false">
      <c r="A364" s="0" t="n">
        <v>362</v>
      </c>
      <c r="B364" s="0" t="n">
        <v>-0.1079</v>
      </c>
      <c r="C364" s="0" t="n">
        <v>-1.4423</v>
      </c>
      <c r="D364" s="0" t="n">
        <v>1.4406</v>
      </c>
      <c r="E364" s="0" t="n">
        <v>-0.4698</v>
      </c>
      <c r="F364" s="0" t="n">
        <v>0.9949</v>
      </c>
      <c r="G364" s="0" t="n">
        <v>0.3874</v>
      </c>
      <c r="H364" s="0" t="n">
        <v>1.8941</v>
      </c>
      <c r="I364" s="0" t="n">
        <v>0.1962</v>
      </c>
      <c r="J364" s="0" t="n">
        <v>0.0116</v>
      </c>
      <c r="K364" s="0" t="n">
        <v>-0.4916</v>
      </c>
      <c r="L364" s="0" t="n">
        <v>-1.7119</v>
      </c>
      <c r="M364" s="0" t="n">
        <v>0.4508</v>
      </c>
      <c r="N364" s="0" t="n">
        <v>-0.7366</v>
      </c>
      <c r="O364" s="0" t="n">
        <v>1.003</v>
      </c>
      <c r="P364" s="0" t="n">
        <v>1.2027</v>
      </c>
      <c r="Q364" s="0" t="n">
        <v>0.2866</v>
      </c>
      <c r="R364" s="0" t="n">
        <v>2.2966</v>
      </c>
      <c r="S364" s="0" t="n">
        <v>0.3946</v>
      </c>
      <c r="T364" s="0" t="n">
        <v>0.8271</v>
      </c>
      <c r="U364" s="0" t="n">
        <v>-0.7293</v>
      </c>
      <c r="V364" s="0" t="n">
        <v>0.6793</v>
      </c>
      <c r="W364" s="0" t="n">
        <v>-0.067</v>
      </c>
      <c r="X364" s="0" t="n">
        <v>1.4525</v>
      </c>
      <c r="Y364" s="0" t="n">
        <v>-0.0473</v>
      </c>
      <c r="Z364" s="0" t="n">
        <v>-2.23</v>
      </c>
      <c r="AA364" s="0" t="n">
        <v>0.9163</v>
      </c>
      <c r="AB364" s="0" t="n">
        <v>1.1448</v>
      </c>
      <c r="AC364" s="0" t="n">
        <v>-1.1976</v>
      </c>
      <c r="AD364" s="0" t="n">
        <v>-0.0422</v>
      </c>
      <c r="AE364" s="0" t="n">
        <v>0.4062</v>
      </c>
      <c r="AG364" s="9" t="n">
        <f aca="false">SUMPRODUCT(($B$2:$AE$2&lt;=Portafolio!$B$5)*EXP(LN(Portafolio!$B$7)+Portafolio!$B$6*B364:AE364))/1000</f>
        <v>2.84607694623839</v>
      </c>
    </row>
    <row r="365" customFormat="false" ht="15" hidden="false" customHeight="false" outlineLevel="0" collapsed="false">
      <c r="A365" s="0" t="n">
        <v>363</v>
      </c>
      <c r="B365" s="0" t="n">
        <v>0.7966</v>
      </c>
      <c r="C365" s="0" t="n">
        <v>-0.927</v>
      </c>
      <c r="D365" s="0" t="n">
        <v>-0.8224</v>
      </c>
      <c r="E365" s="0" t="n">
        <v>-0.4883</v>
      </c>
      <c r="F365" s="0" t="n">
        <v>-0.5013</v>
      </c>
      <c r="G365" s="0" t="n">
        <v>-0.5895</v>
      </c>
      <c r="H365" s="0" t="n">
        <v>0.1913</v>
      </c>
      <c r="I365" s="0" t="n">
        <v>-1.37</v>
      </c>
      <c r="J365" s="0" t="n">
        <v>0.392</v>
      </c>
      <c r="K365" s="0" t="n">
        <v>-0.9627</v>
      </c>
      <c r="L365" s="0" t="n">
        <v>-0.5561</v>
      </c>
      <c r="M365" s="0" t="n">
        <v>-0.6476</v>
      </c>
      <c r="N365" s="0" t="n">
        <v>0.7875</v>
      </c>
      <c r="O365" s="0" t="n">
        <v>0.1713</v>
      </c>
      <c r="P365" s="0" t="n">
        <v>-0.5566</v>
      </c>
      <c r="Q365" s="0" t="n">
        <v>0.3711</v>
      </c>
      <c r="R365" s="0" t="n">
        <v>-1.0429</v>
      </c>
      <c r="S365" s="0" t="n">
        <v>0.2277</v>
      </c>
      <c r="T365" s="0" t="n">
        <v>0.1683</v>
      </c>
      <c r="U365" s="0" t="n">
        <v>0.0558</v>
      </c>
      <c r="V365" s="0" t="n">
        <v>-1.3142</v>
      </c>
      <c r="W365" s="0" t="n">
        <v>0.3626</v>
      </c>
      <c r="X365" s="0" t="n">
        <v>0.5482</v>
      </c>
      <c r="Y365" s="0" t="n">
        <v>0.3872</v>
      </c>
      <c r="Z365" s="0" t="n">
        <v>-0.4868</v>
      </c>
      <c r="AA365" s="0" t="n">
        <v>1.0229</v>
      </c>
      <c r="AB365" s="0" t="n">
        <v>1.8174</v>
      </c>
      <c r="AC365" s="0" t="n">
        <v>1.2114</v>
      </c>
      <c r="AD365" s="0" t="n">
        <v>0.2744</v>
      </c>
      <c r="AE365" s="0" t="n">
        <v>1.6836</v>
      </c>
      <c r="AG365" s="9" t="n">
        <f aca="false">SUMPRODUCT(($B$2:$AE$2&lt;=Portafolio!$B$5)*EXP(LN(Portafolio!$B$7)+Portafolio!$B$6*B365:AE365))/1000</f>
        <v>1.82662370809301</v>
      </c>
    </row>
    <row r="366" customFormat="false" ht="15" hidden="false" customHeight="false" outlineLevel="0" collapsed="false">
      <c r="A366" s="0" t="n">
        <v>364</v>
      </c>
      <c r="B366" s="0" t="n">
        <v>-0.7782</v>
      </c>
      <c r="C366" s="0" t="n">
        <v>-1.7236</v>
      </c>
      <c r="D366" s="0" t="n">
        <v>-0.8807</v>
      </c>
      <c r="E366" s="0" t="n">
        <v>-0.6616</v>
      </c>
      <c r="F366" s="0" t="n">
        <v>-0.6394</v>
      </c>
      <c r="G366" s="0" t="n">
        <v>-0.1325</v>
      </c>
      <c r="H366" s="0" t="n">
        <v>0.3016</v>
      </c>
      <c r="I366" s="0" t="n">
        <v>-0.3032</v>
      </c>
      <c r="J366" s="0" t="n">
        <v>-1.0404</v>
      </c>
      <c r="K366" s="0" t="n">
        <v>-0.3171</v>
      </c>
      <c r="L366" s="0" t="n">
        <v>0.4668</v>
      </c>
      <c r="M366" s="0" t="n">
        <v>-0.9807</v>
      </c>
      <c r="N366" s="0" t="n">
        <v>-1.4695</v>
      </c>
      <c r="O366" s="0" t="n">
        <v>-0.448</v>
      </c>
      <c r="P366" s="0" t="n">
        <v>-0.3667</v>
      </c>
      <c r="Q366" s="0" t="n">
        <v>3.2966</v>
      </c>
      <c r="R366" s="0" t="n">
        <v>0.2618</v>
      </c>
      <c r="S366" s="0" t="n">
        <v>-0.5914</v>
      </c>
      <c r="T366" s="0" t="n">
        <v>-0.3469</v>
      </c>
      <c r="U366" s="0" t="n">
        <v>-0.6289</v>
      </c>
      <c r="V366" s="0" t="n">
        <v>0.725</v>
      </c>
      <c r="W366" s="0" t="n">
        <v>2.1715</v>
      </c>
      <c r="X366" s="0" t="n">
        <v>0.4338</v>
      </c>
      <c r="Y366" s="0" t="n">
        <v>-0.5611</v>
      </c>
      <c r="Z366" s="0" t="n">
        <v>0.1952</v>
      </c>
      <c r="AA366" s="0" t="n">
        <v>2.6456</v>
      </c>
      <c r="AB366" s="0" t="n">
        <v>-0.9134</v>
      </c>
      <c r="AC366" s="0" t="n">
        <v>-0.6324</v>
      </c>
      <c r="AD366" s="0" t="n">
        <v>-0.5121</v>
      </c>
      <c r="AE366" s="0" t="n">
        <v>-0.4273</v>
      </c>
      <c r="AG366" s="9" t="n">
        <f aca="false">SUMPRODUCT(($B$2:$AE$2&lt;=Portafolio!$B$5)*EXP(LN(Portafolio!$B$7)+Portafolio!$B$6*B366:AE366))/1000</f>
        <v>2.1700204920276</v>
      </c>
    </row>
    <row r="367" customFormat="false" ht="15" hidden="false" customHeight="false" outlineLevel="0" collapsed="false">
      <c r="A367" s="0" t="n">
        <v>365</v>
      </c>
      <c r="B367" s="0" t="n">
        <v>-2.3678</v>
      </c>
      <c r="C367" s="0" t="n">
        <v>-1.0293</v>
      </c>
      <c r="D367" s="0" t="n">
        <v>-0.3141</v>
      </c>
      <c r="E367" s="0" t="n">
        <v>0.7681</v>
      </c>
      <c r="F367" s="0" t="n">
        <v>-1.0316</v>
      </c>
      <c r="G367" s="0" t="n">
        <v>-1.1265</v>
      </c>
      <c r="H367" s="0" t="n">
        <v>-0.3521</v>
      </c>
      <c r="I367" s="0" t="n">
        <v>-1.3311</v>
      </c>
      <c r="J367" s="0" t="n">
        <v>-1.9444</v>
      </c>
      <c r="K367" s="0" t="n">
        <v>0.0328</v>
      </c>
      <c r="L367" s="0" t="n">
        <v>0.3282</v>
      </c>
      <c r="M367" s="0" t="n">
        <v>-0.4347</v>
      </c>
      <c r="N367" s="0" t="n">
        <v>0.4103</v>
      </c>
      <c r="O367" s="0" t="n">
        <v>0.5127</v>
      </c>
      <c r="P367" s="0" t="n">
        <v>0.7705</v>
      </c>
      <c r="Q367" s="0" t="n">
        <v>-0.2399</v>
      </c>
      <c r="R367" s="0" t="n">
        <v>0.4986</v>
      </c>
      <c r="S367" s="0" t="n">
        <v>-0.5627</v>
      </c>
      <c r="T367" s="0" t="n">
        <v>0.1736</v>
      </c>
      <c r="U367" s="0" t="n">
        <v>0.8471</v>
      </c>
      <c r="V367" s="0" t="n">
        <v>1.7088</v>
      </c>
      <c r="W367" s="0" t="n">
        <v>0.4239</v>
      </c>
      <c r="X367" s="0" t="n">
        <v>-0.4938</v>
      </c>
      <c r="Y367" s="0" t="n">
        <v>-0.5435</v>
      </c>
      <c r="Z367" s="0" t="n">
        <v>-1.1796</v>
      </c>
      <c r="AA367" s="0" t="n">
        <v>0.7793</v>
      </c>
      <c r="AB367" s="0" t="n">
        <v>1.221</v>
      </c>
      <c r="AC367" s="0" t="n">
        <v>-0.7486</v>
      </c>
      <c r="AD367" s="0" t="n">
        <v>-0.4614</v>
      </c>
      <c r="AE367" s="0" t="n">
        <v>-0.1581</v>
      </c>
      <c r="AG367" s="9" t="n">
        <f aca="false">SUMPRODUCT(($B$2:$AE$2&lt;=Portafolio!$B$5)*EXP(LN(Portafolio!$B$7)+Portafolio!$B$6*B367:AE367))/1000</f>
        <v>1.87478592524499</v>
      </c>
    </row>
    <row r="368" customFormat="false" ht="15" hidden="false" customHeight="false" outlineLevel="0" collapsed="false">
      <c r="A368" s="0" t="n">
        <v>366</v>
      </c>
      <c r="B368" s="0" t="n">
        <v>-1.502</v>
      </c>
      <c r="C368" s="0" t="n">
        <v>-1.2175</v>
      </c>
      <c r="D368" s="0" t="n">
        <v>0.5129</v>
      </c>
      <c r="E368" s="0" t="n">
        <v>-0.6659</v>
      </c>
      <c r="F368" s="0" t="n">
        <v>0.567</v>
      </c>
      <c r="G368" s="0" t="n">
        <v>0.3689</v>
      </c>
      <c r="H368" s="0" t="n">
        <v>1.3762</v>
      </c>
      <c r="I368" s="0" t="n">
        <v>-0.6625</v>
      </c>
      <c r="J368" s="0" t="n">
        <v>1.4115</v>
      </c>
      <c r="K368" s="0" t="n">
        <v>-0.4283</v>
      </c>
      <c r="L368" s="0" t="n">
        <v>0.0118</v>
      </c>
      <c r="M368" s="0" t="n">
        <v>1.2819</v>
      </c>
      <c r="N368" s="0" t="n">
        <v>-0.5139</v>
      </c>
      <c r="O368" s="0" t="n">
        <v>-1.1331</v>
      </c>
      <c r="P368" s="0" t="n">
        <v>0.6822</v>
      </c>
      <c r="Q368" s="0" t="n">
        <v>-0.3147</v>
      </c>
      <c r="R368" s="0" t="n">
        <v>-1.5858</v>
      </c>
      <c r="S368" s="0" t="n">
        <v>1.2934</v>
      </c>
      <c r="T368" s="0" t="n">
        <v>-0.702</v>
      </c>
      <c r="U368" s="0" t="n">
        <v>0.7817</v>
      </c>
      <c r="V368" s="0" t="n">
        <v>-0.0852</v>
      </c>
      <c r="W368" s="0" t="n">
        <v>-0.7833</v>
      </c>
      <c r="X368" s="0" t="n">
        <v>0.0918</v>
      </c>
      <c r="Y368" s="0" t="n">
        <v>-1.3664</v>
      </c>
      <c r="Z368" s="0" t="n">
        <v>1.1058</v>
      </c>
      <c r="AA368" s="0" t="n">
        <v>-0.996</v>
      </c>
      <c r="AB368" s="0" t="n">
        <v>0.0392</v>
      </c>
      <c r="AC368" s="0" t="n">
        <v>2.4106</v>
      </c>
      <c r="AD368" s="0" t="n">
        <v>-0.256</v>
      </c>
      <c r="AE368" s="0" t="n">
        <v>-0.0044</v>
      </c>
      <c r="AG368" s="9" t="n">
        <f aca="false">SUMPRODUCT(($B$2:$AE$2&lt;=Portafolio!$B$5)*EXP(LN(Portafolio!$B$7)+Portafolio!$B$6*B368:AE368))/1000</f>
        <v>2.31868159928848</v>
      </c>
    </row>
    <row r="369" customFormat="false" ht="15" hidden="false" customHeight="false" outlineLevel="0" collapsed="false">
      <c r="A369" s="0" t="n">
        <v>367</v>
      </c>
      <c r="B369" s="0" t="n">
        <v>-1.357</v>
      </c>
      <c r="C369" s="0" t="n">
        <v>1.5425</v>
      </c>
      <c r="D369" s="0" t="n">
        <v>0.2222</v>
      </c>
      <c r="E369" s="0" t="n">
        <v>0.2196</v>
      </c>
      <c r="F369" s="0" t="n">
        <v>-1.4676</v>
      </c>
      <c r="G369" s="0" t="n">
        <v>-0.3969</v>
      </c>
      <c r="H369" s="0" t="n">
        <v>-0.1651</v>
      </c>
      <c r="I369" s="0" t="n">
        <v>-0.4337</v>
      </c>
      <c r="J369" s="0" t="n">
        <v>-0.6798</v>
      </c>
      <c r="K369" s="0" t="n">
        <v>-2.1977</v>
      </c>
      <c r="L369" s="0" t="n">
        <v>-1.1083</v>
      </c>
      <c r="M369" s="0" t="n">
        <v>2.1332</v>
      </c>
      <c r="N369" s="0" t="n">
        <v>0.3443</v>
      </c>
      <c r="O369" s="0" t="n">
        <v>0.8366</v>
      </c>
      <c r="P369" s="0" t="n">
        <v>-1.2436</v>
      </c>
      <c r="Q369" s="0" t="n">
        <v>1.2629</v>
      </c>
      <c r="R369" s="0" t="n">
        <v>-0.5274</v>
      </c>
      <c r="S369" s="0" t="n">
        <v>-0.3536</v>
      </c>
      <c r="T369" s="0" t="n">
        <v>0.1554</v>
      </c>
      <c r="U369" s="0" t="n">
        <v>-0.1364</v>
      </c>
      <c r="V369" s="0" t="n">
        <v>0.6284</v>
      </c>
      <c r="W369" s="0" t="n">
        <v>-1.067</v>
      </c>
      <c r="X369" s="0" t="n">
        <v>0.0865</v>
      </c>
      <c r="Y369" s="0" t="n">
        <v>-1.1758</v>
      </c>
      <c r="Z369" s="0" t="n">
        <v>2.3348</v>
      </c>
      <c r="AA369" s="0" t="n">
        <v>-1.5404</v>
      </c>
      <c r="AB369" s="0" t="n">
        <v>1.3609</v>
      </c>
      <c r="AC369" s="0" t="n">
        <v>1.2151</v>
      </c>
      <c r="AD369" s="0" t="n">
        <v>-0.249</v>
      </c>
      <c r="AE369" s="0" t="n">
        <v>-0.1608</v>
      </c>
      <c r="AG369" s="9" t="n">
        <f aca="false">SUMPRODUCT(($B$2:$AE$2&lt;=Portafolio!$B$5)*EXP(LN(Portafolio!$B$7)+Portafolio!$B$6*B369:AE369))/1000</f>
        <v>2.22177589045947</v>
      </c>
    </row>
    <row r="370" customFormat="false" ht="15" hidden="false" customHeight="false" outlineLevel="0" collapsed="false">
      <c r="A370" s="0" t="n">
        <v>368</v>
      </c>
      <c r="B370" s="0" t="n">
        <v>-0.1628</v>
      </c>
      <c r="C370" s="0" t="n">
        <v>0.4721</v>
      </c>
      <c r="D370" s="0" t="n">
        <v>0.5554</v>
      </c>
      <c r="E370" s="0" t="n">
        <v>0.4522</v>
      </c>
      <c r="F370" s="0" t="n">
        <v>0.7521</v>
      </c>
      <c r="G370" s="0" t="n">
        <v>0.3291</v>
      </c>
      <c r="H370" s="0" t="n">
        <v>-0.8945</v>
      </c>
      <c r="I370" s="0" t="n">
        <v>0.6099</v>
      </c>
      <c r="J370" s="0" t="n">
        <v>-0.6003</v>
      </c>
      <c r="K370" s="0" t="n">
        <v>-1.0583</v>
      </c>
      <c r="L370" s="0" t="n">
        <v>0.3441</v>
      </c>
      <c r="M370" s="0" t="n">
        <v>-0.2177</v>
      </c>
      <c r="N370" s="0" t="n">
        <v>-2.6299</v>
      </c>
      <c r="O370" s="0" t="n">
        <v>0.7842</v>
      </c>
      <c r="P370" s="0" t="n">
        <v>-0.008</v>
      </c>
      <c r="Q370" s="0" t="n">
        <v>0.4398</v>
      </c>
      <c r="R370" s="0" t="n">
        <v>-1.3067</v>
      </c>
      <c r="S370" s="0" t="n">
        <v>-0.2235</v>
      </c>
      <c r="T370" s="0" t="n">
        <v>-0.6419</v>
      </c>
      <c r="U370" s="0" t="n">
        <v>-0.0753</v>
      </c>
      <c r="V370" s="0" t="n">
        <v>1.1028</v>
      </c>
      <c r="W370" s="0" t="n">
        <v>-0.9359</v>
      </c>
      <c r="X370" s="0" t="n">
        <v>-0.4044</v>
      </c>
      <c r="Y370" s="0" t="n">
        <v>-0.3878</v>
      </c>
      <c r="Z370" s="0" t="n">
        <v>0.3228</v>
      </c>
      <c r="AA370" s="0" t="n">
        <v>-1.5787</v>
      </c>
      <c r="AB370" s="0" t="n">
        <v>0.6318</v>
      </c>
      <c r="AC370" s="0" t="n">
        <v>-0.6044</v>
      </c>
      <c r="AD370" s="0" t="n">
        <v>1.3844</v>
      </c>
      <c r="AE370" s="0" t="n">
        <v>1.1915</v>
      </c>
      <c r="AG370" s="9" t="n">
        <f aca="false">SUMPRODUCT(($B$2:$AE$2&lt;=Portafolio!$B$5)*EXP(LN(Portafolio!$B$7)+Portafolio!$B$6*B370:AE370))/1000</f>
        <v>2.01627299257677</v>
      </c>
    </row>
    <row r="371" customFormat="false" ht="15" hidden="false" customHeight="false" outlineLevel="0" collapsed="false">
      <c r="A371" s="0" t="n">
        <v>369</v>
      </c>
      <c r="B371" s="0" t="n">
        <v>-0.3378</v>
      </c>
      <c r="C371" s="0" t="n">
        <v>-0.6315</v>
      </c>
      <c r="D371" s="0" t="n">
        <v>-0.4601</v>
      </c>
      <c r="E371" s="0" t="n">
        <v>-0.7118</v>
      </c>
      <c r="F371" s="0" t="n">
        <v>0.9413</v>
      </c>
      <c r="G371" s="0" t="n">
        <v>1.9209</v>
      </c>
      <c r="H371" s="0" t="n">
        <v>-1.2737</v>
      </c>
      <c r="I371" s="0" t="n">
        <v>-0.8184</v>
      </c>
      <c r="J371" s="0" t="n">
        <v>0.1198</v>
      </c>
      <c r="K371" s="0" t="n">
        <v>0.2124</v>
      </c>
      <c r="L371" s="0" t="n">
        <v>0.4111</v>
      </c>
      <c r="M371" s="0" t="n">
        <v>-1.2705</v>
      </c>
      <c r="N371" s="0" t="n">
        <v>0.7788</v>
      </c>
      <c r="O371" s="0" t="n">
        <v>-0.3453</v>
      </c>
      <c r="P371" s="0" t="n">
        <v>0.5991</v>
      </c>
      <c r="Q371" s="0" t="n">
        <v>-0.2216</v>
      </c>
      <c r="R371" s="0" t="n">
        <v>-1.4244</v>
      </c>
      <c r="S371" s="0" t="n">
        <v>0.8876</v>
      </c>
      <c r="T371" s="0" t="n">
        <v>-0.2357</v>
      </c>
      <c r="U371" s="0" t="n">
        <v>-0.5853</v>
      </c>
      <c r="V371" s="0" t="n">
        <v>-1.3912</v>
      </c>
      <c r="W371" s="0" t="n">
        <v>-0.412</v>
      </c>
      <c r="X371" s="0" t="n">
        <v>1.1961</v>
      </c>
      <c r="Y371" s="0" t="n">
        <v>1.1995</v>
      </c>
      <c r="Z371" s="0" t="n">
        <v>0.6852</v>
      </c>
      <c r="AA371" s="0" t="n">
        <v>-0.5686</v>
      </c>
      <c r="AB371" s="0" t="n">
        <v>0.1327</v>
      </c>
      <c r="AC371" s="0" t="n">
        <v>0.2223</v>
      </c>
      <c r="AD371" s="0" t="n">
        <v>-0.6139</v>
      </c>
      <c r="AE371" s="0" t="n">
        <v>-0.3732</v>
      </c>
      <c r="AG371" s="9" t="n">
        <f aca="false">SUMPRODUCT(($B$2:$AE$2&lt;=Portafolio!$B$5)*EXP(LN(Portafolio!$B$7)+Portafolio!$B$6*B371:AE371))/1000</f>
        <v>2.12893659914226</v>
      </c>
    </row>
    <row r="372" customFormat="false" ht="15" hidden="false" customHeight="false" outlineLevel="0" collapsed="false">
      <c r="A372" s="0" t="n">
        <v>370</v>
      </c>
      <c r="B372" s="0" t="n">
        <v>0.2019</v>
      </c>
      <c r="C372" s="0" t="n">
        <v>-0.9472</v>
      </c>
      <c r="D372" s="0" t="n">
        <v>-0.2817</v>
      </c>
      <c r="E372" s="0" t="n">
        <v>-1.1144</v>
      </c>
      <c r="F372" s="0" t="n">
        <v>-0.6586</v>
      </c>
      <c r="G372" s="0" t="n">
        <v>-0.5131</v>
      </c>
      <c r="H372" s="0" t="n">
        <v>0.3643</v>
      </c>
      <c r="I372" s="0" t="n">
        <v>0.5512</v>
      </c>
      <c r="J372" s="0" t="n">
        <v>-0.7207</v>
      </c>
      <c r="K372" s="0" t="n">
        <v>0.11</v>
      </c>
      <c r="L372" s="0" t="n">
        <v>1.4456</v>
      </c>
      <c r="M372" s="0" t="n">
        <v>-2.1725</v>
      </c>
      <c r="N372" s="0" t="n">
        <v>-0.1569</v>
      </c>
      <c r="O372" s="0" t="n">
        <v>-1.4815</v>
      </c>
      <c r="P372" s="0" t="n">
        <v>1.211</v>
      </c>
      <c r="Q372" s="0" t="n">
        <v>0.4689</v>
      </c>
      <c r="R372" s="0" t="n">
        <v>0.4748</v>
      </c>
      <c r="S372" s="0" t="n">
        <v>0.328</v>
      </c>
      <c r="T372" s="0" t="n">
        <v>-1.6669</v>
      </c>
      <c r="U372" s="0" t="n">
        <v>1.1612</v>
      </c>
      <c r="V372" s="0" t="n">
        <v>-0.2975</v>
      </c>
      <c r="W372" s="0" t="n">
        <v>-0.1688</v>
      </c>
      <c r="X372" s="0" t="n">
        <v>-1.5053</v>
      </c>
      <c r="Y372" s="0" t="n">
        <v>0.0611</v>
      </c>
      <c r="Z372" s="0" t="n">
        <v>-1.6855</v>
      </c>
      <c r="AA372" s="0" t="n">
        <v>-1.5581</v>
      </c>
      <c r="AB372" s="0" t="n">
        <v>2.3376</v>
      </c>
      <c r="AC372" s="0" t="n">
        <v>-0.2509</v>
      </c>
      <c r="AD372" s="0" t="n">
        <v>2.2646</v>
      </c>
      <c r="AE372" s="0" t="n">
        <v>1.4464</v>
      </c>
      <c r="AG372" s="9" t="n">
        <f aca="false">SUMPRODUCT(($B$2:$AE$2&lt;=Portafolio!$B$5)*EXP(LN(Portafolio!$B$7)+Portafolio!$B$6*B372:AE372))/1000</f>
        <v>2.11026797629326</v>
      </c>
    </row>
    <row r="373" customFormat="false" ht="15" hidden="false" customHeight="false" outlineLevel="0" collapsed="false">
      <c r="A373" s="0" t="n">
        <v>371</v>
      </c>
      <c r="B373" s="0" t="n">
        <v>1.2775</v>
      </c>
      <c r="C373" s="0" t="n">
        <v>-1.9915</v>
      </c>
      <c r="D373" s="0" t="n">
        <v>1.6508</v>
      </c>
      <c r="E373" s="0" t="n">
        <v>0.0796</v>
      </c>
      <c r="F373" s="0" t="n">
        <v>-0.5958</v>
      </c>
      <c r="G373" s="0" t="n">
        <v>2.0833</v>
      </c>
      <c r="H373" s="0" t="n">
        <v>0.8551</v>
      </c>
      <c r="I373" s="0" t="n">
        <v>0.8385</v>
      </c>
      <c r="J373" s="0" t="n">
        <v>-1.0865</v>
      </c>
      <c r="K373" s="0" t="n">
        <v>-0.3152</v>
      </c>
      <c r="L373" s="0" t="n">
        <v>0.6368</v>
      </c>
      <c r="M373" s="0" t="n">
        <v>-0.0845</v>
      </c>
      <c r="N373" s="0" t="n">
        <v>-1.9617</v>
      </c>
      <c r="O373" s="0" t="n">
        <v>0.1723</v>
      </c>
      <c r="P373" s="0" t="n">
        <v>-0.0676</v>
      </c>
      <c r="Q373" s="0" t="n">
        <v>-0.3119</v>
      </c>
      <c r="R373" s="0" t="n">
        <v>0.3084</v>
      </c>
      <c r="S373" s="0" t="n">
        <v>-0.5228</v>
      </c>
      <c r="T373" s="0" t="n">
        <v>1.3413</v>
      </c>
      <c r="U373" s="0" t="n">
        <v>-1.7109</v>
      </c>
      <c r="V373" s="0" t="n">
        <v>-0.7477</v>
      </c>
      <c r="W373" s="0" t="n">
        <v>0.5478</v>
      </c>
      <c r="X373" s="0" t="n">
        <v>0.9697</v>
      </c>
      <c r="Y373" s="0" t="n">
        <v>1.6023</v>
      </c>
      <c r="Z373" s="0" t="n">
        <v>1.0182</v>
      </c>
      <c r="AA373" s="0" t="n">
        <v>-1.1916</v>
      </c>
      <c r="AB373" s="0" t="n">
        <v>0.8816</v>
      </c>
      <c r="AC373" s="0" t="n">
        <v>-0.3669</v>
      </c>
      <c r="AD373" s="0" t="n">
        <v>1.3969</v>
      </c>
      <c r="AE373" s="0" t="n">
        <v>0.975</v>
      </c>
      <c r="AG373" s="9" t="n">
        <f aca="false">SUMPRODUCT(($B$2:$AE$2&lt;=Portafolio!$B$5)*EXP(LN(Portafolio!$B$7)+Portafolio!$B$6*B373:AE373))/1000</f>
        <v>2.52101358566349</v>
      </c>
    </row>
    <row r="374" customFormat="false" ht="15" hidden="false" customHeight="false" outlineLevel="0" collapsed="false">
      <c r="A374" s="0" t="n">
        <v>372</v>
      </c>
      <c r="B374" s="0" t="n">
        <v>-0.8837</v>
      </c>
      <c r="C374" s="0" t="n">
        <v>-0.2842</v>
      </c>
      <c r="D374" s="0" t="n">
        <v>0.1675</v>
      </c>
      <c r="E374" s="0" t="n">
        <v>-1.2004</v>
      </c>
      <c r="F374" s="0" t="n">
        <v>-1.5405</v>
      </c>
      <c r="G374" s="0" t="n">
        <v>-0.3901</v>
      </c>
      <c r="H374" s="0" t="n">
        <v>0.7272</v>
      </c>
      <c r="I374" s="0" t="n">
        <v>1.4065</v>
      </c>
      <c r="J374" s="0" t="n">
        <v>0.4625</v>
      </c>
      <c r="K374" s="0" t="n">
        <v>0.1917</v>
      </c>
      <c r="L374" s="0" t="n">
        <v>-0.4259</v>
      </c>
      <c r="M374" s="0" t="n">
        <v>1.3524</v>
      </c>
      <c r="N374" s="0" t="n">
        <v>-1.3955</v>
      </c>
      <c r="O374" s="0" t="n">
        <v>0.5331</v>
      </c>
      <c r="P374" s="0" t="n">
        <v>1.0705</v>
      </c>
      <c r="Q374" s="0" t="n">
        <v>1.394</v>
      </c>
      <c r="R374" s="0" t="n">
        <v>-0.8336</v>
      </c>
      <c r="S374" s="0" t="n">
        <v>-0.9708</v>
      </c>
      <c r="T374" s="0" t="n">
        <v>-0.3879</v>
      </c>
      <c r="U374" s="0" t="n">
        <v>0.7878</v>
      </c>
      <c r="V374" s="0" t="n">
        <v>0.4509</v>
      </c>
      <c r="W374" s="0" t="n">
        <v>-0.0392</v>
      </c>
      <c r="X374" s="0" t="n">
        <v>0.9089</v>
      </c>
      <c r="Y374" s="0" t="n">
        <v>-0.0347</v>
      </c>
      <c r="Z374" s="0" t="n">
        <v>-0.1935</v>
      </c>
      <c r="AA374" s="0" t="n">
        <v>1.709</v>
      </c>
      <c r="AB374" s="0" t="n">
        <v>-0.383</v>
      </c>
      <c r="AC374" s="0" t="n">
        <v>0.3055</v>
      </c>
      <c r="AD374" s="0" t="n">
        <v>-0.7275</v>
      </c>
      <c r="AE374" s="0" t="n">
        <v>0.4935</v>
      </c>
      <c r="AG374" s="9" t="n">
        <f aca="false">SUMPRODUCT(($B$2:$AE$2&lt;=Portafolio!$B$5)*EXP(LN(Portafolio!$B$7)+Portafolio!$B$6*B374:AE374))/1000</f>
        <v>2.31322700911122</v>
      </c>
    </row>
    <row r="375" customFormat="false" ht="15" hidden="false" customHeight="false" outlineLevel="0" collapsed="false">
      <c r="A375" s="0" t="n">
        <v>373</v>
      </c>
      <c r="B375" s="0" t="n">
        <v>-0.6131</v>
      </c>
      <c r="C375" s="0" t="n">
        <v>0.7162</v>
      </c>
      <c r="D375" s="0" t="n">
        <v>-0.2385</v>
      </c>
      <c r="E375" s="0" t="n">
        <v>-0.0388</v>
      </c>
      <c r="F375" s="0" t="n">
        <v>2.3162</v>
      </c>
      <c r="G375" s="0" t="n">
        <v>0.6645</v>
      </c>
      <c r="H375" s="0" t="n">
        <v>0.9514</v>
      </c>
      <c r="I375" s="0" t="n">
        <v>-0.3715</v>
      </c>
      <c r="J375" s="0" t="n">
        <v>-0.3333</v>
      </c>
      <c r="K375" s="0" t="n">
        <v>0.7971</v>
      </c>
      <c r="L375" s="0" t="n">
        <v>0.8494</v>
      </c>
      <c r="M375" s="0" t="n">
        <v>0.4156</v>
      </c>
      <c r="N375" s="0" t="n">
        <v>1.1222</v>
      </c>
      <c r="O375" s="0" t="n">
        <v>-2.1438</v>
      </c>
      <c r="P375" s="0" t="n">
        <v>0.08</v>
      </c>
      <c r="Q375" s="0" t="n">
        <v>1.1335</v>
      </c>
      <c r="R375" s="0" t="n">
        <v>0.6476</v>
      </c>
      <c r="S375" s="0" t="n">
        <v>1.1625</v>
      </c>
      <c r="T375" s="0" t="n">
        <v>-0.9475</v>
      </c>
      <c r="U375" s="0" t="n">
        <v>0.5309</v>
      </c>
      <c r="V375" s="0" t="n">
        <v>-0.8037</v>
      </c>
      <c r="W375" s="0" t="n">
        <v>-1.571</v>
      </c>
      <c r="X375" s="0" t="n">
        <v>1.7491</v>
      </c>
      <c r="Y375" s="0" t="n">
        <v>0.7133</v>
      </c>
      <c r="Z375" s="0" t="n">
        <v>1.5443</v>
      </c>
      <c r="AA375" s="0" t="n">
        <v>-0.6618</v>
      </c>
      <c r="AB375" s="0" t="n">
        <v>-0.0798</v>
      </c>
      <c r="AC375" s="0" t="n">
        <v>-0.6853</v>
      </c>
      <c r="AD375" s="0" t="n">
        <v>1.2482</v>
      </c>
      <c r="AE375" s="0" t="n">
        <v>-0.5465</v>
      </c>
      <c r="AG375" s="9" t="n">
        <f aca="false">SUMPRODUCT(($B$2:$AE$2&lt;=Portafolio!$B$5)*EXP(LN(Portafolio!$B$7)+Portafolio!$B$6*B375:AE375))/1000</f>
        <v>2.82115174794719</v>
      </c>
    </row>
    <row r="376" customFormat="false" ht="15" hidden="false" customHeight="false" outlineLevel="0" collapsed="false">
      <c r="A376" s="0" t="n">
        <v>374</v>
      </c>
      <c r="B376" s="0" t="n">
        <v>-0.5909</v>
      </c>
      <c r="C376" s="0" t="n">
        <v>-0.3829</v>
      </c>
      <c r="D376" s="0" t="n">
        <v>-0.4971</v>
      </c>
      <c r="E376" s="0" t="n">
        <v>-0.6375</v>
      </c>
      <c r="F376" s="0" t="n">
        <v>1.829</v>
      </c>
      <c r="G376" s="0" t="n">
        <v>-1.1099</v>
      </c>
      <c r="H376" s="0" t="n">
        <v>-0.8872</v>
      </c>
      <c r="I376" s="0" t="n">
        <v>-1.3426</v>
      </c>
      <c r="J376" s="0" t="n">
        <v>1.159</v>
      </c>
      <c r="K376" s="0" t="n">
        <v>-0.8847</v>
      </c>
      <c r="L376" s="0" t="n">
        <v>0.7482</v>
      </c>
      <c r="M376" s="0" t="n">
        <v>1.4279</v>
      </c>
      <c r="N376" s="0" t="n">
        <v>0.4017</v>
      </c>
      <c r="O376" s="0" t="n">
        <v>1.8443</v>
      </c>
      <c r="P376" s="0" t="n">
        <v>-0.5975</v>
      </c>
      <c r="Q376" s="0" t="n">
        <v>2.491</v>
      </c>
      <c r="R376" s="0" t="n">
        <v>0.8736</v>
      </c>
      <c r="S376" s="0" t="n">
        <v>-1.4369</v>
      </c>
      <c r="T376" s="0" t="n">
        <v>0.6185</v>
      </c>
      <c r="U376" s="0" t="n">
        <v>-0.3684</v>
      </c>
      <c r="V376" s="0" t="n">
        <v>1.478</v>
      </c>
      <c r="W376" s="0" t="n">
        <v>-1.2776</v>
      </c>
      <c r="X376" s="0" t="n">
        <v>0.9567</v>
      </c>
      <c r="Y376" s="0" t="n">
        <v>-1.5013</v>
      </c>
      <c r="Z376" s="0" t="n">
        <v>0.5626</v>
      </c>
      <c r="AA376" s="0" t="n">
        <v>-1.704</v>
      </c>
      <c r="AB376" s="0" t="n">
        <v>-2.4959</v>
      </c>
      <c r="AC376" s="0" t="n">
        <v>0.4428</v>
      </c>
      <c r="AD376" s="0" t="n">
        <v>-1.2317</v>
      </c>
      <c r="AE376" s="0" t="n">
        <v>1.1682</v>
      </c>
      <c r="AG376" s="9" t="n">
        <f aca="false">SUMPRODUCT(($B$2:$AE$2&lt;=Portafolio!$B$5)*EXP(LN(Portafolio!$B$7)+Portafolio!$B$6*B376:AE376))/1000</f>
        <v>2.77945861548767</v>
      </c>
    </row>
    <row r="377" customFormat="false" ht="15" hidden="false" customHeight="false" outlineLevel="0" collapsed="false">
      <c r="A377" s="0" t="n">
        <v>375</v>
      </c>
      <c r="B377" s="0" t="n">
        <v>0.0953</v>
      </c>
      <c r="C377" s="0" t="n">
        <v>-0.6326</v>
      </c>
      <c r="D377" s="0" t="n">
        <v>1.0544</v>
      </c>
      <c r="E377" s="0" t="n">
        <v>1.8756</v>
      </c>
      <c r="F377" s="0" t="n">
        <v>-0.4377</v>
      </c>
      <c r="G377" s="0" t="n">
        <v>-0.6958</v>
      </c>
      <c r="H377" s="0" t="n">
        <v>0.0463</v>
      </c>
      <c r="I377" s="0" t="n">
        <v>-1.1677</v>
      </c>
      <c r="J377" s="0" t="n">
        <v>-0.3998</v>
      </c>
      <c r="K377" s="0" t="n">
        <v>-1.0372</v>
      </c>
      <c r="L377" s="0" t="n">
        <v>1.5386</v>
      </c>
      <c r="M377" s="0" t="n">
        <v>-1.1217</v>
      </c>
      <c r="N377" s="0" t="n">
        <v>1.3601</v>
      </c>
      <c r="O377" s="0" t="n">
        <v>1.0811</v>
      </c>
      <c r="P377" s="0" t="n">
        <v>-0.323</v>
      </c>
      <c r="Q377" s="0" t="n">
        <v>-0.0959</v>
      </c>
      <c r="R377" s="0" t="n">
        <v>-0.9822</v>
      </c>
      <c r="S377" s="0" t="n">
        <v>1.5757</v>
      </c>
      <c r="T377" s="0" t="n">
        <v>-0.5667</v>
      </c>
      <c r="U377" s="0" t="n">
        <v>0.2176</v>
      </c>
      <c r="V377" s="0" t="n">
        <v>-0.4711</v>
      </c>
      <c r="W377" s="0" t="n">
        <v>0.0105</v>
      </c>
      <c r="X377" s="0" t="n">
        <v>0.5988</v>
      </c>
      <c r="Y377" s="0" t="n">
        <v>0.4891</v>
      </c>
      <c r="Z377" s="0" t="n">
        <v>1.1005</v>
      </c>
      <c r="AA377" s="0" t="n">
        <v>0.0299</v>
      </c>
      <c r="AB377" s="0" t="n">
        <v>0.5735</v>
      </c>
      <c r="AC377" s="0" t="n">
        <v>-1.5839</v>
      </c>
      <c r="AD377" s="0" t="n">
        <v>-0.3986</v>
      </c>
      <c r="AE377" s="0" t="n">
        <v>-1.8537</v>
      </c>
      <c r="AG377" s="9" t="n">
        <f aca="false">SUMPRODUCT(($B$2:$AE$2&lt;=Portafolio!$B$5)*EXP(LN(Portafolio!$B$7)+Portafolio!$B$6*B377:AE377))/1000</f>
        <v>2.49321874852565</v>
      </c>
    </row>
    <row r="378" customFormat="false" ht="15" hidden="false" customHeight="false" outlineLevel="0" collapsed="false">
      <c r="A378" s="0" t="n">
        <v>376</v>
      </c>
      <c r="B378" s="0" t="n">
        <v>0.8918</v>
      </c>
      <c r="C378" s="0" t="n">
        <v>-0.0088</v>
      </c>
      <c r="D378" s="0" t="n">
        <v>-1.318</v>
      </c>
      <c r="E378" s="0" t="n">
        <v>-0.6301</v>
      </c>
      <c r="F378" s="0" t="n">
        <v>0.3781</v>
      </c>
      <c r="G378" s="0" t="n">
        <v>1.4508</v>
      </c>
      <c r="H378" s="0" t="n">
        <v>-0.5484</v>
      </c>
      <c r="I378" s="0" t="n">
        <v>0.3651</v>
      </c>
      <c r="J378" s="0" t="n">
        <v>-1.2691</v>
      </c>
      <c r="K378" s="0" t="n">
        <v>2.3756</v>
      </c>
      <c r="L378" s="0" t="n">
        <v>-1.2024</v>
      </c>
      <c r="M378" s="0" t="n">
        <v>0.788</v>
      </c>
      <c r="N378" s="0" t="n">
        <v>-0.1404</v>
      </c>
      <c r="O378" s="0" t="n">
        <v>-0.8038</v>
      </c>
      <c r="P378" s="0" t="n">
        <v>1.2369</v>
      </c>
      <c r="Q378" s="0" t="n">
        <v>1.9953</v>
      </c>
      <c r="R378" s="0" t="n">
        <v>0.9839</v>
      </c>
      <c r="S378" s="0" t="n">
        <v>0.0646</v>
      </c>
      <c r="T378" s="0" t="n">
        <v>1.0265</v>
      </c>
      <c r="U378" s="0" t="n">
        <v>-0.6188</v>
      </c>
      <c r="V378" s="0" t="n">
        <v>-0.403</v>
      </c>
      <c r="W378" s="0" t="n">
        <v>-1.1484</v>
      </c>
      <c r="X378" s="0" t="n">
        <v>-0.4504</v>
      </c>
      <c r="Y378" s="0" t="n">
        <v>-0.3104</v>
      </c>
      <c r="Z378" s="0" t="n">
        <v>0.1741</v>
      </c>
      <c r="AA378" s="0" t="n">
        <v>-0.7644</v>
      </c>
      <c r="AB378" s="0" t="n">
        <v>-0.5356</v>
      </c>
      <c r="AC378" s="0" t="n">
        <v>-2.6408</v>
      </c>
      <c r="AD378" s="0" t="n">
        <v>1.5571</v>
      </c>
      <c r="AE378" s="0" t="n">
        <v>0.8861</v>
      </c>
      <c r="AG378" s="9" t="n">
        <f aca="false">SUMPRODUCT(($B$2:$AE$2&lt;=Portafolio!$B$5)*EXP(LN(Portafolio!$B$7)+Portafolio!$B$6*B378:AE378))/1000</f>
        <v>2.8498166060063</v>
      </c>
    </row>
    <row r="379" customFormat="false" ht="15" hidden="false" customHeight="false" outlineLevel="0" collapsed="false">
      <c r="A379" s="0" t="n">
        <v>377</v>
      </c>
      <c r="B379" s="0" t="n">
        <v>0.5093</v>
      </c>
      <c r="C379" s="0" t="n">
        <v>0.1574</v>
      </c>
      <c r="D379" s="0" t="n">
        <v>-1.2896</v>
      </c>
      <c r="E379" s="0" t="n">
        <v>-1.2878</v>
      </c>
      <c r="F379" s="0" t="n">
        <v>-0.3957</v>
      </c>
      <c r="G379" s="0" t="n">
        <v>-0.5282</v>
      </c>
      <c r="H379" s="0" t="n">
        <v>0.3841</v>
      </c>
      <c r="I379" s="0" t="n">
        <v>-0.6182</v>
      </c>
      <c r="J379" s="0" t="n">
        <v>-2.4114</v>
      </c>
      <c r="K379" s="0" t="n">
        <v>0.7068</v>
      </c>
      <c r="L379" s="0" t="n">
        <v>-0.5878</v>
      </c>
      <c r="M379" s="0" t="n">
        <v>0.4382</v>
      </c>
      <c r="N379" s="0" t="n">
        <v>-0.1817</v>
      </c>
      <c r="O379" s="0" t="n">
        <v>0.6932</v>
      </c>
      <c r="P379" s="0" t="n">
        <v>0.6646</v>
      </c>
      <c r="Q379" s="0" t="n">
        <v>-0.5365</v>
      </c>
      <c r="R379" s="0" t="n">
        <v>0.247</v>
      </c>
      <c r="S379" s="0" t="n">
        <v>0.0583</v>
      </c>
      <c r="T379" s="0" t="n">
        <v>0.0227</v>
      </c>
      <c r="U379" s="0" t="n">
        <v>-1.3405</v>
      </c>
      <c r="V379" s="0" t="n">
        <v>-0.6818</v>
      </c>
      <c r="W379" s="0" t="n">
        <v>-0.0231</v>
      </c>
      <c r="X379" s="0" t="n">
        <v>-0.33</v>
      </c>
      <c r="Y379" s="0" t="n">
        <v>-2.0955</v>
      </c>
      <c r="Z379" s="0" t="n">
        <v>0.7673</v>
      </c>
      <c r="AA379" s="0" t="n">
        <v>-0.0132</v>
      </c>
      <c r="AB379" s="0" t="n">
        <v>-0.2989</v>
      </c>
      <c r="AC379" s="0" t="n">
        <v>-0.9212</v>
      </c>
      <c r="AD379" s="0" t="n">
        <v>-0.7923</v>
      </c>
      <c r="AE379" s="0" t="n">
        <v>-0.0028</v>
      </c>
      <c r="AG379" s="9" t="n">
        <f aca="false">SUMPRODUCT(($B$2:$AE$2&lt;=Portafolio!$B$5)*EXP(LN(Portafolio!$B$7)+Portafolio!$B$6*B379:AE379))/1000</f>
        <v>1.88965347860011</v>
      </c>
    </row>
    <row r="380" customFormat="false" ht="15" hidden="false" customHeight="false" outlineLevel="0" collapsed="false">
      <c r="A380" s="0" t="n">
        <v>378</v>
      </c>
      <c r="B380" s="0" t="n">
        <v>1.3612</v>
      </c>
      <c r="C380" s="0" t="n">
        <v>1.1813</v>
      </c>
      <c r="D380" s="0" t="n">
        <v>0.0027</v>
      </c>
      <c r="E380" s="0" t="n">
        <v>0.0866</v>
      </c>
      <c r="F380" s="0" t="n">
        <v>0.1959</v>
      </c>
      <c r="G380" s="0" t="n">
        <v>0.7719</v>
      </c>
      <c r="H380" s="0" t="n">
        <v>1.0528</v>
      </c>
      <c r="I380" s="0" t="n">
        <v>0.8416</v>
      </c>
      <c r="J380" s="0" t="n">
        <v>-0.0491</v>
      </c>
      <c r="K380" s="0" t="n">
        <v>1.0114</v>
      </c>
      <c r="L380" s="0" t="n">
        <v>-1.9625</v>
      </c>
      <c r="M380" s="0" t="n">
        <v>-1.109</v>
      </c>
      <c r="N380" s="0" t="n">
        <v>0.44</v>
      </c>
      <c r="O380" s="0" t="n">
        <v>0.7898</v>
      </c>
      <c r="P380" s="0" t="n">
        <v>-0.8002</v>
      </c>
      <c r="Q380" s="0" t="n">
        <v>0.9394</v>
      </c>
      <c r="R380" s="0" t="n">
        <v>-0.2489</v>
      </c>
      <c r="S380" s="0" t="n">
        <v>-0.1705</v>
      </c>
      <c r="T380" s="0" t="n">
        <v>-0.0909</v>
      </c>
      <c r="U380" s="0" t="n">
        <v>-0.469</v>
      </c>
      <c r="V380" s="0" t="n">
        <v>1.0191</v>
      </c>
      <c r="W380" s="0" t="n">
        <v>-0.44</v>
      </c>
      <c r="X380" s="0" t="n">
        <v>-0.7254</v>
      </c>
      <c r="Y380" s="0" t="n">
        <v>0.745</v>
      </c>
      <c r="Z380" s="0" t="n">
        <v>-1.1635</v>
      </c>
      <c r="AA380" s="0" t="n">
        <v>-0.0555</v>
      </c>
      <c r="AB380" s="0" t="n">
        <v>-0.8293</v>
      </c>
      <c r="AC380" s="0" t="n">
        <v>-0.1409</v>
      </c>
      <c r="AD380" s="0" t="n">
        <v>-1.571</v>
      </c>
      <c r="AE380" s="0" t="n">
        <v>-0.4566</v>
      </c>
      <c r="AG380" s="9" t="n">
        <f aca="false">SUMPRODUCT(($B$2:$AE$2&lt;=Portafolio!$B$5)*EXP(LN(Portafolio!$B$7)+Portafolio!$B$6*B380:AE380))/1000</f>
        <v>2.49785006384248</v>
      </c>
    </row>
    <row r="381" customFormat="false" ht="15" hidden="false" customHeight="false" outlineLevel="0" collapsed="false">
      <c r="A381" s="0" t="n">
        <v>379</v>
      </c>
      <c r="B381" s="0" t="n">
        <v>-1.7001</v>
      </c>
      <c r="C381" s="0" t="n">
        <v>0.2147</v>
      </c>
      <c r="D381" s="0" t="n">
        <v>0.1432</v>
      </c>
      <c r="E381" s="0" t="n">
        <v>-1.0136</v>
      </c>
      <c r="F381" s="0" t="n">
        <v>-1.4673</v>
      </c>
      <c r="G381" s="0" t="n">
        <v>-0.879</v>
      </c>
      <c r="H381" s="0" t="n">
        <v>-0.9228</v>
      </c>
      <c r="I381" s="0" t="n">
        <v>1.442</v>
      </c>
      <c r="J381" s="0" t="n">
        <v>0.7239</v>
      </c>
      <c r="K381" s="0" t="n">
        <v>-0.749</v>
      </c>
      <c r="L381" s="0" t="n">
        <v>0.744</v>
      </c>
      <c r="M381" s="0" t="n">
        <v>0.2749</v>
      </c>
      <c r="N381" s="0" t="n">
        <v>-1.2411</v>
      </c>
      <c r="O381" s="0" t="n">
        <v>-1.654</v>
      </c>
      <c r="P381" s="0" t="n">
        <v>-0.7531</v>
      </c>
      <c r="Q381" s="0" t="n">
        <v>-1.3311</v>
      </c>
      <c r="R381" s="0" t="n">
        <v>-0.8057</v>
      </c>
      <c r="S381" s="0" t="n">
        <v>-0.6147</v>
      </c>
      <c r="T381" s="0" t="n">
        <v>0.2956</v>
      </c>
      <c r="U381" s="0" t="n">
        <v>-1.8598</v>
      </c>
      <c r="V381" s="0" t="n">
        <v>1.9243</v>
      </c>
      <c r="W381" s="0" t="n">
        <v>-0.5285</v>
      </c>
      <c r="X381" s="0" t="n">
        <v>-1.0513</v>
      </c>
      <c r="Y381" s="0" t="n">
        <v>-0.856</v>
      </c>
      <c r="Z381" s="0" t="n">
        <v>-1.0477</v>
      </c>
      <c r="AA381" s="0" t="n">
        <v>1.0929</v>
      </c>
      <c r="AB381" s="0" t="n">
        <v>-0.9347</v>
      </c>
      <c r="AC381" s="0" t="n">
        <v>-2.4976</v>
      </c>
      <c r="AD381" s="0" t="n">
        <v>-0.833</v>
      </c>
      <c r="AE381" s="0" t="n">
        <v>0.5014</v>
      </c>
      <c r="AG381" s="9" t="n">
        <f aca="false">SUMPRODUCT(($B$2:$AE$2&lt;=Portafolio!$B$5)*EXP(LN(Portafolio!$B$7)+Portafolio!$B$6*B381:AE381))/1000</f>
        <v>1.67730218386726</v>
      </c>
    </row>
    <row r="382" customFormat="false" ht="15" hidden="false" customHeight="false" outlineLevel="0" collapsed="false">
      <c r="A382" s="0" t="n">
        <v>380</v>
      </c>
      <c r="B382" s="0" t="n">
        <v>-1.1915</v>
      </c>
      <c r="C382" s="0" t="n">
        <v>-0.1112</v>
      </c>
      <c r="D382" s="0" t="n">
        <v>1.3097</v>
      </c>
      <c r="E382" s="0" t="n">
        <v>0.8134</v>
      </c>
      <c r="F382" s="0" t="n">
        <v>-1.2121</v>
      </c>
      <c r="G382" s="0" t="n">
        <v>0.7432</v>
      </c>
      <c r="H382" s="0" t="n">
        <v>-0.0311</v>
      </c>
      <c r="I382" s="0" t="n">
        <v>-0.4028</v>
      </c>
      <c r="J382" s="0" t="n">
        <v>1.9676</v>
      </c>
      <c r="K382" s="0" t="n">
        <v>-0.7714</v>
      </c>
      <c r="L382" s="0" t="n">
        <v>0.6627</v>
      </c>
      <c r="M382" s="0" t="n">
        <v>-0.4645</v>
      </c>
      <c r="N382" s="0" t="n">
        <v>-0.763</v>
      </c>
      <c r="O382" s="0" t="n">
        <v>-1.4577</v>
      </c>
      <c r="P382" s="0" t="n">
        <v>0.458</v>
      </c>
      <c r="Q382" s="0" t="n">
        <v>0.2195</v>
      </c>
      <c r="R382" s="0" t="n">
        <v>1.6726</v>
      </c>
      <c r="S382" s="0" t="n">
        <v>-0.8882</v>
      </c>
      <c r="T382" s="0" t="n">
        <v>1.274</v>
      </c>
      <c r="U382" s="0" t="n">
        <v>-0.5316</v>
      </c>
      <c r="V382" s="0" t="n">
        <v>-1.3258</v>
      </c>
      <c r="W382" s="0" t="n">
        <v>0.2176</v>
      </c>
      <c r="X382" s="0" t="n">
        <v>0.8572</v>
      </c>
      <c r="Y382" s="0" t="n">
        <v>-0.311</v>
      </c>
      <c r="Z382" s="0" t="n">
        <v>1.1943</v>
      </c>
      <c r="AA382" s="0" t="n">
        <v>1.6919</v>
      </c>
      <c r="AB382" s="0" t="n">
        <v>1.5437</v>
      </c>
      <c r="AC382" s="0" t="n">
        <v>0.2002</v>
      </c>
      <c r="AD382" s="0" t="n">
        <v>-0.8631</v>
      </c>
      <c r="AE382" s="0" t="n">
        <v>1.6712</v>
      </c>
      <c r="AG382" s="9" t="n">
        <f aca="false">SUMPRODUCT(($B$2:$AE$2&lt;=Portafolio!$B$5)*EXP(LN(Portafolio!$B$7)+Portafolio!$B$6*B382:AE382))/1000</f>
        <v>2.48869403539112</v>
      </c>
    </row>
    <row r="383" customFormat="false" ht="15" hidden="false" customHeight="false" outlineLevel="0" collapsed="false">
      <c r="A383" s="0" t="n">
        <v>381</v>
      </c>
      <c r="B383" s="0" t="n">
        <v>0.2804</v>
      </c>
      <c r="C383" s="0" t="n">
        <v>-0.4306</v>
      </c>
      <c r="D383" s="0" t="n">
        <v>-1.184</v>
      </c>
      <c r="E383" s="0" t="n">
        <v>0.4862</v>
      </c>
      <c r="F383" s="0" t="n">
        <v>1.8244</v>
      </c>
      <c r="G383" s="0" t="n">
        <v>0.5217</v>
      </c>
      <c r="H383" s="0" t="n">
        <v>-0.9515</v>
      </c>
      <c r="I383" s="0" t="n">
        <v>0.177</v>
      </c>
      <c r="J383" s="0" t="n">
        <v>-0.4013</v>
      </c>
      <c r="K383" s="0" t="n">
        <v>0.4217</v>
      </c>
      <c r="L383" s="0" t="n">
        <v>1.7746</v>
      </c>
      <c r="M383" s="0" t="n">
        <v>-1.7151</v>
      </c>
      <c r="N383" s="0" t="n">
        <v>0.2741</v>
      </c>
      <c r="O383" s="0" t="n">
        <v>-0.3975</v>
      </c>
      <c r="P383" s="0" t="n">
        <v>0.2732</v>
      </c>
      <c r="Q383" s="0" t="n">
        <v>-0.3725</v>
      </c>
      <c r="R383" s="0" t="n">
        <v>-0.9832</v>
      </c>
      <c r="S383" s="0" t="n">
        <v>1.3731</v>
      </c>
      <c r="T383" s="0" t="n">
        <v>-0.3333</v>
      </c>
      <c r="U383" s="0" t="n">
        <v>-0.4469</v>
      </c>
      <c r="V383" s="0" t="n">
        <v>1.0712</v>
      </c>
      <c r="W383" s="0" t="n">
        <v>0.7454</v>
      </c>
      <c r="X383" s="0" t="n">
        <v>1.0197</v>
      </c>
      <c r="Y383" s="0" t="n">
        <v>-0.7266</v>
      </c>
      <c r="Z383" s="0" t="n">
        <v>-0.3258</v>
      </c>
      <c r="AA383" s="0" t="n">
        <v>0.6851</v>
      </c>
      <c r="AB383" s="0" t="n">
        <v>-0.674</v>
      </c>
      <c r="AC383" s="0" t="n">
        <v>-1.0808</v>
      </c>
      <c r="AD383" s="0" t="n">
        <v>-1.0057</v>
      </c>
      <c r="AE383" s="0" t="n">
        <v>-0.6572</v>
      </c>
      <c r="AG383" s="9" t="n">
        <f aca="false">SUMPRODUCT(($B$2:$AE$2&lt;=Portafolio!$B$5)*EXP(LN(Portafolio!$B$7)+Portafolio!$B$6*B383:AE383))/1000</f>
        <v>2.35114395708682</v>
      </c>
    </row>
    <row r="384" customFormat="false" ht="15" hidden="false" customHeight="false" outlineLevel="0" collapsed="false">
      <c r="A384" s="0" t="n">
        <v>382</v>
      </c>
      <c r="B384" s="0" t="n">
        <v>-1.4821</v>
      </c>
      <c r="C384" s="0" t="n">
        <v>-0.6578</v>
      </c>
      <c r="D384" s="0" t="n">
        <v>-0.5404</v>
      </c>
      <c r="E384" s="0" t="n">
        <v>0.8411</v>
      </c>
      <c r="F384" s="0" t="n">
        <v>-1.0873</v>
      </c>
      <c r="G384" s="0" t="n">
        <v>-0.2329</v>
      </c>
      <c r="H384" s="0" t="n">
        <v>-0.4987</v>
      </c>
      <c r="I384" s="0" t="n">
        <v>-0.8896</v>
      </c>
      <c r="J384" s="0" t="n">
        <v>-1.1598</v>
      </c>
      <c r="K384" s="0" t="n">
        <v>-0.1313</v>
      </c>
      <c r="L384" s="0" t="n">
        <v>0.6101</v>
      </c>
      <c r="M384" s="0" t="n">
        <v>-0.0285</v>
      </c>
      <c r="N384" s="0" t="n">
        <v>-1.4222</v>
      </c>
      <c r="O384" s="0" t="n">
        <v>1.059</v>
      </c>
      <c r="P384" s="0" t="n">
        <v>0.0344</v>
      </c>
      <c r="Q384" s="0" t="n">
        <v>-0.1435</v>
      </c>
      <c r="R384" s="0" t="n">
        <v>-1.4898</v>
      </c>
      <c r="S384" s="0" t="n">
        <v>-0.4326</v>
      </c>
      <c r="T384" s="0" t="n">
        <v>1.8114</v>
      </c>
      <c r="U384" s="0" t="n">
        <v>0.2508</v>
      </c>
      <c r="V384" s="0" t="n">
        <v>-0.1135</v>
      </c>
      <c r="W384" s="0" t="n">
        <v>2.003</v>
      </c>
      <c r="X384" s="0" t="n">
        <v>1.1789</v>
      </c>
      <c r="Y384" s="0" t="n">
        <v>-0.3248</v>
      </c>
      <c r="Z384" s="0" t="n">
        <v>-0.9549</v>
      </c>
      <c r="AA384" s="0" t="n">
        <v>-0.9973</v>
      </c>
      <c r="AB384" s="0" t="n">
        <v>-0.1875</v>
      </c>
      <c r="AC384" s="0" t="n">
        <v>-0.6877</v>
      </c>
      <c r="AD384" s="0" t="n">
        <v>0.592</v>
      </c>
      <c r="AE384" s="0" t="n">
        <v>-0.8534</v>
      </c>
      <c r="AG384" s="9" t="n">
        <f aca="false">SUMPRODUCT(($B$2:$AE$2&lt;=Portafolio!$B$5)*EXP(LN(Portafolio!$B$7)+Portafolio!$B$6*B384:AE384))/1000</f>
        <v>1.95903724924631</v>
      </c>
    </row>
    <row r="385" customFormat="false" ht="15" hidden="false" customHeight="false" outlineLevel="0" collapsed="false">
      <c r="A385" s="0" t="n">
        <v>383</v>
      </c>
      <c r="B385" s="0" t="n">
        <v>0.9856</v>
      </c>
      <c r="C385" s="0" t="n">
        <v>-1.264</v>
      </c>
      <c r="D385" s="0" t="n">
        <v>-1.6698</v>
      </c>
      <c r="E385" s="0" t="n">
        <v>1.1239</v>
      </c>
      <c r="F385" s="0" t="n">
        <v>-1.0131</v>
      </c>
      <c r="G385" s="0" t="n">
        <v>0.1885</v>
      </c>
      <c r="H385" s="0" t="n">
        <v>0.5674</v>
      </c>
      <c r="I385" s="0" t="n">
        <v>0.1163</v>
      </c>
      <c r="J385" s="0" t="n">
        <v>1.1774</v>
      </c>
      <c r="K385" s="0" t="n">
        <v>0.652</v>
      </c>
      <c r="L385" s="0" t="n">
        <v>0.001</v>
      </c>
      <c r="M385" s="0" t="n">
        <v>-0.037</v>
      </c>
      <c r="N385" s="0" t="n">
        <v>1.3367</v>
      </c>
      <c r="O385" s="0" t="n">
        <v>-0.0291</v>
      </c>
      <c r="P385" s="0" t="n">
        <v>0.9057</v>
      </c>
      <c r="Q385" s="0" t="n">
        <v>0.7125</v>
      </c>
      <c r="R385" s="0" t="n">
        <v>-0.6289</v>
      </c>
      <c r="S385" s="0" t="n">
        <v>0.5219</v>
      </c>
      <c r="T385" s="0" t="n">
        <v>2.8801</v>
      </c>
      <c r="U385" s="0" t="n">
        <v>-0.9809</v>
      </c>
      <c r="V385" s="0" t="n">
        <v>0.8777</v>
      </c>
      <c r="W385" s="0" t="n">
        <v>-2.0546</v>
      </c>
      <c r="X385" s="0" t="n">
        <v>-0.2804</v>
      </c>
      <c r="Y385" s="0" t="n">
        <v>-0.4557</v>
      </c>
      <c r="Z385" s="0" t="n">
        <v>0.4995</v>
      </c>
      <c r="AA385" s="0" t="n">
        <v>0.1439</v>
      </c>
      <c r="AB385" s="0" t="n">
        <v>-1.3339</v>
      </c>
      <c r="AC385" s="0" t="n">
        <v>-1.2446</v>
      </c>
      <c r="AD385" s="0" t="n">
        <v>-0.1182</v>
      </c>
      <c r="AE385" s="0" t="n">
        <v>-0.7042</v>
      </c>
      <c r="AG385" s="9" t="n">
        <f aca="false">SUMPRODUCT(($B$2:$AE$2&lt;=Portafolio!$B$5)*EXP(LN(Portafolio!$B$7)+Portafolio!$B$6*B385:AE385))/1000</f>
        <v>2.89373356911746</v>
      </c>
    </row>
    <row r="386" customFormat="false" ht="15" hidden="false" customHeight="false" outlineLevel="0" collapsed="false">
      <c r="A386" s="0" t="n">
        <v>384</v>
      </c>
      <c r="B386" s="0" t="n">
        <v>-0.2545</v>
      </c>
      <c r="C386" s="0" t="n">
        <v>0.1112</v>
      </c>
      <c r="D386" s="0" t="n">
        <v>-0.0365</v>
      </c>
      <c r="E386" s="0" t="n">
        <v>1.3985</v>
      </c>
      <c r="F386" s="0" t="n">
        <v>0.3045</v>
      </c>
      <c r="G386" s="0" t="n">
        <v>0.3342</v>
      </c>
      <c r="H386" s="0" t="n">
        <v>-0.8132</v>
      </c>
      <c r="I386" s="0" t="n">
        <v>1.3553</v>
      </c>
      <c r="J386" s="0" t="n">
        <v>1.1194</v>
      </c>
      <c r="K386" s="0" t="n">
        <v>0.1402</v>
      </c>
      <c r="L386" s="0" t="n">
        <v>-0.1902</v>
      </c>
      <c r="M386" s="0" t="n">
        <v>0.4017</v>
      </c>
      <c r="N386" s="0" t="n">
        <v>1.1226</v>
      </c>
      <c r="O386" s="0" t="n">
        <v>0.969</v>
      </c>
      <c r="P386" s="0" t="n">
        <v>-0.6427</v>
      </c>
      <c r="Q386" s="0" t="n">
        <v>0.8469</v>
      </c>
      <c r="R386" s="0" t="n">
        <v>-0.015</v>
      </c>
      <c r="S386" s="0" t="n">
        <v>-0.712</v>
      </c>
      <c r="T386" s="0" t="n">
        <v>-0.3248</v>
      </c>
      <c r="U386" s="0" t="n">
        <v>0.752</v>
      </c>
      <c r="V386" s="0" t="n">
        <v>1.8281</v>
      </c>
      <c r="W386" s="0" t="n">
        <v>-0.3513</v>
      </c>
      <c r="X386" s="0" t="n">
        <v>-0.5217</v>
      </c>
      <c r="Y386" s="0" t="n">
        <v>0.0884</v>
      </c>
      <c r="Z386" s="0" t="n">
        <v>-0.428</v>
      </c>
      <c r="AA386" s="0" t="n">
        <v>-1.3273</v>
      </c>
      <c r="AB386" s="0" t="n">
        <v>1.2247</v>
      </c>
      <c r="AC386" s="0" t="n">
        <v>-0.9983</v>
      </c>
      <c r="AD386" s="0" t="n">
        <v>-0.3422</v>
      </c>
      <c r="AE386" s="0" t="n">
        <v>0.0364</v>
      </c>
      <c r="AG386" s="9" t="n">
        <f aca="false">SUMPRODUCT(($B$2:$AE$2&lt;=Portafolio!$B$5)*EXP(LN(Portafolio!$B$7)+Portafolio!$B$6*B386:AE386))/1000</f>
        <v>2.58498433290402</v>
      </c>
    </row>
    <row r="387" customFormat="false" ht="15" hidden="false" customHeight="false" outlineLevel="0" collapsed="false">
      <c r="A387" s="0" t="n">
        <v>385</v>
      </c>
      <c r="B387" s="0" t="n">
        <v>-0.2297</v>
      </c>
      <c r="C387" s="0" t="n">
        <v>0.7263</v>
      </c>
      <c r="D387" s="0" t="n">
        <v>-1.0946</v>
      </c>
      <c r="E387" s="0" t="n">
        <v>-1.3327</v>
      </c>
      <c r="F387" s="0" t="n">
        <v>0.2567</v>
      </c>
      <c r="G387" s="0" t="n">
        <v>-0.1261</v>
      </c>
      <c r="H387" s="0" t="n">
        <v>-1.1622</v>
      </c>
      <c r="I387" s="0" t="n">
        <v>0.7046</v>
      </c>
      <c r="J387" s="0" t="n">
        <v>0.2265</v>
      </c>
      <c r="K387" s="0" t="n">
        <v>-1.6439</v>
      </c>
      <c r="L387" s="0" t="n">
        <v>0.2199</v>
      </c>
      <c r="M387" s="0" t="n">
        <v>0.5006</v>
      </c>
      <c r="N387" s="0" t="n">
        <v>0.6956</v>
      </c>
      <c r="O387" s="0" t="n">
        <v>-0.7515</v>
      </c>
      <c r="P387" s="0" t="n">
        <v>-0.2073</v>
      </c>
      <c r="Q387" s="0" t="n">
        <v>-0.13</v>
      </c>
      <c r="R387" s="0" t="n">
        <v>0.4937</v>
      </c>
      <c r="S387" s="0" t="n">
        <v>-0.7788</v>
      </c>
      <c r="T387" s="0" t="n">
        <v>-0.1241</v>
      </c>
      <c r="U387" s="0" t="n">
        <v>-0.3812</v>
      </c>
      <c r="V387" s="0" t="n">
        <v>-0.1548</v>
      </c>
      <c r="W387" s="0" t="n">
        <v>-0.8137</v>
      </c>
      <c r="X387" s="0" t="n">
        <v>0.3529</v>
      </c>
      <c r="Y387" s="0" t="n">
        <v>0.925</v>
      </c>
      <c r="Z387" s="0" t="n">
        <v>1.3366</v>
      </c>
      <c r="AA387" s="0" t="n">
        <v>-0.1236</v>
      </c>
      <c r="AB387" s="0" t="n">
        <v>0.345</v>
      </c>
      <c r="AC387" s="0" t="n">
        <v>0.015</v>
      </c>
      <c r="AD387" s="0" t="n">
        <v>0.3615</v>
      </c>
      <c r="AE387" s="0" t="n">
        <v>-1.0936</v>
      </c>
      <c r="AG387" s="9" t="n">
        <f aca="false">SUMPRODUCT(($B$2:$AE$2&lt;=Portafolio!$B$5)*EXP(LN(Portafolio!$B$7)+Portafolio!$B$6*B387:AE387))/1000</f>
        <v>1.91713536698386</v>
      </c>
    </row>
    <row r="388" customFormat="false" ht="15" hidden="false" customHeight="false" outlineLevel="0" collapsed="false">
      <c r="A388" s="0" t="n">
        <v>386</v>
      </c>
      <c r="B388" s="0" t="n">
        <v>-1.7215</v>
      </c>
      <c r="C388" s="0" t="n">
        <v>1.412</v>
      </c>
      <c r="D388" s="0" t="n">
        <v>2.5783</v>
      </c>
      <c r="E388" s="0" t="n">
        <v>-0.7338</v>
      </c>
      <c r="F388" s="0" t="n">
        <v>0.8975</v>
      </c>
      <c r="G388" s="0" t="n">
        <v>0.2569</v>
      </c>
      <c r="H388" s="0" t="n">
        <v>1.3074</v>
      </c>
      <c r="I388" s="0" t="n">
        <v>-1.0737</v>
      </c>
      <c r="J388" s="0" t="n">
        <v>0.1746</v>
      </c>
      <c r="K388" s="0" t="n">
        <v>2.0277</v>
      </c>
      <c r="L388" s="0" t="n">
        <v>2.22</v>
      </c>
      <c r="M388" s="0" t="n">
        <v>-1.1117</v>
      </c>
      <c r="N388" s="0" t="n">
        <v>0.0447</v>
      </c>
      <c r="O388" s="0" t="n">
        <v>-0.3133</v>
      </c>
      <c r="P388" s="0" t="n">
        <v>1.9704</v>
      </c>
      <c r="Q388" s="0" t="n">
        <v>0.8271</v>
      </c>
      <c r="R388" s="0" t="n">
        <v>-0.7753</v>
      </c>
      <c r="S388" s="0" t="n">
        <v>0.5069</v>
      </c>
      <c r="T388" s="0" t="n">
        <v>-0.1225</v>
      </c>
      <c r="U388" s="0" t="n">
        <v>-1.3399</v>
      </c>
      <c r="V388" s="0" t="n">
        <v>-0.488</v>
      </c>
      <c r="W388" s="0" t="n">
        <v>0.8772</v>
      </c>
      <c r="X388" s="0" t="n">
        <v>-2.0775</v>
      </c>
      <c r="Y388" s="0" t="n">
        <v>1.5131</v>
      </c>
      <c r="Z388" s="0" t="n">
        <v>0.7047</v>
      </c>
      <c r="AA388" s="0" t="n">
        <v>0.8513</v>
      </c>
      <c r="AB388" s="0" t="n">
        <v>-1.9385</v>
      </c>
      <c r="AC388" s="0" t="n">
        <v>0.5632</v>
      </c>
      <c r="AD388" s="0" t="n">
        <v>-0.87</v>
      </c>
      <c r="AE388" s="0" t="n">
        <v>-1.5456</v>
      </c>
      <c r="AG388" s="9" t="n">
        <f aca="false">SUMPRODUCT(($B$2:$AE$2&lt;=Portafolio!$B$5)*EXP(LN(Portafolio!$B$7)+Portafolio!$B$6*B388:AE388))/1000</f>
        <v>3.25348209613525</v>
      </c>
    </row>
    <row r="389" customFormat="false" ht="15" hidden="false" customHeight="false" outlineLevel="0" collapsed="false">
      <c r="A389" s="0" t="n">
        <v>387</v>
      </c>
      <c r="B389" s="0" t="n">
        <v>-0.7881</v>
      </c>
      <c r="C389" s="0" t="n">
        <v>0.2786</v>
      </c>
      <c r="D389" s="0" t="n">
        <v>-0.0298</v>
      </c>
      <c r="E389" s="0" t="n">
        <v>2.612</v>
      </c>
      <c r="F389" s="0" t="n">
        <v>1.1559</v>
      </c>
      <c r="G389" s="0" t="n">
        <v>1.4348</v>
      </c>
      <c r="H389" s="0" t="n">
        <v>0.7052</v>
      </c>
      <c r="I389" s="0" t="n">
        <v>0.2276</v>
      </c>
      <c r="J389" s="0" t="n">
        <v>0.0951</v>
      </c>
      <c r="K389" s="0" t="n">
        <v>2.5489</v>
      </c>
      <c r="L389" s="0" t="n">
        <v>-0.3301</v>
      </c>
      <c r="M389" s="0" t="n">
        <v>-1.157</v>
      </c>
      <c r="N389" s="0" t="n">
        <v>0.4741</v>
      </c>
      <c r="O389" s="0" t="n">
        <v>-0.0608</v>
      </c>
      <c r="P389" s="0" t="n">
        <v>0.0567</v>
      </c>
      <c r="Q389" s="0" t="n">
        <v>-1.3054</v>
      </c>
      <c r="R389" s="0" t="n">
        <v>-0.789</v>
      </c>
      <c r="S389" s="0" t="n">
        <v>-0.15</v>
      </c>
      <c r="T389" s="0" t="n">
        <v>-0.3917</v>
      </c>
      <c r="U389" s="0" t="n">
        <v>0.3045</v>
      </c>
      <c r="V389" s="0" t="n">
        <v>1.436</v>
      </c>
      <c r="W389" s="0" t="n">
        <v>0.3645</v>
      </c>
      <c r="X389" s="0" t="n">
        <v>0.4377</v>
      </c>
      <c r="Y389" s="0" t="n">
        <v>-0.373</v>
      </c>
      <c r="Z389" s="0" t="n">
        <v>-1.3822</v>
      </c>
      <c r="AA389" s="0" t="n">
        <v>0.3234</v>
      </c>
      <c r="AB389" s="0" t="n">
        <v>0.0111</v>
      </c>
      <c r="AC389" s="0" t="n">
        <v>-0.6944</v>
      </c>
      <c r="AD389" s="0" t="n">
        <v>-0.7709</v>
      </c>
      <c r="AE389" s="0" t="n">
        <v>0.7471</v>
      </c>
      <c r="AG389" s="9" t="n">
        <f aca="false">SUMPRODUCT(($B$2:$AE$2&lt;=Portafolio!$B$5)*EXP(LN(Portafolio!$B$7)+Portafolio!$B$6*B389:AE389))/1000</f>
        <v>2.89259310871636</v>
      </c>
    </row>
    <row r="390" customFormat="false" ht="15" hidden="false" customHeight="false" outlineLevel="0" collapsed="false">
      <c r="A390" s="0" t="n">
        <v>388</v>
      </c>
      <c r="B390" s="0" t="n">
        <v>0.59</v>
      </c>
      <c r="C390" s="0" t="n">
        <v>-0.1008</v>
      </c>
      <c r="D390" s="0" t="n">
        <v>0.8106</v>
      </c>
      <c r="E390" s="0" t="n">
        <v>-1.5424</v>
      </c>
      <c r="F390" s="0" t="n">
        <v>-0.0983</v>
      </c>
      <c r="G390" s="0" t="n">
        <v>1.3583</v>
      </c>
      <c r="H390" s="0" t="n">
        <v>-0.3398</v>
      </c>
      <c r="I390" s="0" t="n">
        <v>0.2473</v>
      </c>
      <c r="J390" s="0" t="n">
        <v>-0.2477</v>
      </c>
      <c r="K390" s="0" t="n">
        <v>0.3418</v>
      </c>
      <c r="L390" s="0" t="n">
        <v>-1.0015</v>
      </c>
      <c r="M390" s="0" t="n">
        <v>-1.4603</v>
      </c>
      <c r="N390" s="0" t="n">
        <v>0.8945</v>
      </c>
      <c r="O390" s="0" t="n">
        <v>0.469</v>
      </c>
      <c r="P390" s="0" t="n">
        <v>0.9651</v>
      </c>
      <c r="Q390" s="0" t="n">
        <v>-0.9469</v>
      </c>
      <c r="R390" s="0" t="n">
        <v>0.2346</v>
      </c>
      <c r="S390" s="0" t="n">
        <v>-0.1797</v>
      </c>
      <c r="T390" s="0" t="n">
        <v>-2.1159</v>
      </c>
      <c r="U390" s="0" t="n">
        <v>-1.3891</v>
      </c>
      <c r="V390" s="0" t="n">
        <v>0.4813</v>
      </c>
      <c r="W390" s="0" t="n">
        <v>1.6385</v>
      </c>
      <c r="X390" s="0" t="n">
        <v>-0.5063</v>
      </c>
      <c r="Y390" s="0" t="n">
        <v>1.6505</v>
      </c>
      <c r="Z390" s="0" t="n">
        <v>-1.0513</v>
      </c>
      <c r="AA390" s="0" t="n">
        <v>0.596</v>
      </c>
      <c r="AB390" s="0" t="n">
        <v>-0.3344</v>
      </c>
      <c r="AC390" s="0" t="n">
        <v>-1.1634</v>
      </c>
      <c r="AD390" s="0" t="n">
        <v>0.852</v>
      </c>
      <c r="AE390" s="0" t="n">
        <v>-0.682</v>
      </c>
      <c r="AG390" s="9" t="n">
        <f aca="false">SUMPRODUCT(($B$2:$AE$2&lt;=Portafolio!$B$5)*EXP(LN(Portafolio!$B$7)+Portafolio!$B$6*B390:AE390))/1000</f>
        <v>2.0771105302454</v>
      </c>
    </row>
    <row r="391" customFormat="false" ht="15" hidden="false" customHeight="false" outlineLevel="0" collapsed="false">
      <c r="A391" s="0" t="n">
        <v>389</v>
      </c>
      <c r="B391" s="0" t="n">
        <v>0.4682</v>
      </c>
      <c r="C391" s="0" t="n">
        <v>0.8741</v>
      </c>
      <c r="D391" s="0" t="n">
        <v>-0.6833</v>
      </c>
      <c r="E391" s="0" t="n">
        <v>-0.6989</v>
      </c>
      <c r="F391" s="0" t="n">
        <v>-0.118</v>
      </c>
      <c r="G391" s="0" t="n">
        <v>-0.1058</v>
      </c>
      <c r="H391" s="0" t="n">
        <v>1.7907</v>
      </c>
      <c r="I391" s="0" t="n">
        <v>0.62</v>
      </c>
      <c r="J391" s="0" t="n">
        <v>-0.6384</v>
      </c>
      <c r="K391" s="0" t="n">
        <v>0.1328</v>
      </c>
      <c r="L391" s="0" t="n">
        <v>-0.204</v>
      </c>
      <c r="M391" s="0" t="n">
        <v>-0.1217</v>
      </c>
      <c r="N391" s="0" t="n">
        <v>0.9412</v>
      </c>
      <c r="O391" s="0" t="n">
        <v>0.5314</v>
      </c>
      <c r="P391" s="0" t="n">
        <v>-0.3179</v>
      </c>
      <c r="Q391" s="0" t="n">
        <v>0.7654</v>
      </c>
      <c r="R391" s="0" t="n">
        <v>0.9897</v>
      </c>
      <c r="S391" s="0" t="n">
        <v>0.5458</v>
      </c>
      <c r="T391" s="0" t="n">
        <v>-0.5774</v>
      </c>
      <c r="U391" s="0" t="n">
        <v>1.4966</v>
      </c>
      <c r="V391" s="0" t="n">
        <v>1.4932</v>
      </c>
      <c r="W391" s="0" t="n">
        <v>-0.8437</v>
      </c>
      <c r="X391" s="0" t="n">
        <v>0.8791</v>
      </c>
      <c r="Y391" s="0" t="n">
        <v>0.7513</v>
      </c>
      <c r="Z391" s="0" t="n">
        <v>0.524</v>
      </c>
      <c r="AA391" s="0" t="n">
        <v>0.7128</v>
      </c>
      <c r="AB391" s="0" t="n">
        <v>-0.2187</v>
      </c>
      <c r="AC391" s="0" t="n">
        <v>-0.2428</v>
      </c>
      <c r="AD391" s="0" t="n">
        <v>3.1277</v>
      </c>
      <c r="AE391" s="0" t="n">
        <v>2.8921</v>
      </c>
      <c r="AG391" s="9" t="n">
        <f aca="false">SUMPRODUCT(($B$2:$AE$2&lt;=Portafolio!$B$5)*EXP(LN(Portafolio!$B$7)+Portafolio!$B$6*B391:AE391))/1000</f>
        <v>2.60670652260666</v>
      </c>
    </row>
    <row r="392" customFormat="false" ht="15" hidden="false" customHeight="false" outlineLevel="0" collapsed="false">
      <c r="A392" s="0" t="n">
        <v>390</v>
      </c>
      <c r="B392" s="0" t="n">
        <v>-1.3691</v>
      </c>
      <c r="C392" s="0" t="n">
        <v>2.1991</v>
      </c>
      <c r="D392" s="0" t="n">
        <v>0.7557</v>
      </c>
      <c r="E392" s="0" t="n">
        <v>0.0729</v>
      </c>
      <c r="F392" s="0" t="n">
        <v>0.9361</v>
      </c>
      <c r="G392" s="0" t="n">
        <v>1.3573</v>
      </c>
      <c r="H392" s="0" t="n">
        <v>0.134</v>
      </c>
      <c r="I392" s="0" t="n">
        <v>0.4766</v>
      </c>
      <c r="J392" s="0" t="n">
        <v>1.4103</v>
      </c>
      <c r="K392" s="0" t="n">
        <v>-0.9071</v>
      </c>
      <c r="L392" s="0" t="n">
        <v>-1.4487</v>
      </c>
      <c r="M392" s="0" t="n">
        <v>0.4918</v>
      </c>
      <c r="N392" s="0" t="n">
        <v>1.5429</v>
      </c>
      <c r="O392" s="0" t="n">
        <v>-0.3792</v>
      </c>
      <c r="P392" s="0" t="n">
        <v>0.4342</v>
      </c>
      <c r="Q392" s="0" t="n">
        <v>-0.4428</v>
      </c>
      <c r="R392" s="0" t="n">
        <v>-0.0172</v>
      </c>
      <c r="S392" s="0" t="n">
        <v>-0.1228</v>
      </c>
      <c r="T392" s="0" t="n">
        <v>2.1664</v>
      </c>
      <c r="U392" s="0" t="n">
        <v>-1.6406</v>
      </c>
      <c r="V392" s="0" t="n">
        <v>-0.6154</v>
      </c>
      <c r="W392" s="0" t="n">
        <v>-1.3188</v>
      </c>
      <c r="X392" s="0" t="n">
        <v>0.3303</v>
      </c>
      <c r="Y392" s="0" t="n">
        <v>2.0713</v>
      </c>
      <c r="Z392" s="0" t="n">
        <v>-2.0591</v>
      </c>
      <c r="AA392" s="0" t="n">
        <v>-2.8337</v>
      </c>
      <c r="AB392" s="0" t="n">
        <v>0.6203</v>
      </c>
      <c r="AC392" s="0" t="n">
        <v>-0.1195</v>
      </c>
      <c r="AD392" s="0" t="n">
        <v>-0.0968</v>
      </c>
      <c r="AE392" s="0" t="n">
        <v>0.0469</v>
      </c>
      <c r="AG392" s="9" t="n">
        <f aca="false">SUMPRODUCT(($B$2:$AE$2&lt;=Portafolio!$B$5)*EXP(LN(Portafolio!$B$7)+Portafolio!$B$6*B392:AE392))/1000</f>
        <v>2.92448317695449</v>
      </c>
    </row>
    <row r="393" customFormat="false" ht="15" hidden="false" customHeight="false" outlineLevel="0" collapsed="false">
      <c r="A393" s="0" t="n">
        <v>391</v>
      </c>
      <c r="B393" s="0" t="n">
        <v>-0.0078</v>
      </c>
      <c r="C393" s="0" t="n">
        <v>-0.3362</v>
      </c>
      <c r="D393" s="0" t="n">
        <v>-0.4138</v>
      </c>
      <c r="E393" s="0" t="n">
        <v>0.0809</v>
      </c>
      <c r="F393" s="0" t="n">
        <v>-0.5554</v>
      </c>
      <c r="G393" s="0" t="n">
        <v>-0.4225</v>
      </c>
      <c r="H393" s="0" t="n">
        <v>0.6683</v>
      </c>
      <c r="I393" s="0" t="n">
        <v>0.6806</v>
      </c>
      <c r="J393" s="0" t="n">
        <v>0.9985</v>
      </c>
      <c r="K393" s="0" t="n">
        <v>1.122</v>
      </c>
      <c r="L393" s="0" t="n">
        <v>0.3219</v>
      </c>
      <c r="M393" s="0" t="n">
        <v>1.8585</v>
      </c>
      <c r="N393" s="0" t="n">
        <v>0.5262</v>
      </c>
      <c r="O393" s="0" t="n">
        <v>0.2255</v>
      </c>
      <c r="P393" s="0" t="n">
        <v>-2.114</v>
      </c>
      <c r="Q393" s="0" t="n">
        <v>1.1099</v>
      </c>
      <c r="R393" s="0" t="n">
        <v>0.4443</v>
      </c>
      <c r="S393" s="0" t="n">
        <v>-0.1337</v>
      </c>
      <c r="T393" s="0" t="n">
        <v>-1.5817</v>
      </c>
      <c r="U393" s="0" t="n">
        <v>-0.3016</v>
      </c>
      <c r="V393" s="0" t="n">
        <v>-1.0007</v>
      </c>
      <c r="W393" s="0" t="n">
        <v>-0.1247</v>
      </c>
      <c r="X393" s="0" t="n">
        <v>0.2883</v>
      </c>
      <c r="Y393" s="0" t="n">
        <v>-0.1021</v>
      </c>
      <c r="Z393" s="0" t="n">
        <v>-0.1534</v>
      </c>
      <c r="AA393" s="0" t="n">
        <v>-0.1663</v>
      </c>
      <c r="AB393" s="0" t="n">
        <v>2.0717</v>
      </c>
      <c r="AC393" s="0" t="n">
        <v>-0.9738</v>
      </c>
      <c r="AD393" s="0" t="n">
        <v>0.6023</v>
      </c>
      <c r="AE393" s="0" t="n">
        <v>-0.8813</v>
      </c>
      <c r="AG393" s="9" t="n">
        <f aca="false">SUMPRODUCT(($B$2:$AE$2&lt;=Portafolio!$B$5)*EXP(LN(Portafolio!$B$7)+Portafolio!$B$6*B393:AE393))/1000</f>
        <v>2.43704749921458</v>
      </c>
    </row>
    <row r="394" customFormat="false" ht="15" hidden="false" customHeight="false" outlineLevel="0" collapsed="false">
      <c r="A394" s="0" t="n">
        <v>392</v>
      </c>
      <c r="B394" s="0" t="n">
        <v>-0.3137</v>
      </c>
      <c r="C394" s="0" t="n">
        <v>1.1375</v>
      </c>
      <c r="D394" s="0" t="n">
        <v>-1.0133</v>
      </c>
      <c r="E394" s="0" t="n">
        <v>-0.0719</v>
      </c>
      <c r="F394" s="0" t="n">
        <v>-1.1445</v>
      </c>
      <c r="G394" s="0" t="n">
        <v>1.4388</v>
      </c>
      <c r="H394" s="0" t="n">
        <v>0.3462</v>
      </c>
      <c r="I394" s="0" t="n">
        <v>0.7416</v>
      </c>
      <c r="J394" s="0" t="n">
        <v>-0.0834</v>
      </c>
      <c r="K394" s="0" t="n">
        <v>1.0561</v>
      </c>
      <c r="L394" s="0" t="n">
        <v>-1.2801</v>
      </c>
      <c r="M394" s="0" t="n">
        <v>0.5545</v>
      </c>
      <c r="N394" s="0" t="n">
        <v>-2.1755</v>
      </c>
      <c r="O394" s="0" t="n">
        <v>1.2486</v>
      </c>
      <c r="P394" s="0" t="n">
        <v>-0.6001</v>
      </c>
      <c r="Q394" s="0" t="n">
        <v>-0.47</v>
      </c>
      <c r="R394" s="0" t="n">
        <v>1.3458</v>
      </c>
      <c r="S394" s="0" t="n">
        <v>-0.0377</v>
      </c>
      <c r="T394" s="0" t="n">
        <v>0.5708</v>
      </c>
      <c r="U394" s="0" t="n">
        <v>-0.5065</v>
      </c>
      <c r="V394" s="0" t="n">
        <v>-0.4241</v>
      </c>
      <c r="W394" s="0" t="n">
        <v>0.986</v>
      </c>
      <c r="X394" s="0" t="n">
        <v>-0.6519</v>
      </c>
      <c r="Y394" s="0" t="n">
        <v>-0.5486</v>
      </c>
      <c r="Z394" s="0" t="n">
        <v>0.586</v>
      </c>
      <c r="AA394" s="0" t="n">
        <v>-0.3252</v>
      </c>
      <c r="AB394" s="0" t="n">
        <v>-1.5163</v>
      </c>
      <c r="AC394" s="0" t="n">
        <v>-0.2048</v>
      </c>
      <c r="AD394" s="0" t="n">
        <v>1.6535</v>
      </c>
      <c r="AE394" s="0" t="n">
        <v>-0.7327</v>
      </c>
      <c r="AG394" s="9" t="n">
        <f aca="false">SUMPRODUCT(($B$2:$AE$2&lt;=Portafolio!$B$5)*EXP(LN(Portafolio!$B$7)+Portafolio!$B$6*B394:AE394))/1000</f>
        <v>2.38737372964671</v>
      </c>
    </row>
    <row r="395" customFormat="false" ht="15" hidden="false" customHeight="false" outlineLevel="0" collapsed="false">
      <c r="A395" s="0" t="n">
        <v>393</v>
      </c>
      <c r="B395" s="0" t="n">
        <v>-1.5177</v>
      </c>
      <c r="C395" s="0" t="n">
        <v>0.8659</v>
      </c>
      <c r="D395" s="0" t="n">
        <v>-0.4922</v>
      </c>
      <c r="E395" s="0" t="n">
        <v>-0.5754</v>
      </c>
      <c r="F395" s="0" t="n">
        <v>2.1163</v>
      </c>
      <c r="G395" s="0" t="n">
        <v>0.1307</v>
      </c>
      <c r="H395" s="0" t="n">
        <v>-1.1125</v>
      </c>
      <c r="I395" s="0" t="n">
        <v>0.5883</v>
      </c>
      <c r="J395" s="0" t="n">
        <v>-0.4089</v>
      </c>
      <c r="K395" s="0" t="n">
        <v>2.7499</v>
      </c>
      <c r="L395" s="0" t="n">
        <v>0.3915</v>
      </c>
      <c r="M395" s="0" t="n">
        <v>-0.3306</v>
      </c>
      <c r="N395" s="0" t="n">
        <v>-0.4796</v>
      </c>
      <c r="O395" s="0" t="n">
        <v>-0.1081</v>
      </c>
      <c r="P395" s="0" t="n">
        <v>-0.7163</v>
      </c>
      <c r="Q395" s="0" t="n">
        <v>0.7352</v>
      </c>
      <c r="R395" s="0" t="n">
        <v>2.0094</v>
      </c>
      <c r="S395" s="0" t="n">
        <v>-1.9074</v>
      </c>
      <c r="T395" s="0" t="n">
        <v>-0.0136</v>
      </c>
      <c r="U395" s="0" t="n">
        <v>0.561</v>
      </c>
      <c r="V395" s="0" t="n">
        <v>-0.0073</v>
      </c>
      <c r="W395" s="0" t="n">
        <v>1.0318</v>
      </c>
      <c r="X395" s="0" t="n">
        <v>0.9984</v>
      </c>
      <c r="Y395" s="0" t="n">
        <v>0.1128</v>
      </c>
      <c r="Z395" s="0" t="n">
        <v>-0.6259</v>
      </c>
      <c r="AA395" s="0" t="n">
        <v>1.0069</v>
      </c>
      <c r="AB395" s="0" t="n">
        <v>-0.674</v>
      </c>
      <c r="AC395" s="0" t="n">
        <v>-0.6415</v>
      </c>
      <c r="AD395" s="0" t="n">
        <v>-0.2257</v>
      </c>
      <c r="AE395" s="0" t="n">
        <v>0.1984</v>
      </c>
      <c r="AG395" s="9" t="n">
        <f aca="false">SUMPRODUCT(($B$2:$AE$2&lt;=Portafolio!$B$5)*EXP(LN(Portafolio!$B$7)+Portafolio!$B$6*B395:AE395))/1000</f>
        <v>2.8129362768986</v>
      </c>
    </row>
    <row r="396" customFormat="false" ht="15" hidden="false" customHeight="false" outlineLevel="0" collapsed="false">
      <c r="A396" s="0" t="n">
        <v>394</v>
      </c>
      <c r="B396" s="0" t="n">
        <v>-0.5497</v>
      </c>
      <c r="C396" s="0" t="n">
        <v>-0.2706</v>
      </c>
      <c r="D396" s="0" t="n">
        <v>0.2172</v>
      </c>
      <c r="E396" s="0" t="n">
        <v>1.1195</v>
      </c>
      <c r="F396" s="0" t="n">
        <v>-0.7009</v>
      </c>
      <c r="G396" s="0" t="n">
        <v>-0.8999</v>
      </c>
      <c r="H396" s="0" t="n">
        <v>-1.3436</v>
      </c>
      <c r="I396" s="0" t="n">
        <v>-0.2664</v>
      </c>
      <c r="J396" s="0" t="n">
        <v>0.1745</v>
      </c>
      <c r="K396" s="0" t="n">
        <v>0.5826</v>
      </c>
      <c r="L396" s="0" t="n">
        <v>-0.4288</v>
      </c>
      <c r="M396" s="0" t="n">
        <v>-1.2541</v>
      </c>
      <c r="N396" s="0" t="n">
        <v>-1.2574</v>
      </c>
      <c r="O396" s="0" t="n">
        <v>0.9676</v>
      </c>
      <c r="P396" s="0" t="n">
        <v>0.6696</v>
      </c>
      <c r="Q396" s="0" t="n">
        <v>0.779</v>
      </c>
      <c r="R396" s="0" t="n">
        <v>0.949</v>
      </c>
      <c r="S396" s="0" t="n">
        <v>0.0659</v>
      </c>
      <c r="T396" s="0" t="n">
        <v>-0.4936</v>
      </c>
      <c r="U396" s="0" t="n">
        <v>-1.066</v>
      </c>
      <c r="V396" s="0" t="n">
        <v>0.0486</v>
      </c>
      <c r="W396" s="0" t="n">
        <v>-0.2812</v>
      </c>
      <c r="X396" s="0" t="n">
        <v>-1.1254</v>
      </c>
      <c r="Y396" s="0" t="n">
        <v>-0.6262</v>
      </c>
      <c r="Z396" s="0" t="n">
        <v>-1.3103</v>
      </c>
      <c r="AA396" s="0" t="n">
        <v>0.5197</v>
      </c>
      <c r="AB396" s="0" t="n">
        <v>0.124</v>
      </c>
      <c r="AC396" s="0" t="n">
        <v>1.3465</v>
      </c>
      <c r="AD396" s="0" t="n">
        <v>0.0768</v>
      </c>
      <c r="AE396" s="0" t="n">
        <v>-0.2455</v>
      </c>
      <c r="AG396" s="9" t="n">
        <f aca="false">SUMPRODUCT(($B$2:$AE$2&lt;=Portafolio!$B$5)*EXP(LN(Portafolio!$B$7)+Portafolio!$B$6*B396:AE396))/1000</f>
        <v>2.04037623035721</v>
      </c>
    </row>
    <row r="397" customFormat="false" ht="15" hidden="false" customHeight="false" outlineLevel="0" collapsed="false">
      <c r="A397" s="0" t="n">
        <v>395</v>
      </c>
      <c r="B397" s="0" t="n">
        <v>0.7456</v>
      </c>
      <c r="C397" s="0" t="n">
        <v>0.3006</v>
      </c>
      <c r="D397" s="0" t="n">
        <v>-2.1132</v>
      </c>
      <c r="E397" s="0" t="n">
        <v>-0.035</v>
      </c>
      <c r="F397" s="0" t="n">
        <v>-1.396</v>
      </c>
      <c r="G397" s="0" t="n">
        <v>-1.344</v>
      </c>
      <c r="H397" s="0" t="n">
        <v>-1.0793</v>
      </c>
      <c r="I397" s="0" t="n">
        <v>1.1529</v>
      </c>
      <c r="J397" s="0" t="n">
        <v>1.7276</v>
      </c>
      <c r="K397" s="0" t="n">
        <v>-0.4238</v>
      </c>
      <c r="L397" s="0" t="n">
        <v>0.5587</v>
      </c>
      <c r="M397" s="0" t="n">
        <v>0.7998</v>
      </c>
      <c r="N397" s="0" t="n">
        <v>0.3136</v>
      </c>
      <c r="O397" s="0" t="n">
        <v>1.9198</v>
      </c>
      <c r="P397" s="0" t="n">
        <v>-0.1649</v>
      </c>
      <c r="Q397" s="0" t="n">
        <v>-0.5619</v>
      </c>
      <c r="R397" s="0" t="n">
        <v>-1.3509</v>
      </c>
      <c r="S397" s="0" t="n">
        <v>-0.8905</v>
      </c>
      <c r="T397" s="0" t="n">
        <v>-0.0743</v>
      </c>
      <c r="U397" s="0" t="n">
        <v>-1.972</v>
      </c>
      <c r="V397" s="0" t="n">
        <v>1.0482</v>
      </c>
      <c r="W397" s="0" t="n">
        <v>-1.7307</v>
      </c>
      <c r="X397" s="0" t="n">
        <v>-1.3697</v>
      </c>
      <c r="Y397" s="0" t="n">
        <v>-0.5992</v>
      </c>
      <c r="Z397" s="0" t="n">
        <v>-0.4695</v>
      </c>
      <c r="AA397" s="0" t="n">
        <v>-0.4187</v>
      </c>
      <c r="AB397" s="0" t="n">
        <v>-0.3382</v>
      </c>
      <c r="AC397" s="0" t="n">
        <v>1.7537</v>
      </c>
      <c r="AD397" s="0" t="n">
        <v>-0.4492</v>
      </c>
      <c r="AE397" s="0" t="n">
        <v>0.6901</v>
      </c>
      <c r="AG397" s="9" t="n">
        <f aca="false">SUMPRODUCT(($B$2:$AE$2&lt;=Portafolio!$B$5)*EXP(LN(Portafolio!$B$7)+Portafolio!$B$6*B397:AE397))/1000</f>
        <v>2.23154358611329</v>
      </c>
    </row>
    <row r="398" customFormat="false" ht="15" hidden="false" customHeight="false" outlineLevel="0" collapsed="false">
      <c r="A398" s="0" t="n">
        <v>396</v>
      </c>
      <c r="B398" s="0" t="n">
        <v>-1.0074</v>
      </c>
      <c r="C398" s="0" t="n">
        <v>1.5638</v>
      </c>
      <c r="D398" s="0" t="n">
        <v>-0.1901</v>
      </c>
      <c r="E398" s="0" t="n">
        <v>0.215</v>
      </c>
      <c r="F398" s="0" t="n">
        <v>-1.2032</v>
      </c>
      <c r="G398" s="0" t="n">
        <v>-0.8986</v>
      </c>
      <c r="H398" s="0" t="n">
        <v>-0.0154</v>
      </c>
      <c r="I398" s="0" t="n">
        <v>-1.398</v>
      </c>
      <c r="J398" s="0" t="n">
        <v>0.4314</v>
      </c>
      <c r="K398" s="0" t="n">
        <v>0.219</v>
      </c>
      <c r="L398" s="0" t="n">
        <v>-3.0398</v>
      </c>
      <c r="M398" s="0" t="n">
        <v>0.1825</v>
      </c>
      <c r="N398" s="0" t="n">
        <v>0.9156</v>
      </c>
      <c r="O398" s="0" t="n">
        <v>-0.9253</v>
      </c>
      <c r="P398" s="0" t="n">
        <v>0.3496</v>
      </c>
      <c r="Q398" s="0" t="n">
        <v>1.6494</v>
      </c>
      <c r="R398" s="0" t="n">
        <v>-0.0848</v>
      </c>
      <c r="S398" s="0" t="n">
        <v>-0.125</v>
      </c>
      <c r="T398" s="0" t="n">
        <v>1.5823</v>
      </c>
      <c r="U398" s="0" t="n">
        <v>0.3506</v>
      </c>
      <c r="V398" s="0" t="n">
        <v>1.405</v>
      </c>
      <c r="W398" s="0" t="n">
        <v>-0.9466</v>
      </c>
      <c r="X398" s="0" t="n">
        <v>-0.1462</v>
      </c>
      <c r="Y398" s="0" t="n">
        <v>0.5152</v>
      </c>
      <c r="Z398" s="0" t="n">
        <v>0.5625</v>
      </c>
      <c r="AA398" s="0" t="n">
        <v>0.9345</v>
      </c>
      <c r="AB398" s="0" t="n">
        <v>0.8963</v>
      </c>
      <c r="AC398" s="0" t="n">
        <v>-0.3062</v>
      </c>
      <c r="AD398" s="0" t="n">
        <v>-0.3328</v>
      </c>
      <c r="AE398" s="0" t="n">
        <v>-0.3359</v>
      </c>
      <c r="AG398" s="9" t="n">
        <f aca="false">SUMPRODUCT(($B$2:$AE$2&lt;=Portafolio!$B$5)*EXP(LN(Portafolio!$B$7)+Portafolio!$B$6*B398:AE398))/1000</f>
        <v>2.32630399747556</v>
      </c>
    </row>
    <row r="399" customFormat="false" ht="15" hidden="false" customHeight="false" outlineLevel="0" collapsed="false">
      <c r="A399" s="0" t="n">
        <v>397</v>
      </c>
      <c r="B399" s="0" t="n">
        <v>0.7321</v>
      </c>
      <c r="C399" s="0" t="n">
        <v>0.8315</v>
      </c>
      <c r="D399" s="0" t="n">
        <v>-0.7234</v>
      </c>
      <c r="E399" s="0" t="n">
        <v>0.4499</v>
      </c>
      <c r="F399" s="0" t="n">
        <v>-0.3271</v>
      </c>
      <c r="G399" s="0" t="n">
        <v>-0.6038</v>
      </c>
      <c r="H399" s="0" t="n">
        <v>0.0971</v>
      </c>
      <c r="I399" s="0" t="n">
        <v>0.9663</v>
      </c>
      <c r="J399" s="0" t="n">
        <v>-0.3533</v>
      </c>
      <c r="K399" s="0" t="n">
        <v>-0.8966</v>
      </c>
      <c r="L399" s="0" t="n">
        <v>1.8675</v>
      </c>
      <c r="M399" s="0" t="n">
        <v>2.4037</v>
      </c>
      <c r="N399" s="0" t="n">
        <v>-0.8399</v>
      </c>
      <c r="O399" s="0" t="n">
        <v>-0.3981</v>
      </c>
      <c r="P399" s="0" t="n">
        <v>-0.0367</v>
      </c>
      <c r="Q399" s="0" t="n">
        <v>0.0471</v>
      </c>
      <c r="R399" s="0" t="n">
        <v>-0.2893</v>
      </c>
      <c r="S399" s="0" t="n">
        <v>-0.1906</v>
      </c>
      <c r="T399" s="0" t="n">
        <v>0.342</v>
      </c>
      <c r="U399" s="0" t="n">
        <v>-1.4369</v>
      </c>
      <c r="V399" s="0" t="n">
        <v>-0.71</v>
      </c>
      <c r="W399" s="0" t="n">
        <v>1.4536</v>
      </c>
      <c r="X399" s="0" t="n">
        <v>-0.3269</v>
      </c>
      <c r="Y399" s="0" t="n">
        <v>1.0928</v>
      </c>
      <c r="Z399" s="0" t="n">
        <v>-0.3147</v>
      </c>
      <c r="AA399" s="0" t="n">
        <v>-0.5385</v>
      </c>
      <c r="AB399" s="0" t="n">
        <v>-1.2304</v>
      </c>
      <c r="AC399" s="0" t="n">
        <v>0.396</v>
      </c>
      <c r="AD399" s="0" t="n">
        <v>0.2669</v>
      </c>
      <c r="AE399" s="0" t="n">
        <v>-2.8917</v>
      </c>
      <c r="AG399" s="9" t="n">
        <f aca="false">SUMPRODUCT(($B$2:$AE$2&lt;=Portafolio!$B$5)*EXP(LN(Portafolio!$B$7)+Portafolio!$B$6*B399:AE399))/1000</f>
        <v>2.49903132272435</v>
      </c>
    </row>
    <row r="400" customFormat="false" ht="15" hidden="false" customHeight="false" outlineLevel="0" collapsed="false">
      <c r="A400" s="0" t="n">
        <v>398</v>
      </c>
      <c r="B400" s="0" t="n">
        <v>-0.5891</v>
      </c>
      <c r="C400" s="0" t="n">
        <v>1.4474</v>
      </c>
      <c r="D400" s="0" t="n">
        <v>0.9142</v>
      </c>
      <c r="E400" s="0" t="n">
        <v>0.6261</v>
      </c>
      <c r="F400" s="0" t="n">
        <v>-0.8815</v>
      </c>
      <c r="G400" s="0" t="n">
        <v>0.3114</v>
      </c>
      <c r="H400" s="0" t="n">
        <v>-0.8365</v>
      </c>
      <c r="I400" s="0" t="n">
        <v>-0.0942</v>
      </c>
      <c r="J400" s="0" t="n">
        <v>0.7505</v>
      </c>
      <c r="K400" s="0" t="n">
        <v>1.162</v>
      </c>
      <c r="L400" s="0" t="n">
        <v>-1.6517</v>
      </c>
      <c r="M400" s="0" t="n">
        <v>1.0767</v>
      </c>
      <c r="N400" s="0" t="n">
        <v>1.8128</v>
      </c>
      <c r="O400" s="0" t="n">
        <v>-0.8785</v>
      </c>
      <c r="P400" s="0" t="n">
        <v>0.0334</v>
      </c>
      <c r="Q400" s="0" t="n">
        <v>0.9547</v>
      </c>
      <c r="R400" s="0" t="n">
        <v>-0.0497</v>
      </c>
      <c r="S400" s="0" t="n">
        <v>0.8948</v>
      </c>
      <c r="T400" s="0" t="n">
        <v>0.0844</v>
      </c>
      <c r="U400" s="0" t="n">
        <v>0.732</v>
      </c>
      <c r="V400" s="0" t="n">
        <v>2.8757</v>
      </c>
      <c r="W400" s="0" t="n">
        <v>1.233</v>
      </c>
      <c r="X400" s="0" t="n">
        <v>-0.1642</v>
      </c>
      <c r="Y400" s="0" t="n">
        <v>-0.7401</v>
      </c>
      <c r="Z400" s="0" t="n">
        <v>0.4104</v>
      </c>
      <c r="AA400" s="0" t="n">
        <v>-1.0152</v>
      </c>
      <c r="AB400" s="0" t="n">
        <v>-1.3458</v>
      </c>
      <c r="AC400" s="0" t="n">
        <v>-0.5964</v>
      </c>
      <c r="AD400" s="0" t="n">
        <v>0.1656</v>
      </c>
      <c r="AE400" s="0" t="n">
        <v>-0.4272</v>
      </c>
      <c r="AG400" s="9" t="n">
        <f aca="false">SUMPRODUCT(($B$2:$AE$2&lt;=Portafolio!$B$5)*EXP(LN(Portafolio!$B$7)+Portafolio!$B$6*B400:AE400))/1000</f>
        <v>2.71091250206582</v>
      </c>
    </row>
    <row r="401" customFormat="false" ht="15" hidden="false" customHeight="false" outlineLevel="0" collapsed="false">
      <c r="A401" s="0" t="n">
        <v>399</v>
      </c>
      <c r="B401" s="0" t="n">
        <v>0.1834</v>
      </c>
      <c r="C401" s="0" t="n">
        <v>-0.9791</v>
      </c>
      <c r="D401" s="0" t="n">
        <v>1.0456</v>
      </c>
      <c r="E401" s="0" t="n">
        <v>0.2208</v>
      </c>
      <c r="F401" s="0" t="n">
        <v>-0.1596</v>
      </c>
      <c r="G401" s="0" t="n">
        <v>-0.9049</v>
      </c>
      <c r="H401" s="0" t="n">
        <v>-0.1534</v>
      </c>
      <c r="I401" s="0" t="n">
        <v>-0.4065</v>
      </c>
      <c r="J401" s="0" t="n">
        <v>-0.2359</v>
      </c>
      <c r="K401" s="0" t="n">
        <v>-1.4074</v>
      </c>
      <c r="L401" s="0" t="n">
        <v>0.6449</v>
      </c>
      <c r="M401" s="0" t="n">
        <v>0.0799</v>
      </c>
      <c r="N401" s="0" t="n">
        <v>1.6722</v>
      </c>
      <c r="O401" s="0" t="n">
        <v>1.0208</v>
      </c>
      <c r="P401" s="0" t="n">
        <v>-1.357</v>
      </c>
      <c r="Q401" s="0" t="n">
        <v>-0.7506</v>
      </c>
      <c r="R401" s="0" t="n">
        <v>0.4731</v>
      </c>
      <c r="S401" s="0" t="n">
        <v>0.3323</v>
      </c>
      <c r="T401" s="0" t="n">
        <v>0.1559</v>
      </c>
      <c r="U401" s="0" t="n">
        <v>-0.115</v>
      </c>
      <c r="V401" s="0" t="n">
        <v>0.6121</v>
      </c>
      <c r="W401" s="0" t="n">
        <v>1.2313</v>
      </c>
      <c r="X401" s="0" t="n">
        <v>-1.2471</v>
      </c>
      <c r="Y401" s="0" t="n">
        <v>-0.033</v>
      </c>
      <c r="Z401" s="0" t="n">
        <v>-1.1644</v>
      </c>
      <c r="AA401" s="0" t="n">
        <v>-1.3679</v>
      </c>
      <c r="AB401" s="0" t="n">
        <v>-0.9181</v>
      </c>
      <c r="AC401" s="0" t="n">
        <v>0.9169</v>
      </c>
      <c r="AD401" s="0" t="n">
        <v>1.4333</v>
      </c>
      <c r="AE401" s="0" t="n">
        <v>1.5658</v>
      </c>
      <c r="AG401" s="9" t="n">
        <f aca="false">SUMPRODUCT(($B$2:$AE$2&lt;=Portafolio!$B$5)*EXP(LN(Portafolio!$B$7)+Portafolio!$B$6*B401:AE401))/1000</f>
        <v>2.19241136631365</v>
      </c>
    </row>
    <row r="402" customFormat="false" ht="15" hidden="false" customHeight="false" outlineLevel="0" collapsed="false">
      <c r="A402" s="0" t="n">
        <v>400</v>
      </c>
      <c r="B402" s="0" t="n">
        <v>0.2541</v>
      </c>
      <c r="C402" s="0" t="n">
        <v>-0.2549</v>
      </c>
      <c r="D402" s="0" t="n">
        <v>-0.0553</v>
      </c>
      <c r="E402" s="0" t="n">
        <v>0.4506</v>
      </c>
      <c r="F402" s="0" t="n">
        <v>-0.4805</v>
      </c>
      <c r="G402" s="0" t="n">
        <v>-0.0867</v>
      </c>
      <c r="H402" s="0" t="n">
        <v>-0.8584</v>
      </c>
      <c r="I402" s="0" t="n">
        <v>-0.4538</v>
      </c>
      <c r="J402" s="0" t="n">
        <v>0.0952</v>
      </c>
      <c r="K402" s="0" t="n">
        <v>0.0723</v>
      </c>
      <c r="L402" s="0" t="n">
        <v>0.485</v>
      </c>
      <c r="M402" s="0" t="n">
        <v>1.2488</v>
      </c>
      <c r="N402" s="0" t="n">
        <v>0.716</v>
      </c>
      <c r="O402" s="0" t="n">
        <v>0.6229</v>
      </c>
      <c r="P402" s="0" t="n">
        <v>-0.7267</v>
      </c>
      <c r="Q402" s="0" t="n">
        <v>0.9523</v>
      </c>
      <c r="R402" s="0" t="n">
        <v>2.1463</v>
      </c>
      <c r="S402" s="0" t="n">
        <v>-0.3399</v>
      </c>
      <c r="T402" s="0" t="n">
        <v>-2.1569</v>
      </c>
      <c r="U402" s="0" t="n">
        <v>-1.8677</v>
      </c>
      <c r="V402" s="0" t="n">
        <v>1.1632</v>
      </c>
      <c r="W402" s="0" t="n">
        <v>0.8213</v>
      </c>
      <c r="X402" s="0" t="n">
        <v>0.0669</v>
      </c>
      <c r="Y402" s="0" t="n">
        <v>-0.1719</v>
      </c>
      <c r="Z402" s="0" t="n">
        <v>1.4294</v>
      </c>
      <c r="AA402" s="0" t="n">
        <v>-0.492</v>
      </c>
      <c r="AB402" s="0" t="n">
        <v>0.6943</v>
      </c>
      <c r="AC402" s="0" t="n">
        <v>-0.2429</v>
      </c>
      <c r="AD402" s="0" t="n">
        <v>0.7914</v>
      </c>
      <c r="AE402" s="0" t="n">
        <v>1.2797</v>
      </c>
      <c r="AG402" s="9" t="n">
        <f aca="false">SUMPRODUCT(($B$2:$AE$2&lt;=Portafolio!$B$5)*EXP(LN(Portafolio!$B$7)+Portafolio!$B$6*B402:AE402))/1000</f>
        <v>2.3362569161465</v>
      </c>
    </row>
    <row r="403" customFormat="false" ht="15" hidden="false" customHeight="false" outlineLevel="0" collapsed="false">
      <c r="A403" s="0" t="n">
        <v>401</v>
      </c>
      <c r="B403" s="0" t="n">
        <v>0.7096</v>
      </c>
      <c r="C403" s="0" t="n">
        <v>1.1062</v>
      </c>
      <c r="D403" s="0" t="n">
        <v>-0.2431</v>
      </c>
      <c r="E403" s="0" t="n">
        <v>0.5275</v>
      </c>
      <c r="F403" s="0" t="n">
        <v>0.6918</v>
      </c>
      <c r="G403" s="0" t="n">
        <v>1.9528</v>
      </c>
      <c r="H403" s="0" t="n">
        <v>0.2511</v>
      </c>
      <c r="I403" s="0" t="n">
        <v>0.3698</v>
      </c>
      <c r="J403" s="0" t="n">
        <v>-0.5666</v>
      </c>
      <c r="K403" s="0" t="n">
        <v>0.4178</v>
      </c>
      <c r="L403" s="0" t="n">
        <v>-1.6128</v>
      </c>
      <c r="M403" s="0" t="n">
        <v>-0.2636</v>
      </c>
      <c r="N403" s="0" t="n">
        <v>1.361</v>
      </c>
      <c r="O403" s="0" t="n">
        <v>-0.6164</v>
      </c>
      <c r="P403" s="0" t="n">
        <v>-0.2806</v>
      </c>
      <c r="Q403" s="0" t="n">
        <v>0.7279</v>
      </c>
      <c r="R403" s="0" t="n">
        <v>-0.7613</v>
      </c>
      <c r="S403" s="0" t="n">
        <v>0.3252</v>
      </c>
      <c r="T403" s="0" t="n">
        <v>-1.0137</v>
      </c>
      <c r="U403" s="0" t="n">
        <v>-0.3731</v>
      </c>
      <c r="V403" s="0" t="n">
        <v>1.1952</v>
      </c>
      <c r="W403" s="0" t="n">
        <v>-1.2558</v>
      </c>
      <c r="X403" s="0" t="n">
        <v>-1.8937</v>
      </c>
      <c r="Y403" s="0" t="n">
        <v>-1.6236</v>
      </c>
      <c r="Z403" s="0" t="n">
        <v>0.6341</v>
      </c>
      <c r="AA403" s="0" t="n">
        <v>-0.4891</v>
      </c>
      <c r="AB403" s="0" t="n">
        <v>1.397</v>
      </c>
      <c r="AC403" s="0" t="n">
        <v>-1.655</v>
      </c>
      <c r="AD403" s="0" t="n">
        <v>0.3137</v>
      </c>
      <c r="AE403" s="0" t="n">
        <v>-2.1858</v>
      </c>
      <c r="AG403" s="9" t="n">
        <f aca="false">SUMPRODUCT(($B$2:$AE$2&lt;=Portafolio!$B$5)*EXP(LN(Portafolio!$B$7)+Portafolio!$B$6*B403:AE403))/1000</f>
        <v>2.46315144305476</v>
      </c>
    </row>
    <row r="404" customFormat="false" ht="15" hidden="false" customHeight="false" outlineLevel="0" collapsed="false">
      <c r="A404" s="0" t="n">
        <v>402</v>
      </c>
      <c r="B404" s="0" t="n">
        <v>2.2443</v>
      </c>
      <c r="C404" s="0" t="n">
        <v>0.7225</v>
      </c>
      <c r="D404" s="0" t="n">
        <v>-0.3579</v>
      </c>
      <c r="E404" s="0" t="n">
        <v>-0.5345</v>
      </c>
      <c r="F404" s="0" t="n">
        <v>-0.0453</v>
      </c>
      <c r="G404" s="0" t="n">
        <v>-2.0938</v>
      </c>
      <c r="H404" s="0" t="n">
        <v>-2.0716</v>
      </c>
      <c r="I404" s="0" t="n">
        <v>-1.289</v>
      </c>
      <c r="J404" s="0" t="n">
        <v>-0.5582</v>
      </c>
      <c r="K404" s="0" t="n">
        <v>-1.2056</v>
      </c>
      <c r="L404" s="0" t="n">
        <v>1.3834</v>
      </c>
      <c r="M404" s="0" t="n">
        <v>-2.2291</v>
      </c>
      <c r="N404" s="0" t="n">
        <v>0.5855</v>
      </c>
      <c r="O404" s="0" t="n">
        <v>-1.1169</v>
      </c>
      <c r="P404" s="0" t="n">
        <v>-0.2778</v>
      </c>
      <c r="Q404" s="0" t="n">
        <v>-0.7007</v>
      </c>
      <c r="R404" s="0" t="n">
        <v>0.182</v>
      </c>
      <c r="S404" s="0" t="n">
        <v>0.4486</v>
      </c>
      <c r="T404" s="0" t="n">
        <v>-1.2123</v>
      </c>
      <c r="U404" s="0" t="n">
        <v>1.2476</v>
      </c>
      <c r="V404" s="0" t="n">
        <v>-0.9408</v>
      </c>
      <c r="W404" s="0" t="n">
        <v>-1.5396</v>
      </c>
      <c r="X404" s="0" t="n">
        <v>-0.1929</v>
      </c>
      <c r="Y404" s="0" t="n">
        <v>0.8495</v>
      </c>
      <c r="Z404" s="0" t="n">
        <v>0.3635</v>
      </c>
      <c r="AA404" s="0" t="n">
        <v>-0.3541</v>
      </c>
      <c r="AB404" s="0" t="n">
        <v>1.476</v>
      </c>
      <c r="AC404" s="0" t="n">
        <v>-1.128</v>
      </c>
      <c r="AD404" s="0" t="n">
        <v>-0.8411</v>
      </c>
      <c r="AE404" s="0" t="n">
        <v>1.6564</v>
      </c>
      <c r="AG404" s="9" t="n">
        <f aca="false">SUMPRODUCT(($B$2:$AE$2&lt;=Portafolio!$B$5)*EXP(LN(Portafolio!$B$7)+Portafolio!$B$6*B404:AE404))/1000</f>
        <v>2.11407684071011</v>
      </c>
    </row>
    <row r="405" customFormat="false" ht="15" hidden="false" customHeight="false" outlineLevel="0" collapsed="false">
      <c r="A405" s="0" t="n">
        <v>403</v>
      </c>
      <c r="B405" s="0" t="n">
        <v>1.2322</v>
      </c>
      <c r="C405" s="0" t="n">
        <v>-0.4605</v>
      </c>
      <c r="D405" s="0" t="n">
        <v>0.0808</v>
      </c>
      <c r="E405" s="0" t="n">
        <v>-0.5375</v>
      </c>
      <c r="F405" s="0" t="n">
        <v>0.276</v>
      </c>
      <c r="G405" s="0" t="n">
        <v>-0.0885</v>
      </c>
      <c r="H405" s="0" t="n">
        <v>-1.0829</v>
      </c>
      <c r="I405" s="0" t="n">
        <v>-1.2799</v>
      </c>
      <c r="J405" s="0" t="n">
        <v>-0.1105</v>
      </c>
      <c r="K405" s="0" t="n">
        <v>-0.7388</v>
      </c>
      <c r="L405" s="0" t="n">
        <v>-0.5264</v>
      </c>
      <c r="M405" s="0" t="n">
        <v>-0.426</v>
      </c>
      <c r="N405" s="0" t="n">
        <v>-0.1496</v>
      </c>
      <c r="O405" s="0" t="n">
        <v>1.666</v>
      </c>
      <c r="P405" s="0" t="n">
        <v>0.3039</v>
      </c>
      <c r="Q405" s="0" t="n">
        <v>-0.6232</v>
      </c>
      <c r="R405" s="0" t="n">
        <v>0.4098</v>
      </c>
      <c r="S405" s="0" t="n">
        <v>-1.2448</v>
      </c>
      <c r="T405" s="0" t="n">
        <v>-0.9516</v>
      </c>
      <c r="U405" s="0" t="n">
        <v>0.1906</v>
      </c>
      <c r="V405" s="0" t="n">
        <v>-0.8991</v>
      </c>
      <c r="W405" s="0" t="n">
        <v>-0.9832</v>
      </c>
      <c r="X405" s="0" t="n">
        <v>1.5288</v>
      </c>
      <c r="Y405" s="0" t="n">
        <v>1.6972</v>
      </c>
      <c r="Z405" s="0" t="n">
        <v>0.9237</v>
      </c>
      <c r="AA405" s="0" t="n">
        <v>-1.1133</v>
      </c>
      <c r="AB405" s="0" t="n">
        <v>-1.7328</v>
      </c>
      <c r="AC405" s="0" t="n">
        <v>-0.8777</v>
      </c>
      <c r="AD405" s="0" t="n">
        <v>-1.28</v>
      </c>
      <c r="AE405" s="0" t="n">
        <v>-0.8462</v>
      </c>
      <c r="AG405" s="9" t="n">
        <f aca="false">SUMPRODUCT(($B$2:$AE$2&lt;=Portafolio!$B$5)*EXP(LN(Portafolio!$B$7)+Portafolio!$B$6*B405:AE405))/1000</f>
        <v>1.97811738186982</v>
      </c>
    </row>
    <row r="406" customFormat="false" ht="15" hidden="false" customHeight="false" outlineLevel="0" collapsed="false">
      <c r="A406" s="0" t="n">
        <v>404</v>
      </c>
      <c r="B406" s="0" t="n">
        <v>-0.4582</v>
      </c>
      <c r="C406" s="0" t="n">
        <v>0.332</v>
      </c>
      <c r="D406" s="0" t="n">
        <v>2.1933</v>
      </c>
      <c r="E406" s="0" t="n">
        <v>-0.979</v>
      </c>
      <c r="F406" s="0" t="n">
        <v>-0.2831</v>
      </c>
      <c r="G406" s="0" t="n">
        <v>-1.5893</v>
      </c>
      <c r="H406" s="0" t="n">
        <v>1.4525</v>
      </c>
      <c r="I406" s="0" t="n">
        <v>0.9174</v>
      </c>
      <c r="J406" s="0" t="n">
        <v>0.33</v>
      </c>
      <c r="K406" s="0" t="n">
        <v>-0.8175</v>
      </c>
      <c r="L406" s="0" t="n">
        <v>-0.1648</v>
      </c>
      <c r="M406" s="0" t="n">
        <v>0.2793</v>
      </c>
      <c r="N406" s="0" t="n">
        <v>-2.2781</v>
      </c>
      <c r="O406" s="0" t="n">
        <v>0.0059</v>
      </c>
      <c r="P406" s="0" t="n">
        <v>0.5224</v>
      </c>
      <c r="Q406" s="0" t="n">
        <v>-1.0194</v>
      </c>
      <c r="R406" s="0" t="n">
        <v>1.2073</v>
      </c>
      <c r="S406" s="0" t="n">
        <v>-0.5607</v>
      </c>
      <c r="T406" s="0" t="n">
        <v>0.5226</v>
      </c>
      <c r="U406" s="0" t="n">
        <v>0.8549</v>
      </c>
      <c r="V406" s="0" t="n">
        <v>0.6342</v>
      </c>
      <c r="W406" s="0" t="n">
        <v>-1.2256</v>
      </c>
      <c r="X406" s="0" t="n">
        <v>0.3145</v>
      </c>
      <c r="Y406" s="0" t="n">
        <v>0.6064</v>
      </c>
      <c r="Z406" s="0" t="n">
        <v>-0.522</v>
      </c>
      <c r="AA406" s="0" t="n">
        <v>-1.1092</v>
      </c>
      <c r="AB406" s="0" t="n">
        <v>0.0789</v>
      </c>
      <c r="AC406" s="0" t="n">
        <v>0.6866</v>
      </c>
      <c r="AD406" s="0" t="n">
        <v>1.4192</v>
      </c>
      <c r="AE406" s="0" t="n">
        <v>1.4143</v>
      </c>
      <c r="AG406" s="9" t="n">
        <f aca="false">SUMPRODUCT(($B$2:$AE$2&lt;=Portafolio!$B$5)*EXP(LN(Portafolio!$B$7)+Portafolio!$B$6*B406:AE406))/1000</f>
        <v>2.45227503861836</v>
      </c>
    </row>
    <row r="407" customFormat="false" ht="15" hidden="false" customHeight="false" outlineLevel="0" collapsed="false">
      <c r="A407" s="0" t="n">
        <v>405</v>
      </c>
      <c r="B407" s="0" t="n">
        <v>0.4256</v>
      </c>
      <c r="C407" s="0" t="n">
        <v>-1.7681</v>
      </c>
      <c r="D407" s="0" t="n">
        <v>-0.0628</v>
      </c>
      <c r="E407" s="0" t="n">
        <v>-0.3732</v>
      </c>
      <c r="F407" s="0" t="n">
        <v>1.4</v>
      </c>
      <c r="G407" s="0" t="n">
        <v>0.7263</v>
      </c>
      <c r="H407" s="0" t="n">
        <v>-1.2686</v>
      </c>
      <c r="I407" s="0" t="n">
        <v>-1.3853</v>
      </c>
      <c r="J407" s="0" t="n">
        <v>0.1442</v>
      </c>
      <c r="K407" s="0" t="n">
        <v>-1.0443</v>
      </c>
      <c r="L407" s="0" t="n">
        <v>-1.7773</v>
      </c>
      <c r="M407" s="0" t="n">
        <v>-1.6991</v>
      </c>
      <c r="N407" s="0" t="n">
        <v>1.3381</v>
      </c>
      <c r="O407" s="0" t="n">
        <v>0.3862</v>
      </c>
      <c r="P407" s="0" t="n">
        <v>-1.1571</v>
      </c>
      <c r="Q407" s="0" t="n">
        <v>-0.2103</v>
      </c>
      <c r="R407" s="0" t="n">
        <v>-0.568</v>
      </c>
      <c r="S407" s="0" t="n">
        <v>-0.8494</v>
      </c>
      <c r="T407" s="0" t="n">
        <v>1.0431</v>
      </c>
      <c r="U407" s="0" t="n">
        <v>1.2596</v>
      </c>
      <c r="V407" s="0" t="n">
        <v>1.0733</v>
      </c>
      <c r="W407" s="0" t="n">
        <v>-0.4025</v>
      </c>
      <c r="X407" s="0" t="n">
        <v>1.2615</v>
      </c>
      <c r="Y407" s="0" t="n">
        <v>-1.4519</v>
      </c>
      <c r="Z407" s="0" t="n">
        <v>-1.882</v>
      </c>
      <c r="AA407" s="0" t="n">
        <v>-0.7137</v>
      </c>
      <c r="AB407" s="0" t="n">
        <v>-0.5279</v>
      </c>
      <c r="AC407" s="0" t="n">
        <v>0.8085</v>
      </c>
      <c r="AD407" s="0" t="n">
        <v>-1.1101</v>
      </c>
      <c r="AE407" s="0" t="n">
        <v>0.0686</v>
      </c>
      <c r="AG407" s="9" t="n">
        <f aca="false">SUMPRODUCT(($B$2:$AE$2&lt;=Portafolio!$B$5)*EXP(LN(Portafolio!$B$7)+Portafolio!$B$6*B407:AE407))/1000</f>
        <v>2.06790882195631</v>
      </c>
    </row>
    <row r="408" customFormat="false" ht="15" hidden="false" customHeight="false" outlineLevel="0" collapsed="false">
      <c r="A408" s="0" t="n">
        <v>406</v>
      </c>
      <c r="B408" s="0" t="n">
        <v>0.2813</v>
      </c>
      <c r="C408" s="0" t="n">
        <v>0.3609</v>
      </c>
      <c r="D408" s="0" t="n">
        <v>-0.5387</v>
      </c>
      <c r="E408" s="0" t="n">
        <v>-0.43</v>
      </c>
      <c r="F408" s="0" t="n">
        <v>-0.9042</v>
      </c>
      <c r="G408" s="0" t="n">
        <v>-0.1385</v>
      </c>
      <c r="H408" s="0" t="n">
        <v>-0.802</v>
      </c>
      <c r="I408" s="0" t="n">
        <v>0.494</v>
      </c>
      <c r="J408" s="0" t="n">
        <v>0.2423</v>
      </c>
      <c r="K408" s="0" t="n">
        <v>-0.1348</v>
      </c>
      <c r="L408" s="0" t="n">
        <v>0.1155</v>
      </c>
      <c r="M408" s="0" t="n">
        <v>0.1081</v>
      </c>
      <c r="N408" s="0" t="n">
        <v>0.8147</v>
      </c>
      <c r="O408" s="0" t="n">
        <v>1.1072</v>
      </c>
      <c r="P408" s="0" t="n">
        <v>-1.8973</v>
      </c>
      <c r="Q408" s="0" t="n">
        <v>1.2519</v>
      </c>
      <c r="R408" s="0" t="n">
        <v>0.3611</v>
      </c>
      <c r="S408" s="0" t="n">
        <v>0.8695</v>
      </c>
      <c r="T408" s="0" t="n">
        <v>1.0845</v>
      </c>
      <c r="U408" s="0" t="n">
        <v>-0.4313</v>
      </c>
      <c r="V408" s="0" t="n">
        <v>-0.8808</v>
      </c>
      <c r="W408" s="0" t="n">
        <v>0.9592</v>
      </c>
      <c r="X408" s="0" t="n">
        <v>1.8021</v>
      </c>
      <c r="Y408" s="0" t="n">
        <v>-0.5284</v>
      </c>
      <c r="Z408" s="0" t="n">
        <v>-1.6782</v>
      </c>
      <c r="AA408" s="0" t="n">
        <v>0.8964</v>
      </c>
      <c r="AB408" s="0" t="n">
        <v>0.903</v>
      </c>
      <c r="AC408" s="0" t="n">
        <v>-0.1476</v>
      </c>
      <c r="AD408" s="0" t="n">
        <v>-1.1538</v>
      </c>
      <c r="AE408" s="0" t="n">
        <v>1.8125</v>
      </c>
      <c r="AG408" s="9" t="n">
        <f aca="false">SUMPRODUCT(($B$2:$AE$2&lt;=Portafolio!$B$5)*EXP(LN(Portafolio!$B$7)+Portafolio!$B$6*B408:AE408))/1000</f>
        <v>2.32331815055972</v>
      </c>
    </row>
    <row r="409" customFormat="false" ht="15" hidden="false" customHeight="false" outlineLevel="0" collapsed="false">
      <c r="A409" s="0" t="n">
        <v>407</v>
      </c>
      <c r="B409" s="0" t="n">
        <v>-0.3281</v>
      </c>
      <c r="C409" s="0" t="n">
        <v>0.216</v>
      </c>
      <c r="D409" s="0" t="n">
        <v>-0.6286</v>
      </c>
      <c r="E409" s="0" t="n">
        <v>1.4674</v>
      </c>
      <c r="F409" s="0" t="n">
        <v>0.3283</v>
      </c>
      <c r="G409" s="0" t="n">
        <v>1.2448</v>
      </c>
      <c r="H409" s="0" t="n">
        <v>0.8539</v>
      </c>
      <c r="I409" s="0" t="n">
        <v>0.6478</v>
      </c>
      <c r="J409" s="0" t="n">
        <v>-0.2085</v>
      </c>
      <c r="K409" s="0" t="n">
        <v>-0.3376</v>
      </c>
      <c r="L409" s="0" t="n">
        <v>-0.6462</v>
      </c>
      <c r="M409" s="0" t="n">
        <v>-0.3418</v>
      </c>
      <c r="N409" s="0" t="n">
        <v>-1.3973</v>
      </c>
      <c r="O409" s="0" t="n">
        <v>0.5746</v>
      </c>
      <c r="P409" s="0" t="n">
        <v>1.0813</v>
      </c>
      <c r="Q409" s="0" t="n">
        <v>0.0854</v>
      </c>
      <c r="R409" s="0" t="n">
        <v>-2.7381</v>
      </c>
      <c r="S409" s="0" t="n">
        <v>-0.8211</v>
      </c>
      <c r="T409" s="0" t="n">
        <v>-2.0306</v>
      </c>
      <c r="U409" s="0" t="n">
        <v>-0.3563</v>
      </c>
      <c r="V409" s="0" t="n">
        <v>1.4924</v>
      </c>
      <c r="W409" s="0" t="n">
        <v>-1.3604</v>
      </c>
      <c r="X409" s="0" t="n">
        <v>-0.5605</v>
      </c>
      <c r="Y409" s="0" t="n">
        <v>-0.0638</v>
      </c>
      <c r="Z409" s="0" t="n">
        <v>-0.0796</v>
      </c>
      <c r="AA409" s="0" t="n">
        <v>0.4281</v>
      </c>
      <c r="AB409" s="0" t="n">
        <v>0.9741</v>
      </c>
      <c r="AC409" s="0" t="n">
        <v>0.4582</v>
      </c>
      <c r="AD409" s="0" t="n">
        <v>-0.3507</v>
      </c>
      <c r="AE409" s="0" t="n">
        <v>-1.5247</v>
      </c>
      <c r="AG409" s="9" t="n">
        <f aca="false">SUMPRODUCT(($B$2:$AE$2&lt;=Portafolio!$B$5)*EXP(LN(Portafolio!$B$7)+Portafolio!$B$6*B409:AE409))/1000</f>
        <v>2.1439534303468</v>
      </c>
    </row>
    <row r="410" customFormat="false" ht="15" hidden="false" customHeight="false" outlineLevel="0" collapsed="false">
      <c r="A410" s="0" t="n">
        <v>408</v>
      </c>
      <c r="B410" s="0" t="n">
        <v>0.087</v>
      </c>
      <c r="C410" s="0" t="n">
        <v>-0.6622</v>
      </c>
      <c r="D410" s="0" t="n">
        <v>0.1648</v>
      </c>
      <c r="E410" s="0" t="n">
        <v>0.1917</v>
      </c>
      <c r="F410" s="0" t="n">
        <v>-0.833</v>
      </c>
      <c r="G410" s="0" t="n">
        <v>-0.0077</v>
      </c>
      <c r="H410" s="0" t="n">
        <v>-0.0561</v>
      </c>
      <c r="I410" s="0" t="n">
        <v>-1.6795</v>
      </c>
      <c r="J410" s="0" t="n">
        <v>-0.3613</v>
      </c>
      <c r="K410" s="0" t="n">
        <v>0.6884</v>
      </c>
      <c r="L410" s="0" t="n">
        <v>-1.9834</v>
      </c>
      <c r="M410" s="0" t="n">
        <v>-0.0475</v>
      </c>
      <c r="N410" s="0" t="n">
        <v>1.2453</v>
      </c>
      <c r="O410" s="0" t="n">
        <v>-1.0522</v>
      </c>
      <c r="P410" s="0" t="n">
        <v>-0.3596</v>
      </c>
      <c r="Q410" s="0" t="n">
        <v>-1.4395</v>
      </c>
      <c r="R410" s="0" t="n">
        <v>1.5306</v>
      </c>
      <c r="S410" s="0" t="n">
        <v>0.2542</v>
      </c>
      <c r="T410" s="0" t="n">
        <v>0.1946</v>
      </c>
      <c r="U410" s="0" t="n">
        <v>0.0162</v>
      </c>
      <c r="V410" s="0" t="n">
        <v>0.0884</v>
      </c>
      <c r="W410" s="0" t="n">
        <v>0.8365</v>
      </c>
      <c r="X410" s="0" t="n">
        <v>0.156</v>
      </c>
      <c r="Y410" s="0" t="n">
        <v>-1.5455</v>
      </c>
      <c r="Z410" s="0" t="n">
        <v>0.518</v>
      </c>
      <c r="AA410" s="0" t="n">
        <v>2.663</v>
      </c>
      <c r="AB410" s="0" t="n">
        <v>1.2121</v>
      </c>
      <c r="AC410" s="0" t="n">
        <v>0.169</v>
      </c>
      <c r="AD410" s="0" t="n">
        <v>0.2218</v>
      </c>
      <c r="AE410" s="0" t="n">
        <v>-0.4373</v>
      </c>
      <c r="AG410" s="9" t="n">
        <f aca="false">SUMPRODUCT(($B$2:$AE$2&lt;=Portafolio!$B$5)*EXP(LN(Portafolio!$B$7)+Portafolio!$B$6*B410:AE410))/1000</f>
        <v>2.01521765231323</v>
      </c>
    </row>
    <row r="411" customFormat="false" ht="15" hidden="false" customHeight="false" outlineLevel="0" collapsed="false">
      <c r="A411" s="0" t="n">
        <v>409</v>
      </c>
      <c r="B411" s="0" t="n">
        <v>-0.5175</v>
      </c>
      <c r="C411" s="0" t="n">
        <v>-0.6136</v>
      </c>
      <c r="D411" s="0" t="n">
        <v>-0.2165</v>
      </c>
      <c r="E411" s="0" t="n">
        <v>-0.0706</v>
      </c>
      <c r="F411" s="0" t="n">
        <v>-0.0641</v>
      </c>
      <c r="G411" s="0" t="n">
        <v>-1.3231</v>
      </c>
      <c r="H411" s="0" t="n">
        <v>-0.535</v>
      </c>
      <c r="I411" s="0" t="n">
        <v>0.2445</v>
      </c>
      <c r="J411" s="0" t="n">
        <v>0.6795</v>
      </c>
      <c r="K411" s="0" t="n">
        <v>0.7007</v>
      </c>
      <c r="L411" s="0" t="n">
        <v>-0.6731</v>
      </c>
      <c r="M411" s="0" t="n">
        <v>0.6338</v>
      </c>
      <c r="N411" s="0" t="n">
        <v>0.0308</v>
      </c>
      <c r="O411" s="0" t="n">
        <v>1.1109</v>
      </c>
      <c r="P411" s="0" t="n">
        <v>-0.5473</v>
      </c>
      <c r="Q411" s="0" t="n">
        <v>1.3918</v>
      </c>
      <c r="R411" s="0" t="n">
        <v>-0.1548</v>
      </c>
      <c r="S411" s="0" t="n">
        <v>0.1379</v>
      </c>
      <c r="T411" s="0" t="n">
        <v>0.0744</v>
      </c>
      <c r="U411" s="0" t="n">
        <v>0.0969</v>
      </c>
      <c r="V411" s="0" t="n">
        <v>-0.9253</v>
      </c>
      <c r="W411" s="0" t="n">
        <v>0.6303</v>
      </c>
      <c r="X411" s="0" t="n">
        <v>-0.4322</v>
      </c>
      <c r="Y411" s="0" t="n">
        <v>1.2049</v>
      </c>
      <c r="Z411" s="0" t="n">
        <v>-0.131</v>
      </c>
      <c r="AA411" s="0" t="n">
        <v>-1.1052</v>
      </c>
      <c r="AB411" s="0" t="n">
        <v>-1.8992</v>
      </c>
      <c r="AC411" s="0" t="n">
        <v>-1.125</v>
      </c>
      <c r="AD411" s="0" t="n">
        <v>0.7748</v>
      </c>
      <c r="AE411" s="0" t="n">
        <v>0.0145</v>
      </c>
      <c r="AG411" s="9" t="n">
        <f aca="false">SUMPRODUCT(($B$2:$AE$2&lt;=Portafolio!$B$5)*EXP(LN(Portafolio!$B$7)+Portafolio!$B$6*B411:AE411))/1000</f>
        <v>2.18102834898057</v>
      </c>
    </row>
    <row r="412" customFormat="false" ht="15" hidden="false" customHeight="false" outlineLevel="0" collapsed="false">
      <c r="A412" s="0" t="n">
        <v>410</v>
      </c>
      <c r="B412" s="0" t="n">
        <v>1.0084</v>
      </c>
      <c r="C412" s="0" t="n">
        <v>0.7723</v>
      </c>
      <c r="D412" s="0" t="n">
        <v>0.6111</v>
      </c>
      <c r="E412" s="0" t="n">
        <v>-1.2121</v>
      </c>
      <c r="F412" s="0" t="n">
        <v>0.1193</v>
      </c>
      <c r="G412" s="0" t="n">
        <v>-1.0066</v>
      </c>
      <c r="H412" s="0" t="n">
        <v>1.4174</v>
      </c>
      <c r="I412" s="0" t="n">
        <v>-0.5556</v>
      </c>
      <c r="J412" s="0" t="n">
        <v>0.3188</v>
      </c>
      <c r="K412" s="0" t="n">
        <v>-0.4619</v>
      </c>
      <c r="L412" s="0" t="n">
        <v>0.3741</v>
      </c>
      <c r="M412" s="0" t="n">
        <v>1.5184</v>
      </c>
      <c r="N412" s="0" t="n">
        <v>0.3179</v>
      </c>
      <c r="O412" s="0" t="n">
        <v>1.5569</v>
      </c>
      <c r="P412" s="0" t="n">
        <v>-2.5717</v>
      </c>
      <c r="Q412" s="0" t="n">
        <v>-0.8481</v>
      </c>
      <c r="R412" s="0" t="n">
        <v>-1.2005</v>
      </c>
      <c r="S412" s="0" t="n">
        <v>0.2119</v>
      </c>
      <c r="T412" s="0" t="n">
        <v>-1.1462</v>
      </c>
      <c r="U412" s="0" t="n">
        <v>1.7422</v>
      </c>
      <c r="V412" s="0" t="n">
        <v>0.1626</v>
      </c>
      <c r="W412" s="0" t="n">
        <v>0.4312</v>
      </c>
      <c r="X412" s="0" t="n">
        <v>2.4401</v>
      </c>
      <c r="Y412" s="0" t="n">
        <v>-0.7864</v>
      </c>
      <c r="Z412" s="0" t="n">
        <v>-0.2657</v>
      </c>
      <c r="AA412" s="0" t="n">
        <v>0.5382</v>
      </c>
      <c r="AB412" s="0" t="n">
        <v>-0.5764</v>
      </c>
      <c r="AC412" s="0" t="n">
        <v>0.438</v>
      </c>
      <c r="AD412" s="0" t="n">
        <v>-1.3902</v>
      </c>
      <c r="AE412" s="0" t="n">
        <v>0.3786</v>
      </c>
      <c r="AG412" s="9" t="n">
        <f aca="false">SUMPRODUCT(($B$2:$AE$2&lt;=Portafolio!$B$5)*EXP(LN(Portafolio!$B$7)+Portafolio!$B$6*B412:AE412))/1000</f>
        <v>2.52715331387675</v>
      </c>
    </row>
    <row r="413" customFormat="false" ht="15" hidden="false" customHeight="false" outlineLevel="0" collapsed="false">
      <c r="A413" s="0" t="n">
        <v>411</v>
      </c>
      <c r="B413" s="0" t="n">
        <v>-1.1982</v>
      </c>
      <c r="C413" s="0" t="n">
        <v>0.4741</v>
      </c>
      <c r="D413" s="0" t="n">
        <v>-1.0549</v>
      </c>
      <c r="E413" s="0" t="n">
        <v>1.1399</v>
      </c>
      <c r="F413" s="0" t="n">
        <v>-0.6658</v>
      </c>
      <c r="G413" s="0" t="n">
        <v>0.4576</v>
      </c>
      <c r="H413" s="0" t="n">
        <v>-1.0622</v>
      </c>
      <c r="I413" s="0" t="n">
        <v>0.5379</v>
      </c>
      <c r="J413" s="0" t="n">
        <v>-2.0964</v>
      </c>
      <c r="K413" s="0" t="n">
        <v>-3.2618</v>
      </c>
      <c r="L413" s="0" t="n">
        <v>-0.8069</v>
      </c>
      <c r="M413" s="0" t="n">
        <v>0.9803</v>
      </c>
      <c r="N413" s="0" t="n">
        <v>0.7953</v>
      </c>
      <c r="O413" s="0" t="n">
        <v>1.5317</v>
      </c>
      <c r="P413" s="0" t="n">
        <v>0.19</v>
      </c>
      <c r="Q413" s="0" t="n">
        <v>-1.1462</v>
      </c>
      <c r="R413" s="0" t="n">
        <v>0.0323</v>
      </c>
      <c r="S413" s="0" t="n">
        <v>0.5195</v>
      </c>
      <c r="T413" s="0" t="n">
        <v>-0.6136</v>
      </c>
      <c r="U413" s="0" t="n">
        <v>0.4142</v>
      </c>
      <c r="V413" s="0" t="n">
        <v>0.6774</v>
      </c>
      <c r="W413" s="0" t="n">
        <v>-0.8122</v>
      </c>
      <c r="X413" s="0" t="n">
        <v>1.6738</v>
      </c>
      <c r="Y413" s="0" t="n">
        <v>-0.9156</v>
      </c>
      <c r="Z413" s="0" t="n">
        <v>-0.432</v>
      </c>
      <c r="AA413" s="0" t="n">
        <v>-0.1044</v>
      </c>
      <c r="AB413" s="0" t="n">
        <v>-0.136</v>
      </c>
      <c r="AC413" s="0" t="n">
        <v>-0.9306</v>
      </c>
      <c r="AD413" s="0" t="n">
        <v>1.4206</v>
      </c>
      <c r="AE413" s="0" t="n">
        <v>-0.0036</v>
      </c>
      <c r="AG413" s="9" t="n">
        <f aca="false">SUMPRODUCT(($B$2:$AE$2&lt;=Portafolio!$B$5)*EXP(LN(Portafolio!$B$7)+Portafolio!$B$6*B413:AE413))/1000</f>
        <v>2.11690034649438</v>
      </c>
    </row>
    <row r="414" customFormat="false" ht="15" hidden="false" customHeight="false" outlineLevel="0" collapsed="false">
      <c r="A414" s="0" t="n">
        <v>412</v>
      </c>
      <c r="B414" s="0" t="n">
        <v>-0.5092</v>
      </c>
      <c r="C414" s="0" t="n">
        <v>-0.9687</v>
      </c>
      <c r="D414" s="0" t="n">
        <v>0.465</v>
      </c>
      <c r="E414" s="0" t="n">
        <v>0.2013</v>
      </c>
      <c r="F414" s="0" t="n">
        <v>-0.6158</v>
      </c>
      <c r="G414" s="0" t="n">
        <v>0.3029</v>
      </c>
      <c r="H414" s="0" t="n">
        <v>1.9156</v>
      </c>
      <c r="I414" s="0" t="n">
        <v>0.0107</v>
      </c>
      <c r="J414" s="0" t="n">
        <v>-1.4188</v>
      </c>
      <c r="K414" s="0" t="n">
        <v>0.5596</v>
      </c>
      <c r="L414" s="0" t="n">
        <v>1.592</v>
      </c>
      <c r="M414" s="0" t="n">
        <v>-0.138</v>
      </c>
      <c r="N414" s="0" t="n">
        <v>-0.7068</v>
      </c>
      <c r="O414" s="0" t="n">
        <v>0.5642</v>
      </c>
      <c r="P414" s="0" t="n">
        <v>-0.2849</v>
      </c>
      <c r="Q414" s="0" t="n">
        <v>0.9247</v>
      </c>
      <c r="R414" s="0" t="n">
        <v>0.3858</v>
      </c>
      <c r="S414" s="0" t="n">
        <v>0.2288</v>
      </c>
      <c r="T414" s="0" t="n">
        <v>-0.4015</v>
      </c>
      <c r="U414" s="0" t="n">
        <v>0.8187</v>
      </c>
      <c r="V414" s="0" t="n">
        <v>0.1941</v>
      </c>
      <c r="W414" s="0" t="n">
        <v>-0.5485</v>
      </c>
      <c r="X414" s="0" t="n">
        <v>0.4205</v>
      </c>
      <c r="Y414" s="0" t="n">
        <v>-0.5613</v>
      </c>
      <c r="Z414" s="0" t="n">
        <v>1.3024</v>
      </c>
      <c r="AA414" s="0" t="n">
        <v>0.1251</v>
      </c>
      <c r="AB414" s="0" t="n">
        <v>-0.0893</v>
      </c>
      <c r="AC414" s="0" t="n">
        <v>0.7019</v>
      </c>
      <c r="AD414" s="0" t="n">
        <v>-0.6032</v>
      </c>
      <c r="AE414" s="0" t="n">
        <v>-0.3957</v>
      </c>
      <c r="AG414" s="9" t="n">
        <f aca="false">SUMPRODUCT(($B$2:$AE$2&lt;=Portafolio!$B$5)*EXP(LN(Portafolio!$B$7)+Portafolio!$B$6*B414:AE414))/1000</f>
        <v>2.46143292302871</v>
      </c>
    </row>
    <row r="415" customFormat="false" ht="15" hidden="false" customHeight="false" outlineLevel="0" collapsed="false">
      <c r="A415" s="0" t="n">
        <v>413</v>
      </c>
      <c r="B415" s="0" t="n">
        <v>0.8018</v>
      </c>
      <c r="C415" s="0" t="n">
        <v>1.5321</v>
      </c>
      <c r="D415" s="0" t="n">
        <v>0.6579</v>
      </c>
      <c r="E415" s="0" t="n">
        <v>-1.9154</v>
      </c>
      <c r="F415" s="0" t="n">
        <v>-0.0767</v>
      </c>
      <c r="G415" s="0" t="n">
        <v>0.9908</v>
      </c>
      <c r="H415" s="0" t="n">
        <v>-0.7908</v>
      </c>
      <c r="I415" s="0" t="n">
        <v>0.2032</v>
      </c>
      <c r="J415" s="0" t="n">
        <v>-0.2595</v>
      </c>
      <c r="K415" s="0" t="n">
        <v>1.1482</v>
      </c>
      <c r="L415" s="0" t="n">
        <v>0.8923</v>
      </c>
      <c r="M415" s="0" t="n">
        <v>0.81</v>
      </c>
      <c r="N415" s="0" t="n">
        <v>-2.2927</v>
      </c>
      <c r="O415" s="0" t="n">
        <v>1.8299</v>
      </c>
      <c r="P415" s="0" t="n">
        <v>-0.1441</v>
      </c>
      <c r="Q415" s="0" t="n">
        <v>0.145</v>
      </c>
      <c r="R415" s="0" t="n">
        <v>-1.2386</v>
      </c>
      <c r="S415" s="0" t="n">
        <v>-0.646</v>
      </c>
      <c r="T415" s="0" t="n">
        <v>1.1026</v>
      </c>
      <c r="U415" s="0" t="n">
        <v>-0.9183</v>
      </c>
      <c r="V415" s="0" t="n">
        <v>0.1959</v>
      </c>
      <c r="W415" s="0" t="n">
        <v>0.8519</v>
      </c>
      <c r="X415" s="0" t="n">
        <v>-0.2734</v>
      </c>
      <c r="Y415" s="0" t="n">
        <v>1.572</v>
      </c>
      <c r="Z415" s="0" t="n">
        <v>-0.9954</v>
      </c>
      <c r="AA415" s="0" t="n">
        <v>-0.3243</v>
      </c>
      <c r="AB415" s="0" t="n">
        <v>0.5182</v>
      </c>
      <c r="AC415" s="0" t="n">
        <v>-1.5894</v>
      </c>
      <c r="AD415" s="0" t="n">
        <v>-0.4954</v>
      </c>
      <c r="AE415" s="0" t="n">
        <v>0.3403</v>
      </c>
      <c r="AG415" s="9" t="n">
        <f aca="false">SUMPRODUCT(($B$2:$AE$2&lt;=Portafolio!$B$5)*EXP(LN(Portafolio!$B$7)+Portafolio!$B$6*B415:AE415))/1000</f>
        <v>2.55536164365556</v>
      </c>
    </row>
    <row r="416" customFormat="false" ht="15" hidden="false" customHeight="false" outlineLevel="0" collapsed="false">
      <c r="A416" s="0" t="n">
        <v>414</v>
      </c>
      <c r="B416" s="0" t="n">
        <v>0.373</v>
      </c>
      <c r="C416" s="0" t="n">
        <v>0.8913</v>
      </c>
      <c r="D416" s="0" t="n">
        <v>-0.3376</v>
      </c>
      <c r="E416" s="0" t="n">
        <v>0.6077</v>
      </c>
      <c r="F416" s="0" t="n">
        <v>1.2585</v>
      </c>
      <c r="G416" s="0" t="n">
        <v>0.3171</v>
      </c>
      <c r="H416" s="0" t="n">
        <v>-1.2167</v>
      </c>
      <c r="I416" s="0" t="n">
        <v>0.3563</v>
      </c>
      <c r="J416" s="0" t="n">
        <v>2.3024</v>
      </c>
      <c r="K416" s="0" t="n">
        <v>-0.6183</v>
      </c>
      <c r="L416" s="0" t="n">
        <v>-0.689</v>
      </c>
      <c r="M416" s="0" t="n">
        <v>0.6126</v>
      </c>
      <c r="N416" s="0" t="n">
        <v>-0.1933</v>
      </c>
      <c r="O416" s="0" t="n">
        <v>-0.8304</v>
      </c>
      <c r="P416" s="0" t="n">
        <v>0.1981</v>
      </c>
      <c r="Q416" s="0" t="n">
        <v>1.3433</v>
      </c>
      <c r="R416" s="0" t="n">
        <v>0.2864</v>
      </c>
      <c r="S416" s="0" t="n">
        <v>1.1712</v>
      </c>
      <c r="T416" s="0" t="n">
        <v>-0.0132</v>
      </c>
      <c r="U416" s="0" t="n">
        <v>-0.7974</v>
      </c>
      <c r="V416" s="0" t="n">
        <v>1.0353</v>
      </c>
      <c r="W416" s="0" t="n">
        <v>0.0147</v>
      </c>
      <c r="X416" s="0" t="n">
        <v>1.187</v>
      </c>
      <c r="Y416" s="0" t="n">
        <v>0.9283</v>
      </c>
      <c r="Z416" s="0" t="n">
        <v>0.4068</v>
      </c>
      <c r="AA416" s="0" t="n">
        <v>0.1707</v>
      </c>
      <c r="AB416" s="0" t="n">
        <v>-0.2976</v>
      </c>
      <c r="AC416" s="0" t="n">
        <v>-2.4352</v>
      </c>
      <c r="AD416" s="0" t="n">
        <v>-0.2167</v>
      </c>
      <c r="AE416" s="0" t="n">
        <v>-0.3042</v>
      </c>
      <c r="AG416" s="9" t="n">
        <f aca="false">SUMPRODUCT(($B$2:$AE$2&lt;=Portafolio!$B$5)*EXP(LN(Portafolio!$B$7)+Portafolio!$B$6*B416:AE416))/1000</f>
        <v>2.67302070425495</v>
      </c>
    </row>
    <row r="417" customFormat="false" ht="15" hidden="false" customHeight="false" outlineLevel="0" collapsed="false">
      <c r="A417" s="0" t="n">
        <v>415</v>
      </c>
      <c r="B417" s="0" t="n">
        <v>-0.3273</v>
      </c>
      <c r="C417" s="0" t="n">
        <v>0.7907</v>
      </c>
      <c r="D417" s="0" t="n">
        <v>-0.3455</v>
      </c>
      <c r="E417" s="0" t="n">
        <v>-0.8565</v>
      </c>
      <c r="F417" s="0" t="n">
        <v>0.7469</v>
      </c>
      <c r="G417" s="0" t="n">
        <v>-1.063</v>
      </c>
      <c r="H417" s="0" t="n">
        <v>0.8951</v>
      </c>
      <c r="I417" s="0" t="n">
        <v>0.3518</v>
      </c>
      <c r="J417" s="0" t="n">
        <v>0.8636</v>
      </c>
      <c r="K417" s="0" t="n">
        <v>1.546</v>
      </c>
      <c r="L417" s="0" t="n">
        <v>1.4252</v>
      </c>
      <c r="M417" s="0" t="n">
        <v>0.5915</v>
      </c>
      <c r="N417" s="0" t="n">
        <v>-0.01</v>
      </c>
      <c r="O417" s="0" t="n">
        <v>2.0975</v>
      </c>
      <c r="P417" s="0" t="n">
        <v>0.2222</v>
      </c>
      <c r="Q417" s="0" t="n">
        <v>0.2245</v>
      </c>
      <c r="R417" s="0" t="n">
        <v>-0.294</v>
      </c>
      <c r="S417" s="0" t="n">
        <v>-0.5089</v>
      </c>
      <c r="T417" s="0" t="n">
        <v>1.2636</v>
      </c>
      <c r="U417" s="0" t="n">
        <v>1.3684</v>
      </c>
      <c r="V417" s="0" t="n">
        <v>1.12</v>
      </c>
      <c r="W417" s="0" t="n">
        <v>-1.4258</v>
      </c>
      <c r="X417" s="0" t="n">
        <v>0.7496</v>
      </c>
      <c r="Y417" s="0" t="n">
        <v>-1.4688</v>
      </c>
      <c r="Z417" s="0" t="n">
        <v>-1.508</v>
      </c>
      <c r="AA417" s="0" t="n">
        <v>1.4629</v>
      </c>
      <c r="AB417" s="0" t="n">
        <v>0.2614</v>
      </c>
      <c r="AC417" s="0" t="n">
        <v>1.9927</v>
      </c>
      <c r="AD417" s="0" t="n">
        <v>1.6821</v>
      </c>
      <c r="AE417" s="0" t="n">
        <v>-1.4921</v>
      </c>
      <c r="AG417" s="9" t="n">
        <f aca="false">SUMPRODUCT(($B$2:$AE$2&lt;=Portafolio!$B$5)*EXP(LN(Portafolio!$B$7)+Portafolio!$B$6*B417:AE417))/1000</f>
        <v>2.96479390278882</v>
      </c>
    </row>
    <row r="418" customFormat="false" ht="15" hidden="false" customHeight="false" outlineLevel="0" collapsed="false">
      <c r="A418" s="0" t="n">
        <v>416</v>
      </c>
      <c r="B418" s="0" t="n">
        <v>-1.6447</v>
      </c>
      <c r="C418" s="0" t="n">
        <v>1.7461</v>
      </c>
      <c r="D418" s="0" t="n">
        <v>-0.9109</v>
      </c>
      <c r="E418" s="0" t="n">
        <v>-0.2697</v>
      </c>
      <c r="F418" s="0" t="n">
        <v>0.5523</v>
      </c>
      <c r="G418" s="0" t="n">
        <v>1.2184</v>
      </c>
      <c r="H418" s="0" t="n">
        <v>0.7447</v>
      </c>
      <c r="I418" s="0" t="n">
        <v>-1.246</v>
      </c>
      <c r="J418" s="0" t="n">
        <v>0.0717</v>
      </c>
      <c r="K418" s="0" t="n">
        <v>0.0732</v>
      </c>
      <c r="L418" s="0" t="n">
        <v>1.4444</v>
      </c>
      <c r="M418" s="0" t="n">
        <v>-0.5182</v>
      </c>
      <c r="N418" s="0" t="n">
        <v>1.2706</v>
      </c>
      <c r="O418" s="0" t="n">
        <v>1.2124</v>
      </c>
      <c r="P418" s="0" t="n">
        <v>0.0029</v>
      </c>
      <c r="Q418" s="0" t="n">
        <v>-0.2438</v>
      </c>
      <c r="R418" s="0" t="n">
        <v>1.3146</v>
      </c>
      <c r="S418" s="0" t="n">
        <v>1.7493</v>
      </c>
      <c r="T418" s="0" t="n">
        <v>-1.1435</v>
      </c>
      <c r="U418" s="0" t="n">
        <v>-1.8212</v>
      </c>
      <c r="V418" s="0" t="n">
        <v>-0.0654</v>
      </c>
      <c r="W418" s="0" t="n">
        <v>0.6021</v>
      </c>
      <c r="X418" s="0" t="n">
        <v>-0.3222</v>
      </c>
      <c r="Y418" s="0" t="n">
        <v>-1.5571</v>
      </c>
      <c r="Z418" s="0" t="n">
        <v>-0.7345</v>
      </c>
      <c r="AA418" s="0" t="n">
        <v>0.6954</v>
      </c>
      <c r="AB418" s="0" t="n">
        <v>-1.0343</v>
      </c>
      <c r="AC418" s="0" t="n">
        <v>1.0697</v>
      </c>
      <c r="AD418" s="0" t="n">
        <v>0.2627</v>
      </c>
      <c r="AE418" s="0" t="n">
        <v>-0.1091</v>
      </c>
      <c r="AG418" s="9" t="n">
        <f aca="false">SUMPRODUCT(($B$2:$AE$2&lt;=Portafolio!$B$5)*EXP(LN(Portafolio!$B$7)+Portafolio!$B$6*B418:AE418))/1000</f>
        <v>2.73354909433711</v>
      </c>
    </row>
    <row r="419" customFormat="false" ht="15" hidden="false" customHeight="false" outlineLevel="0" collapsed="false">
      <c r="A419" s="0" t="n">
        <v>417</v>
      </c>
      <c r="B419" s="0" t="n">
        <v>-2.0366</v>
      </c>
      <c r="C419" s="0" t="n">
        <v>-1.9889</v>
      </c>
      <c r="D419" s="0" t="n">
        <v>0.0129</v>
      </c>
      <c r="E419" s="0" t="n">
        <v>0.4471</v>
      </c>
      <c r="F419" s="0" t="n">
        <v>0.7374</v>
      </c>
      <c r="G419" s="0" t="n">
        <v>1.5558</v>
      </c>
      <c r="H419" s="0" t="n">
        <v>0.0412</v>
      </c>
      <c r="I419" s="0" t="n">
        <v>-0.1044</v>
      </c>
      <c r="J419" s="0" t="n">
        <v>0.4402</v>
      </c>
      <c r="K419" s="0" t="n">
        <v>1.4453</v>
      </c>
      <c r="L419" s="0" t="n">
        <v>-0.2697</v>
      </c>
      <c r="M419" s="0" t="n">
        <v>1.4591</v>
      </c>
      <c r="N419" s="0" t="n">
        <v>1.1241</v>
      </c>
      <c r="O419" s="0" t="n">
        <v>-3.1798</v>
      </c>
      <c r="P419" s="0" t="n">
        <v>0.5867</v>
      </c>
      <c r="Q419" s="0" t="n">
        <v>1.8187</v>
      </c>
      <c r="R419" s="0" t="n">
        <v>0.0909</v>
      </c>
      <c r="S419" s="0" t="n">
        <v>1.2968</v>
      </c>
      <c r="T419" s="0" t="n">
        <v>0.0542</v>
      </c>
      <c r="U419" s="0" t="n">
        <v>0.4819</v>
      </c>
      <c r="V419" s="0" t="n">
        <v>-0.2002</v>
      </c>
      <c r="W419" s="0" t="n">
        <v>0.1428</v>
      </c>
      <c r="X419" s="0" t="n">
        <v>-1.3935</v>
      </c>
      <c r="Y419" s="0" t="n">
        <v>-1.1384</v>
      </c>
      <c r="Z419" s="0" t="n">
        <v>-0.9458</v>
      </c>
      <c r="AA419" s="0" t="n">
        <v>1.1608</v>
      </c>
      <c r="AB419" s="0" t="n">
        <v>1.0619</v>
      </c>
      <c r="AC419" s="0" t="n">
        <v>0.3579</v>
      </c>
      <c r="AD419" s="0" t="n">
        <v>0.7822</v>
      </c>
      <c r="AE419" s="0" t="n">
        <v>-1.0587</v>
      </c>
      <c r="AG419" s="9" t="n">
        <f aca="false">SUMPRODUCT(($B$2:$AE$2&lt;=Portafolio!$B$5)*EXP(LN(Portafolio!$B$7)+Portafolio!$B$6*B419:AE419))/1000</f>
        <v>2.80234027965556</v>
      </c>
    </row>
    <row r="420" customFormat="false" ht="15" hidden="false" customHeight="false" outlineLevel="0" collapsed="false">
      <c r="A420" s="0" t="n">
        <v>418</v>
      </c>
      <c r="B420" s="0" t="n">
        <v>-0.4928</v>
      </c>
      <c r="C420" s="0" t="n">
        <v>0.6333</v>
      </c>
      <c r="D420" s="0" t="n">
        <v>-1.0162</v>
      </c>
      <c r="E420" s="0" t="n">
        <v>-1.7138</v>
      </c>
      <c r="F420" s="0" t="n">
        <v>-2.0489</v>
      </c>
      <c r="G420" s="0" t="n">
        <v>1.5177</v>
      </c>
      <c r="H420" s="0" t="n">
        <v>-0.0586</v>
      </c>
      <c r="I420" s="0" t="n">
        <v>0.0677</v>
      </c>
      <c r="J420" s="0" t="n">
        <v>0.3189</v>
      </c>
      <c r="K420" s="0" t="n">
        <v>1.498</v>
      </c>
      <c r="L420" s="0" t="n">
        <v>-1.3237</v>
      </c>
      <c r="M420" s="0" t="n">
        <v>-0.9356</v>
      </c>
      <c r="N420" s="0" t="n">
        <v>-0.4268</v>
      </c>
      <c r="O420" s="0" t="n">
        <v>2.1529</v>
      </c>
      <c r="P420" s="0" t="n">
        <v>-1.4098</v>
      </c>
      <c r="Q420" s="0" t="n">
        <v>-1.3664</v>
      </c>
      <c r="R420" s="0" t="n">
        <v>-0.0216</v>
      </c>
      <c r="S420" s="0" t="n">
        <v>-0.5865</v>
      </c>
      <c r="T420" s="0" t="n">
        <v>1.1731</v>
      </c>
      <c r="U420" s="0" t="n">
        <v>0.2139</v>
      </c>
      <c r="V420" s="0" t="n">
        <v>-0.0634</v>
      </c>
      <c r="W420" s="0" t="n">
        <v>1.5268</v>
      </c>
      <c r="X420" s="0" t="n">
        <v>-1.8516</v>
      </c>
      <c r="Y420" s="0" t="n">
        <v>-1.4391</v>
      </c>
      <c r="Z420" s="0" t="n">
        <v>1.116</v>
      </c>
      <c r="AA420" s="0" t="n">
        <v>-1.4598</v>
      </c>
      <c r="AB420" s="0" t="n">
        <v>-0.4952</v>
      </c>
      <c r="AC420" s="0" t="n">
        <v>-0.4201</v>
      </c>
      <c r="AD420" s="0" t="n">
        <v>1.8794</v>
      </c>
      <c r="AE420" s="0" t="n">
        <v>0.3015</v>
      </c>
      <c r="AG420" s="9" t="n">
        <f aca="false">SUMPRODUCT(($B$2:$AE$2&lt;=Portafolio!$B$5)*EXP(LN(Portafolio!$B$7)+Portafolio!$B$6*B420:AE420))/1000</f>
        <v>2.27143814082897</v>
      </c>
    </row>
    <row r="421" customFormat="false" ht="15" hidden="false" customHeight="false" outlineLevel="0" collapsed="false">
      <c r="A421" s="0" t="n">
        <v>419</v>
      </c>
      <c r="B421" s="0" t="n">
        <v>0.3763</v>
      </c>
      <c r="C421" s="0" t="n">
        <v>1.034</v>
      </c>
      <c r="D421" s="0" t="n">
        <v>-0.9114</v>
      </c>
      <c r="E421" s="0" t="n">
        <v>1.0962</v>
      </c>
      <c r="F421" s="0" t="n">
        <v>0.3983</v>
      </c>
      <c r="G421" s="0" t="n">
        <v>-2.3732</v>
      </c>
      <c r="H421" s="0" t="n">
        <v>-1.0525</v>
      </c>
      <c r="I421" s="0" t="n">
        <v>-1.172</v>
      </c>
      <c r="J421" s="0" t="n">
        <v>0.6795</v>
      </c>
      <c r="K421" s="0" t="n">
        <v>0.4501</v>
      </c>
      <c r="L421" s="0" t="n">
        <v>1.3881</v>
      </c>
      <c r="M421" s="0" t="n">
        <v>0.7438</v>
      </c>
      <c r="N421" s="0" t="n">
        <v>-1.6646</v>
      </c>
      <c r="O421" s="0" t="n">
        <v>-1.8104</v>
      </c>
      <c r="P421" s="0" t="n">
        <v>-0.9911</v>
      </c>
      <c r="Q421" s="0" t="n">
        <v>0.0221</v>
      </c>
      <c r="R421" s="0" t="n">
        <v>-1.881</v>
      </c>
      <c r="S421" s="0" t="n">
        <v>-1.3165</v>
      </c>
      <c r="T421" s="0" t="n">
        <v>0.1345</v>
      </c>
      <c r="U421" s="0" t="n">
        <v>-1.2054</v>
      </c>
      <c r="V421" s="0" t="n">
        <v>0.0205</v>
      </c>
      <c r="W421" s="0" t="n">
        <v>0.1052</v>
      </c>
      <c r="X421" s="0" t="n">
        <v>-1.7289</v>
      </c>
      <c r="Y421" s="0" t="n">
        <v>0.6689</v>
      </c>
      <c r="Z421" s="0" t="n">
        <v>1.0031</v>
      </c>
      <c r="AA421" s="0" t="n">
        <v>-0.2196</v>
      </c>
      <c r="AB421" s="0" t="n">
        <v>0.2405</v>
      </c>
      <c r="AC421" s="0" t="n">
        <v>0.1591</v>
      </c>
      <c r="AD421" s="0" t="n">
        <v>0.4497</v>
      </c>
      <c r="AE421" s="0" t="n">
        <v>-1.7509</v>
      </c>
      <c r="AG421" s="9" t="n">
        <f aca="false">SUMPRODUCT(($B$2:$AE$2&lt;=Portafolio!$B$5)*EXP(LN(Portafolio!$B$7)+Portafolio!$B$6*B421:AE421))/1000</f>
        <v>1.94529391329771</v>
      </c>
    </row>
    <row r="422" customFormat="false" ht="15" hidden="false" customHeight="false" outlineLevel="0" collapsed="false">
      <c r="A422" s="0" t="n">
        <v>420</v>
      </c>
      <c r="B422" s="0" t="n">
        <v>-0.0592</v>
      </c>
      <c r="C422" s="0" t="n">
        <v>-0.9113</v>
      </c>
      <c r="D422" s="0" t="n">
        <v>-0.5669</v>
      </c>
      <c r="E422" s="0" t="n">
        <v>-1.4632</v>
      </c>
      <c r="F422" s="0" t="n">
        <v>-0.3736</v>
      </c>
      <c r="G422" s="0" t="n">
        <v>-1.2904</v>
      </c>
      <c r="H422" s="0" t="n">
        <v>1.5419</v>
      </c>
      <c r="I422" s="0" t="n">
        <v>-0.7443</v>
      </c>
      <c r="J422" s="0" t="n">
        <v>-1.0424</v>
      </c>
      <c r="K422" s="0" t="n">
        <v>0.7088</v>
      </c>
      <c r="L422" s="0" t="n">
        <v>1.2113</v>
      </c>
      <c r="M422" s="0" t="n">
        <v>-0.3693</v>
      </c>
      <c r="N422" s="0" t="n">
        <v>0.4631</v>
      </c>
      <c r="O422" s="0" t="n">
        <v>-0.0594</v>
      </c>
      <c r="P422" s="0" t="n">
        <v>-0.2415</v>
      </c>
      <c r="Q422" s="0" t="n">
        <v>0.145</v>
      </c>
      <c r="R422" s="0" t="n">
        <v>0.7108</v>
      </c>
      <c r="S422" s="0" t="n">
        <v>0.2287</v>
      </c>
      <c r="T422" s="0" t="n">
        <v>0.0039</v>
      </c>
      <c r="U422" s="0" t="n">
        <v>-0.4309</v>
      </c>
      <c r="V422" s="0" t="n">
        <v>1.2862</v>
      </c>
      <c r="W422" s="0" t="n">
        <v>1.2862</v>
      </c>
      <c r="X422" s="0" t="n">
        <v>-0.9312</v>
      </c>
      <c r="Y422" s="0" t="n">
        <v>0.1515</v>
      </c>
      <c r="Z422" s="0" t="n">
        <v>0.8919</v>
      </c>
      <c r="AA422" s="0" t="n">
        <v>-0.1661</v>
      </c>
      <c r="AB422" s="0" t="n">
        <v>0.0402</v>
      </c>
      <c r="AC422" s="0" t="n">
        <v>1.8229</v>
      </c>
      <c r="AD422" s="0" t="n">
        <v>0.2997</v>
      </c>
      <c r="AE422" s="0" t="n">
        <v>-1.1526</v>
      </c>
      <c r="AG422" s="9" t="n">
        <f aca="false">SUMPRODUCT(($B$2:$AE$2&lt;=Portafolio!$B$5)*EXP(LN(Portafolio!$B$7)+Portafolio!$B$6*B422:AE422))/1000</f>
        <v>2.07229643208772</v>
      </c>
    </row>
    <row r="423" customFormat="false" ht="15" hidden="false" customHeight="false" outlineLevel="0" collapsed="false">
      <c r="A423" s="0" t="n">
        <v>421</v>
      </c>
      <c r="B423" s="0" t="n">
        <v>-0.4912</v>
      </c>
      <c r="C423" s="0" t="n">
        <v>-0.8309</v>
      </c>
      <c r="D423" s="0" t="n">
        <v>-0.2307</v>
      </c>
      <c r="E423" s="0" t="n">
        <v>0.1914</v>
      </c>
      <c r="F423" s="0" t="n">
        <v>0.2677</v>
      </c>
      <c r="G423" s="0" t="n">
        <v>-0.31</v>
      </c>
      <c r="H423" s="0" t="n">
        <v>-1.3647</v>
      </c>
      <c r="I423" s="0" t="n">
        <v>-0.8417</v>
      </c>
      <c r="J423" s="0" t="n">
        <v>0.6844</v>
      </c>
      <c r="K423" s="0" t="n">
        <v>-0.0129</v>
      </c>
      <c r="L423" s="0" t="n">
        <v>-0.0788</v>
      </c>
      <c r="M423" s="0" t="n">
        <v>-0.1934</v>
      </c>
      <c r="N423" s="0" t="n">
        <v>1.674</v>
      </c>
      <c r="O423" s="0" t="n">
        <v>-0.1395</v>
      </c>
      <c r="P423" s="0" t="n">
        <v>0.4724</v>
      </c>
      <c r="Q423" s="0" t="n">
        <v>-0.4361</v>
      </c>
      <c r="R423" s="0" t="n">
        <v>0.762</v>
      </c>
      <c r="S423" s="0" t="n">
        <v>-1.0121</v>
      </c>
      <c r="T423" s="0" t="n">
        <v>0.437</v>
      </c>
      <c r="U423" s="0" t="n">
        <v>0.599</v>
      </c>
      <c r="V423" s="0" t="n">
        <v>-0.3101</v>
      </c>
      <c r="W423" s="0" t="n">
        <v>-0.2857</v>
      </c>
      <c r="X423" s="0" t="n">
        <v>0.5762</v>
      </c>
      <c r="Y423" s="0" t="n">
        <v>2.2223</v>
      </c>
      <c r="Z423" s="0" t="n">
        <v>1.4697</v>
      </c>
      <c r="AA423" s="0" t="n">
        <v>-0.0759</v>
      </c>
      <c r="AB423" s="0" t="n">
        <v>1.5624</v>
      </c>
      <c r="AC423" s="0" t="n">
        <v>-1.1336</v>
      </c>
      <c r="AD423" s="0" t="n">
        <v>0.2133</v>
      </c>
      <c r="AE423" s="0" t="n">
        <v>1.2697</v>
      </c>
      <c r="AG423" s="9" t="n">
        <f aca="false">SUMPRODUCT(($B$2:$AE$2&lt;=Portafolio!$B$5)*EXP(LN(Portafolio!$B$7)+Portafolio!$B$6*B423:AE423))/1000</f>
        <v>2.13420537473437</v>
      </c>
    </row>
    <row r="424" customFormat="false" ht="15" hidden="false" customHeight="false" outlineLevel="0" collapsed="false">
      <c r="A424" s="0" t="n">
        <v>422</v>
      </c>
      <c r="B424" s="0" t="n">
        <v>-0.2729</v>
      </c>
      <c r="C424" s="0" t="n">
        <v>0.5565</v>
      </c>
      <c r="D424" s="0" t="n">
        <v>1.0293</v>
      </c>
      <c r="E424" s="0" t="n">
        <v>-0.2874</v>
      </c>
      <c r="F424" s="0" t="n">
        <v>0.9585</v>
      </c>
      <c r="G424" s="0" t="n">
        <v>-2.3433</v>
      </c>
      <c r="H424" s="0" t="n">
        <v>-0.0783</v>
      </c>
      <c r="I424" s="0" t="n">
        <v>0.3388</v>
      </c>
      <c r="J424" s="0" t="n">
        <v>-0.7027</v>
      </c>
      <c r="K424" s="0" t="n">
        <v>-0.9872</v>
      </c>
      <c r="L424" s="0" t="n">
        <v>-0.2148</v>
      </c>
      <c r="M424" s="0" t="n">
        <v>0.1238</v>
      </c>
      <c r="N424" s="0" t="n">
        <v>0.0092</v>
      </c>
      <c r="O424" s="0" t="n">
        <v>0.0589</v>
      </c>
      <c r="P424" s="0" t="n">
        <v>-3.1065</v>
      </c>
      <c r="Q424" s="0" t="n">
        <v>-0.4148</v>
      </c>
      <c r="R424" s="0" t="n">
        <v>0.55</v>
      </c>
      <c r="S424" s="0" t="n">
        <v>0.415</v>
      </c>
      <c r="T424" s="0" t="n">
        <v>0.8432</v>
      </c>
      <c r="U424" s="0" t="n">
        <v>1.0043</v>
      </c>
      <c r="V424" s="0" t="n">
        <v>2.0804</v>
      </c>
      <c r="W424" s="0" t="n">
        <v>-0.1035</v>
      </c>
      <c r="X424" s="0" t="n">
        <v>3.8952</v>
      </c>
      <c r="Y424" s="0" t="n">
        <v>0.6738</v>
      </c>
      <c r="Z424" s="0" t="n">
        <v>0.0003</v>
      </c>
      <c r="AA424" s="0" t="n">
        <v>-1.2115</v>
      </c>
      <c r="AB424" s="0" t="n">
        <v>-0.0306</v>
      </c>
      <c r="AC424" s="0" t="n">
        <v>1.2219</v>
      </c>
      <c r="AD424" s="0" t="n">
        <v>1.8299</v>
      </c>
      <c r="AE424" s="0" t="n">
        <v>0.5329</v>
      </c>
      <c r="AG424" s="9" t="n">
        <f aca="false">SUMPRODUCT(($B$2:$AE$2&lt;=Portafolio!$B$5)*EXP(LN(Portafolio!$B$7)+Portafolio!$B$6*B424:AE424))/1000</f>
        <v>2.14438747693857</v>
      </c>
    </row>
    <row r="425" customFormat="false" ht="15" hidden="false" customHeight="false" outlineLevel="0" collapsed="false">
      <c r="A425" s="0" t="n">
        <v>423</v>
      </c>
      <c r="B425" s="0" t="n">
        <v>-0.7684</v>
      </c>
      <c r="C425" s="0" t="n">
        <v>0.7592</v>
      </c>
      <c r="D425" s="0" t="n">
        <v>-1.0601</v>
      </c>
      <c r="E425" s="0" t="n">
        <v>-1.3691</v>
      </c>
      <c r="F425" s="0" t="n">
        <v>1.67</v>
      </c>
      <c r="G425" s="0" t="n">
        <v>-0.606</v>
      </c>
      <c r="H425" s="0" t="n">
        <v>1.5009</v>
      </c>
      <c r="I425" s="0" t="n">
        <v>-0.7722</v>
      </c>
      <c r="J425" s="0" t="n">
        <v>0.285</v>
      </c>
      <c r="K425" s="0" t="n">
        <v>-1.1267</v>
      </c>
      <c r="L425" s="0" t="n">
        <v>0.9614</v>
      </c>
      <c r="M425" s="0" t="n">
        <v>1.4888</v>
      </c>
      <c r="N425" s="0" t="n">
        <v>0.0579</v>
      </c>
      <c r="O425" s="0" t="n">
        <v>-0.3471</v>
      </c>
      <c r="P425" s="0" t="n">
        <v>-1.0891</v>
      </c>
      <c r="Q425" s="0" t="n">
        <v>-1.4311</v>
      </c>
      <c r="R425" s="0" t="n">
        <v>1.3108</v>
      </c>
      <c r="S425" s="0" t="n">
        <v>-0.5453</v>
      </c>
      <c r="T425" s="0" t="n">
        <v>-1.0253</v>
      </c>
      <c r="U425" s="0" t="n">
        <v>0.827</v>
      </c>
      <c r="V425" s="0" t="n">
        <v>-0.2056</v>
      </c>
      <c r="W425" s="0" t="n">
        <v>0.3198</v>
      </c>
      <c r="X425" s="0" t="n">
        <v>-1.1225</v>
      </c>
      <c r="Y425" s="0" t="n">
        <v>0.4102</v>
      </c>
      <c r="Z425" s="0" t="n">
        <v>-1.7175</v>
      </c>
      <c r="AA425" s="0" t="n">
        <v>0.1313</v>
      </c>
      <c r="AB425" s="0" t="n">
        <v>-0.0622</v>
      </c>
      <c r="AC425" s="0" t="n">
        <v>0.6521</v>
      </c>
      <c r="AD425" s="0" t="n">
        <v>-1.0619</v>
      </c>
      <c r="AE425" s="0" t="n">
        <v>0.0954</v>
      </c>
      <c r="AG425" s="9" t="n">
        <f aca="false">SUMPRODUCT(($B$2:$AE$2&lt;=Portafolio!$B$5)*EXP(LN(Portafolio!$B$7)+Portafolio!$B$6*B425:AE425))/1000</f>
        <v>2.34953994661388</v>
      </c>
    </row>
    <row r="426" customFormat="false" ht="15" hidden="false" customHeight="false" outlineLevel="0" collapsed="false">
      <c r="A426" s="0" t="n">
        <v>424</v>
      </c>
      <c r="B426" s="0" t="n">
        <v>3.9295</v>
      </c>
      <c r="C426" s="0" t="n">
        <v>1.0947</v>
      </c>
      <c r="D426" s="0" t="n">
        <v>-1.8069</v>
      </c>
      <c r="E426" s="0" t="n">
        <v>-1.4447</v>
      </c>
      <c r="F426" s="0" t="n">
        <v>1.168</v>
      </c>
      <c r="G426" s="0" t="n">
        <v>-0.3739</v>
      </c>
      <c r="H426" s="0" t="n">
        <v>-0.1014</v>
      </c>
      <c r="I426" s="0" t="n">
        <v>0.3469</v>
      </c>
      <c r="J426" s="0" t="n">
        <v>-0.0257</v>
      </c>
      <c r="K426" s="0" t="n">
        <v>0.743</v>
      </c>
      <c r="L426" s="0" t="n">
        <v>-1.0427</v>
      </c>
      <c r="M426" s="0" t="n">
        <v>0.6686</v>
      </c>
      <c r="N426" s="0" t="n">
        <v>1.4861</v>
      </c>
      <c r="O426" s="0" t="n">
        <v>-1.0687</v>
      </c>
      <c r="P426" s="0" t="n">
        <v>-0.8957</v>
      </c>
      <c r="Q426" s="0" t="n">
        <v>-0.7605</v>
      </c>
      <c r="R426" s="0" t="n">
        <v>1.8106</v>
      </c>
      <c r="S426" s="0" t="n">
        <v>-1.5022</v>
      </c>
      <c r="T426" s="0" t="n">
        <v>-0.3574</v>
      </c>
      <c r="U426" s="0" t="n">
        <v>-1.3452</v>
      </c>
      <c r="V426" s="0" t="n">
        <v>0.2553</v>
      </c>
      <c r="W426" s="0" t="n">
        <v>0.6948</v>
      </c>
      <c r="X426" s="0" t="n">
        <v>1.1561</v>
      </c>
      <c r="Y426" s="0" t="n">
        <v>-0.9842</v>
      </c>
      <c r="Z426" s="0" t="n">
        <v>-0.8985</v>
      </c>
      <c r="AA426" s="0" t="n">
        <v>1.3782</v>
      </c>
      <c r="AB426" s="0" t="n">
        <v>0.2149</v>
      </c>
      <c r="AC426" s="0" t="n">
        <v>0.2252</v>
      </c>
      <c r="AD426" s="0" t="n">
        <v>-2.0702</v>
      </c>
      <c r="AE426" s="0" t="n">
        <v>-0.3756</v>
      </c>
      <c r="AG426" s="9" t="n">
        <f aca="false">SUMPRODUCT(($B$2:$AE$2&lt;=Portafolio!$B$5)*EXP(LN(Portafolio!$B$7)+Portafolio!$B$6*B426:AE426))/1000</f>
        <v>3.16217758415976</v>
      </c>
    </row>
    <row r="427" customFormat="false" ht="15" hidden="false" customHeight="false" outlineLevel="0" collapsed="false">
      <c r="A427" s="0" t="n">
        <v>425</v>
      </c>
      <c r="B427" s="0" t="n">
        <v>-2.7609</v>
      </c>
      <c r="C427" s="0" t="n">
        <v>-0.0905</v>
      </c>
      <c r="D427" s="0" t="n">
        <v>0.3057</v>
      </c>
      <c r="E427" s="0" t="n">
        <v>0.5473</v>
      </c>
      <c r="F427" s="0" t="n">
        <v>-0.0999</v>
      </c>
      <c r="G427" s="0" t="n">
        <v>1.0115</v>
      </c>
      <c r="H427" s="0" t="n">
        <v>1.2022</v>
      </c>
      <c r="I427" s="0" t="n">
        <v>-0.1451</v>
      </c>
      <c r="J427" s="0" t="n">
        <v>0.7478</v>
      </c>
      <c r="K427" s="0" t="n">
        <v>1.5432</v>
      </c>
      <c r="L427" s="0" t="n">
        <v>2.0881</v>
      </c>
      <c r="M427" s="0" t="n">
        <v>-1.4999</v>
      </c>
      <c r="N427" s="0" t="n">
        <v>0.8108</v>
      </c>
      <c r="O427" s="0" t="n">
        <v>1.4172</v>
      </c>
      <c r="P427" s="0" t="n">
        <v>0.9333</v>
      </c>
      <c r="Q427" s="0" t="n">
        <v>-1.0416</v>
      </c>
      <c r="R427" s="0" t="n">
        <v>0.3046</v>
      </c>
      <c r="S427" s="0" t="n">
        <v>0.016</v>
      </c>
      <c r="T427" s="0" t="n">
        <v>0.1739</v>
      </c>
      <c r="U427" s="0" t="n">
        <v>-0.0311</v>
      </c>
      <c r="V427" s="0" t="n">
        <v>-1.2359</v>
      </c>
      <c r="W427" s="0" t="n">
        <v>-0.1663</v>
      </c>
      <c r="X427" s="0" t="n">
        <v>0.3061</v>
      </c>
      <c r="Y427" s="0" t="n">
        <v>0.8205</v>
      </c>
      <c r="Z427" s="0" t="n">
        <v>1.1714</v>
      </c>
      <c r="AA427" s="0" t="n">
        <v>0.1281</v>
      </c>
      <c r="AB427" s="0" t="n">
        <v>0.3604</v>
      </c>
      <c r="AC427" s="0" t="n">
        <v>-0.6267</v>
      </c>
      <c r="AD427" s="0" t="n">
        <v>-0.012</v>
      </c>
      <c r="AE427" s="0" t="n">
        <v>0.0635</v>
      </c>
      <c r="AG427" s="9" t="n">
        <f aca="false">SUMPRODUCT(($B$2:$AE$2&lt;=Portafolio!$B$5)*EXP(LN(Portafolio!$B$7)+Portafolio!$B$6*B427:AE427))/1000</f>
        <v>2.80302325850837</v>
      </c>
    </row>
    <row r="428" customFormat="false" ht="15" hidden="false" customHeight="false" outlineLevel="0" collapsed="false">
      <c r="A428" s="0" t="n">
        <v>426</v>
      </c>
      <c r="B428" s="0" t="n">
        <v>-1.3383</v>
      </c>
      <c r="C428" s="0" t="n">
        <v>1.0687</v>
      </c>
      <c r="D428" s="0" t="n">
        <v>-0.8441</v>
      </c>
      <c r="E428" s="0" t="n">
        <v>1.817</v>
      </c>
      <c r="F428" s="0" t="n">
        <v>1.4758</v>
      </c>
      <c r="G428" s="0" t="n">
        <v>0.0328</v>
      </c>
      <c r="H428" s="0" t="n">
        <v>0.4942</v>
      </c>
      <c r="I428" s="0" t="n">
        <v>0.1233</v>
      </c>
      <c r="J428" s="0" t="n">
        <v>0.2385</v>
      </c>
      <c r="K428" s="0" t="n">
        <v>-1.9799</v>
      </c>
      <c r="L428" s="0" t="n">
        <v>-0.1273</v>
      </c>
      <c r="M428" s="0" t="n">
        <v>-1.1763</v>
      </c>
      <c r="N428" s="0" t="n">
        <v>0.6574</v>
      </c>
      <c r="O428" s="0" t="n">
        <v>-0.0354</v>
      </c>
      <c r="P428" s="0" t="n">
        <v>-0.9647</v>
      </c>
      <c r="Q428" s="0" t="n">
        <v>0.5502</v>
      </c>
      <c r="R428" s="0" t="n">
        <v>1.228</v>
      </c>
      <c r="S428" s="0" t="n">
        <v>-0.043</v>
      </c>
      <c r="T428" s="0" t="n">
        <v>-1.5017</v>
      </c>
      <c r="U428" s="0" t="n">
        <v>0.6736</v>
      </c>
      <c r="V428" s="0" t="n">
        <v>1.2206</v>
      </c>
      <c r="W428" s="0" t="n">
        <v>0.5491</v>
      </c>
      <c r="X428" s="0" t="n">
        <v>2.3044</v>
      </c>
      <c r="Y428" s="0" t="n">
        <v>-0.7527</v>
      </c>
      <c r="Z428" s="0" t="n">
        <v>-1.0342</v>
      </c>
      <c r="AA428" s="0" t="n">
        <v>0.4847</v>
      </c>
      <c r="AB428" s="0" t="n">
        <v>-1.0557</v>
      </c>
      <c r="AC428" s="0" t="n">
        <v>0.3112</v>
      </c>
      <c r="AD428" s="0" t="n">
        <v>-0.0161</v>
      </c>
      <c r="AE428" s="0" t="n">
        <v>0.814</v>
      </c>
      <c r="AG428" s="9" t="n">
        <f aca="false">SUMPRODUCT(($B$2:$AE$2&lt;=Portafolio!$B$5)*EXP(LN(Portafolio!$B$7)+Portafolio!$B$6*B428:AE428))/1000</f>
        <v>2.40513402364987</v>
      </c>
    </row>
    <row r="429" customFormat="false" ht="15" hidden="false" customHeight="false" outlineLevel="0" collapsed="false">
      <c r="A429" s="0" t="n">
        <v>427</v>
      </c>
      <c r="B429" s="0" t="n">
        <v>0.5936</v>
      </c>
      <c r="C429" s="0" t="n">
        <v>0.0438</v>
      </c>
      <c r="D429" s="0" t="n">
        <v>-0.7218</v>
      </c>
      <c r="E429" s="0" t="n">
        <v>-0.7161</v>
      </c>
      <c r="F429" s="0" t="n">
        <v>0.6843</v>
      </c>
      <c r="G429" s="0" t="n">
        <v>0.2623</v>
      </c>
      <c r="H429" s="0" t="n">
        <v>-0.0503</v>
      </c>
      <c r="I429" s="0" t="n">
        <v>-0.073</v>
      </c>
      <c r="J429" s="0" t="n">
        <v>-0.585</v>
      </c>
      <c r="K429" s="0" t="n">
        <v>0.974</v>
      </c>
      <c r="L429" s="0" t="n">
        <v>-0.5125</v>
      </c>
      <c r="M429" s="0" t="n">
        <v>0.906</v>
      </c>
      <c r="N429" s="0" t="n">
        <v>1.6196</v>
      </c>
      <c r="O429" s="0" t="n">
        <v>0.1616</v>
      </c>
      <c r="P429" s="0" t="n">
        <v>-0.177</v>
      </c>
      <c r="Q429" s="0" t="n">
        <v>0.3781</v>
      </c>
      <c r="R429" s="0" t="n">
        <v>-1.1278</v>
      </c>
      <c r="S429" s="0" t="n">
        <v>-1.4439</v>
      </c>
      <c r="T429" s="0" t="n">
        <v>1.4002</v>
      </c>
      <c r="U429" s="0" t="n">
        <v>0.3046</v>
      </c>
      <c r="V429" s="0" t="n">
        <v>-0.0572</v>
      </c>
      <c r="W429" s="0" t="n">
        <v>1.3171</v>
      </c>
      <c r="X429" s="0" t="n">
        <v>0.4306</v>
      </c>
      <c r="Y429" s="0" t="n">
        <v>-1.3754</v>
      </c>
      <c r="Z429" s="0" t="n">
        <v>-0.0739</v>
      </c>
      <c r="AA429" s="0" t="n">
        <v>-0.4671</v>
      </c>
      <c r="AB429" s="0" t="n">
        <v>1.0235</v>
      </c>
      <c r="AC429" s="0" t="n">
        <v>-0.6689</v>
      </c>
      <c r="AD429" s="0" t="n">
        <v>-0.0873</v>
      </c>
      <c r="AE429" s="0" t="n">
        <v>0.8716</v>
      </c>
      <c r="AG429" s="9" t="n">
        <f aca="false">SUMPRODUCT(($B$2:$AE$2&lt;=Portafolio!$B$5)*EXP(LN(Portafolio!$B$7)+Portafolio!$B$6*B429:AE429))/1000</f>
        <v>2.36588956409206</v>
      </c>
    </row>
    <row r="430" customFormat="false" ht="15" hidden="false" customHeight="false" outlineLevel="0" collapsed="false">
      <c r="A430" s="0" t="n">
        <v>428</v>
      </c>
      <c r="B430" s="0" t="n">
        <v>-0.6354</v>
      </c>
      <c r="C430" s="0" t="n">
        <v>-0.2442</v>
      </c>
      <c r="D430" s="0" t="n">
        <v>1.0484</v>
      </c>
      <c r="E430" s="0" t="n">
        <v>0.4187</v>
      </c>
      <c r="F430" s="0" t="n">
        <v>0.5455</v>
      </c>
      <c r="G430" s="0" t="n">
        <v>-0.2003</v>
      </c>
      <c r="H430" s="0" t="n">
        <v>-1.1909</v>
      </c>
      <c r="I430" s="0" t="n">
        <v>0.1179</v>
      </c>
      <c r="J430" s="0" t="n">
        <v>1.2917</v>
      </c>
      <c r="K430" s="0" t="n">
        <v>-1.3174</v>
      </c>
      <c r="L430" s="0" t="n">
        <v>-0.0579</v>
      </c>
      <c r="M430" s="0" t="n">
        <v>0.5762</v>
      </c>
      <c r="N430" s="0" t="n">
        <v>0.2785</v>
      </c>
      <c r="O430" s="0" t="n">
        <v>0.0871</v>
      </c>
      <c r="P430" s="0" t="n">
        <v>0.7034</v>
      </c>
      <c r="Q430" s="0" t="n">
        <v>1.4808</v>
      </c>
      <c r="R430" s="0" t="n">
        <v>-0.6745</v>
      </c>
      <c r="S430" s="0" t="n">
        <v>-0.4852</v>
      </c>
      <c r="T430" s="0" t="n">
        <v>0.9224</v>
      </c>
      <c r="U430" s="0" t="n">
        <v>-0.839</v>
      </c>
      <c r="V430" s="0" t="n">
        <v>-0.6674</v>
      </c>
      <c r="W430" s="0" t="n">
        <v>2.2908</v>
      </c>
      <c r="X430" s="0" t="n">
        <v>1.1962</v>
      </c>
      <c r="Y430" s="0" t="n">
        <v>-1.1585</v>
      </c>
      <c r="Z430" s="0" t="n">
        <v>0.1317</v>
      </c>
      <c r="AA430" s="0" t="n">
        <v>0.8189</v>
      </c>
      <c r="AB430" s="0" t="n">
        <v>1.3239</v>
      </c>
      <c r="AC430" s="0" t="n">
        <v>0.8537</v>
      </c>
      <c r="AD430" s="0" t="n">
        <v>-0.8471</v>
      </c>
      <c r="AE430" s="0" t="n">
        <v>-0.5719</v>
      </c>
      <c r="AG430" s="9" t="n">
        <f aca="false">SUMPRODUCT(($B$2:$AE$2&lt;=Portafolio!$B$5)*EXP(LN(Portafolio!$B$7)+Portafolio!$B$6*B430:AE430))/1000</f>
        <v>2.34982892890142</v>
      </c>
    </row>
    <row r="431" customFormat="false" ht="15" hidden="false" customHeight="false" outlineLevel="0" collapsed="false">
      <c r="A431" s="0" t="n">
        <v>429</v>
      </c>
      <c r="B431" s="0" t="n">
        <v>0.9999</v>
      </c>
      <c r="C431" s="0" t="n">
        <v>0.0923</v>
      </c>
      <c r="D431" s="0" t="n">
        <v>-0.7616</v>
      </c>
      <c r="E431" s="0" t="n">
        <v>0.5521</v>
      </c>
      <c r="F431" s="0" t="n">
        <v>0.3855</v>
      </c>
      <c r="G431" s="0" t="n">
        <v>-0.9229</v>
      </c>
      <c r="H431" s="0" t="n">
        <v>-0.5934</v>
      </c>
      <c r="I431" s="0" t="n">
        <v>0.2466</v>
      </c>
      <c r="J431" s="0" t="n">
        <v>0.8095</v>
      </c>
      <c r="K431" s="0" t="n">
        <v>0.2117</v>
      </c>
      <c r="L431" s="0" t="n">
        <v>-0.6853</v>
      </c>
      <c r="M431" s="0" t="n">
        <v>-1.9952</v>
      </c>
      <c r="N431" s="0" t="n">
        <v>-0.8052</v>
      </c>
      <c r="O431" s="0" t="n">
        <v>-1.2961</v>
      </c>
      <c r="P431" s="0" t="n">
        <v>-0.0995</v>
      </c>
      <c r="Q431" s="0" t="n">
        <v>-1.0575</v>
      </c>
      <c r="R431" s="0" t="n">
        <v>0.3659</v>
      </c>
      <c r="S431" s="0" t="n">
        <v>-1.4123</v>
      </c>
      <c r="T431" s="0" t="n">
        <v>0.271</v>
      </c>
      <c r="U431" s="0" t="n">
        <v>1.3606</v>
      </c>
      <c r="V431" s="0" t="n">
        <v>-0.1802</v>
      </c>
      <c r="W431" s="0" t="n">
        <v>-1.0044</v>
      </c>
      <c r="X431" s="0" t="n">
        <v>0.2509</v>
      </c>
      <c r="Y431" s="0" t="n">
        <v>1.9563</v>
      </c>
      <c r="Z431" s="0" t="n">
        <v>-0.4116</v>
      </c>
      <c r="AA431" s="0" t="n">
        <v>-1.2304</v>
      </c>
      <c r="AB431" s="0" t="n">
        <v>1.2669</v>
      </c>
      <c r="AC431" s="0" t="n">
        <v>-0.0134</v>
      </c>
      <c r="AD431" s="0" t="n">
        <v>-1.4201</v>
      </c>
      <c r="AE431" s="0" t="n">
        <v>-0.6963</v>
      </c>
      <c r="AG431" s="9" t="n">
        <f aca="false">SUMPRODUCT(($B$2:$AE$2&lt;=Portafolio!$B$5)*EXP(LN(Portafolio!$B$7)+Portafolio!$B$6*B431:AE431))/1000</f>
        <v>1.99869456226771</v>
      </c>
    </row>
    <row r="432" customFormat="false" ht="15" hidden="false" customHeight="false" outlineLevel="0" collapsed="false">
      <c r="A432" s="0" t="n">
        <v>430</v>
      </c>
      <c r="B432" s="0" t="n">
        <v>1.1394</v>
      </c>
      <c r="C432" s="0" t="n">
        <v>-1.3644</v>
      </c>
      <c r="D432" s="0" t="n">
        <v>-0.7955</v>
      </c>
      <c r="E432" s="0" t="n">
        <v>1.2518</v>
      </c>
      <c r="F432" s="0" t="n">
        <v>-0.4878</v>
      </c>
      <c r="G432" s="0" t="n">
        <v>-1.3347</v>
      </c>
      <c r="H432" s="0" t="n">
        <v>-0.0946</v>
      </c>
      <c r="I432" s="0" t="n">
        <v>1.103</v>
      </c>
      <c r="J432" s="0" t="n">
        <v>-1.7153</v>
      </c>
      <c r="K432" s="0" t="n">
        <v>1.1076</v>
      </c>
      <c r="L432" s="0" t="n">
        <v>0.2507</v>
      </c>
      <c r="M432" s="0" t="n">
        <v>0.4435</v>
      </c>
      <c r="N432" s="0" t="n">
        <v>0.6543</v>
      </c>
      <c r="O432" s="0" t="n">
        <v>-0.1004</v>
      </c>
      <c r="P432" s="0" t="n">
        <v>-1.9254</v>
      </c>
      <c r="Q432" s="0" t="n">
        <v>-0.0481</v>
      </c>
      <c r="R432" s="0" t="n">
        <v>0.6574</v>
      </c>
      <c r="S432" s="0" t="n">
        <v>2.1655</v>
      </c>
      <c r="T432" s="0" t="n">
        <v>-0.5632</v>
      </c>
      <c r="U432" s="0" t="n">
        <v>-1.1058</v>
      </c>
      <c r="V432" s="0" t="n">
        <v>0.8648</v>
      </c>
      <c r="W432" s="0" t="n">
        <v>-1.1755</v>
      </c>
      <c r="X432" s="0" t="n">
        <v>-0.3655</v>
      </c>
      <c r="Y432" s="0" t="n">
        <v>-0.7099</v>
      </c>
      <c r="Z432" s="0" t="n">
        <v>-0.6815</v>
      </c>
      <c r="AA432" s="0" t="n">
        <v>-0.3759</v>
      </c>
      <c r="AB432" s="0" t="n">
        <v>-0.1247</v>
      </c>
      <c r="AC432" s="0" t="n">
        <v>-1.6059</v>
      </c>
      <c r="AD432" s="0" t="n">
        <v>-0.8182</v>
      </c>
      <c r="AE432" s="0" t="n">
        <v>0.5725</v>
      </c>
      <c r="AG432" s="9" t="n">
        <f aca="false">SUMPRODUCT(($B$2:$AE$2&lt;=Portafolio!$B$5)*EXP(LN(Portafolio!$B$7)+Portafolio!$B$6*B432:AE432))/1000</f>
        <v>2.4095753703341</v>
      </c>
    </row>
    <row r="433" customFormat="false" ht="15" hidden="false" customHeight="false" outlineLevel="0" collapsed="false">
      <c r="A433" s="0" t="n">
        <v>431</v>
      </c>
      <c r="B433" s="0" t="n">
        <v>-0.0368</v>
      </c>
      <c r="C433" s="0" t="n">
        <v>-1.0247</v>
      </c>
      <c r="D433" s="0" t="n">
        <v>-0.5714</v>
      </c>
      <c r="E433" s="0" t="n">
        <v>0.7841</v>
      </c>
      <c r="F433" s="0" t="n">
        <v>0.4133</v>
      </c>
      <c r="G433" s="0" t="n">
        <v>-2.3046</v>
      </c>
      <c r="H433" s="0" t="n">
        <v>1.0058</v>
      </c>
      <c r="I433" s="0" t="n">
        <v>0.8704</v>
      </c>
      <c r="J433" s="0" t="n">
        <v>-0.4084</v>
      </c>
      <c r="K433" s="0" t="n">
        <v>0.518</v>
      </c>
      <c r="L433" s="0" t="n">
        <v>0.4381</v>
      </c>
      <c r="M433" s="0" t="n">
        <v>2.4221</v>
      </c>
      <c r="N433" s="0" t="n">
        <v>-0.3661</v>
      </c>
      <c r="O433" s="0" t="n">
        <v>-3.005</v>
      </c>
      <c r="P433" s="0" t="n">
        <v>0.1542</v>
      </c>
      <c r="Q433" s="0" t="n">
        <v>0.1024</v>
      </c>
      <c r="R433" s="0" t="n">
        <v>-2.7311</v>
      </c>
      <c r="S433" s="0" t="n">
        <v>-0.1929</v>
      </c>
      <c r="T433" s="0" t="n">
        <v>0.6655</v>
      </c>
      <c r="U433" s="0" t="n">
        <v>0.2389</v>
      </c>
      <c r="V433" s="0" t="n">
        <v>-0.234</v>
      </c>
      <c r="W433" s="0" t="n">
        <v>-0.5672</v>
      </c>
      <c r="X433" s="0" t="n">
        <v>-0.4186</v>
      </c>
      <c r="Y433" s="0" t="n">
        <v>0.6507</v>
      </c>
      <c r="Z433" s="0" t="n">
        <v>1.0384</v>
      </c>
      <c r="AA433" s="0" t="n">
        <v>0.0203</v>
      </c>
      <c r="AB433" s="0" t="n">
        <v>-0.7445</v>
      </c>
      <c r="AC433" s="0" t="n">
        <v>-0.1626</v>
      </c>
      <c r="AD433" s="0" t="n">
        <v>-1.1414</v>
      </c>
      <c r="AE433" s="0" t="n">
        <v>-0.1089</v>
      </c>
      <c r="AG433" s="9" t="n">
        <f aca="false">SUMPRODUCT(($B$2:$AE$2&lt;=Portafolio!$B$5)*EXP(LN(Portafolio!$B$7)+Portafolio!$B$6*B433:AE433))/1000</f>
        <v>2.34585883532112</v>
      </c>
    </row>
    <row r="434" customFormat="false" ht="15" hidden="false" customHeight="false" outlineLevel="0" collapsed="false">
      <c r="A434" s="0" t="n">
        <v>432</v>
      </c>
      <c r="B434" s="0" t="n">
        <v>0.9597</v>
      </c>
      <c r="C434" s="0" t="n">
        <v>-0.2138</v>
      </c>
      <c r="D434" s="0" t="n">
        <v>0.7844</v>
      </c>
      <c r="E434" s="0" t="n">
        <v>-1.8127</v>
      </c>
      <c r="F434" s="0" t="n">
        <v>2.3636</v>
      </c>
      <c r="G434" s="0" t="n">
        <v>0.3917</v>
      </c>
      <c r="H434" s="0" t="n">
        <v>-0.7696</v>
      </c>
      <c r="I434" s="0" t="n">
        <v>-0.1644</v>
      </c>
      <c r="J434" s="0" t="n">
        <v>-1.2222</v>
      </c>
      <c r="K434" s="0" t="n">
        <v>0.0037</v>
      </c>
      <c r="L434" s="0" t="n">
        <v>-0.8675</v>
      </c>
      <c r="M434" s="0" t="n">
        <v>1.3973</v>
      </c>
      <c r="N434" s="0" t="n">
        <v>0.8066</v>
      </c>
      <c r="O434" s="0" t="n">
        <v>0.4761</v>
      </c>
      <c r="P434" s="0" t="n">
        <v>-0.4746</v>
      </c>
      <c r="Q434" s="0" t="n">
        <v>-0.8759</v>
      </c>
      <c r="R434" s="0" t="n">
        <v>-0.8248</v>
      </c>
      <c r="S434" s="0" t="n">
        <v>1.3623</v>
      </c>
      <c r="T434" s="0" t="n">
        <v>-1.3104</v>
      </c>
      <c r="U434" s="0" t="n">
        <v>0.1913</v>
      </c>
      <c r="V434" s="0" t="n">
        <v>-0.4191</v>
      </c>
      <c r="W434" s="0" t="n">
        <v>0.019</v>
      </c>
      <c r="X434" s="0" t="n">
        <v>0.5414</v>
      </c>
      <c r="Y434" s="0" t="n">
        <v>0.8274</v>
      </c>
      <c r="Z434" s="0" t="n">
        <v>0.8136</v>
      </c>
      <c r="AA434" s="0" t="n">
        <v>0.1682</v>
      </c>
      <c r="AB434" s="0" t="n">
        <v>-0.7661</v>
      </c>
      <c r="AC434" s="0" t="n">
        <v>-0.9279</v>
      </c>
      <c r="AD434" s="0" t="n">
        <v>-0.5431</v>
      </c>
      <c r="AE434" s="0" t="n">
        <v>0.3897</v>
      </c>
      <c r="AG434" s="9" t="n">
        <f aca="false">SUMPRODUCT(($B$2:$AE$2&lt;=Portafolio!$B$5)*EXP(LN(Portafolio!$B$7)+Portafolio!$B$6*B434:AE434))/1000</f>
        <v>2.46642397875741</v>
      </c>
    </row>
    <row r="435" customFormat="false" ht="15" hidden="false" customHeight="false" outlineLevel="0" collapsed="false">
      <c r="A435" s="0" t="n">
        <v>433</v>
      </c>
      <c r="B435" s="0" t="n">
        <v>0.8539</v>
      </c>
      <c r="C435" s="0" t="n">
        <v>0.2463</v>
      </c>
      <c r="D435" s="0" t="n">
        <v>0.8955</v>
      </c>
      <c r="E435" s="0" t="n">
        <v>0.0797</v>
      </c>
      <c r="F435" s="0" t="n">
        <v>-0.8756</v>
      </c>
      <c r="G435" s="0" t="n">
        <v>-0.8426</v>
      </c>
      <c r="H435" s="0" t="n">
        <v>1.355</v>
      </c>
      <c r="I435" s="0" t="n">
        <v>0.395</v>
      </c>
      <c r="J435" s="0" t="n">
        <v>0.209</v>
      </c>
      <c r="K435" s="0" t="n">
        <v>-0.2662</v>
      </c>
      <c r="L435" s="0" t="n">
        <v>0.4528</v>
      </c>
      <c r="M435" s="0" t="n">
        <v>0.2499</v>
      </c>
      <c r="N435" s="0" t="n">
        <v>-0.5379</v>
      </c>
      <c r="O435" s="0" t="n">
        <v>0.0134</v>
      </c>
      <c r="P435" s="0" t="n">
        <v>-0.5438</v>
      </c>
      <c r="Q435" s="0" t="n">
        <v>-0.6416</v>
      </c>
      <c r="R435" s="0" t="n">
        <v>0.1113</v>
      </c>
      <c r="S435" s="0" t="n">
        <v>-1.0464</v>
      </c>
      <c r="T435" s="0" t="n">
        <v>0.7371</v>
      </c>
      <c r="U435" s="0" t="n">
        <v>-0.3635</v>
      </c>
      <c r="V435" s="0" t="n">
        <v>0.9292</v>
      </c>
      <c r="W435" s="0" t="n">
        <v>-1.0166</v>
      </c>
      <c r="X435" s="0" t="n">
        <v>-0.8856</v>
      </c>
      <c r="Y435" s="0" t="n">
        <v>1.898</v>
      </c>
      <c r="Z435" s="0" t="n">
        <v>1.4809</v>
      </c>
      <c r="AA435" s="0" t="n">
        <v>0.2885</v>
      </c>
      <c r="AB435" s="0" t="n">
        <v>1.5153</v>
      </c>
      <c r="AC435" s="0" t="n">
        <v>0.5572</v>
      </c>
      <c r="AD435" s="0" t="n">
        <v>0.4664</v>
      </c>
      <c r="AE435" s="0" t="n">
        <v>0.3453</v>
      </c>
      <c r="AG435" s="9" t="n">
        <f aca="false">SUMPRODUCT(($B$2:$AE$2&lt;=Portafolio!$B$5)*EXP(LN(Portafolio!$B$7)+Portafolio!$B$6*B435:AE435))/1000</f>
        <v>2.18627255147875</v>
      </c>
    </row>
    <row r="436" customFormat="false" ht="15" hidden="false" customHeight="false" outlineLevel="0" collapsed="false">
      <c r="A436" s="0" t="n">
        <v>434</v>
      </c>
      <c r="B436" s="0" t="n">
        <v>1.5719</v>
      </c>
      <c r="C436" s="0" t="n">
        <v>1.0296</v>
      </c>
      <c r="D436" s="0" t="n">
        <v>-1.1766</v>
      </c>
      <c r="E436" s="0" t="n">
        <v>0.1537</v>
      </c>
      <c r="F436" s="0" t="n">
        <v>-1.6895</v>
      </c>
      <c r="G436" s="0" t="n">
        <v>-0.3501</v>
      </c>
      <c r="H436" s="0" t="n">
        <v>-0.2219</v>
      </c>
      <c r="I436" s="0" t="n">
        <v>0.7348</v>
      </c>
      <c r="J436" s="0" t="n">
        <v>0.8786</v>
      </c>
      <c r="K436" s="0" t="n">
        <v>-0.3486</v>
      </c>
      <c r="L436" s="0" t="n">
        <v>0.0356</v>
      </c>
      <c r="M436" s="0" t="n">
        <v>1.1945</v>
      </c>
      <c r="N436" s="0" t="n">
        <v>0.0566</v>
      </c>
      <c r="O436" s="0" t="n">
        <v>-0.5365</v>
      </c>
      <c r="P436" s="0" t="n">
        <v>-0.215</v>
      </c>
      <c r="Q436" s="0" t="n">
        <v>1.4781</v>
      </c>
      <c r="R436" s="0" t="n">
        <v>0.1118</v>
      </c>
      <c r="S436" s="0" t="n">
        <v>0.2194</v>
      </c>
      <c r="T436" s="0" t="n">
        <v>0.0159</v>
      </c>
      <c r="U436" s="0" t="n">
        <v>0.5087</v>
      </c>
      <c r="V436" s="0" t="n">
        <v>-0.0592</v>
      </c>
      <c r="W436" s="0" t="n">
        <v>1.2164</v>
      </c>
      <c r="X436" s="0" t="n">
        <v>1.432</v>
      </c>
      <c r="Y436" s="0" t="n">
        <v>0.3252</v>
      </c>
      <c r="Z436" s="0" t="n">
        <v>-1.5242</v>
      </c>
      <c r="AA436" s="0" t="n">
        <v>1.2262</v>
      </c>
      <c r="AB436" s="0" t="n">
        <v>0.2344</v>
      </c>
      <c r="AC436" s="0" t="n">
        <v>0.0807</v>
      </c>
      <c r="AD436" s="0" t="n">
        <v>-2.1591</v>
      </c>
      <c r="AE436" s="0" t="n">
        <v>0.6465</v>
      </c>
      <c r="AG436" s="9" t="n">
        <f aca="false">SUMPRODUCT(($B$2:$AE$2&lt;=Portafolio!$B$5)*EXP(LN(Portafolio!$B$7)+Portafolio!$B$6*B436:AE436))/1000</f>
        <v>2.48328728876796</v>
      </c>
    </row>
    <row r="437" customFormat="false" ht="15" hidden="false" customHeight="false" outlineLevel="0" collapsed="false">
      <c r="A437" s="0" t="n">
        <v>435</v>
      </c>
      <c r="B437" s="0" t="n">
        <v>0.428</v>
      </c>
      <c r="C437" s="0" t="n">
        <v>-3.0241</v>
      </c>
      <c r="D437" s="0" t="n">
        <v>0.6122</v>
      </c>
      <c r="E437" s="0" t="n">
        <v>2.6228</v>
      </c>
      <c r="F437" s="0" t="n">
        <v>1.582</v>
      </c>
      <c r="G437" s="0" t="n">
        <v>0.4018</v>
      </c>
      <c r="H437" s="0" t="n">
        <v>-0.1795</v>
      </c>
      <c r="I437" s="0" t="n">
        <v>-0.6065</v>
      </c>
      <c r="J437" s="0" t="n">
        <v>1.648</v>
      </c>
      <c r="K437" s="0" t="n">
        <v>0.7125</v>
      </c>
      <c r="L437" s="0" t="n">
        <v>-0.6068</v>
      </c>
      <c r="M437" s="0" t="n">
        <v>-1.2892</v>
      </c>
      <c r="N437" s="0" t="n">
        <v>0.6419</v>
      </c>
      <c r="O437" s="0" t="n">
        <v>-0.364</v>
      </c>
      <c r="P437" s="0" t="n">
        <v>1.9867</v>
      </c>
      <c r="Q437" s="0" t="n">
        <v>0.9986</v>
      </c>
      <c r="R437" s="0" t="n">
        <v>0.2054</v>
      </c>
      <c r="S437" s="0" t="n">
        <v>0.6295</v>
      </c>
      <c r="T437" s="0" t="n">
        <v>0.413</v>
      </c>
      <c r="U437" s="0" t="n">
        <v>-0.924</v>
      </c>
      <c r="V437" s="0" t="n">
        <v>0.5607</v>
      </c>
      <c r="W437" s="0" t="n">
        <v>1.1448</v>
      </c>
      <c r="X437" s="0" t="n">
        <v>-0.5051</v>
      </c>
      <c r="Y437" s="0" t="n">
        <v>-0.3787</v>
      </c>
      <c r="Z437" s="0" t="n">
        <v>0.4357</v>
      </c>
      <c r="AA437" s="0" t="n">
        <v>-0.1708</v>
      </c>
      <c r="AB437" s="0" t="n">
        <v>1.2881</v>
      </c>
      <c r="AC437" s="0" t="n">
        <v>0.8672</v>
      </c>
      <c r="AD437" s="0" t="n">
        <v>1.092</v>
      </c>
      <c r="AE437" s="0" t="n">
        <v>0.304</v>
      </c>
      <c r="AG437" s="9" t="n">
        <f aca="false">SUMPRODUCT(($B$2:$AE$2&lt;=Portafolio!$B$5)*EXP(LN(Portafolio!$B$7)+Portafolio!$B$6*B437:AE437))/1000</f>
        <v>3.03843539097138</v>
      </c>
    </row>
    <row r="438" customFormat="false" ht="15" hidden="false" customHeight="false" outlineLevel="0" collapsed="false">
      <c r="A438" s="0" t="n">
        <v>436</v>
      </c>
      <c r="B438" s="0" t="n">
        <v>-0.0637</v>
      </c>
      <c r="C438" s="0" t="n">
        <v>1.3979</v>
      </c>
      <c r="D438" s="0" t="n">
        <v>0.5287</v>
      </c>
      <c r="E438" s="0" t="n">
        <v>0.5249</v>
      </c>
      <c r="F438" s="0" t="n">
        <v>1.4294</v>
      </c>
      <c r="G438" s="0" t="n">
        <v>-0.712</v>
      </c>
      <c r="H438" s="0" t="n">
        <v>-1.5337</v>
      </c>
      <c r="I438" s="0" t="n">
        <v>-0.2942</v>
      </c>
      <c r="J438" s="0" t="n">
        <v>0.3853</v>
      </c>
      <c r="K438" s="0" t="n">
        <v>1.0383</v>
      </c>
      <c r="L438" s="0" t="n">
        <v>-0.1765</v>
      </c>
      <c r="M438" s="0" t="n">
        <v>-0.4161</v>
      </c>
      <c r="N438" s="0" t="n">
        <v>-0.5686</v>
      </c>
      <c r="O438" s="0" t="n">
        <v>-0.0666</v>
      </c>
      <c r="P438" s="0" t="n">
        <v>-0.3925</v>
      </c>
      <c r="Q438" s="0" t="n">
        <v>1.3487</v>
      </c>
      <c r="R438" s="0" t="n">
        <v>2.5908</v>
      </c>
      <c r="S438" s="0" t="n">
        <v>-0.0975</v>
      </c>
      <c r="T438" s="0" t="n">
        <v>0.1031</v>
      </c>
      <c r="U438" s="0" t="n">
        <v>-0.2684</v>
      </c>
      <c r="V438" s="0" t="n">
        <v>0.3131</v>
      </c>
      <c r="W438" s="0" t="n">
        <v>-0.6899</v>
      </c>
      <c r="X438" s="0" t="n">
        <v>-0.0928</v>
      </c>
      <c r="Y438" s="0" t="n">
        <v>-0.626</v>
      </c>
      <c r="Z438" s="0" t="n">
        <v>-0.0938</v>
      </c>
      <c r="AA438" s="0" t="n">
        <v>-0.6178</v>
      </c>
      <c r="AB438" s="0" t="n">
        <v>0.7824</v>
      </c>
      <c r="AC438" s="0" t="n">
        <v>-1.0574</v>
      </c>
      <c r="AD438" s="0" t="n">
        <v>1.4552</v>
      </c>
      <c r="AE438" s="0" t="n">
        <v>0.1684</v>
      </c>
      <c r="AG438" s="9" t="n">
        <f aca="false">SUMPRODUCT(($B$2:$AE$2&lt;=Portafolio!$B$5)*EXP(LN(Portafolio!$B$7)+Portafolio!$B$6*B438:AE438))/1000</f>
        <v>2.73680905231419</v>
      </c>
    </row>
    <row r="439" customFormat="false" ht="15" hidden="false" customHeight="false" outlineLevel="0" collapsed="false">
      <c r="A439" s="0" t="n">
        <v>437</v>
      </c>
      <c r="B439" s="0" t="n">
        <v>-1.1835</v>
      </c>
      <c r="C439" s="0" t="n">
        <v>-1.3309</v>
      </c>
      <c r="D439" s="0" t="n">
        <v>-0.744</v>
      </c>
      <c r="E439" s="0" t="n">
        <v>-1.5215</v>
      </c>
      <c r="F439" s="0" t="n">
        <v>-0.0169</v>
      </c>
      <c r="G439" s="0" t="n">
        <v>2.1028</v>
      </c>
      <c r="H439" s="0" t="n">
        <v>-0.1172</v>
      </c>
      <c r="I439" s="0" t="n">
        <v>0.6984</v>
      </c>
      <c r="J439" s="0" t="n">
        <v>0.2085</v>
      </c>
      <c r="K439" s="0" t="n">
        <v>-0.1695</v>
      </c>
      <c r="L439" s="0" t="n">
        <v>1.8527</v>
      </c>
      <c r="M439" s="0" t="n">
        <v>0.4873</v>
      </c>
      <c r="N439" s="0" t="n">
        <v>-1.2521</v>
      </c>
      <c r="O439" s="0" t="n">
        <v>0.0908</v>
      </c>
      <c r="P439" s="0" t="n">
        <v>-1.2222</v>
      </c>
      <c r="Q439" s="0" t="n">
        <v>-0.178</v>
      </c>
      <c r="R439" s="0" t="n">
        <v>0.1843</v>
      </c>
      <c r="S439" s="0" t="n">
        <v>1.3122</v>
      </c>
      <c r="T439" s="0" t="n">
        <v>0.236</v>
      </c>
      <c r="U439" s="0" t="n">
        <v>-0.6752</v>
      </c>
      <c r="V439" s="0" t="n">
        <v>0.2199</v>
      </c>
      <c r="W439" s="0" t="n">
        <v>0.4329</v>
      </c>
      <c r="X439" s="0" t="n">
        <v>-0.6632</v>
      </c>
      <c r="Y439" s="0" t="n">
        <v>-0.1084</v>
      </c>
      <c r="Z439" s="0" t="n">
        <v>1.1772</v>
      </c>
      <c r="AA439" s="0" t="n">
        <v>2.5554</v>
      </c>
      <c r="AB439" s="0" t="n">
        <v>0.5023</v>
      </c>
      <c r="AC439" s="0" t="n">
        <v>-0.705</v>
      </c>
      <c r="AD439" s="0" t="n">
        <v>0.922</v>
      </c>
      <c r="AE439" s="0" t="n">
        <v>-0.6584</v>
      </c>
      <c r="AG439" s="9" t="n">
        <f aca="false">SUMPRODUCT(($B$2:$AE$2&lt;=Portafolio!$B$5)*EXP(LN(Portafolio!$B$7)+Portafolio!$B$6*B439:AE439))/1000</f>
        <v>2.34123938367219</v>
      </c>
    </row>
    <row r="440" customFormat="false" ht="15" hidden="false" customHeight="false" outlineLevel="0" collapsed="false">
      <c r="A440" s="0" t="n">
        <v>438</v>
      </c>
      <c r="B440" s="0" t="n">
        <v>-0.6926</v>
      </c>
      <c r="C440" s="0" t="n">
        <v>-0.1513</v>
      </c>
      <c r="D440" s="0" t="n">
        <v>-1.6887</v>
      </c>
      <c r="E440" s="0" t="n">
        <v>3.6453</v>
      </c>
      <c r="F440" s="0" t="n">
        <v>0.3624</v>
      </c>
      <c r="G440" s="0" t="n">
        <v>0.0685</v>
      </c>
      <c r="H440" s="0" t="n">
        <v>0.7066</v>
      </c>
      <c r="I440" s="0" t="n">
        <v>-1.1469</v>
      </c>
      <c r="J440" s="0" t="n">
        <v>-2.6495</v>
      </c>
      <c r="K440" s="0" t="n">
        <v>0.5289</v>
      </c>
      <c r="L440" s="0" t="n">
        <v>0.7347</v>
      </c>
      <c r="M440" s="0" t="n">
        <v>-0.061</v>
      </c>
      <c r="N440" s="0" t="n">
        <v>-0.7177</v>
      </c>
      <c r="O440" s="0" t="n">
        <v>0.3567</v>
      </c>
      <c r="P440" s="0" t="n">
        <v>-0.5761</v>
      </c>
      <c r="Q440" s="0" t="n">
        <v>1.231</v>
      </c>
      <c r="R440" s="0" t="n">
        <v>-0.0359</v>
      </c>
      <c r="S440" s="0" t="n">
        <v>0.7543</v>
      </c>
      <c r="T440" s="0" t="n">
        <v>-1.7402</v>
      </c>
      <c r="U440" s="0" t="n">
        <v>-0.7994</v>
      </c>
      <c r="V440" s="0" t="n">
        <v>-0.7392</v>
      </c>
      <c r="W440" s="0" t="n">
        <v>0.4167</v>
      </c>
      <c r="X440" s="0" t="n">
        <v>-0.9164</v>
      </c>
      <c r="Y440" s="0" t="n">
        <v>-0.6529</v>
      </c>
      <c r="Z440" s="0" t="n">
        <v>-1.2659</v>
      </c>
      <c r="AA440" s="0" t="n">
        <v>-0.3239</v>
      </c>
      <c r="AB440" s="0" t="n">
        <v>-1.6648</v>
      </c>
      <c r="AC440" s="0" t="n">
        <v>-1.1549</v>
      </c>
      <c r="AD440" s="0" t="n">
        <v>0.5209</v>
      </c>
      <c r="AE440" s="0" t="n">
        <v>0.6847</v>
      </c>
      <c r="AG440" s="9" t="n">
        <f aca="false">SUMPRODUCT(($B$2:$AE$2&lt;=Portafolio!$B$5)*EXP(LN(Portafolio!$B$7)+Portafolio!$B$6*B440:AE440))/1000</f>
        <v>2.74687162791643</v>
      </c>
    </row>
    <row r="441" customFormat="false" ht="15" hidden="false" customHeight="false" outlineLevel="0" collapsed="false">
      <c r="A441" s="0" t="n">
        <v>439</v>
      </c>
      <c r="B441" s="0" t="n">
        <v>1.6803</v>
      </c>
      <c r="C441" s="0" t="n">
        <v>1.1691</v>
      </c>
      <c r="D441" s="0" t="n">
        <v>1.3674</v>
      </c>
      <c r="E441" s="0" t="n">
        <v>0.5828</v>
      </c>
      <c r="F441" s="0" t="n">
        <v>-0.7001</v>
      </c>
      <c r="G441" s="0" t="n">
        <v>-0.8516</v>
      </c>
      <c r="H441" s="0" t="n">
        <v>0.8039</v>
      </c>
      <c r="I441" s="0" t="n">
        <v>1.0182</v>
      </c>
      <c r="J441" s="0" t="n">
        <v>-0.9065</v>
      </c>
      <c r="K441" s="0" t="n">
        <v>1.0314</v>
      </c>
      <c r="L441" s="0" t="n">
        <v>0.1365</v>
      </c>
      <c r="M441" s="0" t="n">
        <v>0.4456</v>
      </c>
      <c r="N441" s="0" t="n">
        <v>-0.919</v>
      </c>
      <c r="O441" s="0" t="n">
        <v>-2.049</v>
      </c>
      <c r="P441" s="0" t="n">
        <v>-1.316</v>
      </c>
      <c r="Q441" s="0" t="n">
        <v>-0.3006</v>
      </c>
      <c r="R441" s="0" t="n">
        <v>0.7671</v>
      </c>
      <c r="S441" s="0" t="n">
        <v>-0.2491</v>
      </c>
      <c r="T441" s="0" t="n">
        <v>1.2622</v>
      </c>
      <c r="U441" s="0" t="n">
        <v>-1.1939</v>
      </c>
      <c r="V441" s="0" t="n">
        <v>1.6802</v>
      </c>
      <c r="W441" s="0" t="n">
        <v>0.3011</v>
      </c>
      <c r="X441" s="0" t="n">
        <v>-0.5527</v>
      </c>
      <c r="Y441" s="0" t="n">
        <v>-0.437</v>
      </c>
      <c r="Z441" s="0" t="n">
        <v>0.9601</v>
      </c>
      <c r="AA441" s="0" t="n">
        <v>-0.9943</v>
      </c>
      <c r="AB441" s="0" t="n">
        <v>-1.2178</v>
      </c>
      <c r="AC441" s="0" t="n">
        <v>0.005</v>
      </c>
      <c r="AD441" s="0" t="n">
        <v>0.6358</v>
      </c>
      <c r="AE441" s="0" t="n">
        <v>-0.1941</v>
      </c>
      <c r="AG441" s="9" t="n">
        <f aca="false">SUMPRODUCT(($B$2:$AE$2&lt;=Portafolio!$B$5)*EXP(LN(Portafolio!$B$7)+Portafolio!$B$6*B441:AE441))/1000</f>
        <v>2.52197952812981</v>
      </c>
    </row>
    <row r="442" customFormat="false" ht="15" hidden="false" customHeight="false" outlineLevel="0" collapsed="false">
      <c r="A442" s="0" t="n">
        <v>440</v>
      </c>
      <c r="B442" s="0" t="n">
        <v>-0.2518</v>
      </c>
      <c r="C442" s="0" t="n">
        <v>1.1282</v>
      </c>
      <c r="D442" s="0" t="n">
        <v>-0.0016</v>
      </c>
      <c r="E442" s="0" t="n">
        <v>0.0167</v>
      </c>
      <c r="F442" s="0" t="n">
        <v>1.7612</v>
      </c>
      <c r="G442" s="0" t="n">
        <v>1.6738</v>
      </c>
      <c r="H442" s="0" t="n">
        <v>-0.9077</v>
      </c>
      <c r="I442" s="0" t="n">
        <v>-0.9856</v>
      </c>
      <c r="J442" s="0" t="n">
        <v>-1.1362</v>
      </c>
      <c r="K442" s="0" t="n">
        <v>0.5914</v>
      </c>
      <c r="L442" s="0" t="n">
        <v>0.6162</v>
      </c>
      <c r="M442" s="0" t="n">
        <v>-0.2765</v>
      </c>
      <c r="N442" s="0" t="n">
        <v>-0.1485</v>
      </c>
      <c r="O442" s="0" t="n">
        <v>-0.7263</v>
      </c>
      <c r="P442" s="0" t="n">
        <v>0.2626</v>
      </c>
      <c r="Q442" s="0" t="n">
        <v>0.974</v>
      </c>
      <c r="R442" s="0" t="n">
        <v>-1.368</v>
      </c>
      <c r="S442" s="0" t="n">
        <v>-0.628</v>
      </c>
      <c r="T442" s="0" t="n">
        <v>0.7848</v>
      </c>
      <c r="U442" s="0" t="n">
        <v>0.2865</v>
      </c>
      <c r="V442" s="0" t="n">
        <v>-0.2526</v>
      </c>
      <c r="W442" s="0" t="n">
        <v>-0.148</v>
      </c>
      <c r="X442" s="0" t="n">
        <v>-2.6378</v>
      </c>
      <c r="Y442" s="0" t="n">
        <v>-1.2095</v>
      </c>
      <c r="Z442" s="0" t="n">
        <v>-0.3256</v>
      </c>
      <c r="AA442" s="0" t="n">
        <v>-0.2591</v>
      </c>
      <c r="AB442" s="0" t="n">
        <v>-0.7948</v>
      </c>
      <c r="AC442" s="0" t="n">
        <v>-0.27</v>
      </c>
      <c r="AD442" s="0" t="n">
        <v>-0.0375</v>
      </c>
      <c r="AE442" s="0" t="n">
        <v>-1.1762</v>
      </c>
      <c r="AG442" s="9" t="n">
        <f aca="false">SUMPRODUCT(($B$2:$AE$2&lt;=Portafolio!$B$5)*EXP(LN(Portafolio!$B$7)+Portafolio!$B$6*B442:AE442))/1000</f>
        <v>2.42445266634009</v>
      </c>
    </row>
    <row r="443" customFormat="false" ht="15" hidden="false" customHeight="false" outlineLevel="0" collapsed="false">
      <c r="A443" s="0" t="n">
        <v>441</v>
      </c>
      <c r="B443" s="0" t="n">
        <v>-0.0103</v>
      </c>
      <c r="C443" s="0" t="n">
        <v>0.0152</v>
      </c>
      <c r="D443" s="0" t="n">
        <v>-0.0206</v>
      </c>
      <c r="E443" s="0" t="n">
        <v>0.3091</v>
      </c>
      <c r="F443" s="0" t="n">
        <v>0.7344</v>
      </c>
      <c r="G443" s="0" t="n">
        <v>2.0329</v>
      </c>
      <c r="H443" s="0" t="n">
        <v>-2.3089</v>
      </c>
      <c r="I443" s="0" t="n">
        <v>2.0551</v>
      </c>
      <c r="J443" s="0" t="n">
        <v>0.1164</v>
      </c>
      <c r="K443" s="0" t="n">
        <v>0.7053</v>
      </c>
      <c r="L443" s="0" t="n">
        <v>-0.2822</v>
      </c>
      <c r="M443" s="0" t="n">
        <v>0.3156</v>
      </c>
      <c r="N443" s="0" t="n">
        <v>-0.3942</v>
      </c>
      <c r="O443" s="0" t="n">
        <v>-0.0438</v>
      </c>
      <c r="P443" s="0" t="n">
        <v>2.0646</v>
      </c>
      <c r="Q443" s="0" t="n">
        <v>0.456</v>
      </c>
      <c r="R443" s="0" t="n">
        <v>-0.9913</v>
      </c>
      <c r="S443" s="0" t="n">
        <v>1.202</v>
      </c>
      <c r="T443" s="0" t="n">
        <v>-0.2163</v>
      </c>
      <c r="U443" s="0" t="n">
        <v>-1.0654</v>
      </c>
      <c r="V443" s="0" t="n">
        <v>-1.3373</v>
      </c>
      <c r="W443" s="0" t="n">
        <v>0.8033</v>
      </c>
      <c r="X443" s="0" t="n">
        <v>0.0248</v>
      </c>
      <c r="Y443" s="0" t="n">
        <v>0.6785</v>
      </c>
      <c r="Z443" s="0" t="n">
        <v>-1.5423</v>
      </c>
      <c r="AA443" s="0" t="n">
        <v>-1.3333</v>
      </c>
      <c r="AB443" s="0" t="n">
        <v>-0.1788</v>
      </c>
      <c r="AC443" s="0" t="n">
        <v>0.5976</v>
      </c>
      <c r="AD443" s="0" t="n">
        <v>-0.437</v>
      </c>
      <c r="AE443" s="0" t="n">
        <v>1.2765</v>
      </c>
      <c r="AG443" s="9" t="n">
        <f aca="false">SUMPRODUCT(($B$2:$AE$2&lt;=Portafolio!$B$5)*EXP(LN(Portafolio!$B$7)+Portafolio!$B$6*B443:AE443))/1000</f>
        <v>2.80123291697596</v>
      </c>
    </row>
    <row r="444" customFormat="false" ht="15" hidden="false" customHeight="false" outlineLevel="0" collapsed="false">
      <c r="A444" s="0" t="n">
        <v>442</v>
      </c>
      <c r="B444" s="0" t="n">
        <v>-0.1414</v>
      </c>
      <c r="C444" s="0" t="n">
        <v>-1.0195</v>
      </c>
      <c r="D444" s="0" t="n">
        <v>0.5552</v>
      </c>
      <c r="E444" s="0" t="n">
        <v>0.6629</v>
      </c>
      <c r="F444" s="0" t="n">
        <v>0.4383</v>
      </c>
      <c r="G444" s="0" t="n">
        <v>0.2911</v>
      </c>
      <c r="H444" s="0" t="n">
        <v>-1.4305</v>
      </c>
      <c r="I444" s="0" t="n">
        <v>0.4897</v>
      </c>
      <c r="J444" s="0" t="n">
        <v>-0.316</v>
      </c>
      <c r="K444" s="0" t="n">
        <v>-1.5112</v>
      </c>
      <c r="L444" s="0" t="n">
        <v>-0.0048</v>
      </c>
      <c r="M444" s="0" t="n">
        <v>-0.0988</v>
      </c>
      <c r="N444" s="0" t="n">
        <v>-0.6857</v>
      </c>
      <c r="O444" s="0" t="n">
        <v>0.6156</v>
      </c>
      <c r="P444" s="0" t="n">
        <v>-0.6857</v>
      </c>
      <c r="Q444" s="0" t="n">
        <v>-1.0109</v>
      </c>
      <c r="R444" s="0" t="n">
        <v>1.3159</v>
      </c>
      <c r="S444" s="0" t="n">
        <v>0.3465</v>
      </c>
      <c r="T444" s="0" t="n">
        <v>1.085</v>
      </c>
      <c r="U444" s="0" t="n">
        <v>1.1228</v>
      </c>
      <c r="V444" s="0" t="n">
        <v>0.3207</v>
      </c>
      <c r="W444" s="0" t="n">
        <v>1.3887</v>
      </c>
      <c r="X444" s="0" t="n">
        <v>-1.9576</v>
      </c>
      <c r="Y444" s="0" t="n">
        <v>-0.2169</v>
      </c>
      <c r="Z444" s="0" t="n">
        <v>1.9118</v>
      </c>
      <c r="AA444" s="0" t="n">
        <v>-1.262</v>
      </c>
      <c r="AB444" s="0" t="n">
        <v>-1.8285</v>
      </c>
      <c r="AC444" s="0" t="n">
        <v>-0.4928</v>
      </c>
      <c r="AD444" s="0" t="n">
        <v>-0.5628</v>
      </c>
      <c r="AE444" s="0" t="n">
        <v>-0.6576</v>
      </c>
      <c r="AG444" s="9" t="n">
        <f aca="false">SUMPRODUCT(($B$2:$AE$2&lt;=Portafolio!$B$5)*EXP(LN(Portafolio!$B$7)+Portafolio!$B$6*B444:AE444))/1000</f>
        <v>2.24024612004365</v>
      </c>
    </row>
    <row r="445" customFormat="false" ht="15" hidden="false" customHeight="false" outlineLevel="0" collapsed="false">
      <c r="A445" s="0" t="n">
        <v>443</v>
      </c>
      <c r="B445" s="0" t="n">
        <v>-0.2631</v>
      </c>
      <c r="C445" s="0" t="n">
        <v>-0.5766</v>
      </c>
      <c r="D445" s="0" t="n">
        <v>0.2505</v>
      </c>
      <c r="E445" s="0" t="n">
        <v>-0.1593</v>
      </c>
      <c r="F445" s="0" t="n">
        <v>0.6532</v>
      </c>
      <c r="G445" s="0" t="n">
        <v>-0.2291</v>
      </c>
      <c r="H445" s="0" t="n">
        <v>-0.3808</v>
      </c>
      <c r="I445" s="0" t="n">
        <v>0.279</v>
      </c>
      <c r="J445" s="0" t="n">
        <v>-1.0842</v>
      </c>
      <c r="K445" s="0" t="n">
        <v>-0.2674</v>
      </c>
      <c r="L445" s="0" t="n">
        <v>0.4755</v>
      </c>
      <c r="M445" s="0" t="n">
        <v>-0.4619</v>
      </c>
      <c r="N445" s="0" t="n">
        <v>0.8983</v>
      </c>
      <c r="O445" s="0" t="n">
        <v>-0.2829</v>
      </c>
      <c r="P445" s="0" t="n">
        <v>-0.0645</v>
      </c>
      <c r="Q445" s="0" t="n">
        <v>0.2762</v>
      </c>
      <c r="R445" s="0" t="n">
        <v>0.1626</v>
      </c>
      <c r="S445" s="0" t="n">
        <v>0.0306</v>
      </c>
      <c r="T445" s="0" t="n">
        <v>-1.853</v>
      </c>
      <c r="U445" s="0" t="n">
        <v>0.0066</v>
      </c>
      <c r="V445" s="0" t="n">
        <v>2.4286</v>
      </c>
      <c r="W445" s="0" t="n">
        <v>-1.7819</v>
      </c>
      <c r="X445" s="0" t="n">
        <v>-0.5705</v>
      </c>
      <c r="Y445" s="0" t="n">
        <v>-0.5555</v>
      </c>
      <c r="Z445" s="0" t="n">
        <v>0.3986</v>
      </c>
      <c r="AA445" s="0" t="n">
        <v>-0.9177</v>
      </c>
      <c r="AB445" s="0" t="n">
        <v>-0.3116</v>
      </c>
      <c r="AC445" s="0" t="n">
        <v>-0.391</v>
      </c>
      <c r="AD445" s="0" t="n">
        <v>-1.4965</v>
      </c>
      <c r="AE445" s="0" t="n">
        <v>-0.0014</v>
      </c>
      <c r="AG445" s="9" t="n">
        <f aca="false">SUMPRODUCT(($B$2:$AE$2&lt;=Portafolio!$B$5)*EXP(LN(Portafolio!$B$7)+Portafolio!$B$6*B445:AE445))/1000</f>
        <v>1.95779139253293</v>
      </c>
    </row>
    <row r="446" customFormat="false" ht="15" hidden="false" customHeight="false" outlineLevel="0" collapsed="false">
      <c r="A446" s="0" t="n">
        <v>444</v>
      </c>
      <c r="B446" s="0" t="n">
        <v>1.2668</v>
      </c>
      <c r="C446" s="0" t="n">
        <v>0.1356</v>
      </c>
      <c r="D446" s="0" t="n">
        <v>-0.0917</v>
      </c>
      <c r="E446" s="0" t="n">
        <v>-0.2141</v>
      </c>
      <c r="F446" s="0" t="n">
        <v>-0.5072</v>
      </c>
      <c r="G446" s="0" t="n">
        <v>-1.5501</v>
      </c>
      <c r="H446" s="0" t="n">
        <v>-0.0066</v>
      </c>
      <c r="I446" s="0" t="n">
        <v>0.6896</v>
      </c>
      <c r="J446" s="0" t="n">
        <v>-1.8854</v>
      </c>
      <c r="K446" s="0" t="n">
        <v>-1.8716</v>
      </c>
      <c r="L446" s="0" t="n">
        <v>0.2009</v>
      </c>
      <c r="M446" s="0" t="n">
        <v>1.6922</v>
      </c>
      <c r="N446" s="0" t="n">
        <v>1.3952</v>
      </c>
      <c r="O446" s="0" t="n">
        <v>0.355</v>
      </c>
      <c r="P446" s="0" t="n">
        <v>-1.0424</v>
      </c>
      <c r="Q446" s="0" t="n">
        <v>1.8557</v>
      </c>
      <c r="R446" s="0" t="n">
        <v>0.0012</v>
      </c>
      <c r="S446" s="0" t="n">
        <v>-0.813</v>
      </c>
      <c r="T446" s="0" t="n">
        <v>-1.0633</v>
      </c>
      <c r="U446" s="0" t="n">
        <v>1.2748</v>
      </c>
      <c r="V446" s="0" t="n">
        <v>-0.0353</v>
      </c>
      <c r="W446" s="0" t="n">
        <v>0.9298</v>
      </c>
      <c r="X446" s="0" t="n">
        <v>-1.0587</v>
      </c>
      <c r="Y446" s="0" t="n">
        <v>0.4732</v>
      </c>
      <c r="Z446" s="0" t="n">
        <v>-0.7626</v>
      </c>
      <c r="AA446" s="0" t="n">
        <v>1.0111</v>
      </c>
      <c r="AB446" s="0" t="n">
        <v>-1.6238</v>
      </c>
      <c r="AC446" s="0" t="n">
        <v>1.0189</v>
      </c>
      <c r="AD446" s="0" t="n">
        <v>-0.8851</v>
      </c>
      <c r="AE446" s="0" t="n">
        <v>-0.3061</v>
      </c>
      <c r="AG446" s="9" t="n">
        <f aca="false">SUMPRODUCT(($B$2:$AE$2&lt;=Portafolio!$B$5)*EXP(LN(Portafolio!$B$7)+Portafolio!$B$6*B446:AE446))/1000</f>
        <v>2.46447818835705</v>
      </c>
    </row>
    <row r="447" customFormat="false" ht="15" hidden="false" customHeight="false" outlineLevel="0" collapsed="false">
      <c r="A447" s="0" t="n">
        <v>445</v>
      </c>
      <c r="B447" s="0" t="n">
        <v>-1.2096</v>
      </c>
      <c r="C447" s="0" t="n">
        <v>1.476</v>
      </c>
      <c r="D447" s="0" t="n">
        <v>-0.0789</v>
      </c>
      <c r="E447" s="0" t="n">
        <v>0.0119</v>
      </c>
      <c r="F447" s="0" t="n">
        <v>-0.7443</v>
      </c>
      <c r="G447" s="0" t="n">
        <v>-0.4264</v>
      </c>
      <c r="H447" s="0" t="n">
        <v>-0.0596</v>
      </c>
      <c r="I447" s="0" t="n">
        <v>-0.1323</v>
      </c>
      <c r="J447" s="0" t="n">
        <v>-0.2394</v>
      </c>
      <c r="K447" s="0" t="n">
        <v>0.284</v>
      </c>
      <c r="L447" s="0" t="n">
        <v>1.0435</v>
      </c>
      <c r="M447" s="0" t="n">
        <v>0.6354</v>
      </c>
      <c r="N447" s="0" t="n">
        <v>0.1698</v>
      </c>
      <c r="O447" s="0" t="n">
        <v>0.0911</v>
      </c>
      <c r="P447" s="0" t="n">
        <v>-0.8962</v>
      </c>
      <c r="Q447" s="0" t="n">
        <v>0.8133</v>
      </c>
      <c r="R447" s="0" t="n">
        <v>-1.2561</v>
      </c>
      <c r="S447" s="0" t="n">
        <v>-0.5818</v>
      </c>
      <c r="T447" s="0" t="n">
        <v>1.321</v>
      </c>
      <c r="U447" s="0" t="n">
        <v>-1.9314</v>
      </c>
      <c r="V447" s="0" t="n">
        <v>-0.3413</v>
      </c>
      <c r="W447" s="0" t="n">
        <v>0.0681</v>
      </c>
      <c r="X447" s="0" t="n">
        <v>0.3597</v>
      </c>
      <c r="Y447" s="0" t="n">
        <v>0.9513</v>
      </c>
      <c r="Z447" s="0" t="n">
        <v>0.2551</v>
      </c>
      <c r="AA447" s="0" t="n">
        <v>3.0645</v>
      </c>
      <c r="AB447" s="0" t="n">
        <v>-0.7149</v>
      </c>
      <c r="AC447" s="0" t="n">
        <v>-0.6698</v>
      </c>
      <c r="AD447" s="0" t="n">
        <v>-0.8626</v>
      </c>
      <c r="AE447" s="0" t="n">
        <v>0.4156</v>
      </c>
      <c r="AG447" s="9" t="n">
        <f aca="false">SUMPRODUCT(($B$2:$AE$2&lt;=Portafolio!$B$5)*EXP(LN(Portafolio!$B$7)+Portafolio!$B$6*B447:AE447))/1000</f>
        <v>2.16338357050467</v>
      </c>
    </row>
    <row r="448" customFormat="false" ht="15" hidden="false" customHeight="false" outlineLevel="0" collapsed="false">
      <c r="A448" s="0" t="n">
        <v>446</v>
      </c>
      <c r="B448" s="0" t="n">
        <v>1.3208</v>
      </c>
      <c r="C448" s="0" t="n">
        <v>0.4696</v>
      </c>
      <c r="D448" s="0" t="n">
        <v>-0.1382</v>
      </c>
      <c r="E448" s="0" t="n">
        <v>0.6768</v>
      </c>
      <c r="F448" s="0" t="n">
        <v>0.7371</v>
      </c>
      <c r="G448" s="0" t="n">
        <v>1.4078</v>
      </c>
      <c r="H448" s="0" t="n">
        <v>-1.6373</v>
      </c>
      <c r="I448" s="0" t="n">
        <v>0.184</v>
      </c>
      <c r="J448" s="0" t="n">
        <v>1.1552</v>
      </c>
      <c r="K448" s="0" t="n">
        <v>0.26</v>
      </c>
      <c r="L448" s="0" t="n">
        <v>-1.1725</v>
      </c>
      <c r="M448" s="0" t="n">
        <v>0.7129</v>
      </c>
      <c r="N448" s="0" t="n">
        <v>-0.4855</v>
      </c>
      <c r="O448" s="0" t="n">
        <v>0.2808</v>
      </c>
      <c r="P448" s="0" t="n">
        <v>2.279</v>
      </c>
      <c r="Q448" s="0" t="n">
        <v>-0.4214</v>
      </c>
      <c r="R448" s="0" t="n">
        <v>-0.4113</v>
      </c>
      <c r="S448" s="0" t="n">
        <v>0.6323</v>
      </c>
      <c r="T448" s="0" t="n">
        <v>-0.7628</v>
      </c>
      <c r="U448" s="0" t="n">
        <v>0.4657</v>
      </c>
      <c r="V448" s="0" t="n">
        <v>-0.9481</v>
      </c>
      <c r="W448" s="0" t="n">
        <v>0.4428</v>
      </c>
      <c r="X448" s="0" t="n">
        <v>-2.0375</v>
      </c>
      <c r="Y448" s="0" t="n">
        <v>2.0013</v>
      </c>
      <c r="Z448" s="0" t="n">
        <v>1.0793</v>
      </c>
      <c r="AA448" s="0" t="n">
        <v>0.1854</v>
      </c>
      <c r="AB448" s="0" t="n">
        <v>1.8394</v>
      </c>
      <c r="AC448" s="0" t="n">
        <v>0.3572</v>
      </c>
      <c r="AD448" s="0" t="n">
        <v>0.0288</v>
      </c>
      <c r="AE448" s="0" t="n">
        <v>-0.7865</v>
      </c>
      <c r="AG448" s="9" t="n">
        <f aca="false">SUMPRODUCT(($B$2:$AE$2&lt;=Portafolio!$B$5)*EXP(LN(Portafolio!$B$7)+Portafolio!$B$6*B448:AE448))/1000</f>
        <v>2.73580054342417</v>
      </c>
    </row>
    <row r="449" customFormat="false" ht="15" hidden="false" customHeight="false" outlineLevel="0" collapsed="false">
      <c r="A449" s="0" t="n">
        <v>447</v>
      </c>
      <c r="B449" s="0" t="n">
        <v>0.219</v>
      </c>
      <c r="C449" s="0" t="n">
        <v>-0.5213</v>
      </c>
      <c r="D449" s="0" t="n">
        <v>-0.7615</v>
      </c>
      <c r="E449" s="0" t="n">
        <v>-2.7658</v>
      </c>
      <c r="F449" s="0" t="n">
        <v>0.3281</v>
      </c>
      <c r="G449" s="0" t="n">
        <v>0.4904</v>
      </c>
      <c r="H449" s="0" t="n">
        <v>0.6922</v>
      </c>
      <c r="I449" s="0" t="n">
        <v>-1.1814</v>
      </c>
      <c r="J449" s="0" t="n">
        <v>-0.0177</v>
      </c>
      <c r="K449" s="0" t="n">
        <v>-1.7157</v>
      </c>
      <c r="L449" s="0" t="n">
        <v>0.8112</v>
      </c>
      <c r="M449" s="0" t="n">
        <v>-0.4757</v>
      </c>
      <c r="N449" s="0" t="n">
        <v>-0.8759</v>
      </c>
      <c r="O449" s="0" t="n">
        <v>-0.8933</v>
      </c>
      <c r="P449" s="0" t="n">
        <v>-0.8199</v>
      </c>
      <c r="Q449" s="0" t="n">
        <v>0.7113</v>
      </c>
      <c r="R449" s="0" t="n">
        <v>-0.9352</v>
      </c>
      <c r="S449" s="0" t="n">
        <v>-1.1732</v>
      </c>
      <c r="T449" s="0" t="n">
        <v>1.1032</v>
      </c>
      <c r="U449" s="0" t="n">
        <v>-1.6121</v>
      </c>
      <c r="V449" s="0" t="n">
        <v>-0.3222</v>
      </c>
      <c r="W449" s="0" t="n">
        <v>0.0196</v>
      </c>
      <c r="X449" s="0" t="n">
        <v>-0.341</v>
      </c>
      <c r="Y449" s="0" t="n">
        <v>0.8048</v>
      </c>
      <c r="Z449" s="0" t="n">
        <v>-0.4635</v>
      </c>
      <c r="AA449" s="0" t="n">
        <v>0.2081</v>
      </c>
      <c r="AB449" s="0" t="n">
        <v>-0.2228</v>
      </c>
      <c r="AC449" s="0" t="n">
        <v>1.7018</v>
      </c>
      <c r="AD449" s="0" t="n">
        <v>0.4482</v>
      </c>
      <c r="AE449" s="0" t="n">
        <v>1.3056</v>
      </c>
      <c r="AG449" s="9" t="n">
        <f aca="false">SUMPRODUCT(($B$2:$AE$2&lt;=Portafolio!$B$5)*EXP(LN(Portafolio!$B$7)+Portafolio!$B$6*B449:AE449))/1000</f>
        <v>1.7691317955903</v>
      </c>
    </row>
    <row r="450" customFormat="false" ht="15" hidden="false" customHeight="false" outlineLevel="0" collapsed="false">
      <c r="A450" s="0" t="n">
        <v>448</v>
      </c>
      <c r="B450" s="0" t="n">
        <v>0.5559</v>
      </c>
      <c r="C450" s="0" t="n">
        <v>-0.7476</v>
      </c>
      <c r="D450" s="0" t="n">
        <v>-0.1468</v>
      </c>
      <c r="E450" s="0" t="n">
        <v>0.2629</v>
      </c>
      <c r="F450" s="0" t="n">
        <v>-0.326</v>
      </c>
      <c r="G450" s="0" t="n">
        <v>-1.6155</v>
      </c>
      <c r="H450" s="0" t="n">
        <v>0.0618</v>
      </c>
      <c r="I450" s="0" t="n">
        <v>-0.4876</v>
      </c>
      <c r="J450" s="0" t="n">
        <v>0.3606</v>
      </c>
      <c r="K450" s="0" t="n">
        <v>-0.3244</v>
      </c>
      <c r="L450" s="0" t="n">
        <v>0.4432</v>
      </c>
      <c r="M450" s="0" t="n">
        <v>-1.0475</v>
      </c>
      <c r="N450" s="0" t="n">
        <v>-1.1042</v>
      </c>
      <c r="O450" s="0" t="n">
        <v>-0.1819</v>
      </c>
      <c r="P450" s="0" t="n">
        <v>0.6411</v>
      </c>
      <c r="Q450" s="0" t="n">
        <v>-0.6858</v>
      </c>
      <c r="R450" s="0" t="n">
        <v>-0.6811</v>
      </c>
      <c r="S450" s="0" t="n">
        <v>-0.9886</v>
      </c>
      <c r="T450" s="0" t="n">
        <v>-2.5187</v>
      </c>
      <c r="U450" s="0" t="n">
        <v>0.6861</v>
      </c>
      <c r="V450" s="0" t="n">
        <v>-0.5419</v>
      </c>
      <c r="W450" s="0" t="n">
        <v>-1.6799</v>
      </c>
      <c r="X450" s="0" t="n">
        <v>0.401</v>
      </c>
      <c r="Y450" s="0" t="n">
        <v>0.1579</v>
      </c>
      <c r="Z450" s="0" t="n">
        <v>2.0136</v>
      </c>
      <c r="AA450" s="0" t="n">
        <v>0.6674</v>
      </c>
      <c r="AB450" s="0" t="n">
        <v>0.9911</v>
      </c>
      <c r="AC450" s="0" t="n">
        <v>0.4044</v>
      </c>
      <c r="AD450" s="0" t="n">
        <v>1.8011</v>
      </c>
      <c r="AE450" s="0" t="n">
        <v>0.263</v>
      </c>
      <c r="AG450" s="9" t="n">
        <f aca="false">SUMPRODUCT(($B$2:$AE$2&lt;=Portafolio!$B$5)*EXP(LN(Portafolio!$B$7)+Portafolio!$B$6*B450:AE450))/1000</f>
        <v>1.75005347154453</v>
      </c>
    </row>
    <row r="451" customFormat="false" ht="15" hidden="false" customHeight="false" outlineLevel="0" collapsed="false">
      <c r="A451" s="0" t="n">
        <v>449</v>
      </c>
      <c r="B451" s="0" t="n">
        <v>0.7525</v>
      </c>
      <c r="C451" s="0" t="n">
        <v>0.2595</v>
      </c>
      <c r="D451" s="0" t="n">
        <v>-0.6013</v>
      </c>
      <c r="E451" s="0" t="n">
        <v>-1.3934</v>
      </c>
      <c r="F451" s="0" t="n">
        <v>1.2175</v>
      </c>
      <c r="G451" s="0" t="n">
        <v>0.681</v>
      </c>
      <c r="H451" s="0" t="n">
        <v>1.6903</v>
      </c>
      <c r="I451" s="0" t="n">
        <v>-0.8292</v>
      </c>
      <c r="J451" s="0" t="n">
        <v>-2.5628</v>
      </c>
      <c r="K451" s="0" t="n">
        <v>0.7527</v>
      </c>
      <c r="L451" s="0" t="n">
        <v>-2.4137</v>
      </c>
      <c r="M451" s="0" t="n">
        <v>-0.3419</v>
      </c>
      <c r="N451" s="0" t="n">
        <v>-1.0795</v>
      </c>
      <c r="O451" s="0" t="n">
        <v>-0.7902</v>
      </c>
      <c r="P451" s="0" t="n">
        <v>-1.9548</v>
      </c>
      <c r="Q451" s="0" t="n">
        <v>-0.8317</v>
      </c>
      <c r="R451" s="0" t="n">
        <v>-1.5277</v>
      </c>
      <c r="S451" s="0" t="n">
        <v>-0.0052</v>
      </c>
      <c r="T451" s="0" t="n">
        <v>-0.8242</v>
      </c>
      <c r="U451" s="0" t="n">
        <v>0.1752</v>
      </c>
      <c r="V451" s="0" t="n">
        <v>-1.7869</v>
      </c>
      <c r="W451" s="0" t="n">
        <v>2.2587</v>
      </c>
      <c r="X451" s="0" t="n">
        <v>1.5686</v>
      </c>
      <c r="Y451" s="0" t="n">
        <v>0.3921</v>
      </c>
      <c r="Z451" s="0" t="n">
        <v>0.6264</v>
      </c>
      <c r="AA451" s="0" t="n">
        <v>1.4261</v>
      </c>
      <c r="AB451" s="0" t="n">
        <v>-1.0328</v>
      </c>
      <c r="AC451" s="0" t="n">
        <v>0.0362</v>
      </c>
      <c r="AD451" s="0" t="n">
        <v>1.8528</v>
      </c>
      <c r="AE451" s="0" t="n">
        <v>-2.4049</v>
      </c>
      <c r="AG451" s="9" t="n">
        <f aca="false">SUMPRODUCT(($B$2:$AE$2&lt;=Portafolio!$B$5)*EXP(LN(Portafolio!$B$7)+Portafolio!$B$6*B451:AE451))/1000</f>
        <v>1.88306605724325</v>
      </c>
    </row>
    <row r="452" customFormat="false" ht="15" hidden="false" customHeight="false" outlineLevel="0" collapsed="false">
      <c r="A452" s="0" t="n">
        <v>450</v>
      </c>
      <c r="B452" s="0" t="n">
        <v>0.5838</v>
      </c>
      <c r="C452" s="0" t="n">
        <v>0.4235</v>
      </c>
      <c r="D452" s="0" t="n">
        <v>-0.3543</v>
      </c>
      <c r="E452" s="0" t="n">
        <v>0.6352</v>
      </c>
      <c r="F452" s="0" t="n">
        <v>0.4015</v>
      </c>
      <c r="G452" s="0" t="n">
        <v>-0.4882</v>
      </c>
      <c r="H452" s="0" t="n">
        <v>0.5109</v>
      </c>
      <c r="I452" s="0" t="n">
        <v>-0.2362</v>
      </c>
      <c r="J452" s="0" t="n">
        <v>0.9901</v>
      </c>
      <c r="K452" s="0" t="n">
        <v>0.483</v>
      </c>
      <c r="L452" s="0" t="n">
        <v>-0.6675</v>
      </c>
      <c r="M452" s="0" t="n">
        <v>2.0109</v>
      </c>
      <c r="N452" s="0" t="n">
        <v>-0.3493</v>
      </c>
      <c r="O452" s="0" t="n">
        <v>0.3798</v>
      </c>
      <c r="P452" s="0" t="n">
        <v>-0.2583</v>
      </c>
      <c r="Q452" s="0" t="n">
        <v>1.1825</v>
      </c>
      <c r="R452" s="0" t="n">
        <v>-0.7502</v>
      </c>
      <c r="S452" s="0" t="n">
        <v>-0.7597</v>
      </c>
      <c r="T452" s="0" t="n">
        <v>0.5142</v>
      </c>
      <c r="U452" s="0" t="n">
        <v>-1.5457</v>
      </c>
      <c r="V452" s="0" t="n">
        <v>-0.1254</v>
      </c>
      <c r="W452" s="0" t="n">
        <v>0.7035</v>
      </c>
      <c r="X452" s="0" t="n">
        <v>1.6991</v>
      </c>
      <c r="Y452" s="0" t="n">
        <v>-1.4768</v>
      </c>
      <c r="Z452" s="0" t="n">
        <v>-1.516</v>
      </c>
      <c r="AA452" s="0" t="n">
        <v>-0.6894</v>
      </c>
      <c r="AB452" s="0" t="n">
        <v>0.5161</v>
      </c>
      <c r="AC452" s="0" t="n">
        <v>0.8635</v>
      </c>
      <c r="AD452" s="0" t="n">
        <v>-0.5134</v>
      </c>
      <c r="AE452" s="0" t="n">
        <v>1.2548</v>
      </c>
      <c r="AG452" s="9" t="n">
        <f aca="false">SUMPRODUCT(($B$2:$AE$2&lt;=Portafolio!$B$5)*EXP(LN(Portafolio!$B$7)+Portafolio!$B$6*B452:AE452))/1000</f>
        <v>2.43703420417926</v>
      </c>
    </row>
    <row r="453" customFormat="false" ht="15" hidden="false" customHeight="false" outlineLevel="0" collapsed="false">
      <c r="A453" s="0" t="n">
        <v>451</v>
      </c>
      <c r="B453" s="0" t="n">
        <v>-0.6464</v>
      </c>
      <c r="C453" s="0" t="n">
        <v>0.487</v>
      </c>
      <c r="D453" s="0" t="n">
        <v>-0.2742</v>
      </c>
      <c r="E453" s="0" t="n">
        <v>1.7829</v>
      </c>
      <c r="F453" s="0" t="n">
        <v>1.3997</v>
      </c>
      <c r="G453" s="0" t="n">
        <v>1.1867</v>
      </c>
      <c r="H453" s="0" t="n">
        <v>-0.5445</v>
      </c>
      <c r="I453" s="0" t="n">
        <v>-1.5793</v>
      </c>
      <c r="J453" s="0" t="n">
        <v>-0.4297</v>
      </c>
      <c r="K453" s="0" t="n">
        <v>-0.5104</v>
      </c>
      <c r="L453" s="0" t="n">
        <v>-0.7239</v>
      </c>
      <c r="M453" s="0" t="n">
        <v>-0.7065</v>
      </c>
      <c r="N453" s="0" t="n">
        <v>-0.4173</v>
      </c>
      <c r="O453" s="0" t="n">
        <v>0.5018</v>
      </c>
      <c r="P453" s="0" t="n">
        <v>1.2381</v>
      </c>
      <c r="Q453" s="0" t="n">
        <v>1.0683</v>
      </c>
      <c r="R453" s="0" t="n">
        <v>1.571</v>
      </c>
      <c r="S453" s="0" t="n">
        <v>-2.0829</v>
      </c>
      <c r="T453" s="0" t="n">
        <v>0.6758</v>
      </c>
      <c r="U453" s="0" t="n">
        <v>2.4928</v>
      </c>
      <c r="V453" s="0" t="n">
        <v>1.0969</v>
      </c>
      <c r="W453" s="0" t="n">
        <v>0.8663</v>
      </c>
      <c r="X453" s="0" t="n">
        <v>0.952</v>
      </c>
      <c r="Y453" s="0" t="n">
        <v>-0.0886</v>
      </c>
      <c r="Z453" s="0" t="n">
        <v>-0.2645</v>
      </c>
      <c r="AA453" s="0" t="n">
        <v>-0.4856</v>
      </c>
      <c r="AB453" s="0" t="n">
        <v>-0.4845</v>
      </c>
      <c r="AC453" s="0" t="n">
        <v>-0.2232</v>
      </c>
      <c r="AD453" s="0" t="n">
        <v>-0.6705</v>
      </c>
      <c r="AE453" s="0" t="n">
        <v>1.5845</v>
      </c>
      <c r="AG453" s="9" t="n">
        <f aca="false">SUMPRODUCT(($B$2:$AE$2&lt;=Portafolio!$B$5)*EXP(LN(Portafolio!$B$7)+Portafolio!$B$6*B453:AE453))/1000</f>
        <v>2.90006907643536</v>
      </c>
    </row>
    <row r="454" customFormat="false" ht="15" hidden="false" customHeight="false" outlineLevel="0" collapsed="false">
      <c r="A454" s="0" t="n">
        <v>452</v>
      </c>
      <c r="B454" s="0" t="n">
        <v>0.6633</v>
      </c>
      <c r="C454" s="0" t="n">
        <v>0.9986</v>
      </c>
      <c r="D454" s="0" t="n">
        <v>1.7473</v>
      </c>
      <c r="E454" s="0" t="n">
        <v>0.3342</v>
      </c>
      <c r="F454" s="0" t="n">
        <v>1.0293</v>
      </c>
      <c r="G454" s="0" t="n">
        <v>-0.6607</v>
      </c>
      <c r="H454" s="0" t="n">
        <v>0.4128</v>
      </c>
      <c r="I454" s="0" t="n">
        <v>0.756</v>
      </c>
      <c r="J454" s="0" t="n">
        <v>-1.1881</v>
      </c>
      <c r="K454" s="0" t="n">
        <v>0.7852</v>
      </c>
      <c r="L454" s="0" t="n">
        <v>0.083</v>
      </c>
      <c r="M454" s="0" t="n">
        <v>-0.454</v>
      </c>
      <c r="N454" s="0" t="n">
        <v>1.436</v>
      </c>
      <c r="O454" s="0" t="n">
        <v>0.1803</v>
      </c>
      <c r="P454" s="0" t="n">
        <v>-0.0269</v>
      </c>
      <c r="Q454" s="0" t="n">
        <v>0.9239</v>
      </c>
      <c r="R454" s="0" t="n">
        <v>-0.5565</v>
      </c>
      <c r="S454" s="0" t="n">
        <v>-1.3869</v>
      </c>
      <c r="T454" s="0" t="n">
        <v>0.9027</v>
      </c>
      <c r="U454" s="0" t="n">
        <v>1.14</v>
      </c>
      <c r="V454" s="0" t="n">
        <v>-0.5272</v>
      </c>
      <c r="W454" s="0" t="n">
        <v>0.3224</v>
      </c>
      <c r="X454" s="0" t="n">
        <v>0.0735</v>
      </c>
      <c r="Y454" s="0" t="n">
        <v>0.333</v>
      </c>
      <c r="Z454" s="0" t="n">
        <v>1.1105</v>
      </c>
      <c r="AA454" s="0" t="n">
        <v>0.2026</v>
      </c>
      <c r="AB454" s="0" t="n">
        <v>0.7758</v>
      </c>
      <c r="AC454" s="0" t="n">
        <v>0.9176</v>
      </c>
      <c r="AD454" s="0" t="n">
        <v>-0.2745</v>
      </c>
      <c r="AE454" s="0" t="n">
        <v>0.4336</v>
      </c>
      <c r="AG454" s="9" t="n">
        <f aca="false">SUMPRODUCT(($B$2:$AE$2&lt;=Portafolio!$B$5)*EXP(LN(Portafolio!$B$7)+Portafolio!$B$6*B454:AE454))/1000</f>
        <v>2.77290764961135</v>
      </c>
    </row>
    <row r="455" customFormat="false" ht="15" hidden="false" customHeight="false" outlineLevel="0" collapsed="false">
      <c r="A455" s="0" t="n">
        <v>453</v>
      </c>
      <c r="B455" s="0" t="n">
        <v>-0.343</v>
      </c>
      <c r="C455" s="0" t="n">
        <v>-0.076</v>
      </c>
      <c r="D455" s="0" t="n">
        <v>1.3592</v>
      </c>
      <c r="E455" s="0" t="n">
        <v>-0.7325</v>
      </c>
      <c r="F455" s="0" t="n">
        <v>0.8129</v>
      </c>
      <c r="G455" s="0" t="n">
        <v>-0.0958</v>
      </c>
      <c r="H455" s="0" t="n">
        <v>-0.4369</v>
      </c>
      <c r="I455" s="0" t="n">
        <v>0.2245</v>
      </c>
      <c r="J455" s="0" t="n">
        <v>-0.5425</v>
      </c>
      <c r="K455" s="0" t="n">
        <v>-1.5505</v>
      </c>
      <c r="L455" s="0" t="n">
        <v>1.1316</v>
      </c>
      <c r="M455" s="0" t="n">
        <v>0.8281</v>
      </c>
      <c r="N455" s="0" t="n">
        <v>-0.422</v>
      </c>
      <c r="O455" s="0" t="n">
        <v>-1.2059</v>
      </c>
      <c r="P455" s="0" t="n">
        <v>-0.9484</v>
      </c>
      <c r="Q455" s="0" t="n">
        <v>1.8155</v>
      </c>
      <c r="R455" s="0" t="n">
        <v>-0.9123</v>
      </c>
      <c r="S455" s="0" t="n">
        <v>-0.6259</v>
      </c>
      <c r="T455" s="0" t="n">
        <v>2.04</v>
      </c>
      <c r="U455" s="0" t="n">
        <v>-2.001</v>
      </c>
      <c r="V455" s="0" t="n">
        <v>-1.1154</v>
      </c>
      <c r="W455" s="0" t="n">
        <v>-0.9211</v>
      </c>
      <c r="X455" s="0" t="n">
        <v>-0.553</v>
      </c>
      <c r="Y455" s="0" t="n">
        <v>-2.0826</v>
      </c>
      <c r="Z455" s="0" t="n">
        <v>0.1982</v>
      </c>
      <c r="AA455" s="0" t="n">
        <v>-1.2808</v>
      </c>
      <c r="AB455" s="0" t="n">
        <v>-1.3477</v>
      </c>
      <c r="AC455" s="0" t="n">
        <v>0.3852</v>
      </c>
      <c r="AD455" s="0" t="n">
        <v>-0.925</v>
      </c>
      <c r="AE455" s="0" t="n">
        <v>0.475</v>
      </c>
      <c r="AG455" s="9" t="n">
        <f aca="false">SUMPRODUCT(($B$2:$AE$2&lt;=Portafolio!$B$5)*EXP(LN(Portafolio!$B$7)+Portafolio!$B$6*B455:AE455))/1000</f>
        <v>2.36592430234045</v>
      </c>
    </row>
    <row r="456" customFormat="false" ht="15" hidden="false" customHeight="false" outlineLevel="0" collapsed="false">
      <c r="A456" s="0" t="n">
        <v>454</v>
      </c>
      <c r="B456" s="0" t="n">
        <v>-0.7744</v>
      </c>
      <c r="C456" s="0" t="n">
        <v>1.7104</v>
      </c>
      <c r="D456" s="0" t="n">
        <v>-1.1638</v>
      </c>
      <c r="E456" s="0" t="n">
        <v>0.339</v>
      </c>
      <c r="F456" s="0" t="n">
        <v>-1.1061</v>
      </c>
      <c r="G456" s="0" t="n">
        <v>1.4648</v>
      </c>
      <c r="H456" s="0" t="n">
        <v>-1.851</v>
      </c>
      <c r="I456" s="0" t="n">
        <v>-0.2775</v>
      </c>
      <c r="J456" s="0" t="n">
        <v>0.1803</v>
      </c>
      <c r="K456" s="0" t="n">
        <v>-0.353</v>
      </c>
      <c r="L456" s="0" t="n">
        <v>-0.1395</v>
      </c>
      <c r="M456" s="0" t="n">
        <v>-0.4514</v>
      </c>
      <c r="N456" s="0" t="n">
        <v>-0.501</v>
      </c>
      <c r="O456" s="0" t="n">
        <v>0.3441</v>
      </c>
      <c r="P456" s="0" t="n">
        <v>1.9704</v>
      </c>
      <c r="Q456" s="0" t="n">
        <v>0.5447</v>
      </c>
      <c r="R456" s="0" t="n">
        <v>0.5002</v>
      </c>
      <c r="S456" s="0" t="n">
        <v>-0.571</v>
      </c>
      <c r="T456" s="0" t="n">
        <v>-0.8544</v>
      </c>
      <c r="U456" s="0" t="n">
        <v>0.1377</v>
      </c>
      <c r="V456" s="0" t="n">
        <v>-0.6598</v>
      </c>
      <c r="W456" s="0" t="n">
        <v>1.7371</v>
      </c>
      <c r="X456" s="0" t="n">
        <v>0.0265</v>
      </c>
      <c r="Y456" s="0" t="n">
        <v>1.6703</v>
      </c>
      <c r="Z456" s="0" t="n">
        <v>-0.1857</v>
      </c>
      <c r="AA456" s="0" t="n">
        <v>1.2474</v>
      </c>
      <c r="AB456" s="0" t="n">
        <v>-1.475</v>
      </c>
      <c r="AC456" s="0" t="n">
        <v>1.8558</v>
      </c>
      <c r="AD456" s="0" t="n">
        <v>-1.2167</v>
      </c>
      <c r="AE456" s="0" t="n">
        <v>0.295</v>
      </c>
      <c r="AG456" s="9" t="n">
        <f aca="false">SUMPRODUCT(($B$2:$AE$2&lt;=Portafolio!$B$5)*EXP(LN(Portafolio!$B$7)+Portafolio!$B$6*B456:AE456))/1000</f>
        <v>2.32097870736277</v>
      </c>
    </row>
    <row r="457" customFormat="false" ht="15" hidden="false" customHeight="false" outlineLevel="0" collapsed="false">
      <c r="A457" s="0" t="n">
        <v>455</v>
      </c>
      <c r="B457" s="0" t="n">
        <v>-0.122</v>
      </c>
      <c r="C457" s="0" t="n">
        <v>-0.0669</v>
      </c>
      <c r="D457" s="0" t="n">
        <v>0.8597</v>
      </c>
      <c r="E457" s="0" t="n">
        <v>-0.8564</v>
      </c>
      <c r="F457" s="0" t="n">
        <v>0.5493</v>
      </c>
      <c r="G457" s="0" t="n">
        <v>-1.516</v>
      </c>
      <c r="H457" s="0" t="n">
        <v>-1.4481</v>
      </c>
      <c r="I457" s="0" t="n">
        <v>0.8571</v>
      </c>
      <c r="J457" s="0" t="n">
        <v>1.4129</v>
      </c>
      <c r="K457" s="0" t="n">
        <v>-0.9655</v>
      </c>
      <c r="L457" s="0" t="n">
        <v>0.6192</v>
      </c>
      <c r="M457" s="0" t="n">
        <v>-0.282</v>
      </c>
      <c r="N457" s="0" t="n">
        <v>1.6925</v>
      </c>
      <c r="O457" s="0" t="n">
        <v>0.4438</v>
      </c>
      <c r="P457" s="0" t="n">
        <v>1.8982</v>
      </c>
      <c r="Q457" s="0" t="n">
        <v>-0.3257</v>
      </c>
      <c r="R457" s="0" t="n">
        <v>1.979</v>
      </c>
      <c r="S457" s="0" t="n">
        <v>-0.5464</v>
      </c>
      <c r="T457" s="0" t="n">
        <v>1.8228</v>
      </c>
      <c r="U457" s="0" t="n">
        <v>0.7969</v>
      </c>
      <c r="V457" s="0" t="n">
        <v>-1.4456</v>
      </c>
      <c r="W457" s="0" t="n">
        <v>1.1635</v>
      </c>
      <c r="X457" s="0" t="n">
        <v>0.2718</v>
      </c>
      <c r="Y457" s="0" t="n">
        <v>0.9761</v>
      </c>
      <c r="Z457" s="0" t="n">
        <v>-0.8418</v>
      </c>
      <c r="AA457" s="0" t="n">
        <v>-0.3296</v>
      </c>
      <c r="AB457" s="0" t="n">
        <v>-1.2464</v>
      </c>
      <c r="AC457" s="0" t="n">
        <v>1.7142</v>
      </c>
      <c r="AD457" s="0" t="n">
        <v>0.0241</v>
      </c>
      <c r="AE457" s="0" t="n">
        <v>-2.3518</v>
      </c>
      <c r="AG457" s="9" t="n">
        <f aca="false">SUMPRODUCT(($B$2:$AE$2&lt;=Portafolio!$B$5)*EXP(LN(Portafolio!$B$7)+Portafolio!$B$6*B457:AE457))/1000</f>
        <v>2.98461684573975</v>
      </c>
    </row>
    <row r="458" customFormat="false" ht="15" hidden="false" customHeight="false" outlineLevel="0" collapsed="false">
      <c r="A458" s="0" t="n">
        <v>456</v>
      </c>
      <c r="B458" s="0" t="n">
        <v>0.863</v>
      </c>
      <c r="C458" s="0" t="n">
        <v>0.2424</v>
      </c>
      <c r="D458" s="0" t="n">
        <v>2.7893</v>
      </c>
      <c r="E458" s="0" t="n">
        <v>-0.2075</v>
      </c>
      <c r="F458" s="0" t="n">
        <v>0.5692</v>
      </c>
      <c r="G458" s="0" t="n">
        <v>-0.3318</v>
      </c>
      <c r="H458" s="0" t="n">
        <v>-3.1048</v>
      </c>
      <c r="I458" s="0" t="n">
        <v>1.0701</v>
      </c>
      <c r="J458" s="0" t="n">
        <v>-0.4803</v>
      </c>
      <c r="K458" s="0" t="n">
        <v>0.8318</v>
      </c>
      <c r="L458" s="0" t="n">
        <v>0.1128</v>
      </c>
      <c r="M458" s="0" t="n">
        <v>-2.2622</v>
      </c>
      <c r="N458" s="0" t="n">
        <v>-0.0727</v>
      </c>
      <c r="O458" s="0" t="n">
        <v>0.988</v>
      </c>
      <c r="P458" s="0" t="n">
        <v>1.0702</v>
      </c>
      <c r="Q458" s="0" t="n">
        <v>1.0646</v>
      </c>
      <c r="R458" s="0" t="n">
        <v>-0.4816</v>
      </c>
      <c r="S458" s="0" t="n">
        <v>-1.1962</v>
      </c>
      <c r="T458" s="0" t="n">
        <v>0.4581</v>
      </c>
      <c r="U458" s="0" t="n">
        <v>-1.0299</v>
      </c>
      <c r="V458" s="0" t="n">
        <v>1.429</v>
      </c>
      <c r="W458" s="0" t="n">
        <v>-0.1258</v>
      </c>
      <c r="X458" s="0" t="n">
        <v>0.8445</v>
      </c>
      <c r="Y458" s="0" t="n">
        <v>0.4325</v>
      </c>
      <c r="Z458" s="0" t="n">
        <v>0.9486</v>
      </c>
      <c r="AA458" s="0" t="n">
        <v>0.5091</v>
      </c>
      <c r="AB458" s="0" t="n">
        <v>0.5073</v>
      </c>
      <c r="AC458" s="0" t="n">
        <v>0.2752</v>
      </c>
      <c r="AD458" s="0" t="n">
        <v>-0.7631</v>
      </c>
      <c r="AE458" s="0" t="n">
        <v>-1.5929</v>
      </c>
      <c r="AG458" s="9" t="n">
        <f aca="false">SUMPRODUCT(($B$2:$AE$2&lt;=Portafolio!$B$5)*EXP(LN(Portafolio!$B$7)+Portafolio!$B$6*B458:AE458))/1000</f>
        <v>2.67087334643405</v>
      </c>
    </row>
    <row r="459" customFormat="false" ht="15" hidden="false" customHeight="false" outlineLevel="0" collapsed="false">
      <c r="A459" s="0" t="n">
        <v>457</v>
      </c>
      <c r="B459" s="0" t="n">
        <v>-1.6614</v>
      </c>
      <c r="C459" s="0" t="n">
        <v>1.2823</v>
      </c>
      <c r="D459" s="0" t="n">
        <v>-0.6688</v>
      </c>
      <c r="E459" s="0" t="n">
        <v>0.4892</v>
      </c>
      <c r="F459" s="0" t="n">
        <v>-1.9028</v>
      </c>
      <c r="G459" s="0" t="n">
        <v>-0.3255</v>
      </c>
      <c r="H459" s="0" t="n">
        <v>2.3428</v>
      </c>
      <c r="I459" s="0" t="n">
        <v>2.118</v>
      </c>
      <c r="J459" s="0" t="n">
        <v>0.7628</v>
      </c>
      <c r="K459" s="0" t="n">
        <v>0.3321</v>
      </c>
      <c r="L459" s="0" t="n">
        <v>0.7862</v>
      </c>
      <c r="M459" s="0" t="n">
        <v>2.2359</v>
      </c>
      <c r="N459" s="0" t="n">
        <v>-1.1672</v>
      </c>
      <c r="O459" s="0" t="n">
        <v>0.119</v>
      </c>
      <c r="P459" s="0" t="n">
        <v>-0.4375</v>
      </c>
      <c r="Q459" s="0" t="n">
        <v>-2.9364</v>
      </c>
      <c r="R459" s="0" t="n">
        <v>0.1791</v>
      </c>
      <c r="S459" s="0" t="n">
        <v>1.1457</v>
      </c>
      <c r="T459" s="0" t="n">
        <v>-0.5338</v>
      </c>
      <c r="U459" s="0" t="n">
        <v>-1.0509</v>
      </c>
      <c r="V459" s="0" t="n">
        <v>1.4781</v>
      </c>
      <c r="W459" s="0" t="n">
        <v>-0.5296</v>
      </c>
      <c r="X459" s="0" t="n">
        <v>-0.1953</v>
      </c>
      <c r="Y459" s="0" t="n">
        <v>-0.4278</v>
      </c>
      <c r="Z459" s="0" t="n">
        <v>-0.2009</v>
      </c>
      <c r="AA459" s="0" t="n">
        <v>0.2758</v>
      </c>
      <c r="AB459" s="0" t="n">
        <v>0.9748</v>
      </c>
      <c r="AC459" s="0" t="n">
        <v>0.5042</v>
      </c>
      <c r="AD459" s="0" t="n">
        <v>2.2881</v>
      </c>
      <c r="AE459" s="0" t="n">
        <v>-1.0939</v>
      </c>
      <c r="AG459" s="9" t="n">
        <f aca="false">SUMPRODUCT(($B$2:$AE$2&lt;=Portafolio!$B$5)*EXP(LN(Portafolio!$B$7)+Portafolio!$B$6*B459:AE459))/1000</f>
        <v>2.84220926344425</v>
      </c>
    </row>
    <row r="460" customFormat="false" ht="15" hidden="false" customHeight="false" outlineLevel="0" collapsed="false">
      <c r="A460" s="0" t="n">
        <v>458</v>
      </c>
      <c r="B460" s="0" t="n">
        <v>0.3453</v>
      </c>
      <c r="C460" s="0" t="n">
        <v>-0.1196</v>
      </c>
      <c r="D460" s="0" t="n">
        <v>2.4899</v>
      </c>
      <c r="E460" s="0" t="n">
        <v>-1.6062</v>
      </c>
      <c r="F460" s="0" t="n">
        <v>-0.0137</v>
      </c>
      <c r="G460" s="0" t="n">
        <v>1.0654</v>
      </c>
      <c r="H460" s="0" t="n">
        <v>-0.7529</v>
      </c>
      <c r="I460" s="0" t="n">
        <v>0.1212</v>
      </c>
      <c r="J460" s="0" t="n">
        <v>0.2093</v>
      </c>
      <c r="K460" s="0" t="n">
        <v>0.5481</v>
      </c>
      <c r="L460" s="0" t="n">
        <v>0.2742</v>
      </c>
      <c r="M460" s="0" t="n">
        <v>-1.1023</v>
      </c>
      <c r="N460" s="0" t="n">
        <v>0.9151</v>
      </c>
      <c r="O460" s="0" t="n">
        <v>-2.4108</v>
      </c>
      <c r="P460" s="0" t="n">
        <v>-0.9381</v>
      </c>
      <c r="Q460" s="0" t="n">
        <v>-0.8135</v>
      </c>
      <c r="R460" s="0" t="n">
        <v>-0.1188</v>
      </c>
      <c r="S460" s="0" t="n">
        <v>0.2392</v>
      </c>
      <c r="T460" s="0" t="n">
        <v>3.6458</v>
      </c>
      <c r="U460" s="0" t="n">
        <v>1.6349</v>
      </c>
      <c r="V460" s="0" t="n">
        <v>0.0012</v>
      </c>
      <c r="W460" s="0" t="n">
        <v>0.3764</v>
      </c>
      <c r="X460" s="0" t="n">
        <v>1.533</v>
      </c>
      <c r="Y460" s="0" t="n">
        <v>0.6699</v>
      </c>
      <c r="Z460" s="0" t="n">
        <v>-0.1095</v>
      </c>
      <c r="AA460" s="0" t="n">
        <v>-1.9577</v>
      </c>
      <c r="AB460" s="0" t="n">
        <v>-2.1347</v>
      </c>
      <c r="AC460" s="0" t="n">
        <v>0.5973</v>
      </c>
      <c r="AD460" s="0" t="n">
        <v>1.2236</v>
      </c>
      <c r="AE460" s="0" t="n">
        <v>-0.0228</v>
      </c>
      <c r="AG460" s="9" t="n">
        <f aca="false">SUMPRODUCT(($B$2:$AE$2&lt;=Portafolio!$B$5)*EXP(LN(Portafolio!$B$7)+Portafolio!$B$6*B460:AE460))/1000</f>
        <v>3.26296082324958</v>
      </c>
    </row>
    <row r="461" customFormat="false" ht="15" hidden="false" customHeight="false" outlineLevel="0" collapsed="false">
      <c r="A461" s="0" t="n">
        <v>459</v>
      </c>
      <c r="B461" s="0" t="n">
        <v>2.7015</v>
      </c>
      <c r="C461" s="0" t="n">
        <v>0.3975</v>
      </c>
      <c r="D461" s="0" t="n">
        <v>-1.1687</v>
      </c>
      <c r="E461" s="0" t="n">
        <v>0.5721</v>
      </c>
      <c r="F461" s="0" t="n">
        <v>-1.0704</v>
      </c>
      <c r="G461" s="0" t="n">
        <v>1.3569</v>
      </c>
      <c r="H461" s="0" t="n">
        <v>-0.3329</v>
      </c>
      <c r="I461" s="0" t="n">
        <v>-0.35</v>
      </c>
      <c r="J461" s="0" t="n">
        <v>-0.0071</v>
      </c>
      <c r="K461" s="0" t="n">
        <v>1.6003</v>
      </c>
      <c r="L461" s="0" t="n">
        <v>-1.4431</v>
      </c>
      <c r="M461" s="0" t="n">
        <v>1.4062</v>
      </c>
      <c r="N461" s="0" t="n">
        <v>1.7354</v>
      </c>
      <c r="O461" s="0" t="n">
        <v>0.9794</v>
      </c>
      <c r="P461" s="0" t="n">
        <v>0.0437</v>
      </c>
      <c r="Q461" s="0" t="n">
        <v>1.0963</v>
      </c>
      <c r="R461" s="0" t="n">
        <v>-0.4767</v>
      </c>
      <c r="S461" s="0" t="n">
        <v>-0.7471</v>
      </c>
      <c r="T461" s="0" t="n">
        <v>1.2967</v>
      </c>
      <c r="U461" s="0" t="n">
        <v>-1.466</v>
      </c>
      <c r="V461" s="0" t="n">
        <v>0.465</v>
      </c>
      <c r="W461" s="0" t="n">
        <v>-0.455</v>
      </c>
      <c r="X461" s="0" t="n">
        <v>-0.3111</v>
      </c>
      <c r="Y461" s="0" t="n">
        <v>0.0679</v>
      </c>
      <c r="Z461" s="0" t="n">
        <v>-0.4947</v>
      </c>
      <c r="AA461" s="0" t="n">
        <v>1.42</v>
      </c>
      <c r="AB461" s="0" t="n">
        <v>-0.7299</v>
      </c>
      <c r="AC461" s="0" t="n">
        <v>-1.078</v>
      </c>
      <c r="AD461" s="0" t="n">
        <v>-1.3619</v>
      </c>
      <c r="AE461" s="0" t="n">
        <v>0.12</v>
      </c>
      <c r="AG461" s="9" t="n">
        <f aca="false">SUMPRODUCT(($B$2:$AE$2&lt;=Portafolio!$B$5)*EXP(LN(Portafolio!$B$7)+Portafolio!$B$6*B461:AE461))/1000</f>
        <v>3.05706025357904</v>
      </c>
    </row>
    <row r="462" customFormat="false" ht="15" hidden="false" customHeight="false" outlineLevel="0" collapsed="false">
      <c r="A462" s="0" t="n">
        <v>460</v>
      </c>
      <c r="B462" s="0" t="n">
        <v>0.2244</v>
      </c>
      <c r="C462" s="0" t="n">
        <v>0.0222</v>
      </c>
      <c r="D462" s="0" t="n">
        <v>0.1974</v>
      </c>
      <c r="E462" s="0" t="n">
        <v>-1.0908</v>
      </c>
      <c r="F462" s="0" t="n">
        <v>0.4133</v>
      </c>
      <c r="G462" s="0" t="n">
        <v>0.9475</v>
      </c>
      <c r="H462" s="0" t="n">
        <v>-1.4939</v>
      </c>
      <c r="I462" s="0" t="n">
        <v>-0.2081</v>
      </c>
      <c r="J462" s="0" t="n">
        <v>0.0261</v>
      </c>
      <c r="K462" s="0" t="n">
        <v>-0.2758</v>
      </c>
      <c r="L462" s="0" t="n">
        <v>-0.8069</v>
      </c>
      <c r="M462" s="0" t="n">
        <v>-0.5897</v>
      </c>
      <c r="N462" s="0" t="n">
        <v>-1.0603</v>
      </c>
      <c r="O462" s="0" t="n">
        <v>1.7474</v>
      </c>
      <c r="P462" s="0" t="n">
        <v>-1.2821</v>
      </c>
      <c r="Q462" s="0" t="n">
        <v>-1.013</v>
      </c>
      <c r="R462" s="0" t="n">
        <v>-1.5544</v>
      </c>
      <c r="S462" s="0" t="n">
        <v>0.2482</v>
      </c>
      <c r="T462" s="0" t="n">
        <v>-1.0096</v>
      </c>
      <c r="U462" s="0" t="n">
        <v>0.6925</v>
      </c>
      <c r="V462" s="0" t="n">
        <v>0.1301</v>
      </c>
      <c r="W462" s="0" t="n">
        <v>0.4459</v>
      </c>
      <c r="X462" s="0" t="n">
        <v>0.8137</v>
      </c>
      <c r="Y462" s="0" t="n">
        <v>0.0414</v>
      </c>
      <c r="Z462" s="0" t="n">
        <v>-0.3957</v>
      </c>
      <c r="AA462" s="0" t="n">
        <v>0.1486</v>
      </c>
      <c r="AB462" s="0" t="n">
        <v>1.0423</v>
      </c>
      <c r="AC462" s="0" t="n">
        <v>-0.848</v>
      </c>
      <c r="AD462" s="0" t="n">
        <v>-0.2362</v>
      </c>
      <c r="AE462" s="0" t="n">
        <v>1.7698</v>
      </c>
      <c r="AG462" s="9" t="n">
        <f aca="false">SUMPRODUCT(($B$2:$AE$2&lt;=Portafolio!$B$5)*EXP(LN(Portafolio!$B$7)+Portafolio!$B$6*B462:AE462))/1000</f>
        <v>1.93275075070158</v>
      </c>
    </row>
    <row r="463" customFormat="false" ht="15" hidden="false" customHeight="false" outlineLevel="0" collapsed="false">
      <c r="A463" s="0" t="n">
        <v>461</v>
      </c>
      <c r="B463" s="0" t="n">
        <v>0.4103</v>
      </c>
      <c r="C463" s="0" t="n">
        <v>1.3887</v>
      </c>
      <c r="D463" s="0" t="n">
        <v>0.7398</v>
      </c>
      <c r="E463" s="0" t="n">
        <v>-1.7033</v>
      </c>
      <c r="F463" s="0" t="n">
        <v>-0.3727</v>
      </c>
      <c r="G463" s="0" t="n">
        <v>-1.2726</v>
      </c>
      <c r="H463" s="0" t="n">
        <v>0.2914</v>
      </c>
      <c r="I463" s="0" t="n">
        <v>-0.0588</v>
      </c>
      <c r="J463" s="0" t="n">
        <v>0.7894</v>
      </c>
      <c r="K463" s="0" t="n">
        <v>0.3276</v>
      </c>
      <c r="L463" s="0" t="n">
        <v>-0.3577</v>
      </c>
      <c r="M463" s="0" t="n">
        <v>1.2471</v>
      </c>
      <c r="N463" s="0" t="n">
        <v>-1.3496</v>
      </c>
      <c r="O463" s="0" t="n">
        <v>-1.6953</v>
      </c>
      <c r="P463" s="0" t="n">
        <v>0.9862</v>
      </c>
      <c r="Q463" s="0" t="n">
        <v>0.509</v>
      </c>
      <c r="R463" s="0" t="n">
        <v>0.7191</v>
      </c>
      <c r="S463" s="0" t="n">
        <v>-0.8935</v>
      </c>
      <c r="T463" s="0" t="n">
        <v>0.7339</v>
      </c>
      <c r="U463" s="0" t="n">
        <v>0.741</v>
      </c>
      <c r="V463" s="0" t="n">
        <v>0.0742</v>
      </c>
      <c r="W463" s="0" t="n">
        <v>0.0897</v>
      </c>
      <c r="X463" s="0" t="n">
        <v>-0.1592</v>
      </c>
      <c r="Y463" s="0" t="n">
        <v>0.5223</v>
      </c>
      <c r="Z463" s="0" t="n">
        <v>-1.4183</v>
      </c>
      <c r="AA463" s="0" t="n">
        <v>1.4602</v>
      </c>
      <c r="AB463" s="0" t="n">
        <v>-0.9414</v>
      </c>
      <c r="AC463" s="0" t="n">
        <v>-1.0124</v>
      </c>
      <c r="AD463" s="0" t="n">
        <v>1.3098</v>
      </c>
      <c r="AE463" s="0" t="n">
        <v>-0.0082</v>
      </c>
      <c r="AG463" s="9" t="n">
        <f aca="false">SUMPRODUCT(($B$2:$AE$2&lt;=Portafolio!$B$5)*EXP(LN(Portafolio!$B$7)+Portafolio!$B$6*B463:AE463))/1000</f>
        <v>2.38721590463436</v>
      </c>
    </row>
    <row r="464" customFormat="false" ht="15" hidden="false" customHeight="false" outlineLevel="0" collapsed="false">
      <c r="A464" s="0" t="n">
        <v>462</v>
      </c>
      <c r="B464" s="0" t="n">
        <v>-1.6261</v>
      </c>
      <c r="C464" s="0" t="n">
        <v>0.247</v>
      </c>
      <c r="D464" s="0" t="n">
        <v>-0.5484</v>
      </c>
      <c r="E464" s="0" t="n">
        <v>0.478</v>
      </c>
      <c r="F464" s="0" t="n">
        <v>-1.23</v>
      </c>
      <c r="G464" s="0" t="n">
        <v>-0.0328</v>
      </c>
      <c r="H464" s="0" t="n">
        <v>-0.4053</v>
      </c>
      <c r="I464" s="0" t="n">
        <v>1.7645</v>
      </c>
      <c r="J464" s="0" t="n">
        <v>-1.0229</v>
      </c>
      <c r="K464" s="0" t="n">
        <v>1.1312</v>
      </c>
      <c r="L464" s="0" t="n">
        <v>0.9921</v>
      </c>
      <c r="M464" s="0" t="n">
        <v>0.4486</v>
      </c>
      <c r="N464" s="0" t="n">
        <v>-0.2705</v>
      </c>
      <c r="O464" s="0" t="n">
        <v>0.603</v>
      </c>
      <c r="P464" s="0" t="n">
        <v>-0.8175</v>
      </c>
      <c r="Q464" s="0" t="n">
        <v>1.1473</v>
      </c>
      <c r="R464" s="0" t="n">
        <v>-1.7665</v>
      </c>
      <c r="S464" s="0" t="n">
        <v>1.5068</v>
      </c>
      <c r="T464" s="0" t="n">
        <v>-0.3946</v>
      </c>
      <c r="U464" s="0" t="n">
        <v>-0.5382</v>
      </c>
      <c r="V464" s="0" t="n">
        <v>0.3068</v>
      </c>
      <c r="W464" s="0" t="n">
        <v>1.8153</v>
      </c>
      <c r="X464" s="0" t="n">
        <v>-0.043</v>
      </c>
      <c r="Y464" s="0" t="n">
        <v>2.1755</v>
      </c>
      <c r="Z464" s="0" t="n">
        <v>-0.0859</v>
      </c>
      <c r="AA464" s="0" t="n">
        <v>0.4508</v>
      </c>
      <c r="AB464" s="0" t="n">
        <v>-1.3745</v>
      </c>
      <c r="AC464" s="0" t="n">
        <v>0.0475</v>
      </c>
      <c r="AD464" s="0" t="n">
        <v>-0.0756</v>
      </c>
      <c r="AE464" s="0" t="n">
        <v>-0.5577</v>
      </c>
      <c r="AG464" s="9" t="n">
        <f aca="false">SUMPRODUCT(($B$2:$AE$2&lt;=Portafolio!$B$5)*EXP(LN(Portafolio!$B$7)+Portafolio!$B$6*B464:AE464))/1000</f>
        <v>2.35671035597869</v>
      </c>
    </row>
    <row r="465" customFormat="false" ht="15" hidden="false" customHeight="false" outlineLevel="0" collapsed="false">
      <c r="A465" s="0" t="n">
        <v>463</v>
      </c>
      <c r="B465" s="0" t="n">
        <v>-1.407</v>
      </c>
      <c r="C465" s="0" t="n">
        <v>-0.5054</v>
      </c>
      <c r="D465" s="0" t="n">
        <v>0.3834</v>
      </c>
      <c r="E465" s="0" t="n">
        <v>0.7858</v>
      </c>
      <c r="F465" s="0" t="n">
        <v>1.8724</v>
      </c>
      <c r="G465" s="0" t="n">
        <v>-2.0552</v>
      </c>
      <c r="H465" s="0" t="n">
        <v>1.8785</v>
      </c>
      <c r="I465" s="0" t="n">
        <v>1.0071</v>
      </c>
      <c r="J465" s="0" t="n">
        <v>-0.0154</v>
      </c>
      <c r="K465" s="0" t="n">
        <v>1.3901</v>
      </c>
      <c r="L465" s="0" t="n">
        <v>0.3513</v>
      </c>
      <c r="M465" s="0" t="n">
        <v>-1.6146</v>
      </c>
      <c r="N465" s="0" t="n">
        <v>0.7516</v>
      </c>
      <c r="O465" s="0" t="n">
        <v>-1.3857</v>
      </c>
      <c r="P465" s="0" t="n">
        <v>0.778</v>
      </c>
      <c r="Q465" s="0" t="n">
        <v>-1.2713</v>
      </c>
      <c r="R465" s="0" t="n">
        <v>-1.7306</v>
      </c>
      <c r="S465" s="0" t="n">
        <v>1.0339</v>
      </c>
      <c r="T465" s="0" t="n">
        <v>-0.4943</v>
      </c>
      <c r="U465" s="0" t="n">
        <v>-0.6273</v>
      </c>
      <c r="V465" s="0" t="n">
        <v>1.8947</v>
      </c>
      <c r="W465" s="0" t="n">
        <v>0.0854</v>
      </c>
      <c r="X465" s="0" t="n">
        <v>1.6568</v>
      </c>
      <c r="Y465" s="0" t="n">
        <v>-0.2027</v>
      </c>
      <c r="Z465" s="0" t="n">
        <v>-0.0943</v>
      </c>
      <c r="AA465" s="0" t="n">
        <v>-2.059</v>
      </c>
      <c r="AB465" s="0" t="n">
        <v>1.3255</v>
      </c>
      <c r="AC465" s="0" t="n">
        <v>-0.4142</v>
      </c>
      <c r="AD465" s="0" t="n">
        <v>1.0467</v>
      </c>
      <c r="AE465" s="0" t="n">
        <v>-0.6383</v>
      </c>
      <c r="AG465" s="9" t="n">
        <f aca="false">SUMPRODUCT(($B$2:$AE$2&lt;=Portafolio!$B$5)*EXP(LN(Portafolio!$B$7)+Portafolio!$B$6*B465:AE465))/1000</f>
        <v>2.49301618477461</v>
      </c>
    </row>
    <row r="466" customFormat="false" ht="15" hidden="false" customHeight="false" outlineLevel="0" collapsed="false">
      <c r="A466" s="0" t="n">
        <v>464</v>
      </c>
      <c r="B466" s="0" t="n">
        <v>-1.9405</v>
      </c>
      <c r="C466" s="0" t="n">
        <v>0.364</v>
      </c>
      <c r="D466" s="0" t="n">
        <v>1.1236</v>
      </c>
      <c r="E466" s="0" t="n">
        <v>-2.3248</v>
      </c>
      <c r="F466" s="0" t="n">
        <v>-1.2239</v>
      </c>
      <c r="G466" s="0" t="n">
        <v>1.3318</v>
      </c>
      <c r="H466" s="0" t="n">
        <v>1.6775</v>
      </c>
      <c r="I466" s="0" t="n">
        <v>-0.3461</v>
      </c>
      <c r="J466" s="0" t="n">
        <v>0.2858</v>
      </c>
      <c r="K466" s="0" t="n">
        <v>0.659</v>
      </c>
      <c r="L466" s="0" t="n">
        <v>0.4496</v>
      </c>
      <c r="M466" s="0" t="n">
        <v>-1.1298</v>
      </c>
      <c r="N466" s="0" t="n">
        <v>1.138</v>
      </c>
      <c r="O466" s="0" t="n">
        <v>1.8103</v>
      </c>
      <c r="P466" s="0" t="n">
        <v>0.1726</v>
      </c>
      <c r="Q466" s="0" t="n">
        <v>0.1947</v>
      </c>
      <c r="R466" s="0" t="n">
        <v>-0.6173</v>
      </c>
      <c r="S466" s="0" t="n">
        <v>0.598</v>
      </c>
      <c r="T466" s="0" t="n">
        <v>0.7139</v>
      </c>
      <c r="U466" s="0" t="n">
        <v>-0.5395</v>
      </c>
      <c r="V466" s="0" t="n">
        <v>-1.7294</v>
      </c>
      <c r="W466" s="0" t="n">
        <v>-1.4472</v>
      </c>
      <c r="X466" s="0" t="n">
        <v>0.5704</v>
      </c>
      <c r="Y466" s="0" t="n">
        <v>0.2114</v>
      </c>
      <c r="Z466" s="0" t="n">
        <v>-0.3691</v>
      </c>
      <c r="AA466" s="0" t="n">
        <v>-2.1757</v>
      </c>
      <c r="AB466" s="0" t="n">
        <v>-1.5332</v>
      </c>
      <c r="AC466" s="0" t="n">
        <v>1.7555</v>
      </c>
      <c r="AD466" s="0" t="n">
        <v>-1.0091</v>
      </c>
      <c r="AE466" s="0" t="n">
        <v>-0.9902</v>
      </c>
      <c r="AG466" s="9" t="n">
        <f aca="false">SUMPRODUCT(($B$2:$AE$2&lt;=Portafolio!$B$5)*EXP(LN(Portafolio!$B$7)+Portafolio!$B$6*B466:AE466))/1000</f>
        <v>2.60632941121922</v>
      </c>
    </row>
    <row r="467" customFormat="false" ht="15" hidden="false" customHeight="false" outlineLevel="0" collapsed="false">
      <c r="A467" s="0" t="n">
        <v>465</v>
      </c>
      <c r="B467" s="0" t="n">
        <v>1.0478</v>
      </c>
      <c r="C467" s="0" t="n">
        <v>1.34</v>
      </c>
      <c r="D467" s="0" t="n">
        <v>-0.5321</v>
      </c>
      <c r="E467" s="0" t="n">
        <v>0.2125</v>
      </c>
      <c r="F467" s="0" t="n">
        <v>0.479</v>
      </c>
      <c r="G467" s="0" t="n">
        <v>0.5402</v>
      </c>
      <c r="H467" s="0" t="n">
        <v>-0.4759</v>
      </c>
      <c r="I467" s="0" t="n">
        <v>0.0484</v>
      </c>
      <c r="J467" s="0" t="n">
        <v>0.6066</v>
      </c>
      <c r="K467" s="0" t="n">
        <v>1.6221</v>
      </c>
      <c r="L467" s="0" t="n">
        <v>0.4463</v>
      </c>
      <c r="M467" s="0" t="n">
        <v>-1.8238</v>
      </c>
      <c r="N467" s="0" t="n">
        <v>-1.0086</v>
      </c>
      <c r="O467" s="0" t="n">
        <v>-0.9506</v>
      </c>
      <c r="P467" s="0" t="n">
        <v>0.7981</v>
      </c>
      <c r="Q467" s="0" t="n">
        <v>1.5752</v>
      </c>
      <c r="R467" s="0" t="n">
        <v>0.5208</v>
      </c>
      <c r="S467" s="0" t="n">
        <v>-1.2324</v>
      </c>
      <c r="T467" s="0" t="n">
        <v>-0.3517</v>
      </c>
      <c r="U467" s="0" t="n">
        <v>-0.0832</v>
      </c>
      <c r="V467" s="0" t="n">
        <v>0.903</v>
      </c>
      <c r="W467" s="0" t="n">
        <v>0.2313</v>
      </c>
      <c r="X467" s="0" t="n">
        <v>0.7993</v>
      </c>
      <c r="Y467" s="0" t="n">
        <v>-0.448</v>
      </c>
      <c r="Z467" s="0" t="n">
        <v>1.9949</v>
      </c>
      <c r="AA467" s="0" t="n">
        <v>-1.286</v>
      </c>
      <c r="AB467" s="0" t="n">
        <v>-0.1139</v>
      </c>
      <c r="AC467" s="0" t="n">
        <v>1.1137</v>
      </c>
      <c r="AD467" s="0" t="n">
        <v>0.8416</v>
      </c>
      <c r="AE467" s="0" t="n">
        <v>-1.1669</v>
      </c>
      <c r="AG467" s="9" t="n">
        <f aca="false">SUMPRODUCT(($B$2:$AE$2&lt;=Portafolio!$B$5)*EXP(LN(Portafolio!$B$7)+Portafolio!$B$6*B467:AE467))/1000</f>
        <v>2.51004450630483</v>
      </c>
    </row>
    <row r="468" customFormat="false" ht="15" hidden="false" customHeight="false" outlineLevel="0" collapsed="false">
      <c r="A468" s="0" t="n">
        <v>466</v>
      </c>
      <c r="B468" s="0" t="n">
        <v>-0.679</v>
      </c>
      <c r="C468" s="0" t="n">
        <v>-0.3612</v>
      </c>
      <c r="D468" s="0" t="n">
        <v>0.8852</v>
      </c>
      <c r="E468" s="0" t="n">
        <v>0.9242</v>
      </c>
      <c r="F468" s="0" t="n">
        <v>-1.5704</v>
      </c>
      <c r="G468" s="0" t="n">
        <v>-0.2545</v>
      </c>
      <c r="H468" s="0" t="n">
        <v>0.209</v>
      </c>
      <c r="I468" s="0" t="n">
        <v>1.0901</v>
      </c>
      <c r="J468" s="0" t="n">
        <v>0.6361</v>
      </c>
      <c r="K468" s="0" t="n">
        <v>1.3638</v>
      </c>
      <c r="L468" s="0" t="n">
        <v>-0.4445</v>
      </c>
      <c r="M468" s="0" t="n">
        <v>-0.688</v>
      </c>
      <c r="N468" s="0" t="n">
        <v>0.1778</v>
      </c>
      <c r="O468" s="0" t="n">
        <v>0.3003</v>
      </c>
      <c r="P468" s="0" t="n">
        <v>2.4889</v>
      </c>
      <c r="Q468" s="0" t="n">
        <v>0.0498</v>
      </c>
      <c r="R468" s="0" t="n">
        <v>-0.1562</v>
      </c>
      <c r="S468" s="0" t="n">
        <v>-1.0738</v>
      </c>
      <c r="T468" s="0" t="n">
        <v>0.2441</v>
      </c>
      <c r="U468" s="0" t="n">
        <v>-0.4618</v>
      </c>
      <c r="V468" s="0" t="n">
        <v>0.657</v>
      </c>
      <c r="W468" s="0" t="n">
        <v>-0.1226</v>
      </c>
      <c r="X468" s="0" t="n">
        <v>-0.8612</v>
      </c>
      <c r="Y468" s="0" t="n">
        <v>-0.9633</v>
      </c>
      <c r="Z468" s="0" t="n">
        <v>-0.6664</v>
      </c>
      <c r="AA468" s="0" t="n">
        <v>-0.0405</v>
      </c>
      <c r="AB468" s="0" t="n">
        <v>-2.8404</v>
      </c>
      <c r="AC468" s="0" t="n">
        <v>-0.7697</v>
      </c>
      <c r="AD468" s="0" t="n">
        <v>-0.1166</v>
      </c>
      <c r="AE468" s="0" t="n">
        <v>-1.3932</v>
      </c>
      <c r="AG468" s="9" t="n">
        <f aca="false">SUMPRODUCT(($B$2:$AE$2&lt;=Portafolio!$B$5)*EXP(LN(Portafolio!$B$7)+Portafolio!$B$6*B468:AE468))/1000</f>
        <v>2.55201432365264</v>
      </c>
    </row>
    <row r="469" customFormat="false" ht="15" hidden="false" customHeight="false" outlineLevel="0" collapsed="false">
      <c r="A469" s="0" t="n">
        <v>467</v>
      </c>
      <c r="B469" s="0" t="n">
        <v>0.6397</v>
      </c>
      <c r="C469" s="0" t="n">
        <v>-0.3466</v>
      </c>
      <c r="D469" s="0" t="n">
        <v>0.6694</v>
      </c>
      <c r="E469" s="0" t="n">
        <v>0.2343</v>
      </c>
      <c r="F469" s="0" t="n">
        <v>-0.4124</v>
      </c>
      <c r="G469" s="0" t="n">
        <v>1.3067</v>
      </c>
      <c r="H469" s="0" t="n">
        <v>0.8751</v>
      </c>
      <c r="I469" s="0" t="n">
        <v>-1.2859</v>
      </c>
      <c r="J469" s="0" t="n">
        <v>-0.237</v>
      </c>
      <c r="K469" s="0" t="n">
        <v>-1.4051</v>
      </c>
      <c r="L469" s="0" t="n">
        <v>-0.6443</v>
      </c>
      <c r="M469" s="0" t="n">
        <v>-0.1404</v>
      </c>
      <c r="N469" s="0" t="n">
        <v>-0.5636</v>
      </c>
      <c r="O469" s="0" t="n">
        <v>-0.2357</v>
      </c>
      <c r="P469" s="0" t="n">
        <v>0.5034</v>
      </c>
      <c r="Q469" s="0" t="n">
        <v>1.138</v>
      </c>
      <c r="R469" s="0" t="n">
        <v>0.5742</v>
      </c>
      <c r="S469" s="0" t="n">
        <v>0.9802</v>
      </c>
      <c r="T469" s="0" t="n">
        <v>-0.6438</v>
      </c>
      <c r="U469" s="0" t="n">
        <v>-0.399</v>
      </c>
      <c r="V469" s="0" t="n">
        <v>0.9999</v>
      </c>
      <c r="W469" s="0" t="n">
        <v>-0.5766</v>
      </c>
      <c r="X469" s="0" t="n">
        <v>0.4949</v>
      </c>
      <c r="Y469" s="0" t="n">
        <v>0.1126</v>
      </c>
      <c r="Z469" s="0" t="n">
        <v>0.5968</v>
      </c>
      <c r="AA469" s="0" t="n">
        <v>1.2003</v>
      </c>
      <c r="AB469" s="0" t="n">
        <v>0.1401</v>
      </c>
      <c r="AC469" s="0" t="n">
        <v>-0.5592</v>
      </c>
      <c r="AD469" s="0" t="n">
        <v>-0.8055</v>
      </c>
      <c r="AE469" s="0" t="n">
        <v>1.835</v>
      </c>
      <c r="AG469" s="9" t="n">
        <f aca="false">SUMPRODUCT(($B$2:$AE$2&lt;=Portafolio!$B$5)*EXP(LN(Portafolio!$B$7)+Portafolio!$B$6*B469:AE469))/1000</f>
        <v>2.25375048809753</v>
      </c>
    </row>
    <row r="470" customFormat="false" ht="15" hidden="false" customHeight="false" outlineLevel="0" collapsed="false">
      <c r="A470" s="0" t="n">
        <v>468</v>
      </c>
      <c r="B470" s="0" t="n">
        <v>0.9316</v>
      </c>
      <c r="C470" s="0" t="n">
        <v>-1.3167</v>
      </c>
      <c r="D470" s="0" t="n">
        <v>-1.4969</v>
      </c>
      <c r="E470" s="0" t="n">
        <v>-2.4506</v>
      </c>
      <c r="F470" s="0" t="n">
        <v>0.0199</v>
      </c>
      <c r="G470" s="0" t="n">
        <v>-0.6668</v>
      </c>
      <c r="H470" s="0" t="n">
        <v>-2.5776</v>
      </c>
      <c r="I470" s="0" t="n">
        <v>0.2116</v>
      </c>
      <c r="J470" s="0" t="n">
        <v>0.0244</v>
      </c>
      <c r="K470" s="0" t="n">
        <v>1.9579</v>
      </c>
      <c r="L470" s="0" t="n">
        <v>0.0919</v>
      </c>
      <c r="M470" s="0" t="n">
        <v>-1.4757</v>
      </c>
      <c r="N470" s="0" t="n">
        <v>0.066</v>
      </c>
      <c r="O470" s="0" t="n">
        <v>0.057</v>
      </c>
      <c r="P470" s="0" t="n">
        <v>-1.1571</v>
      </c>
      <c r="Q470" s="0" t="n">
        <v>-1.3769</v>
      </c>
      <c r="R470" s="0" t="n">
        <v>-0.669</v>
      </c>
      <c r="S470" s="0" t="n">
        <v>-0.0595</v>
      </c>
      <c r="T470" s="0" t="n">
        <v>1.055</v>
      </c>
      <c r="U470" s="0" t="n">
        <v>-0.7854</v>
      </c>
      <c r="V470" s="0" t="n">
        <v>0.3588</v>
      </c>
      <c r="W470" s="0" t="n">
        <v>1.7093</v>
      </c>
      <c r="X470" s="0" t="n">
        <v>-0.9975</v>
      </c>
      <c r="Y470" s="0" t="n">
        <v>-1.1402</v>
      </c>
      <c r="Z470" s="0" t="n">
        <v>-0.6572</v>
      </c>
      <c r="AA470" s="0" t="n">
        <v>0.5219</v>
      </c>
      <c r="AB470" s="0" t="n">
        <v>-1.0324</v>
      </c>
      <c r="AC470" s="0" t="n">
        <v>1.0658</v>
      </c>
      <c r="AD470" s="0" t="n">
        <v>-0.6707</v>
      </c>
      <c r="AE470" s="0" t="n">
        <v>-0.6901</v>
      </c>
      <c r="AG470" s="9" t="n">
        <f aca="false">SUMPRODUCT(($B$2:$AE$2&lt;=Portafolio!$B$5)*EXP(LN(Portafolio!$B$7)+Portafolio!$B$6*B470:AE470))/1000</f>
        <v>1.8745922231552</v>
      </c>
    </row>
    <row r="471" customFormat="false" ht="15" hidden="false" customHeight="false" outlineLevel="0" collapsed="false">
      <c r="A471" s="0" t="n">
        <v>469</v>
      </c>
      <c r="B471" s="0" t="n">
        <v>0.3888</v>
      </c>
      <c r="C471" s="0" t="n">
        <v>0.8478</v>
      </c>
      <c r="D471" s="0" t="n">
        <v>-0.4549</v>
      </c>
      <c r="E471" s="0" t="n">
        <v>-0.1489</v>
      </c>
      <c r="F471" s="0" t="n">
        <v>0.8834</v>
      </c>
      <c r="G471" s="0" t="n">
        <v>1.8091</v>
      </c>
      <c r="H471" s="0" t="n">
        <v>-0.5642</v>
      </c>
      <c r="I471" s="0" t="n">
        <v>0.859</v>
      </c>
      <c r="J471" s="0" t="n">
        <v>1.0399</v>
      </c>
      <c r="K471" s="0" t="n">
        <v>0.643</v>
      </c>
      <c r="L471" s="0" t="n">
        <v>0.1658</v>
      </c>
      <c r="M471" s="0" t="n">
        <v>0.2555</v>
      </c>
      <c r="N471" s="0" t="n">
        <v>-1.1287</v>
      </c>
      <c r="O471" s="0" t="n">
        <v>-0.1864</v>
      </c>
      <c r="P471" s="0" t="n">
        <v>-0.8335</v>
      </c>
      <c r="Q471" s="0" t="n">
        <v>-0.556</v>
      </c>
      <c r="R471" s="0" t="n">
        <v>0.2054</v>
      </c>
      <c r="S471" s="0" t="n">
        <v>2.0205</v>
      </c>
      <c r="T471" s="0" t="n">
        <v>0.2983</v>
      </c>
      <c r="U471" s="0" t="n">
        <v>-0.4082</v>
      </c>
      <c r="V471" s="0" t="n">
        <v>1.2256</v>
      </c>
      <c r="W471" s="0" t="n">
        <v>-0.9964</v>
      </c>
      <c r="X471" s="0" t="n">
        <v>0.9086</v>
      </c>
      <c r="Y471" s="0" t="n">
        <v>-0.8184</v>
      </c>
      <c r="Z471" s="0" t="n">
        <v>0.3397</v>
      </c>
      <c r="AA471" s="0" t="n">
        <v>2.0074</v>
      </c>
      <c r="AB471" s="0" t="n">
        <v>-0.1225</v>
      </c>
      <c r="AC471" s="0" t="n">
        <v>-0.7086</v>
      </c>
      <c r="AD471" s="0" t="n">
        <v>-0.1736</v>
      </c>
      <c r="AE471" s="0" t="n">
        <v>0.5905</v>
      </c>
      <c r="AG471" s="9" t="n">
        <f aca="false">SUMPRODUCT(($B$2:$AE$2&lt;=Portafolio!$B$5)*EXP(LN(Portafolio!$B$7)+Portafolio!$B$6*B471:AE471))/1000</f>
        <v>2.64519163266572</v>
      </c>
    </row>
    <row r="472" customFormat="false" ht="15" hidden="false" customHeight="false" outlineLevel="0" collapsed="false">
      <c r="A472" s="0" t="n">
        <v>470</v>
      </c>
      <c r="B472" s="0" t="n">
        <v>-2.2479</v>
      </c>
      <c r="C472" s="0" t="n">
        <v>2.0759</v>
      </c>
      <c r="D472" s="0" t="n">
        <v>-1.1028</v>
      </c>
      <c r="E472" s="0" t="n">
        <v>0.4511</v>
      </c>
      <c r="F472" s="0" t="n">
        <v>0.623</v>
      </c>
      <c r="G472" s="0" t="n">
        <v>-0.8327</v>
      </c>
      <c r="H472" s="0" t="n">
        <v>-0.2959</v>
      </c>
      <c r="I472" s="0" t="n">
        <v>1.1057</v>
      </c>
      <c r="J472" s="0" t="n">
        <v>-0.4413</v>
      </c>
      <c r="K472" s="0" t="n">
        <v>0.673</v>
      </c>
      <c r="L472" s="0" t="n">
        <v>-0.0683</v>
      </c>
      <c r="M472" s="0" t="n">
        <v>-0.0621</v>
      </c>
      <c r="N472" s="0" t="n">
        <v>0.1443</v>
      </c>
      <c r="O472" s="0" t="n">
        <v>0.3256</v>
      </c>
      <c r="P472" s="0" t="n">
        <v>-0.287</v>
      </c>
      <c r="Q472" s="0" t="n">
        <v>1.0972</v>
      </c>
      <c r="R472" s="0" t="n">
        <v>0.0463</v>
      </c>
      <c r="S472" s="0" t="n">
        <v>0.1215</v>
      </c>
      <c r="T472" s="0" t="n">
        <v>-2.3231</v>
      </c>
      <c r="U472" s="0" t="n">
        <v>-1.6887</v>
      </c>
      <c r="V472" s="0" t="n">
        <v>0.7779</v>
      </c>
      <c r="W472" s="0" t="n">
        <v>0.6991</v>
      </c>
      <c r="X472" s="0" t="n">
        <v>0.2977</v>
      </c>
      <c r="Y472" s="0" t="n">
        <v>1.2239</v>
      </c>
      <c r="Z472" s="0" t="n">
        <v>-1.8787</v>
      </c>
      <c r="AA472" s="0" t="n">
        <v>-0.175</v>
      </c>
      <c r="AB472" s="0" t="n">
        <v>0.7093</v>
      </c>
      <c r="AC472" s="0" t="n">
        <v>0.8425</v>
      </c>
      <c r="AD472" s="0" t="n">
        <v>1.0929</v>
      </c>
      <c r="AE472" s="0" t="n">
        <v>0.7742</v>
      </c>
      <c r="AG472" s="9" t="n">
        <f aca="false">SUMPRODUCT(($B$2:$AE$2&lt;=Portafolio!$B$5)*EXP(LN(Portafolio!$B$7)+Portafolio!$B$6*B472:AE472))/1000</f>
        <v>2.2382598611546</v>
      </c>
    </row>
    <row r="473" customFormat="false" ht="15" hidden="false" customHeight="false" outlineLevel="0" collapsed="false">
      <c r="A473" s="0" t="n">
        <v>471</v>
      </c>
      <c r="B473" s="0" t="n">
        <v>-0.1276</v>
      </c>
      <c r="C473" s="0" t="n">
        <v>1.4154</v>
      </c>
      <c r="D473" s="0" t="n">
        <v>-0.7022</v>
      </c>
      <c r="E473" s="0" t="n">
        <v>-0.3776</v>
      </c>
      <c r="F473" s="0" t="n">
        <v>1.7264</v>
      </c>
      <c r="G473" s="0" t="n">
        <v>-0.3139</v>
      </c>
      <c r="H473" s="0" t="n">
        <v>1.4125</v>
      </c>
      <c r="I473" s="0" t="n">
        <v>-0.8124</v>
      </c>
      <c r="J473" s="0" t="n">
        <v>-0.023</v>
      </c>
      <c r="K473" s="0" t="n">
        <v>0.9944</v>
      </c>
      <c r="L473" s="0" t="n">
        <v>-1.6811</v>
      </c>
      <c r="M473" s="0" t="n">
        <v>-0.1123</v>
      </c>
      <c r="N473" s="0" t="n">
        <v>-2.271</v>
      </c>
      <c r="O473" s="0" t="n">
        <v>-0.7686</v>
      </c>
      <c r="P473" s="0" t="n">
        <v>-0.1363</v>
      </c>
      <c r="Q473" s="0" t="n">
        <v>-0.0246</v>
      </c>
      <c r="R473" s="0" t="n">
        <v>0.9891</v>
      </c>
      <c r="S473" s="0" t="n">
        <v>-1.0304</v>
      </c>
      <c r="T473" s="0" t="n">
        <v>1.685</v>
      </c>
      <c r="U473" s="0" t="n">
        <v>-0.3681</v>
      </c>
      <c r="V473" s="0" t="n">
        <v>-1.086</v>
      </c>
      <c r="W473" s="0" t="n">
        <v>0.335</v>
      </c>
      <c r="X473" s="0" t="n">
        <v>0.6856</v>
      </c>
      <c r="Y473" s="0" t="n">
        <v>0.8669</v>
      </c>
      <c r="Z473" s="0" t="n">
        <v>0.5531</v>
      </c>
      <c r="AA473" s="0" t="n">
        <v>-0.863</v>
      </c>
      <c r="AB473" s="0" t="n">
        <v>-1.8984</v>
      </c>
      <c r="AC473" s="0" t="n">
        <v>1.6754</v>
      </c>
      <c r="AD473" s="0" t="n">
        <v>0.1695</v>
      </c>
      <c r="AE473" s="0" t="n">
        <v>0.3876</v>
      </c>
      <c r="AG473" s="9" t="n">
        <f aca="false">SUMPRODUCT(($B$2:$AE$2&lt;=Portafolio!$B$5)*EXP(LN(Portafolio!$B$7)+Portafolio!$B$6*B473:AE473))/1000</f>
        <v>2.41059529900952</v>
      </c>
    </row>
    <row r="474" customFormat="false" ht="15" hidden="false" customHeight="false" outlineLevel="0" collapsed="false">
      <c r="A474" s="0" t="n">
        <v>472</v>
      </c>
      <c r="B474" s="0" t="n">
        <v>1.1359</v>
      </c>
      <c r="C474" s="0" t="n">
        <v>0.9391</v>
      </c>
      <c r="D474" s="0" t="n">
        <v>-1.1747</v>
      </c>
      <c r="E474" s="0" t="n">
        <v>-1.6843</v>
      </c>
      <c r="F474" s="0" t="n">
        <v>-1.8873</v>
      </c>
      <c r="G474" s="0" t="n">
        <v>-1.5562</v>
      </c>
      <c r="H474" s="0" t="n">
        <v>0.6007</v>
      </c>
      <c r="I474" s="0" t="n">
        <v>0.071</v>
      </c>
      <c r="J474" s="0" t="n">
        <v>-0.0048</v>
      </c>
      <c r="K474" s="0" t="n">
        <v>-0.9296</v>
      </c>
      <c r="L474" s="0" t="n">
        <v>0.0756</v>
      </c>
      <c r="M474" s="0" t="n">
        <v>-0.4148</v>
      </c>
      <c r="N474" s="0" t="n">
        <v>-0.0798</v>
      </c>
      <c r="O474" s="0" t="n">
        <v>0.5938</v>
      </c>
      <c r="P474" s="0" t="n">
        <v>0.016</v>
      </c>
      <c r="Q474" s="0" t="n">
        <v>0.6369</v>
      </c>
      <c r="R474" s="0" t="n">
        <v>-0.2145</v>
      </c>
      <c r="S474" s="0" t="n">
        <v>1.3494</v>
      </c>
      <c r="T474" s="0" t="n">
        <v>1.8086</v>
      </c>
      <c r="U474" s="0" t="n">
        <v>-0.2569</v>
      </c>
      <c r="V474" s="0" t="n">
        <v>0.1201</v>
      </c>
      <c r="W474" s="0" t="n">
        <v>-0.1509</v>
      </c>
      <c r="X474" s="0" t="n">
        <v>-0.4587</v>
      </c>
      <c r="Y474" s="0" t="n">
        <v>1.1506</v>
      </c>
      <c r="Z474" s="0" t="n">
        <v>0.22</v>
      </c>
      <c r="AA474" s="0" t="n">
        <v>-2.4859</v>
      </c>
      <c r="AB474" s="0" t="n">
        <v>1.2394</v>
      </c>
      <c r="AC474" s="0" t="n">
        <v>0.6861</v>
      </c>
      <c r="AD474" s="0" t="n">
        <v>-1.4981</v>
      </c>
      <c r="AE474" s="0" t="n">
        <v>0.15</v>
      </c>
      <c r="AG474" s="9" t="n">
        <f aca="false">SUMPRODUCT(($B$2:$AE$2&lt;=Portafolio!$B$5)*EXP(LN(Portafolio!$B$7)+Portafolio!$B$6*B474:AE474))/1000</f>
        <v>2.29800845691896</v>
      </c>
    </row>
    <row r="475" customFormat="false" ht="15" hidden="false" customHeight="false" outlineLevel="0" collapsed="false">
      <c r="A475" s="0" t="n">
        <v>473</v>
      </c>
      <c r="B475" s="0" t="n">
        <v>-0.3365</v>
      </c>
      <c r="C475" s="0" t="n">
        <v>0.2435</v>
      </c>
      <c r="D475" s="0" t="n">
        <v>-0.0025</v>
      </c>
      <c r="E475" s="0" t="n">
        <v>2.6504</v>
      </c>
      <c r="F475" s="0" t="n">
        <v>1.055</v>
      </c>
      <c r="G475" s="0" t="n">
        <v>2.2078</v>
      </c>
      <c r="H475" s="0" t="n">
        <v>1.1143</v>
      </c>
      <c r="I475" s="0" t="n">
        <v>-0.2736</v>
      </c>
      <c r="J475" s="0" t="n">
        <v>1.3143</v>
      </c>
      <c r="K475" s="0" t="n">
        <v>1.7315</v>
      </c>
      <c r="L475" s="0" t="n">
        <v>-0.4484</v>
      </c>
      <c r="M475" s="0" t="n">
        <v>0.5418</v>
      </c>
      <c r="N475" s="0" t="n">
        <v>0.7004</v>
      </c>
      <c r="O475" s="0" t="n">
        <v>0.666</v>
      </c>
      <c r="P475" s="0" t="n">
        <v>0.8699</v>
      </c>
      <c r="Q475" s="0" t="n">
        <v>-1.8636</v>
      </c>
      <c r="R475" s="0" t="n">
        <v>1.0824</v>
      </c>
      <c r="S475" s="0" t="n">
        <v>1.1171</v>
      </c>
      <c r="T475" s="0" t="n">
        <v>-0.2632</v>
      </c>
      <c r="U475" s="0" t="n">
        <v>1.7179</v>
      </c>
      <c r="V475" s="0" t="n">
        <v>0.184</v>
      </c>
      <c r="W475" s="0" t="n">
        <v>2.1178</v>
      </c>
      <c r="X475" s="0" t="n">
        <v>0.3475</v>
      </c>
      <c r="Y475" s="0" t="n">
        <v>0.595</v>
      </c>
      <c r="Z475" s="0" t="n">
        <v>0.7221</v>
      </c>
      <c r="AA475" s="0" t="n">
        <v>0.5433</v>
      </c>
      <c r="AB475" s="0" t="n">
        <v>1.3906</v>
      </c>
      <c r="AC475" s="0" t="n">
        <v>-0.6158</v>
      </c>
      <c r="AD475" s="0" t="n">
        <v>-0.7147</v>
      </c>
      <c r="AE475" s="0" t="n">
        <v>-0.7295</v>
      </c>
      <c r="AG475" s="9" t="n">
        <f aca="false">SUMPRODUCT(($B$2:$AE$2&lt;=Portafolio!$B$5)*EXP(LN(Portafolio!$B$7)+Portafolio!$B$6*B475:AE475))/1000</f>
        <v>3.60488511546549</v>
      </c>
    </row>
    <row r="476" customFormat="false" ht="15" hidden="false" customHeight="false" outlineLevel="0" collapsed="false">
      <c r="A476" s="0" t="n">
        <v>474</v>
      </c>
      <c r="B476" s="0" t="n">
        <v>0.9787</v>
      </c>
      <c r="C476" s="0" t="n">
        <v>-0.3823</v>
      </c>
      <c r="D476" s="0" t="n">
        <v>0.4156</v>
      </c>
      <c r="E476" s="0" t="n">
        <v>-0.4128</v>
      </c>
      <c r="F476" s="0" t="n">
        <v>-0.8685</v>
      </c>
      <c r="G476" s="0" t="n">
        <v>-0.4564</v>
      </c>
      <c r="H476" s="0" t="n">
        <v>-0.0647</v>
      </c>
      <c r="I476" s="0" t="n">
        <v>-0.5513</v>
      </c>
      <c r="J476" s="0" t="n">
        <v>1.3902</v>
      </c>
      <c r="K476" s="0" t="n">
        <v>0.6786</v>
      </c>
      <c r="L476" s="0" t="n">
        <v>0.7537</v>
      </c>
      <c r="M476" s="0" t="n">
        <v>0.2313</v>
      </c>
      <c r="N476" s="0" t="n">
        <v>-0.0139</v>
      </c>
      <c r="O476" s="0" t="n">
        <v>-1.7819</v>
      </c>
      <c r="P476" s="0" t="n">
        <v>-0.0031</v>
      </c>
      <c r="Q476" s="0" t="n">
        <v>-0.7416</v>
      </c>
      <c r="R476" s="0" t="n">
        <v>0.8039</v>
      </c>
      <c r="S476" s="0" t="n">
        <v>-0.0846</v>
      </c>
      <c r="T476" s="0" t="n">
        <v>0.2167</v>
      </c>
      <c r="U476" s="0" t="n">
        <v>-1.6369</v>
      </c>
      <c r="V476" s="0" t="n">
        <v>0.7538</v>
      </c>
      <c r="W476" s="0" t="n">
        <v>0.354</v>
      </c>
      <c r="X476" s="0" t="n">
        <v>-2.351</v>
      </c>
      <c r="Y476" s="0" t="n">
        <v>-0.4673</v>
      </c>
      <c r="Z476" s="0" t="n">
        <v>-0.757</v>
      </c>
      <c r="AA476" s="0" t="n">
        <v>0.3706</v>
      </c>
      <c r="AB476" s="0" t="n">
        <v>2.6557</v>
      </c>
      <c r="AC476" s="0" t="n">
        <v>-0.5657</v>
      </c>
      <c r="AD476" s="0" t="n">
        <v>1.706</v>
      </c>
      <c r="AE476" s="0" t="n">
        <v>1.0168</v>
      </c>
      <c r="AG476" s="9" t="n">
        <f aca="false">SUMPRODUCT(($B$2:$AE$2&lt;=Portafolio!$B$5)*EXP(LN(Portafolio!$B$7)+Portafolio!$B$6*B476:AE476))/1000</f>
        <v>2.12761453007949</v>
      </c>
    </row>
    <row r="477" customFormat="false" ht="15" hidden="false" customHeight="false" outlineLevel="0" collapsed="false">
      <c r="A477" s="0" t="n">
        <v>475</v>
      </c>
      <c r="B477" s="0" t="n">
        <v>-0.4057</v>
      </c>
      <c r="C477" s="0" t="n">
        <v>-1.1476</v>
      </c>
      <c r="D477" s="0" t="n">
        <v>-0.8014</v>
      </c>
      <c r="E477" s="0" t="n">
        <v>0.3389</v>
      </c>
      <c r="F477" s="0" t="n">
        <v>-0.1289</v>
      </c>
      <c r="G477" s="0" t="n">
        <v>0.7156</v>
      </c>
      <c r="H477" s="0" t="n">
        <v>0.3532</v>
      </c>
      <c r="I477" s="0" t="n">
        <v>0.0266</v>
      </c>
      <c r="J477" s="0" t="n">
        <v>-0.0276</v>
      </c>
      <c r="K477" s="0" t="n">
        <v>0.5374</v>
      </c>
      <c r="L477" s="0" t="n">
        <v>-0.592</v>
      </c>
      <c r="M477" s="0" t="n">
        <v>0.0024</v>
      </c>
      <c r="N477" s="0" t="n">
        <v>-0.7517</v>
      </c>
      <c r="O477" s="0" t="n">
        <v>0.3875</v>
      </c>
      <c r="P477" s="0" t="n">
        <v>0.6581</v>
      </c>
      <c r="Q477" s="0" t="n">
        <v>0.9091</v>
      </c>
      <c r="R477" s="0" t="n">
        <v>-0.0689</v>
      </c>
      <c r="S477" s="0" t="n">
        <v>-0.7857</v>
      </c>
      <c r="T477" s="0" t="n">
        <v>-0.5225</v>
      </c>
      <c r="U477" s="0" t="n">
        <v>0.6602</v>
      </c>
      <c r="V477" s="0" t="n">
        <v>-0.5896</v>
      </c>
      <c r="W477" s="0" t="n">
        <v>0.2873</v>
      </c>
      <c r="X477" s="0" t="n">
        <v>0.3549</v>
      </c>
      <c r="Y477" s="0" t="n">
        <v>0.8869</v>
      </c>
      <c r="Z477" s="0" t="n">
        <v>-0.8694</v>
      </c>
      <c r="AA477" s="0" t="n">
        <v>1.4521</v>
      </c>
      <c r="AB477" s="0" t="n">
        <v>-1.4528</v>
      </c>
      <c r="AC477" s="0" t="n">
        <v>1.1601</v>
      </c>
      <c r="AD477" s="0" t="n">
        <v>0.405</v>
      </c>
      <c r="AE477" s="0" t="n">
        <v>1.3254</v>
      </c>
      <c r="AG477" s="9" t="n">
        <f aca="false">SUMPRODUCT(($B$2:$AE$2&lt;=Portafolio!$B$5)*EXP(LN(Portafolio!$B$7)+Portafolio!$B$6*B477:AE477))/1000</f>
        <v>2.08193798367924</v>
      </c>
    </row>
    <row r="478" customFormat="false" ht="15" hidden="false" customHeight="false" outlineLevel="0" collapsed="false">
      <c r="A478" s="0" t="n">
        <v>476</v>
      </c>
      <c r="B478" s="0" t="n">
        <v>-0.3272</v>
      </c>
      <c r="C478" s="0" t="n">
        <v>0.4345</v>
      </c>
      <c r="D478" s="0" t="n">
        <v>-0.7731</v>
      </c>
      <c r="E478" s="0" t="n">
        <v>-0.4145</v>
      </c>
      <c r="F478" s="0" t="n">
        <v>-1.5933</v>
      </c>
      <c r="G478" s="0" t="n">
        <v>0.2872</v>
      </c>
      <c r="H478" s="0" t="n">
        <v>-0.4216</v>
      </c>
      <c r="I478" s="0" t="n">
        <v>1.2719</v>
      </c>
      <c r="J478" s="0" t="n">
        <v>1.8595</v>
      </c>
      <c r="K478" s="0" t="n">
        <v>-1.0124</v>
      </c>
      <c r="L478" s="0" t="n">
        <v>1.417</v>
      </c>
      <c r="M478" s="0" t="n">
        <v>0.4939</v>
      </c>
      <c r="N478" s="0" t="n">
        <v>-1.0437</v>
      </c>
      <c r="O478" s="0" t="n">
        <v>-1.6356</v>
      </c>
      <c r="P478" s="0" t="n">
        <v>0.0696</v>
      </c>
      <c r="Q478" s="0" t="n">
        <v>-0.3604</v>
      </c>
      <c r="R478" s="0" t="n">
        <v>1.1415</v>
      </c>
      <c r="S478" s="0" t="n">
        <v>-0.5019</v>
      </c>
      <c r="T478" s="0" t="n">
        <v>1.6826</v>
      </c>
      <c r="U478" s="0" t="n">
        <v>-1.4453</v>
      </c>
      <c r="V478" s="0" t="n">
        <v>0.1097</v>
      </c>
      <c r="W478" s="0" t="n">
        <v>0.3954</v>
      </c>
      <c r="X478" s="0" t="n">
        <v>1.7308</v>
      </c>
      <c r="Y478" s="0" t="n">
        <v>0.9116</v>
      </c>
      <c r="Z478" s="0" t="n">
        <v>-0.4199</v>
      </c>
      <c r="AA478" s="0" t="n">
        <v>0.6339</v>
      </c>
      <c r="AB478" s="0" t="n">
        <v>0.4659</v>
      </c>
      <c r="AC478" s="0" t="n">
        <v>0.4857</v>
      </c>
      <c r="AD478" s="0" t="n">
        <v>-0.4828</v>
      </c>
      <c r="AE478" s="0" t="n">
        <v>-0.5157</v>
      </c>
      <c r="AG478" s="9" t="n">
        <f aca="false">SUMPRODUCT(($B$2:$AE$2&lt;=Portafolio!$B$5)*EXP(LN(Portafolio!$B$7)+Portafolio!$B$6*B478:AE478))/1000</f>
        <v>2.39494069668606</v>
      </c>
    </row>
    <row r="479" customFormat="false" ht="15" hidden="false" customHeight="false" outlineLevel="0" collapsed="false">
      <c r="A479" s="0" t="n">
        <v>477</v>
      </c>
      <c r="B479" s="0" t="n">
        <v>-1.13</v>
      </c>
      <c r="C479" s="0" t="n">
        <v>-1.1369</v>
      </c>
      <c r="D479" s="0" t="n">
        <v>0.3446</v>
      </c>
      <c r="E479" s="0" t="n">
        <v>0.7045</v>
      </c>
      <c r="F479" s="0" t="n">
        <v>-0.5906</v>
      </c>
      <c r="G479" s="0" t="n">
        <v>0.9229</v>
      </c>
      <c r="H479" s="0" t="n">
        <v>-1.1715</v>
      </c>
      <c r="I479" s="0" t="n">
        <v>-0.5054</v>
      </c>
      <c r="J479" s="0" t="n">
        <v>-0.4976</v>
      </c>
      <c r="K479" s="0" t="n">
        <v>-1.0425</v>
      </c>
      <c r="L479" s="0" t="n">
        <v>-1.0949</v>
      </c>
      <c r="M479" s="0" t="n">
        <v>0.3312</v>
      </c>
      <c r="N479" s="0" t="n">
        <v>-0.3509</v>
      </c>
      <c r="O479" s="0" t="n">
        <v>0.0184</v>
      </c>
      <c r="P479" s="0" t="n">
        <v>-0.0554</v>
      </c>
      <c r="Q479" s="0" t="n">
        <v>-0.8751</v>
      </c>
      <c r="R479" s="0" t="n">
        <v>1.2854</v>
      </c>
      <c r="S479" s="0" t="n">
        <v>-0.2538</v>
      </c>
      <c r="T479" s="0" t="n">
        <v>1.7129</v>
      </c>
      <c r="U479" s="0" t="n">
        <v>2.4544</v>
      </c>
      <c r="V479" s="0" t="n">
        <v>1.2426</v>
      </c>
      <c r="W479" s="0" t="n">
        <v>-0.4691</v>
      </c>
      <c r="X479" s="0" t="n">
        <v>4.1929</v>
      </c>
      <c r="Y479" s="0" t="n">
        <v>0.0102</v>
      </c>
      <c r="Z479" s="0" t="n">
        <v>0.7718</v>
      </c>
      <c r="AA479" s="0" t="n">
        <v>-0.7519</v>
      </c>
      <c r="AB479" s="0" t="n">
        <v>-2.0371</v>
      </c>
      <c r="AC479" s="0" t="n">
        <v>-0.207</v>
      </c>
      <c r="AD479" s="0" t="n">
        <v>0.5181</v>
      </c>
      <c r="AE479" s="0" t="n">
        <v>0.0896</v>
      </c>
      <c r="AG479" s="9" t="n">
        <f aca="false">SUMPRODUCT(($B$2:$AE$2&lt;=Portafolio!$B$5)*EXP(LN(Portafolio!$B$7)+Portafolio!$B$6*B479:AE479))/1000</f>
        <v>2.4015766122122</v>
      </c>
    </row>
    <row r="480" customFormat="false" ht="15" hidden="false" customHeight="false" outlineLevel="0" collapsed="false">
      <c r="A480" s="0" t="n">
        <v>478</v>
      </c>
      <c r="B480" s="0" t="n">
        <v>1.4375</v>
      </c>
      <c r="C480" s="0" t="n">
        <v>0.849</v>
      </c>
      <c r="D480" s="0" t="n">
        <v>0.87</v>
      </c>
      <c r="E480" s="0" t="n">
        <v>2.1937</v>
      </c>
      <c r="F480" s="0" t="n">
        <v>-0.21</v>
      </c>
      <c r="G480" s="0" t="n">
        <v>0.7383</v>
      </c>
      <c r="H480" s="0" t="n">
        <v>1.0653</v>
      </c>
      <c r="I480" s="0" t="n">
        <v>-0.2326</v>
      </c>
      <c r="J480" s="0" t="n">
        <v>0.4983</v>
      </c>
      <c r="K480" s="0" t="n">
        <v>1.376</v>
      </c>
      <c r="L480" s="0" t="n">
        <v>-1.4299</v>
      </c>
      <c r="M480" s="0" t="n">
        <v>0.3508</v>
      </c>
      <c r="N480" s="0" t="n">
        <v>0.4387</v>
      </c>
      <c r="O480" s="0" t="n">
        <v>1.0415</v>
      </c>
      <c r="P480" s="0" t="n">
        <v>0.3134</v>
      </c>
      <c r="Q480" s="0" t="n">
        <v>0.5352</v>
      </c>
      <c r="R480" s="0" t="n">
        <v>0.7362</v>
      </c>
      <c r="S480" s="0" t="n">
        <v>1.7513</v>
      </c>
      <c r="T480" s="0" t="n">
        <v>-0.0102</v>
      </c>
      <c r="U480" s="0" t="n">
        <v>0.4263</v>
      </c>
      <c r="V480" s="0" t="n">
        <v>-0.325</v>
      </c>
      <c r="W480" s="0" t="n">
        <v>0.9462</v>
      </c>
      <c r="X480" s="0" t="n">
        <v>-0.551</v>
      </c>
      <c r="Y480" s="0" t="n">
        <v>-1.5066</v>
      </c>
      <c r="Z480" s="0" t="n">
        <v>-1.1503</v>
      </c>
      <c r="AA480" s="0" t="n">
        <v>-0.4453</v>
      </c>
      <c r="AB480" s="0" t="n">
        <v>-1.0369</v>
      </c>
      <c r="AC480" s="0" t="n">
        <v>-0.3581</v>
      </c>
      <c r="AD480" s="0" t="n">
        <v>0.0627</v>
      </c>
      <c r="AE480" s="0" t="n">
        <v>0.23</v>
      </c>
      <c r="AG480" s="9" t="n">
        <f aca="false">SUMPRODUCT(($B$2:$AE$2&lt;=Portafolio!$B$5)*EXP(LN(Portafolio!$B$7)+Portafolio!$B$6*B480:AE480))/1000</f>
        <v>3.23970758929912</v>
      </c>
    </row>
    <row r="481" customFormat="false" ht="15" hidden="false" customHeight="false" outlineLevel="0" collapsed="false">
      <c r="A481" s="0" t="n">
        <v>479</v>
      </c>
      <c r="B481" s="0" t="n">
        <v>-0.6644</v>
      </c>
      <c r="C481" s="0" t="n">
        <v>1.3396</v>
      </c>
      <c r="D481" s="0" t="n">
        <v>0.8728</v>
      </c>
      <c r="E481" s="0" t="n">
        <v>0.2642</v>
      </c>
      <c r="F481" s="0" t="n">
        <v>1.043</v>
      </c>
      <c r="G481" s="0" t="n">
        <v>-0.0571</v>
      </c>
      <c r="H481" s="0" t="n">
        <v>0.2538</v>
      </c>
      <c r="I481" s="0" t="n">
        <v>1.2461</v>
      </c>
      <c r="J481" s="0" t="n">
        <v>0.5734</v>
      </c>
      <c r="K481" s="0" t="n">
        <v>0.1443</v>
      </c>
      <c r="L481" s="0" t="n">
        <v>-1.4398</v>
      </c>
      <c r="M481" s="0" t="n">
        <v>-0.2992</v>
      </c>
      <c r="N481" s="0" t="n">
        <v>-0.6896</v>
      </c>
      <c r="O481" s="0" t="n">
        <v>0.7545</v>
      </c>
      <c r="P481" s="0" t="n">
        <v>0.1931</v>
      </c>
      <c r="Q481" s="0" t="n">
        <v>0.3572</v>
      </c>
      <c r="R481" s="0" t="n">
        <v>-1.5659</v>
      </c>
      <c r="S481" s="0" t="n">
        <v>0.516</v>
      </c>
      <c r="T481" s="0" t="n">
        <v>0.563</v>
      </c>
      <c r="U481" s="0" t="n">
        <v>1.5148</v>
      </c>
      <c r="V481" s="0" t="n">
        <v>1.1059</v>
      </c>
      <c r="W481" s="0" t="n">
        <v>-2.0723</v>
      </c>
      <c r="X481" s="0" t="n">
        <v>1.8755</v>
      </c>
      <c r="Y481" s="0" t="n">
        <v>2.1491</v>
      </c>
      <c r="Z481" s="0" t="n">
        <v>1.1751</v>
      </c>
      <c r="AA481" s="0" t="n">
        <v>0.3909</v>
      </c>
      <c r="AB481" s="0" t="n">
        <v>-0.2929</v>
      </c>
      <c r="AC481" s="0" t="n">
        <v>-1.0509</v>
      </c>
      <c r="AD481" s="0" t="n">
        <v>-0.0456</v>
      </c>
      <c r="AE481" s="0" t="n">
        <v>1.4179</v>
      </c>
      <c r="AG481" s="9" t="n">
        <f aca="false">SUMPRODUCT(($B$2:$AE$2&lt;=Portafolio!$B$5)*EXP(LN(Portafolio!$B$7)+Portafolio!$B$6*B481:AE481))/1000</f>
        <v>2.58686881100904</v>
      </c>
    </row>
    <row r="482" customFormat="false" ht="15" hidden="false" customHeight="false" outlineLevel="0" collapsed="false">
      <c r="A482" s="0" t="n">
        <v>480</v>
      </c>
      <c r="B482" s="0" t="n">
        <v>0.5914</v>
      </c>
      <c r="C482" s="0" t="n">
        <v>0.2641</v>
      </c>
      <c r="D482" s="0" t="n">
        <v>0.2657</v>
      </c>
      <c r="E482" s="0" t="n">
        <v>-0.8788</v>
      </c>
      <c r="F482" s="0" t="n">
        <v>-1.8851</v>
      </c>
      <c r="G482" s="0" t="n">
        <v>0.4515</v>
      </c>
      <c r="H482" s="0" t="n">
        <v>-1.1413</v>
      </c>
      <c r="I482" s="0" t="n">
        <v>0.0561</v>
      </c>
      <c r="J482" s="0" t="n">
        <v>1.1284</v>
      </c>
      <c r="K482" s="0" t="n">
        <v>-0.4966</v>
      </c>
      <c r="L482" s="0" t="n">
        <v>-1.0309</v>
      </c>
      <c r="M482" s="0" t="n">
        <v>0.1237</v>
      </c>
      <c r="N482" s="0" t="n">
        <v>-0.5148</v>
      </c>
      <c r="O482" s="0" t="n">
        <v>-0.1456</v>
      </c>
      <c r="P482" s="0" t="n">
        <v>0.3621</v>
      </c>
      <c r="Q482" s="0" t="n">
        <v>-0.012</v>
      </c>
      <c r="R482" s="0" t="n">
        <v>0.8275</v>
      </c>
      <c r="S482" s="0" t="n">
        <v>1.7463</v>
      </c>
      <c r="T482" s="0" t="n">
        <v>-1.4312</v>
      </c>
      <c r="U482" s="0" t="n">
        <v>-2.8016</v>
      </c>
      <c r="V482" s="0" t="n">
        <v>-0.5262</v>
      </c>
      <c r="W482" s="0" t="n">
        <v>-1.8204</v>
      </c>
      <c r="X482" s="0" t="n">
        <v>-1.1371</v>
      </c>
      <c r="Y482" s="0" t="n">
        <v>1.3131</v>
      </c>
      <c r="Z482" s="0" t="n">
        <v>-0.1266</v>
      </c>
      <c r="AA482" s="0" t="n">
        <v>0.0121</v>
      </c>
      <c r="AB482" s="0" t="n">
        <v>-0.3078</v>
      </c>
      <c r="AC482" s="0" t="n">
        <v>1.0346</v>
      </c>
      <c r="AD482" s="0" t="n">
        <v>1.613</v>
      </c>
      <c r="AE482" s="0" t="n">
        <v>-1.5566</v>
      </c>
      <c r="AG482" s="9" t="n">
        <f aca="false">SUMPRODUCT(($B$2:$AE$2&lt;=Portafolio!$B$5)*EXP(LN(Portafolio!$B$7)+Portafolio!$B$6*B482:AE482))/1000</f>
        <v>2.084939727235</v>
      </c>
    </row>
    <row r="483" customFormat="false" ht="15" hidden="false" customHeight="false" outlineLevel="0" collapsed="false">
      <c r="A483" s="0" t="n">
        <v>481</v>
      </c>
      <c r="B483" s="0" t="n">
        <v>1.1516</v>
      </c>
      <c r="C483" s="0" t="n">
        <v>-0.0442</v>
      </c>
      <c r="D483" s="0" t="n">
        <v>-1.5963</v>
      </c>
      <c r="E483" s="0" t="n">
        <v>-1.1341</v>
      </c>
      <c r="F483" s="0" t="n">
        <v>0.143</v>
      </c>
      <c r="G483" s="0" t="n">
        <v>0.354</v>
      </c>
      <c r="H483" s="0" t="n">
        <v>-0.926</v>
      </c>
      <c r="I483" s="0" t="n">
        <v>0.9622</v>
      </c>
      <c r="J483" s="0" t="n">
        <v>-0.2066</v>
      </c>
      <c r="K483" s="0" t="n">
        <v>0.4743</v>
      </c>
      <c r="L483" s="0" t="n">
        <v>-1.2271</v>
      </c>
      <c r="M483" s="0" t="n">
        <v>-0.0873</v>
      </c>
      <c r="N483" s="0" t="n">
        <v>1.8781</v>
      </c>
      <c r="O483" s="0" t="n">
        <v>-1.5073</v>
      </c>
      <c r="P483" s="0" t="n">
        <v>0.3157</v>
      </c>
      <c r="Q483" s="0" t="n">
        <v>-0.0748</v>
      </c>
      <c r="R483" s="0" t="n">
        <v>0.7707</v>
      </c>
      <c r="S483" s="0" t="n">
        <v>0.6948</v>
      </c>
      <c r="T483" s="0" t="n">
        <v>1.029</v>
      </c>
      <c r="U483" s="0" t="n">
        <v>0.3086</v>
      </c>
      <c r="V483" s="0" t="n">
        <v>-1.772</v>
      </c>
      <c r="W483" s="0" t="n">
        <v>1.3389</v>
      </c>
      <c r="X483" s="0" t="n">
        <v>2.1787</v>
      </c>
      <c r="Y483" s="0" t="n">
        <v>-0.8237</v>
      </c>
      <c r="Z483" s="0" t="n">
        <v>-0.4112</v>
      </c>
      <c r="AA483" s="0" t="n">
        <v>0.5433</v>
      </c>
      <c r="AB483" s="0" t="n">
        <v>-1.4128</v>
      </c>
      <c r="AC483" s="0" t="n">
        <v>0.1889</v>
      </c>
      <c r="AD483" s="0" t="n">
        <v>0.3579</v>
      </c>
      <c r="AE483" s="0" t="n">
        <v>0.0667</v>
      </c>
      <c r="AG483" s="9" t="n">
        <f aca="false">SUMPRODUCT(($B$2:$AE$2&lt;=Portafolio!$B$5)*EXP(LN(Portafolio!$B$7)+Portafolio!$B$6*B483:AE483))/1000</f>
        <v>2.39993419312412</v>
      </c>
    </row>
    <row r="484" customFormat="false" ht="15" hidden="false" customHeight="false" outlineLevel="0" collapsed="false">
      <c r="A484" s="0" t="n">
        <v>482</v>
      </c>
      <c r="B484" s="0" t="n">
        <v>-0.1129</v>
      </c>
      <c r="C484" s="0" t="n">
        <v>0.9972</v>
      </c>
      <c r="D484" s="0" t="n">
        <v>-0.1599</v>
      </c>
      <c r="E484" s="0" t="n">
        <v>1.4133</v>
      </c>
      <c r="F484" s="0" t="n">
        <v>-0.3193</v>
      </c>
      <c r="G484" s="0" t="n">
        <v>-0.6814</v>
      </c>
      <c r="H484" s="0" t="n">
        <v>0.9738</v>
      </c>
      <c r="I484" s="0" t="n">
        <v>0.8221</v>
      </c>
      <c r="J484" s="0" t="n">
        <v>-1.4238</v>
      </c>
      <c r="K484" s="0" t="n">
        <v>-1.1109</v>
      </c>
      <c r="L484" s="0" t="n">
        <v>-0.0857</v>
      </c>
      <c r="M484" s="0" t="n">
        <v>0.871</v>
      </c>
      <c r="N484" s="0" t="n">
        <v>-0.2208</v>
      </c>
      <c r="O484" s="0" t="n">
        <v>-0.3184</v>
      </c>
      <c r="P484" s="0" t="n">
        <v>-0.1493</v>
      </c>
      <c r="Q484" s="0" t="n">
        <v>1.3786</v>
      </c>
      <c r="R484" s="0" t="n">
        <v>-1.9036</v>
      </c>
      <c r="S484" s="0" t="n">
        <v>-0.4348</v>
      </c>
      <c r="T484" s="0" t="n">
        <v>-0.842</v>
      </c>
      <c r="U484" s="0" t="n">
        <v>0.5179</v>
      </c>
      <c r="V484" s="0" t="n">
        <v>1.6235</v>
      </c>
      <c r="W484" s="0" t="n">
        <v>1.3371</v>
      </c>
      <c r="X484" s="0" t="n">
        <v>0.2788</v>
      </c>
      <c r="Y484" s="0" t="n">
        <v>-0.1996</v>
      </c>
      <c r="Z484" s="0" t="n">
        <v>1.2472</v>
      </c>
      <c r="AA484" s="0" t="n">
        <v>-0.2314</v>
      </c>
      <c r="AB484" s="0" t="n">
        <v>-0.6597</v>
      </c>
      <c r="AC484" s="0" t="n">
        <v>0.7346</v>
      </c>
      <c r="AD484" s="0" t="n">
        <v>0.8147</v>
      </c>
      <c r="AE484" s="0" t="n">
        <v>1.0031</v>
      </c>
      <c r="AG484" s="9" t="n">
        <f aca="false">SUMPRODUCT(($B$2:$AE$2&lt;=Portafolio!$B$5)*EXP(LN(Portafolio!$B$7)+Portafolio!$B$6*B484:AE484))/1000</f>
        <v>2.24542567007682</v>
      </c>
    </row>
    <row r="485" customFormat="false" ht="15" hidden="false" customHeight="false" outlineLevel="0" collapsed="false">
      <c r="A485" s="0" t="n">
        <v>483</v>
      </c>
      <c r="B485" s="0" t="n">
        <v>-1.5008</v>
      </c>
      <c r="C485" s="0" t="n">
        <v>-0.308</v>
      </c>
      <c r="D485" s="0" t="n">
        <v>-0.2857</v>
      </c>
      <c r="E485" s="0" t="n">
        <v>0.2866</v>
      </c>
      <c r="F485" s="0" t="n">
        <v>0.1884</v>
      </c>
      <c r="G485" s="0" t="n">
        <v>-1.1532</v>
      </c>
      <c r="H485" s="0" t="n">
        <v>-1.3496</v>
      </c>
      <c r="I485" s="0" t="n">
        <v>-1.0586</v>
      </c>
      <c r="J485" s="0" t="n">
        <v>-1.4875</v>
      </c>
      <c r="K485" s="0" t="n">
        <v>1.812</v>
      </c>
      <c r="L485" s="0" t="n">
        <v>0.1253</v>
      </c>
      <c r="M485" s="0" t="n">
        <v>-1.9255</v>
      </c>
      <c r="N485" s="0" t="n">
        <v>-0.9549</v>
      </c>
      <c r="O485" s="0" t="n">
        <v>0.1634</v>
      </c>
      <c r="P485" s="0" t="n">
        <v>0.9456</v>
      </c>
      <c r="Q485" s="0" t="n">
        <v>1.5838</v>
      </c>
      <c r="R485" s="0" t="n">
        <v>0.8938</v>
      </c>
      <c r="S485" s="0" t="n">
        <v>-0.9988</v>
      </c>
      <c r="T485" s="0" t="n">
        <v>0.5529</v>
      </c>
      <c r="U485" s="0" t="n">
        <v>-1.0078</v>
      </c>
      <c r="V485" s="0" t="n">
        <v>0.4122</v>
      </c>
      <c r="W485" s="0" t="n">
        <v>-0.0809</v>
      </c>
      <c r="X485" s="0" t="n">
        <v>1.5422</v>
      </c>
      <c r="Y485" s="0" t="n">
        <v>-0.6661</v>
      </c>
      <c r="Z485" s="0" t="n">
        <v>1.3314</v>
      </c>
      <c r="AA485" s="0" t="n">
        <v>0.876</v>
      </c>
      <c r="AB485" s="0" t="n">
        <v>-1.1973</v>
      </c>
      <c r="AC485" s="0" t="n">
        <v>-1.3576</v>
      </c>
      <c r="AD485" s="0" t="n">
        <v>0.297</v>
      </c>
      <c r="AE485" s="0" t="n">
        <v>0.4834</v>
      </c>
      <c r="AG485" s="9" t="n">
        <f aca="false">SUMPRODUCT(($B$2:$AE$2&lt;=Portafolio!$B$5)*EXP(LN(Portafolio!$B$7)+Portafolio!$B$6*B485:AE485))/1000</f>
        <v>2.0846871369998</v>
      </c>
    </row>
    <row r="486" customFormat="false" ht="15" hidden="false" customHeight="false" outlineLevel="0" collapsed="false">
      <c r="A486" s="0" t="n">
        <v>484</v>
      </c>
      <c r="B486" s="0" t="n">
        <v>-1.2602</v>
      </c>
      <c r="C486" s="0" t="n">
        <v>0.4575</v>
      </c>
      <c r="D486" s="0" t="n">
        <v>-1.8008</v>
      </c>
      <c r="E486" s="0" t="n">
        <v>1.5334</v>
      </c>
      <c r="F486" s="0" t="n">
        <v>-0.8578</v>
      </c>
      <c r="G486" s="0" t="n">
        <v>0.4508</v>
      </c>
      <c r="H486" s="0" t="n">
        <v>-0.4235</v>
      </c>
      <c r="I486" s="0" t="n">
        <v>0.7913</v>
      </c>
      <c r="J486" s="0" t="n">
        <v>0.8174</v>
      </c>
      <c r="K486" s="0" t="n">
        <v>-1.5653</v>
      </c>
      <c r="L486" s="0" t="n">
        <v>0.5121</v>
      </c>
      <c r="M486" s="0" t="n">
        <v>0.1973</v>
      </c>
      <c r="N486" s="0" t="n">
        <v>-0.6638</v>
      </c>
      <c r="O486" s="0" t="n">
        <v>0.8151</v>
      </c>
      <c r="P486" s="0" t="n">
        <v>0.5671</v>
      </c>
      <c r="Q486" s="0" t="n">
        <v>1.0278</v>
      </c>
      <c r="R486" s="0" t="n">
        <v>-1.8998</v>
      </c>
      <c r="S486" s="0" t="n">
        <v>0.4047</v>
      </c>
      <c r="T486" s="0" t="n">
        <v>-0.3066</v>
      </c>
      <c r="U486" s="0" t="n">
        <v>0.0381</v>
      </c>
      <c r="V486" s="0" t="n">
        <v>1.8729</v>
      </c>
      <c r="W486" s="0" t="n">
        <v>0.6103</v>
      </c>
      <c r="X486" s="0" t="n">
        <v>1.3174</v>
      </c>
      <c r="Y486" s="0" t="n">
        <v>-0.6245</v>
      </c>
      <c r="Z486" s="0" t="n">
        <v>-0.2836</v>
      </c>
      <c r="AA486" s="0" t="n">
        <v>-0.7574</v>
      </c>
      <c r="AB486" s="0" t="n">
        <v>-0.2095</v>
      </c>
      <c r="AC486" s="0" t="n">
        <v>-0.1304</v>
      </c>
      <c r="AD486" s="0" t="n">
        <v>1.2207</v>
      </c>
      <c r="AE486" s="0" t="n">
        <v>-0.6372</v>
      </c>
      <c r="AG486" s="9" t="n">
        <f aca="false">SUMPRODUCT(($B$2:$AE$2&lt;=Portafolio!$B$5)*EXP(LN(Portafolio!$B$7)+Portafolio!$B$6*B486:AE486))/1000</f>
        <v>2.24452144408495</v>
      </c>
    </row>
    <row r="487" customFormat="false" ht="15" hidden="false" customHeight="false" outlineLevel="0" collapsed="false">
      <c r="A487" s="0" t="n">
        <v>485</v>
      </c>
      <c r="B487" s="0" t="n">
        <v>1.3894</v>
      </c>
      <c r="C487" s="0" t="n">
        <v>-0.5207</v>
      </c>
      <c r="D487" s="0" t="n">
        <v>2.0352</v>
      </c>
      <c r="E487" s="0" t="n">
        <v>-0.409</v>
      </c>
      <c r="F487" s="0" t="n">
        <v>-0.5407</v>
      </c>
      <c r="G487" s="0" t="n">
        <v>0.3281</v>
      </c>
      <c r="H487" s="0" t="n">
        <v>-0.0167</v>
      </c>
      <c r="I487" s="0" t="n">
        <v>-0.5673</v>
      </c>
      <c r="J487" s="0" t="n">
        <v>0.9727</v>
      </c>
      <c r="K487" s="0" t="n">
        <v>0.7213</v>
      </c>
      <c r="L487" s="0" t="n">
        <v>1.2108</v>
      </c>
      <c r="M487" s="0" t="n">
        <v>-1.2509</v>
      </c>
      <c r="N487" s="0" t="n">
        <v>1.1921</v>
      </c>
      <c r="O487" s="0" t="n">
        <v>-1.8458</v>
      </c>
      <c r="P487" s="0" t="n">
        <v>0.4029</v>
      </c>
      <c r="Q487" s="0" t="n">
        <v>-0.3399</v>
      </c>
      <c r="R487" s="0" t="n">
        <v>-0.653</v>
      </c>
      <c r="S487" s="0" t="n">
        <v>0.523</v>
      </c>
      <c r="T487" s="0" t="n">
        <v>-0.9142</v>
      </c>
      <c r="U487" s="0" t="n">
        <v>-0.5004</v>
      </c>
      <c r="V487" s="0" t="n">
        <v>-0.8261</v>
      </c>
      <c r="W487" s="0" t="n">
        <v>1.1246</v>
      </c>
      <c r="X487" s="0" t="n">
        <v>1.2116</v>
      </c>
      <c r="Y487" s="0" t="n">
        <v>0.1024</v>
      </c>
      <c r="Z487" s="0" t="n">
        <v>0.2093</v>
      </c>
      <c r="AA487" s="0" t="n">
        <v>-0.4738</v>
      </c>
      <c r="AB487" s="0" t="n">
        <v>1.232</v>
      </c>
      <c r="AC487" s="0" t="n">
        <v>0.9361</v>
      </c>
      <c r="AD487" s="0" t="n">
        <v>-0.4922</v>
      </c>
      <c r="AE487" s="0" t="n">
        <v>-0.9246</v>
      </c>
      <c r="AG487" s="9" t="n">
        <f aca="false">SUMPRODUCT(($B$2:$AE$2&lt;=Portafolio!$B$5)*EXP(LN(Portafolio!$B$7)+Portafolio!$B$6*B487:AE487))/1000</f>
        <v>2.45497173389257</v>
      </c>
    </row>
    <row r="488" customFormat="false" ht="15" hidden="false" customHeight="false" outlineLevel="0" collapsed="false">
      <c r="A488" s="0" t="n">
        <v>486</v>
      </c>
      <c r="B488" s="0" t="n">
        <v>1.4372</v>
      </c>
      <c r="C488" s="0" t="n">
        <v>-1.0521</v>
      </c>
      <c r="D488" s="0" t="n">
        <v>0.7511</v>
      </c>
      <c r="E488" s="0" t="n">
        <v>1.2296</v>
      </c>
      <c r="F488" s="0" t="n">
        <v>-1.4504</v>
      </c>
      <c r="G488" s="0" t="n">
        <v>0.4492</v>
      </c>
      <c r="H488" s="0" t="n">
        <v>0.7392</v>
      </c>
      <c r="I488" s="0" t="n">
        <v>1.153</v>
      </c>
      <c r="J488" s="0" t="n">
        <v>1.6402</v>
      </c>
      <c r="K488" s="0" t="n">
        <v>-0.6501</v>
      </c>
      <c r="L488" s="0" t="n">
        <v>0.635</v>
      </c>
      <c r="M488" s="0" t="n">
        <v>0.5616</v>
      </c>
      <c r="N488" s="0" t="n">
        <v>1.4884</v>
      </c>
      <c r="O488" s="0" t="n">
        <v>0.4756</v>
      </c>
      <c r="P488" s="0" t="n">
        <v>0.6942</v>
      </c>
      <c r="Q488" s="0" t="n">
        <v>-1.0915</v>
      </c>
      <c r="R488" s="0" t="n">
        <v>0.5411</v>
      </c>
      <c r="S488" s="0" t="n">
        <v>0.1497</v>
      </c>
      <c r="T488" s="0" t="n">
        <v>0.5563</v>
      </c>
      <c r="U488" s="0" t="n">
        <v>-1.1664</v>
      </c>
      <c r="V488" s="0" t="n">
        <v>-0.5823</v>
      </c>
      <c r="W488" s="0" t="n">
        <v>0.265</v>
      </c>
      <c r="X488" s="0" t="n">
        <v>-0.6077</v>
      </c>
      <c r="Y488" s="0" t="n">
        <v>1.2032</v>
      </c>
      <c r="Z488" s="0" t="n">
        <v>0.9458</v>
      </c>
      <c r="AA488" s="0" t="n">
        <v>-0.1536</v>
      </c>
      <c r="AB488" s="0" t="n">
        <v>1.5426</v>
      </c>
      <c r="AC488" s="0" t="n">
        <v>0.5591</v>
      </c>
      <c r="AD488" s="0" t="n">
        <v>0.6744</v>
      </c>
      <c r="AE488" s="0" t="n">
        <v>0.4837</v>
      </c>
      <c r="AG488" s="9" t="n">
        <f aca="false">SUMPRODUCT(($B$2:$AE$2&lt;=Portafolio!$B$5)*EXP(LN(Portafolio!$B$7)+Portafolio!$B$6*B488:AE488))/1000</f>
        <v>2.82411353271378</v>
      </c>
    </row>
    <row r="489" customFormat="false" ht="15" hidden="false" customHeight="false" outlineLevel="0" collapsed="false">
      <c r="A489" s="0" t="n">
        <v>487</v>
      </c>
      <c r="B489" s="0" t="n">
        <v>2.036</v>
      </c>
      <c r="C489" s="0" t="n">
        <v>-0.6624</v>
      </c>
      <c r="D489" s="0" t="n">
        <v>1.2171</v>
      </c>
      <c r="E489" s="0" t="n">
        <v>0.7279</v>
      </c>
      <c r="F489" s="0" t="n">
        <v>-0.6899</v>
      </c>
      <c r="G489" s="0" t="n">
        <v>0.8316</v>
      </c>
      <c r="H489" s="0" t="n">
        <v>-0.0087</v>
      </c>
      <c r="I489" s="0" t="n">
        <v>-0.5899</v>
      </c>
      <c r="J489" s="0" t="n">
        <v>-0.17</v>
      </c>
      <c r="K489" s="0" t="n">
        <v>0.2948</v>
      </c>
      <c r="L489" s="0" t="n">
        <v>-0.4177</v>
      </c>
      <c r="M489" s="0" t="n">
        <v>-0.722</v>
      </c>
      <c r="N489" s="0" t="n">
        <v>0.1857</v>
      </c>
      <c r="O489" s="0" t="n">
        <v>0.0877</v>
      </c>
      <c r="P489" s="0" t="n">
        <v>-0.6842</v>
      </c>
      <c r="Q489" s="0" t="n">
        <v>-0.7469</v>
      </c>
      <c r="R489" s="0" t="n">
        <v>-0.9476</v>
      </c>
      <c r="S489" s="0" t="n">
        <v>-0.4995</v>
      </c>
      <c r="T489" s="0" t="n">
        <v>1.1251</v>
      </c>
      <c r="U489" s="0" t="n">
        <v>0.5742</v>
      </c>
      <c r="V489" s="0" t="n">
        <v>-0.7851</v>
      </c>
      <c r="W489" s="0" t="n">
        <v>0.1052</v>
      </c>
      <c r="X489" s="0" t="n">
        <v>-0.1117</v>
      </c>
      <c r="Y489" s="0" t="n">
        <v>0.4384</v>
      </c>
      <c r="Z489" s="0" t="n">
        <v>0.511</v>
      </c>
      <c r="AA489" s="0" t="n">
        <v>-1.699</v>
      </c>
      <c r="AB489" s="0" t="n">
        <v>-1.1425</v>
      </c>
      <c r="AC489" s="0" t="n">
        <v>0.3688</v>
      </c>
      <c r="AD489" s="0" t="n">
        <v>-0.1984</v>
      </c>
      <c r="AE489" s="0" t="n">
        <v>0.909</v>
      </c>
      <c r="AG489" s="9" t="n">
        <f aca="false">SUMPRODUCT(($B$2:$AE$2&lt;=Portafolio!$B$5)*EXP(LN(Portafolio!$B$7)+Portafolio!$B$6*B489:AE489))/1000</f>
        <v>2.33728066065169</v>
      </c>
    </row>
    <row r="490" customFormat="false" ht="15" hidden="false" customHeight="false" outlineLevel="0" collapsed="false">
      <c r="A490" s="0" t="n">
        <v>488</v>
      </c>
      <c r="B490" s="0" t="n">
        <v>-0.7123</v>
      </c>
      <c r="C490" s="0" t="n">
        <v>-1.8783</v>
      </c>
      <c r="D490" s="0" t="n">
        <v>2.7207</v>
      </c>
      <c r="E490" s="0" t="n">
        <v>1.8321</v>
      </c>
      <c r="F490" s="0" t="n">
        <v>-0.3335</v>
      </c>
      <c r="G490" s="0" t="n">
        <v>1.5603</v>
      </c>
      <c r="H490" s="0" t="n">
        <v>-0.4275</v>
      </c>
      <c r="I490" s="0" t="n">
        <v>-0.7433</v>
      </c>
      <c r="J490" s="0" t="n">
        <v>0.9087</v>
      </c>
      <c r="K490" s="0" t="n">
        <v>-2.0902</v>
      </c>
      <c r="L490" s="0" t="n">
        <v>-1.0862</v>
      </c>
      <c r="M490" s="0" t="n">
        <v>-1.3174</v>
      </c>
      <c r="N490" s="0" t="n">
        <v>1.6658</v>
      </c>
      <c r="O490" s="0" t="n">
        <v>-1.1238</v>
      </c>
      <c r="P490" s="0" t="n">
        <v>0.2076</v>
      </c>
      <c r="Q490" s="0" t="n">
        <v>0.1814</v>
      </c>
      <c r="R490" s="0" t="n">
        <v>0.3694</v>
      </c>
      <c r="S490" s="0" t="n">
        <v>0.4295</v>
      </c>
      <c r="T490" s="0" t="n">
        <v>1.1535</v>
      </c>
      <c r="U490" s="0" t="n">
        <v>0.4593</v>
      </c>
      <c r="V490" s="0" t="n">
        <v>-0.4012</v>
      </c>
      <c r="W490" s="0" t="n">
        <v>0.2287</v>
      </c>
      <c r="X490" s="0" t="n">
        <v>0.4447</v>
      </c>
      <c r="Y490" s="0" t="n">
        <v>0.6305</v>
      </c>
      <c r="Z490" s="0" t="n">
        <v>1.3984</v>
      </c>
      <c r="AA490" s="0" t="n">
        <v>-0.133</v>
      </c>
      <c r="AB490" s="0" t="n">
        <v>-0.453</v>
      </c>
      <c r="AC490" s="0" t="n">
        <v>-2.1479</v>
      </c>
      <c r="AD490" s="0" t="n">
        <v>0.7043</v>
      </c>
      <c r="AE490" s="0" t="n">
        <v>-0.128</v>
      </c>
      <c r="AG490" s="9" t="n">
        <f aca="false">SUMPRODUCT(($B$2:$AE$2&lt;=Portafolio!$B$5)*EXP(LN(Portafolio!$B$7)+Portafolio!$B$6*B490:AE490))/1000</f>
        <v>2.81936401276317</v>
      </c>
    </row>
    <row r="491" customFormat="false" ht="15" hidden="false" customHeight="false" outlineLevel="0" collapsed="false">
      <c r="A491" s="0" t="n">
        <v>489</v>
      </c>
      <c r="B491" s="0" t="n">
        <v>0.9993</v>
      </c>
      <c r="C491" s="0" t="n">
        <v>-0.9419</v>
      </c>
      <c r="D491" s="0" t="n">
        <v>-0.0552</v>
      </c>
      <c r="E491" s="0" t="n">
        <v>-0.6302</v>
      </c>
      <c r="F491" s="0" t="n">
        <v>-0.8413</v>
      </c>
      <c r="G491" s="0" t="n">
        <v>-1.1181</v>
      </c>
      <c r="H491" s="0" t="n">
        <v>-0.1017</v>
      </c>
      <c r="I491" s="0" t="n">
        <v>-0.5805</v>
      </c>
      <c r="J491" s="0" t="n">
        <v>0.9572</v>
      </c>
      <c r="K491" s="0" t="n">
        <v>0.5611</v>
      </c>
      <c r="L491" s="0" t="n">
        <v>0.7991</v>
      </c>
      <c r="M491" s="0" t="n">
        <v>-0.3195</v>
      </c>
      <c r="N491" s="0" t="n">
        <v>0.7059</v>
      </c>
      <c r="O491" s="0" t="n">
        <v>-0.0916</v>
      </c>
      <c r="P491" s="0" t="n">
        <v>-1.2843</v>
      </c>
      <c r="Q491" s="0" t="n">
        <v>-0.8373</v>
      </c>
      <c r="R491" s="0" t="n">
        <v>-0.0153</v>
      </c>
      <c r="S491" s="0" t="n">
        <v>0.7322</v>
      </c>
      <c r="T491" s="0" t="n">
        <v>-1.2171</v>
      </c>
      <c r="U491" s="0" t="n">
        <v>1.9978</v>
      </c>
      <c r="V491" s="0" t="n">
        <v>0.0558</v>
      </c>
      <c r="W491" s="0" t="n">
        <v>-0.6489</v>
      </c>
      <c r="X491" s="0" t="n">
        <v>0.2701</v>
      </c>
      <c r="Y491" s="0" t="n">
        <v>-0.3602</v>
      </c>
      <c r="Z491" s="0" t="n">
        <v>0.2804</v>
      </c>
      <c r="AA491" s="0" t="n">
        <v>-1.5239</v>
      </c>
      <c r="AB491" s="0" t="n">
        <v>0.6747</v>
      </c>
      <c r="AC491" s="0" t="n">
        <v>0.4661</v>
      </c>
      <c r="AD491" s="0" t="n">
        <v>2.5126</v>
      </c>
      <c r="AE491" s="0" t="n">
        <v>-0.0818</v>
      </c>
      <c r="AG491" s="9" t="n">
        <f aca="false">SUMPRODUCT(($B$2:$AE$2&lt;=Portafolio!$B$5)*EXP(LN(Portafolio!$B$7)+Portafolio!$B$6*B491:AE491))/1000</f>
        <v>2.23024953919824</v>
      </c>
    </row>
    <row r="492" customFormat="false" ht="15" hidden="false" customHeight="false" outlineLevel="0" collapsed="false">
      <c r="A492" s="0" t="n">
        <v>490</v>
      </c>
      <c r="B492" s="0" t="n">
        <v>0.5257</v>
      </c>
      <c r="C492" s="0" t="n">
        <v>1.6025</v>
      </c>
      <c r="D492" s="0" t="n">
        <v>-0.6197</v>
      </c>
      <c r="E492" s="0" t="n">
        <v>0.9903</v>
      </c>
      <c r="F492" s="0" t="n">
        <v>0.4052</v>
      </c>
      <c r="G492" s="0" t="n">
        <v>-0.4918</v>
      </c>
      <c r="H492" s="0" t="n">
        <v>-0.7923</v>
      </c>
      <c r="I492" s="0" t="n">
        <v>2.4491</v>
      </c>
      <c r="J492" s="0" t="n">
        <v>0.1917</v>
      </c>
      <c r="K492" s="0" t="n">
        <v>0.8417</v>
      </c>
      <c r="L492" s="0" t="n">
        <v>0.5877</v>
      </c>
      <c r="M492" s="0" t="n">
        <v>-1.9184</v>
      </c>
      <c r="N492" s="0" t="n">
        <v>0.0539</v>
      </c>
      <c r="O492" s="0" t="n">
        <v>-0.2302</v>
      </c>
      <c r="P492" s="0" t="n">
        <v>1.599</v>
      </c>
      <c r="Q492" s="0" t="n">
        <v>1.0173</v>
      </c>
      <c r="R492" s="0" t="n">
        <v>-1.1063</v>
      </c>
      <c r="S492" s="0" t="n">
        <v>0.0617</v>
      </c>
      <c r="T492" s="0" t="n">
        <v>-2.3145</v>
      </c>
      <c r="U492" s="0" t="n">
        <v>0.2545</v>
      </c>
      <c r="V492" s="0" t="n">
        <v>-0.1428</v>
      </c>
      <c r="W492" s="0" t="n">
        <v>1.246</v>
      </c>
      <c r="X492" s="0" t="n">
        <v>1.1625</v>
      </c>
      <c r="Y492" s="0" t="n">
        <v>-0.9656</v>
      </c>
      <c r="Z492" s="0" t="n">
        <v>0.5328</v>
      </c>
      <c r="AA492" s="0" t="n">
        <v>-0.0895</v>
      </c>
      <c r="AB492" s="0" t="n">
        <v>0.0145</v>
      </c>
      <c r="AC492" s="0" t="n">
        <v>0.0465</v>
      </c>
      <c r="AD492" s="0" t="n">
        <v>-0.0501</v>
      </c>
      <c r="AE492" s="0" t="n">
        <v>1.3007</v>
      </c>
      <c r="AG492" s="9" t="n">
        <f aca="false">SUMPRODUCT(($B$2:$AE$2&lt;=Portafolio!$B$5)*EXP(LN(Portafolio!$B$7)+Portafolio!$B$6*B492:AE492))/1000</f>
        <v>2.73158307557809</v>
      </c>
    </row>
    <row r="493" customFormat="false" ht="15" hidden="false" customHeight="false" outlineLevel="0" collapsed="false">
      <c r="A493" s="0" t="n">
        <v>491</v>
      </c>
      <c r="B493" s="0" t="n">
        <v>-0.1639</v>
      </c>
      <c r="C493" s="0" t="n">
        <v>2.623</v>
      </c>
      <c r="D493" s="0" t="n">
        <v>-2.0268</v>
      </c>
      <c r="E493" s="0" t="n">
        <v>-0.4262</v>
      </c>
      <c r="F493" s="0" t="n">
        <v>-0.1367</v>
      </c>
      <c r="G493" s="0" t="n">
        <v>-0.683</v>
      </c>
      <c r="H493" s="0" t="n">
        <v>-2.2693</v>
      </c>
      <c r="I493" s="0" t="n">
        <v>-1.5054</v>
      </c>
      <c r="J493" s="0" t="n">
        <v>0.1397</v>
      </c>
      <c r="K493" s="0" t="n">
        <v>-0.8793</v>
      </c>
      <c r="L493" s="0" t="n">
        <v>2.2659</v>
      </c>
      <c r="M493" s="0" t="n">
        <v>-0.3113</v>
      </c>
      <c r="N493" s="0" t="n">
        <v>0.3956</v>
      </c>
      <c r="O493" s="0" t="n">
        <v>-1.0163</v>
      </c>
      <c r="P493" s="0" t="n">
        <v>-1.0467</v>
      </c>
      <c r="Q493" s="0" t="n">
        <v>1.659</v>
      </c>
      <c r="R493" s="0" t="n">
        <v>-1.073</v>
      </c>
      <c r="S493" s="0" t="n">
        <v>0.0565</v>
      </c>
      <c r="T493" s="0" t="n">
        <v>0.5512</v>
      </c>
      <c r="U493" s="0" t="n">
        <v>0.0071</v>
      </c>
      <c r="V493" s="0" t="n">
        <v>0.9818</v>
      </c>
      <c r="W493" s="0" t="n">
        <v>1.2469</v>
      </c>
      <c r="X493" s="0" t="n">
        <v>-0.0562</v>
      </c>
      <c r="Y493" s="0" t="n">
        <v>0.9217</v>
      </c>
      <c r="Z493" s="0" t="n">
        <v>1.3741</v>
      </c>
      <c r="AA493" s="0" t="n">
        <v>0.3938</v>
      </c>
      <c r="AB493" s="0" t="n">
        <v>1.8107</v>
      </c>
      <c r="AC493" s="0" t="n">
        <v>-0.7604</v>
      </c>
      <c r="AD493" s="0" t="n">
        <v>1.7402</v>
      </c>
      <c r="AE493" s="0" t="n">
        <v>-0.6521</v>
      </c>
      <c r="AG493" s="9" t="n">
        <f aca="false">SUMPRODUCT(($B$2:$AE$2&lt;=Portafolio!$B$5)*EXP(LN(Portafolio!$B$7)+Portafolio!$B$6*B493:AE493))/1000</f>
        <v>2.44569104258913</v>
      </c>
    </row>
    <row r="494" customFormat="false" ht="15" hidden="false" customHeight="false" outlineLevel="0" collapsed="false">
      <c r="A494" s="0" t="n">
        <v>492</v>
      </c>
      <c r="B494" s="0" t="n">
        <v>0.4506</v>
      </c>
      <c r="C494" s="0" t="n">
        <v>0.7195</v>
      </c>
      <c r="D494" s="0" t="n">
        <v>1.0737</v>
      </c>
      <c r="E494" s="0" t="n">
        <v>3.1709</v>
      </c>
      <c r="F494" s="0" t="n">
        <v>0.0212</v>
      </c>
      <c r="G494" s="0" t="n">
        <v>1.2768</v>
      </c>
      <c r="H494" s="0" t="n">
        <v>-1.8199</v>
      </c>
      <c r="I494" s="0" t="n">
        <v>0.4768</v>
      </c>
      <c r="J494" s="0" t="n">
        <v>-1.6035</v>
      </c>
      <c r="K494" s="0" t="n">
        <v>-2.3229</v>
      </c>
      <c r="L494" s="0" t="n">
        <v>-0.9793</v>
      </c>
      <c r="M494" s="0" t="n">
        <v>1.1137</v>
      </c>
      <c r="N494" s="0" t="n">
        <v>0.0902</v>
      </c>
      <c r="O494" s="0" t="n">
        <v>-0.1022</v>
      </c>
      <c r="P494" s="0" t="n">
        <v>-0.207</v>
      </c>
      <c r="Q494" s="0" t="n">
        <v>-0.9928</v>
      </c>
      <c r="R494" s="0" t="n">
        <v>-0.8668</v>
      </c>
      <c r="S494" s="0" t="n">
        <v>0.1969</v>
      </c>
      <c r="T494" s="0" t="n">
        <v>-2.6689</v>
      </c>
      <c r="U494" s="0" t="n">
        <v>0.849</v>
      </c>
      <c r="V494" s="0" t="n">
        <v>-0.1678</v>
      </c>
      <c r="W494" s="0" t="n">
        <v>-0.1276</v>
      </c>
      <c r="X494" s="0" t="n">
        <v>-0.5463</v>
      </c>
      <c r="Y494" s="0" t="n">
        <v>1.245</v>
      </c>
      <c r="Z494" s="0" t="n">
        <v>-0.3139</v>
      </c>
      <c r="AA494" s="0" t="n">
        <v>1.1362</v>
      </c>
      <c r="AB494" s="0" t="n">
        <v>-1.1647</v>
      </c>
      <c r="AC494" s="0" t="n">
        <v>0.3547</v>
      </c>
      <c r="AD494" s="0" t="n">
        <v>0.7445</v>
      </c>
      <c r="AE494" s="0" t="n">
        <v>0.4193</v>
      </c>
      <c r="AG494" s="9" t="n">
        <f aca="false">SUMPRODUCT(($B$2:$AE$2&lt;=Portafolio!$B$5)*EXP(LN(Portafolio!$B$7)+Portafolio!$B$6*B494:AE494))/1000</f>
        <v>2.64415747834362</v>
      </c>
    </row>
    <row r="495" customFormat="false" ht="15" hidden="false" customHeight="false" outlineLevel="0" collapsed="false">
      <c r="A495" s="0" t="n">
        <v>493</v>
      </c>
      <c r="B495" s="0" t="n">
        <v>-0.1567</v>
      </c>
      <c r="C495" s="0" t="n">
        <v>-1.1551</v>
      </c>
      <c r="D495" s="0" t="n">
        <v>1.571</v>
      </c>
      <c r="E495" s="0" t="n">
        <v>-1.4247</v>
      </c>
      <c r="F495" s="0" t="n">
        <v>1.7191</v>
      </c>
      <c r="G495" s="0" t="n">
        <v>2.1915</v>
      </c>
      <c r="H495" s="0" t="n">
        <v>-0.8203</v>
      </c>
      <c r="I495" s="0" t="n">
        <v>0.7473</v>
      </c>
      <c r="J495" s="0" t="n">
        <v>1.4264</v>
      </c>
      <c r="K495" s="0" t="n">
        <v>-1.2577</v>
      </c>
      <c r="L495" s="0" t="n">
        <v>-0.6831</v>
      </c>
      <c r="M495" s="0" t="n">
        <v>1.7732</v>
      </c>
      <c r="N495" s="0" t="n">
        <v>1.1898</v>
      </c>
      <c r="O495" s="0" t="n">
        <v>1.3634</v>
      </c>
      <c r="P495" s="0" t="n">
        <v>-0.3452</v>
      </c>
      <c r="Q495" s="0" t="n">
        <v>-0.2267</v>
      </c>
      <c r="R495" s="0" t="n">
        <v>-0.6818</v>
      </c>
      <c r="S495" s="0" t="n">
        <v>-2.0737</v>
      </c>
      <c r="T495" s="0" t="n">
        <v>0.0301</v>
      </c>
      <c r="U495" s="0" t="n">
        <v>1.9858</v>
      </c>
      <c r="V495" s="0" t="n">
        <v>0.4615</v>
      </c>
      <c r="W495" s="0" t="n">
        <v>1.2535</v>
      </c>
      <c r="X495" s="0" t="n">
        <v>-0.1945</v>
      </c>
      <c r="Y495" s="0" t="n">
        <v>-1.0913</v>
      </c>
      <c r="Z495" s="0" t="n">
        <v>-0.6609</v>
      </c>
      <c r="AA495" s="0" t="n">
        <v>-1.9343</v>
      </c>
      <c r="AB495" s="0" t="n">
        <v>-0.7972</v>
      </c>
      <c r="AC495" s="0" t="n">
        <v>-1.9805</v>
      </c>
      <c r="AD495" s="0" t="n">
        <v>0.141</v>
      </c>
      <c r="AE495" s="0" t="n">
        <v>1.6825</v>
      </c>
      <c r="AG495" s="9" t="n">
        <f aca="false">SUMPRODUCT(($B$2:$AE$2&lt;=Portafolio!$B$5)*EXP(LN(Portafolio!$B$7)+Portafolio!$B$6*B495:AE495))/1000</f>
        <v>3.07502074854164</v>
      </c>
    </row>
    <row r="496" customFormat="false" ht="15" hidden="false" customHeight="false" outlineLevel="0" collapsed="false">
      <c r="A496" s="0" t="n">
        <v>494</v>
      </c>
      <c r="B496" s="0" t="n">
        <v>-0.3555</v>
      </c>
      <c r="C496" s="0" t="n">
        <v>0.1989</v>
      </c>
      <c r="D496" s="0" t="n">
        <v>0.0204</v>
      </c>
      <c r="E496" s="0" t="n">
        <v>-0.0413</v>
      </c>
      <c r="F496" s="0" t="n">
        <v>-0.2758</v>
      </c>
      <c r="G496" s="0" t="n">
        <v>0.4081</v>
      </c>
      <c r="H496" s="0" t="n">
        <v>-2.0465</v>
      </c>
      <c r="I496" s="0" t="n">
        <v>0.227</v>
      </c>
      <c r="J496" s="0" t="n">
        <v>-1.8325</v>
      </c>
      <c r="K496" s="0" t="n">
        <v>0.344</v>
      </c>
      <c r="L496" s="0" t="n">
        <v>-1.3837</v>
      </c>
      <c r="M496" s="0" t="n">
        <v>0.35</v>
      </c>
      <c r="N496" s="0" t="n">
        <v>0.1569</v>
      </c>
      <c r="O496" s="0" t="n">
        <v>0.5063</v>
      </c>
      <c r="P496" s="0" t="n">
        <v>-0.6922</v>
      </c>
      <c r="Q496" s="0" t="n">
        <v>-0.1903</v>
      </c>
      <c r="R496" s="0" t="n">
        <v>0.0496</v>
      </c>
      <c r="S496" s="0" t="n">
        <v>-0.5837</v>
      </c>
      <c r="T496" s="0" t="n">
        <v>-0.8722</v>
      </c>
      <c r="U496" s="0" t="n">
        <v>1.0386</v>
      </c>
      <c r="V496" s="0" t="n">
        <v>-0.3555</v>
      </c>
      <c r="W496" s="0" t="n">
        <v>0.2968</v>
      </c>
      <c r="X496" s="0" t="n">
        <v>-0.3799</v>
      </c>
      <c r="Y496" s="0" t="n">
        <v>-0.7352</v>
      </c>
      <c r="Z496" s="0" t="n">
        <v>1.7753</v>
      </c>
      <c r="AA496" s="0" t="n">
        <v>-0.6167</v>
      </c>
      <c r="AB496" s="0" t="n">
        <v>0.2022</v>
      </c>
      <c r="AC496" s="0" t="n">
        <v>0.2567</v>
      </c>
      <c r="AD496" s="0" t="n">
        <v>0.6181</v>
      </c>
      <c r="AE496" s="0" t="n">
        <v>0.6366</v>
      </c>
      <c r="AG496" s="9" t="n">
        <f aca="false">SUMPRODUCT(($B$2:$AE$2&lt;=Portafolio!$B$5)*EXP(LN(Portafolio!$B$7)+Portafolio!$B$6*B496:AE496))/1000</f>
        <v>1.89161802893193</v>
      </c>
    </row>
    <row r="497" customFormat="false" ht="15" hidden="false" customHeight="false" outlineLevel="0" collapsed="false">
      <c r="A497" s="0" t="n">
        <v>495</v>
      </c>
      <c r="B497" s="0" t="n">
        <v>-1.4226</v>
      </c>
      <c r="C497" s="0" t="n">
        <v>0.3889</v>
      </c>
      <c r="D497" s="0" t="n">
        <v>-1.1022</v>
      </c>
      <c r="E497" s="0" t="n">
        <v>-0.1202</v>
      </c>
      <c r="F497" s="0" t="n">
        <v>0.7877</v>
      </c>
      <c r="G497" s="0" t="n">
        <v>-2.0533</v>
      </c>
      <c r="H497" s="0" t="n">
        <v>0.8406</v>
      </c>
      <c r="I497" s="0" t="n">
        <v>0.6933</v>
      </c>
      <c r="J497" s="0" t="n">
        <v>-1.3022</v>
      </c>
      <c r="K497" s="0" t="n">
        <v>1.4761</v>
      </c>
      <c r="L497" s="0" t="n">
        <v>1.1422</v>
      </c>
      <c r="M497" s="0" t="n">
        <v>-0.5339</v>
      </c>
      <c r="N497" s="0" t="n">
        <v>-1.0566</v>
      </c>
      <c r="O497" s="0" t="n">
        <v>0.7989</v>
      </c>
      <c r="P497" s="0" t="n">
        <v>-0.6477</v>
      </c>
      <c r="Q497" s="0" t="n">
        <v>-2.0598</v>
      </c>
      <c r="R497" s="0" t="n">
        <v>-0.6375</v>
      </c>
      <c r="S497" s="0" t="n">
        <v>0.3926</v>
      </c>
      <c r="T497" s="0" t="n">
        <v>1.3045</v>
      </c>
      <c r="U497" s="0" t="n">
        <v>-0.6419</v>
      </c>
      <c r="V497" s="0" t="n">
        <v>-0.127</v>
      </c>
      <c r="W497" s="0" t="n">
        <v>-0.0429</v>
      </c>
      <c r="X497" s="0" t="n">
        <v>-0.1076</v>
      </c>
      <c r="Y497" s="0" t="n">
        <v>-0.1476</v>
      </c>
      <c r="Z497" s="0" t="n">
        <v>0.9469</v>
      </c>
      <c r="AA497" s="0" t="n">
        <v>0.4223</v>
      </c>
      <c r="AB497" s="0" t="n">
        <v>1.2745</v>
      </c>
      <c r="AC497" s="0" t="n">
        <v>-1.6935</v>
      </c>
      <c r="AD497" s="0" t="n">
        <v>1.1636</v>
      </c>
      <c r="AE497" s="0" t="n">
        <v>-0.8218</v>
      </c>
      <c r="AG497" s="9" t="n">
        <f aca="false">SUMPRODUCT(($B$2:$AE$2&lt;=Portafolio!$B$5)*EXP(LN(Portafolio!$B$7)+Portafolio!$B$6*B497:AE497))/1000</f>
        <v>2.17252395806716</v>
      </c>
    </row>
    <row r="498" customFormat="false" ht="15" hidden="false" customHeight="false" outlineLevel="0" collapsed="false">
      <c r="A498" s="0" t="n">
        <v>496</v>
      </c>
      <c r="B498" s="0" t="n">
        <v>-0.9261</v>
      </c>
      <c r="C498" s="0" t="n">
        <v>0.2096</v>
      </c>
      <c r="D498" s="0" t="n">
        <v>0.5801</v>
      </c>
      <c r="E498" s="0" t="n">
        <v>1.1264</v>
      </c>
      <c r="F498" s="0" t="n">
        <v>-0.9963</v>
      </c>
      <c r="G498" s="0" t="n">
        <v>0.3594</v>
      </c>
      <c r="H498" s="0" t="n">
        <v>1.1773</v>
      </c>
      <c r="I498" s="0" t="n">
        <v>-1.2353</v>
      </c>
      <c r="J498" s="0" t="n">
        <v>1.8694</v>
      </c>
      <c r="K498" s="0" t="n">
        <v>-0.128</v>
      </c>
      <c r="L498" s="0" t="n">
        <v>-1.8544</v>
      </c>
      <c r="M498" s="0" t="n">
        <v>-0.5473</v>
      </c>
      <c r="N498" s="0" t="n">
        <v>0.8749</v>
      </c>
      <c r="O498" s="0" t="n">
        <v>-0.1586</v>
      </c>
      <c r="P498" s="0" t="n">
        <v>0.8215</v>
      </c>
      <c r="Q498" s="0" t="n">
        <v>0.5764</v>
      </c>
      <c r="R498" s="0" t="n">
        <v>-0.1973</v>
      </c>
      <c r="S498" s="0" t="n">
        <v>-1.5153</v>
      </c>
      <c r="T498" s="0" t="n">
        <v>0.407</v>
      </c>
      <c r="U498" s="0" t="n">
        <v>-1.2192</v>
      </c>
      <c r="V498" s="0" t="n">
        <v>0.6397</v>
      </c>
      <c r="W498" s="0" t="n">
        <v>0.5317</v>
      </c>
      <c r="X498" s="0" t="n">
        <v>0.0143</v>
      </c>
      <c r="Y498" s="0" t="n">
        <v>0.5159</v>
      </c>
      <c r="Z498" s="0" t="n">
        <v>0.4249</v>
      </c>
      <c r="AA498" s="0" t="n">
        <v>-0.5733</v>
      </c>
      <c r="AB498" s="0" t="n">
        <v>-1.6612</v>
      </c>
      <c r="AC498" s="0" t="n">
        <v>-2.0178</v>
      </c>
      <c r="AD498" s="0" t="n">
        <v>-0.0361</v>
      </c>
      <c r="AE498" s="0" t="n">
        <v>1.9682</v>
      </c>
      <c r="AG498" s="9" t="n">
        <f aca="false">SUMPRODUCT(($B$2:$AE$2&lt;=Portafolio!$B$5)*EXP(LN(Portafolio!$B$7)+Portafolio!$B$6*B498:AE498))/1000</f>
        <v>2.31271307664536</v>
      </c>
    </row>
    <row r="499" customFormat="false" ht="15" hidden="false" customHeight="false" outlineLevel="0" collapsed="false">
      <c r="A499" s="0" t="n">
        <v>497</v>
      </c>
      <c r="B499" s="0" t="n">
        <v>-0.5581</v>
      </c>
      <c r="C499" s="0" t="n">
        <v>-0.6383</v>
      </c>
      <c r="D499" s="0" t="n">
        <v>-0.9403</v>
      </c>
      <c r="E499" s="0" t="n">
        <v>0.0985</v>
      </c>
      <c r="F499" s="0" t="n">
        <v>-0.0747</v>
      </c>
      <c r="G499" s="0" t="n">
        <v>0.0828</v>
      </c>
      <c r="H499" s="0" t="n">
        <v>0.1193</v>
      </c>
      <c r="I499" s="0" t="n">
        <v>-2.1946</v>
      </c>
      <c r="J499" s="0" t="n">
        <v>-2.2325</v>
      </c>
      <c r="K499" s="0" t="n">
        <v>0.4699</v>
      </c>
      <c r="L499" s="0" t="n">
        <v>0.3688</v>
      </c>
      <c r="M499" s="0" t="n">
        <v>-0.7678</v>
      </c>
      <c r="N499" s="0" t="n">
        <v>0.1561</v>
      </c>
      <c r="O499" s="0" t="n">
        <v>0.7563</v>
      </c>
      <c r="P499" s="0" t="n">
        <v>-1.639</v>
      </c>
      <c r="Q499" s="0" t="n">
        <v>0.0562</v>
      </c>
      <c r="R499" s="0" t="n">
        <v>-0.3139</v>
      </c>
      <c r="S499" s="0" t="n">
        <v>-0.4246</v>
      </c>
      <c r="T499" s="0" t="n">
        <v>-0.4749</v>
      </c>
      <c r="U499" s="0" t="n">
        <v>-2.4226</v>
      </c>
      <c r="V499" s="0" t="n">
        <v>0.2815</v>
      </c>
      <c r="W499" s="0" t="n">
        <v>0.4209</v>
      </c>
      <c r="X499" s="0" t="n">
        <v>-0.736</v>
      </c>
      <c r="Y499" s="0" t="n">
        <v>0.014</v>
      </c>
      <c r="Z499" s="0" t="n">
        <v>-0.4976</v>
      </c>
      <c r="AA499" s="0" t="n">
        <v>-0.3492</v>
      </c>
      <c r="AB499" s="0" t="n">
        <v>0.5636</v>
      </c>
      <c r="AC499" s="0" t="n">
        <v>-0.4384</v>
      </c>
      <c r="AD499" s="0" t="n">
        <v>2.5411</v>
      </c>
      <c r="AE499" s="0" t="n">
        <v>0.5512</v>
      </c>
      <c r="AG499" s="9" t="n">
        <f aca="false">SUMPRODUCT(($B$2:$AE$2&lt;=Portafolio!$B$5)*EXP(LN(Portafolio!$B$7)+Portafolio!$B$6*B499:AE499))/1000</f>
        <v>1.65124878695102</v>
      </c>
    </row>
    <row r="500" customFormat="false" ht="15" hidden="false" customHeight="false" outlineLevel="0" collapsed="false">
      <c r="A500" s="0" t="n">
        <v>498</v>
      </c>
      <c r="B500" s="0" t="n">
        <v>-1.3349</v>
      </c>
      <c r="C500" s="0" t="n">
        <v>0.5047</v>
      </c>
      <c r="D500" s="0" t="n">
        <v>0.9454</v>
      </c>
      <c r="E500" s="0" t="n">
        <v>-2.3224</v>
      </c>
      <c r="F500" s="0" t="n">
        <v>0.7828</v>
      </c>
      <c r="G500" s="0" t="n">
        <v>-0.695</v>
      </c>
      <c r="H500" s="0" t="n">
        <v>-0.2326</v>
      </c>
      <c r="I500" s="0" t="n">
        <v>-0.3926</v>
      </c>
      <c r="J500" s="0" t="n">
        <v>-1.6008</v>
      </c>
      <c r="K500" s="0" t="n">
        <v>-0.387</v>
      </c>
      <c r="L500" s="0" t="n">
        <v>-0.0453</v>
      </c>
      <c r="M500" s="0" t="n">
        <v>-0.2105</v>
      </c>
      <c r="N500" s="0" t="n">
        <v>-1.2574</v>
      </c>
      <c r="O500" s="0" t="n">
        <v>-0.1629</v>
      </c>
      <c r="P500" s="0" t="n">
        <v>0.0178</v>
      </c>
      <c r="Q500" s="0" t="n">
        <v>-1.0755</v>
      </c>
      <c r="R500" s="0" t="n">
        <v>1.0467</v>
      </c>
      <c r="S500" s="0" t="n">
        <v>0.212</v>
      </c>
      <c r="T500" s="0" t="n">
        <v>1.0169</v>
      </c>
      <c r="U500" s="0" t="n">
        <v>-0.2519</v>
      </c>
      <c r="V500" s="0" t="n">
        <v>0.336</v>
      </c>
      <c r="W500" s="0" t="n">
        <v>1.4304</v>
      </c>
      <c r="X500" s="0" t="n">
        <v>0.5111</v>
      </c>
      <c r="Y500" s="0" t="n">
        <v>-0.1746</v>
      </c>
      <c r="Z500" s="0" t="n">
        <v>-0.2714</v>
      </c>
      <c r="AA500" s="0" t="n">
        <v>0.7925</v>
      </c>
      <c r="AB500" s="0" t="n">
        <v>0.1636</v>
      </c>
      <c r="AC500" s="0" t="n">
        <v>-0.6355</v>
      </c>
      <c r="AD500" s="0" t="n">
        <v>-0.5403</v>
      </c>
      <c r="AE500" s="0" t="n">
        <v>0.7371</v>
      </c>
      <c r="AG500" s="9" t="n">
        <f aca="false">SUMPRODUCT(($B$2:$AE$2&lt;=Portafolio!$B$5)*EXP(LN(Portafolio!$B$7)+Portafolio!$B$6*B500:AE500))/1000</f>
        <v>1.93849544067284</v>
      </c>
    </row>
    <row r="501" customFormat="false" ht="15" hidden="false" customHeight="false" outlineLevel="0" collapsed="false">
      <c r="A501" s="0" t="n">
        <v>499</v>
      </c>
      <c r="B501" s="0" t="n">
        <v>-0.8198</v>
      </c>
      <c r="C501" s="0" t="n">
        <v>-0.0068</v>
      </c>
      <c r="D501" s="0" t="n">
        <v>0.4264</v>
      </c>
      <c r="E501" s="0" t="n">
        <v>-1.9696</v>
      </c>
      <c r="F501" s="0" t="n">
        <v>1.09</v>
      </c>
      <c r="G501" s="0" t="n">
        <v>-0.2735</v>
      </c>
      <c r="H501" s="0" t="n">
        <v>-0.6282</v>
      </c>
      <c r="I501" s="0" t="n">
        <v>0.8996</v>
      </c>
      <c r="J501" s="0" t="n">
        <v>-0.0386</v>
      </c>
      <c r="K501" s="0" t="n">
        <v>0.1022</v>
      </c>
      <c r="L501" s="0" t="n">
        <v>0.786</v>
      </c>
      <c r="M501" s="0" t="n">
        <v>0.8269</v>
      </c>
      <c r="N501" s="0" t="n">
        <v>0.2808</v>
      </c>
      <c r="O501" s="0" t="n">
        <v>0.5764</v>
      </c>
      <c r="P501" s="0" t="n">
        <v>-1.0326</v>
      </c>
      <c r="Q501" s="0" t="n">
        <v>-0.6831</v>
      </c>
      <c r="R501" s="0" t="n">
        <v>0.979</v>
      </c>
      <c r="S501" s="0" t="n">
        <v>-0.158</v>
      </c>
      <c r="T501" s="0" t="n">
        <v>-0.6923</v>
      </c>
      <c r="U501" s="0" t="n">
        <v>1.2755</v>
      </c>
      <c r="V501" s="0" t="n">
        <v>1.3495</v>
      </c>
      <c r="W501" s="0" t="n">
        <v>0.5055</v>
      </c>
      <c r="X501" s="0" t="n">
        <v>0.0149</v>
      </c>
      <c r="Y501" s="0" t="n">
        <v>1.4779</v>
      </c>
      <c r="Z501" s="0" t="n">
        <v>-0.2907</v>
      </c>
      <c r="AA501" s="0" t="n">
        <v>-0.9343</v>
      </c>
      <c r="AB501" s="0" t="n">
        <v>0.1602</v>
      </c>
      <c r="AC501" s="0" t="n">
        <v>-0.3515</v>
      </c>
      <c r="AD501" s="0" t="n">
        <v>0.4231</v>
      </c>
      <c r="AE501" s="0" t="n">
        <v>-0.7253</v>
      </c>
      <c r="AG501" s="9" t="n">
        <f aca="false">SUMPRODUCT(($B$2:$AE$2&lt;=Portafolio!$B$5)*EXP(LN(Portafolio!$B$7)+Portafolio!$B$6*B501:AE501))/1000</f>
        <v>2.29815938961005</v>
      </c>
    </row>
    <row r="502" customFormat="false" ht="15" hidden="false" customHeight="false" outlineLevel="0" collapsed="false">
      <c r="A502" s="0" t="n">
        <v>500</v>
      </c>
      <c r="B502" s="0" t="n">
        <v>1.7151</v>
      </c>
      <c r="C502" s="0" t="n">
        <v>-0.0351</v>
      </c>
      <c r="D502" s="0" t="n">
        <v>0.7313</v>
      </c>
      <c r="E502" s="0" t="n">
        <v>0.8789</v>
      </c>
      <c r="F502" s="0" t="n">
        <v>2.9489</v>
      </c>
      <c r="G502" s="0" t="n">
        <v>-0.3906</v>
      </c>
      <c r="H502" s="0" t="n">
        <v>-0.2673</v>
      </c>
      <c r="I502" s="0" t="n">
        <v>0.5337</v>
      </c>
      <c r="J502" s="0" t="n">
        <v>0.7343</v>
      </c>
      <c r="K502" s="0" t="n">
        <v>0.423</v>
      </c>
      <c r="L502" s="0" t="n">
        <v>0.4957</v>
      </c>
      <c r="M502" s="0" t="n">
        <v>1.347</v>
      </c>
      <c r="N502" s="0" t="n">
        <v>1.3355</v>
      </c>
      <c r="O502" s="0" t="n">
        <v>1.014</v>
      </c>
      <c r="P502" s="0" t="n">
        <v>-2.2447</v>
      </c>
      <c r="Q502" s="0" t="n">
        <v>-0.353</v>
      </c>
      <c r="R502" s="0" t="n">
        <v>-0.8017</v>
      </c>
      <c r="S502" s="0" t="n">
        <v>-0.5867</v>
      </c>
      <c r="T502" s="0" t="n">
        <v>-0.4246</v>
      </c>
      <c r="U502" s="0" t="n">
        <v>2.052</v>
      </c>
      <c r="V502" s="0" t="n">
        <v>0.4755</v>
      </c>
      <c r="W502" s="0" t="n">
        <v>-1.1729</v>
      </c>
      <c r="X502" s="0" t="n">
        <v>0.3175</v>
      </c>
      <c r="Y502" s="0" t="n">
        <v>0.9126</v>
      </c>
      <c r="Z502" s="0" t="n">
        <v>1.5981</v>
      </c>
      <c r="AA502" s="0" t="n">
        <v>0.0001</v>
      </c>
      <c r="AB502" s="0" t="n">
        <v>-0.1896</v>
      </c>
      <c r="AC502" s="0" t="n">
        <v>-0.9278</v>
      </c>
      <c r="AD502" s="0" t="n">
        <v>-0.0329</v>
      </c>
      <c r="AE502" s="0" t="n">
        <v>-0.2076</v>
      </c>
      <c r="AG502" s="9" t="n">
        <f aca="false">SUMPRODUCT(($B$2:$AE$2&lt;=Portafolio!$B$5)*EXP(LN(Portafolio!$B$7)+Portafolio!$B$6*B502:AE502))/1000</f>
        <v>3.29998793876804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25</v>
      </c>
    </row>
    <row r="5" customFormat="false" ht="15" hidden="false" customHeight="false" outlineLevel="0" collapsed="false">
      <c r="A5" s="0" t="s">
        <v>26</v>
      </c>
      <c r="B5" s="4" t="n">
        <v>400</v>
      </c>
      <c r="C5" s="10" t="n">
        <f aca="false">B11</f>
        <v>389</v>
      </c>
      <c r="D5" s="10" t="n">
        <f aca="false">C11</f>
        <v>360</v>
      </c>
    </row>
    <row r="6" customFormat="false" ht="15" hidden="false" customHeight="false" outlineLevel="0" collapsed="false">
      <c r="A6" s="0" t="s">
        <v>27</v>
      </c>
      <c r="B6" s="4" t="n">
        <v>-35</v>
      </c>
      <c r="C6" s="4" t="n">
        <v>-36</v>
      </c>
      <c r="D6" s="4" t="n">
        <v>-37</v>
      </c>
    </row>
    <row r="7" customFormat="false" ht="15" hidden="false" customHeight="false" outlineLevel="0" collapsed="false">
      <c r="A7" s="0" t="s">
        <v>28</v>
      </c>
      <c r="B7" s="4" t="n">
        <v>6</v>
      </c>
      <c r="C7" s="4" t="n">
        <v>-15</v>
      </c>
      <c r="D7" s="4" t="n">
        <v>4</v>
      </c>
    </row>
    <row r="8" customFormat="false" ht="15" hidden="false" customHeight="false" outlineLevel="0" collapsed="false">
      <c r="A8" s="0" t="s">
        <v>29</v>
      </c>
      <c r="B8" s="4" t="n">
        <v>18</v>
      </c>
      <c r="C8" s="4" t="n">
        <v>12</v>
      </c>
      <c r="D8" s="4" t="n">
        <v>25</v>
      </c>
    </row>
    <row r="9" customFormat="false" ht="15" hidden="false" customHeight="false" outlineLevel="0" collapsed="false">
      <c r="A9" s="0" t="s">
        <v>30</v>
      </c>
      <c r="B9" s="4" t="n">
        <v>0</v>
      </c>
      <c r="C9" s="4" t="n">
        <v>10</v>
      </c>
      <c r="D9" s="4" t="n">
        <v>0</v>
      </c>
    </row>
    <row r="10" customFormat="false" ht="15" hidden="false" customHeight="false" outlineLevel="0" collapsed="false">
      <c r="A10" s="0" t="s">
        <v>31</v>
      </c>
      <c r="B10" s="4" t="n">
        <v>0</v>
      </c>
      <c r="C10" s="4" t="n">
        <v>0</v>
      </c>
      <c r="D10" s="4" t="n">
        <v>-8</v>
      </c>
    </row>
    <row r="11" customFormat="false" ht="15" hidden="false" customHeight="false" outlineLevel="0" collapsed="false">
      <c r="A11" s="0" t="s">
        <v>32</v>
      </c>
      <c r="B11" s="11" t="n">
        <f aca="false">SUM(B5:B10)</f>
        <v>389</v>
      </c>
      <c r="C11" s="11" t="n">
        <f aca="false">SUM(C5:C10)</f>
        <v>360</v>
      </c>
      <c r="D11" s="11" t="n">
        <f aca="false">SUM(D5:D10)</f>
        <v>344</v>
      </c>
    </row>
    <row r="12" customFormat="false" ht="15" hidden="false" customHeight="false" outlineLevel="0" collapsed="false">
      <c r="A12" s="0" t="s">
        <v>33</v>
      </c>
      <c r="B12" s="10" t="n">
        <f aca="false">SUM(B7:B10)</f>
        <v>24</v>
      </c>
      <c r="C12" s="10" t="n">
        <f aca="false">SUM(C7:C10)</f>
        <v>7</v>
      </c>
      <c r="D12" s="10" t="n">
        <f aca="false">SUM(D7:D10)</f>
        <v>21</v>
      </c>
    </row>
    <row r="13" customFormat="false" ht="15" hidden="false" customHeight="false" outlineLevel="0" collapsed="false">
      <c r="A13" s="0" t="s">
        <v>34</v>
      </c>
      <c r="B13" s="7" t="n">
        <f aca="false">B12/-B6</f>
        <v>0.685714285714286</v>
      </c>
      <c r="C13" s="7" t="n">
        <f aca="false">C12/-C6</f>
        <v>0.194444444444444</v>
      </c>
      <c r="D13" s="7" t="n">
        <f aca="false">D12/-D6</f>
        <v>0.567567567567568</v>
      </c>
    </row>
    <row r="14" customFormat="false" ht="15" hidden="false" customHeight="false" outlineLevel="0" collapsed="false">
      <c r="A14" s="0" t="s">
        <v>35</v>
      </c>
      <c r="B14" s="12" t="n">
        <f aca="false">B11/-B6</f>
        <v>11.1142857142857</v>
      </c>
      <c r="C14" s="12" t="n">
        <f aca="false">C11/-C6</f>
        <v>10</v>
      </c>
      <c r="D14" s="12" t="n">
        <f aca="false">D11/-D6</f>
        <v>9.2972972972973</v>
      </c>
    </row>
    <row r="16" customFormat="false" ht="15" hidden="false" customHeight="false" outlineLevel="0" collapsed="false">
      <c r="A1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2026-10-31T14:17:37Z</dcterms:created>
  <dc:creator>openpyxl</dc:creator>
  <dc:description/>
  <dc:language>en-US</dc:language>
  <cp:lastModifiedBy/>
  <dcterms:modified xsi:type="dcterms:W3CDTF">2026-10-31T14:17:38Z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